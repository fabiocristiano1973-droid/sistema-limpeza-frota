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oletim_do_Veiculo_2026-09-08_2" sheetId="1" state="visible" r:id="rId3"/>
    <sheet name="Base_Frota" sheetId="2" state="visible" r:id="rId4"/>
    <sheet name="Metas" sheetId="3" state="visible" r:id="rId5"/>
    <sheet name="Analise_Consumo" sheetId="4" state="visible" r:id="rId6"/>
    <sheet name="Painel" sheetId="5" state="visible" r:id="rId7"/>
    <sheet name="Análise por Veículo" sheetId="6" state="visible" r:id="rId8"/>
    <sheet name="Ocorrências" sheetId="7" state="visible" r:id="rId9"/>
    <sheet name="Excluídos" sheetId="8" state="visible" r:id="rId10"/>
    <sheet name="Sem_Registro_Boletim" sheetId="9" state="visible" r:id="rId11"/>
    <sheet name="Resumo" sheetId="10" state="visible" r:id="rId12"/>
  </sheets>
  <definedNames>
    <definedName function="false" hidden="true" localSheetId="1" name="_xlnm._FilterDatabase" vbProcedure="false">Base_Frota!$A$2:$I$91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PREENCHER: a base de dados do boletim de telemetria não informa o preço pago pelo diesel. Valor de R$ 6,00/L inserido como referência de mercado a ser SUBSTITUÍDA pelo preço médio real pago pela empresa no período (nota fiscal / contrato do fornecedor).</t>
        </r>
      </text>
    </comment>
  </commentList>
</comments>
</file>

<file path=xl/sharedStrings.xml><?xml version="1.0" encoding="utf-8"?>
<sst xmlns="http://schemas.openxmlformats.org/spreadsheetml/2006/main" count="22188" uniqueCount="6571">
  <si>
    <t xml:space="preserve">PLACA</t>
  </si>
  <si>
    <t xml:space="preserve">PREFIXO</t>
  </si>
  <si>
    <t xml:space="preserve">UO</t>
  </si>
  <si>
    <t xml:space="preserve">MOTORISTAS</t>
  </si>
  <si>
    <t xml:space="preserve">DIA</t>
  </si>
  <si>
    <t xml:space="preserve">DISTÂNCIA PERCORRIDA</t>
  </si>
  <si>
    <t xml:space="preserve">TEMPO IGNIÇÃO LIGADA</t>
  </si>
  <si>
    <t xml:space="preserve">TEMPO EM VIGENCIA</t>
  </si>
  <si>
    <t xml:space="preserve">EXCESSO DE VELOCIDADE</t>
  </si>
  <si>
    <t xml:space="preserve">ACELERAÇÃO BRUSCA</t>
  </si>
  <si>
    <t xml:space="preserve">FRENAGEM BRUSCA</t>
  </si>
  <si>
    <t xml:space="preserve">FRENAGEM BRUSCA SEM ACIONAMENTO DO PEDAL</t>
  </si>
  <si>
    <t xml:space="preserve">FRENAGEM BRUSCA COM ACIONAMENTO DO PEDAL</t>
  </si>
  <si>
    <t xml:space="preserve">CURVA BRUSCA</t>
  </si>
  <si>
    <t xml:space="preserve">BANGUELA</t>
  </si>
  <si>
    <t xml:space="preserve">PARADO LIGADO</t>
  </si>
  <si>
    <t xml:space="preserve">CONSUMO DE COMBUSTIVEL</t>
  </si>
  <si>
    <t xml:space="preserve">MÉDIA CONSUMO</t>
  </si>
  <si>
    <t xml:space="preserve">RPM MARCHA LENTA</t>
  </si>
  <si>
    <t xml:space="preserve">RPM ABAIXO DA VERDE</t>
  </si>
  <si>
    <t xml:space="preserve">RPM VERDE (ECONÔMICO)</t>
  </si>
  <si>
    <t xml:space="preserve">RPM VERDE (POTÊNCIA)</t>
  </si>
  <si>
    <t xml:space="preserve">RPM AMARELO</t>
  </si>
  <si>
    <t xml:space="preserve">RPM VERMELHO</t>
  </si>
  <si>
    <t xml:space="preserve">EXCESSO DE RPM</t>
  </si>
  <si>
    <t xml:space="preserve">PEDAL ACIONADO FAIXA 1</t>
  </si>
  <si>
    <t xml:space="preserve">PEDAL ACIONADO FAIXA 2</t>
  </si>
  <si>
    <t xml:space="preserve">PEDAL ACIONADO FAIXA 3</t>
  </si>
  <si>
    <t xml:space="preserve">LOGRADOURO INICIAL</t>
  </si>
  <si>
    <t xml:space="preserve">LOGRADOURO FINAL</t>
  </si>
  <si>
    <t xml:space="preserve">HODOMETRO INICIAL</t>
  </si>
  <si>
    <t xml:space="preserve">HODOMETRO FINAL</t>
  </si>
  <si>
    <t xml:space="preserve">TEMPO EM MOVIMENTO</t>
  </si>
  <si>
    <t xml:space="preserve">TEMPO PARADO</t>
  </si>
  <si>
    <t xml:space="preserve">TEMPO COM GPS INVALIDO</t>
  </si>
  <si>
    <t xml:space="preserve">TEMPO EQUIP DESLIGADO</t>
  </si>
  <si>
    <t xml:space="preserve">TEMPO BATENDO TRANSMISSÃO</t>
  </si>
  <si>
    <t xml:space="preserve">TEMPO FREIO MOTOR</t>
  </si>
  <si>
    <t xml:space="preserve">CHECKLIST</t>
  </si>
  <si>
    <t xml:space="preserve">SEM CINTO</t>
  </si>
  <si>
    <t xml:space="preserve">BOCEJO</t>
  </si>
  <si>
    <t xml:space="preserve">SEM MOTORISTA</t>
  </si>
  <si>
    <t xml:space="preserve">USO DE CIGARRO</t>
  </si>
  <si>
    <t xml:space="preserve">DISTRAÇÃO</t>
  </si>
  <si>
    <t xml:space="preserve">FADIGA</t>
  </si>
  <si>
    <t xml:space="preserve">USO DE CELULAR</t>
  </si>
  <si>
    <t xml:space="preserve">DISTÂNCIA PERIGOSA</t>
  </si>
  <si>
    <t xml:space="preserve">CÂMERA OBSTRUÍDA</t>
  </si>
  <si>
    <t xml:space="preserve">ULTRAPASSAGEM ILEGAL</t>
  </si>
  <si>
    <t xml:space="preserve">SEM CONE</t>
  </si>
  <si>
    <t xml:space="preserve">SEM ÓCULOS DE EPI</t>
  </si>
  <si>
    <t xml:space="preserve">SEM LUVAS</t>
  </si>
  <si>
    <t xml:space="preserve">CARONA</t>
  </si>
  <si>
    <t xml:space="preserve">DESCONEXÃO DA CÂMERA DE AUDITORIA</t>
  </si>
  <si>
    <t xml:space="preserve">DESCONEXÃO DA CÂMERA DO MOTORISTA</t>
  </si>
  <si>
    <t xml:space="preserve">DESCONEXÃO DA CÂMERA DA PISTA</t>
  </si>
  <si>
    <t xml:space="preserve">USO INDEVIDO DE VEÍCULO</t>
  </si>
  <si>
    <t xml:space="preserve">TEMPO USO INDEVIDO DE VEÍCULO</t>
  </si>
  <si>
    <t xml:space="preserve">MANUSEIO DE OBJETO</t>
  </si>
  <si>
    <t xml:space="preserve">PARADA INCOMPLETA</t>
  </si>
  <si>
    <t xml:space="preserve">NÃO PAROU</t>
  </si>
  <si>
    <t xml:space="preserve">SEM CASQUETE</t>
  </si>
  <si>
    <t xml:space="preserve">DESVIO DE ROTA</t>
  </si>
  <si>
    <t xml:space="preserve">Distância (km) - todos os dias</t>
  </si>
  <si>
    <t xml:space="preserve">Consumo (L) - dias com reporte</t>
  </si>
  <si>
    <t xml:space="preserve">Média (Km/L) - dias com reporte</t>
  </si>
  <si>
    <t xml:space="preserve">Distância (km) - dias com reporte</t>
  </si>
  <si>
    <t xml:space="preserve">Tracinho (1=sem reporte telemetria)</t>
  </si>
  <si>
    <t xml:space="preserve">JQC9385</t>
  </si>
  <si>
    <t xml:space="preserve">R5115</t>
  </si>
  <si>
    <t xml:space="preserve">ROTA TRANSPORTES - ITABUNA</t>
  </si>
  <si>
    <t xml:space="preserve">WILSON DE SOUSA LEAL - 70853592500, ALEGUIRINALDO DE SOUZA LEITE JUNIOR - 05053784507</t>
  </si>
  <si>
    <t xml:space="preserve">126.33</t>
  </si>
  <si>
    <t xml:space="preserve">-</t>
  </si>
  <si>
    <t xml:space="preserve">Rua K</t>
  </si>
  <si>
    <t xml:space="preserve">Avenida Amélia Amado</t>
  </si>
  <si>
    <t xml:space="preserve">91534.21</t>
  </si>
  <si>
    <t xml:space="preserve">91660.54</t>
  </si>
  <si>
    <t xml:space="preserve">N/A</t>
  </si>
  <si>
    <t xml:space="preserve">WILSON DE SOUSA LEAL - 70853592500, RAFAEL DE JESUS BARRETO - 85830111500</t>
  </si>
  <si>
    <t xml:space="preserve">106.06</t>
  </si>
  <si>
    <t xml:space="preserve">Rua Castro Alves</t>
  </si>
  <si>
    <t xml:space="preserve">91766.60</t>
  </si>
  <si>
    <t xml:space="preserve">WILSON DE SOUSA LEAL - 70853592500</t>
  </si>
  <si>
    <t xml:space="preserve">104.03</t>
  </si>
  <si>
    <t xml:space="preserve">91870.63</t>
  </si>
  <si>
    <t xml:space="preserve">104.35</t>
  </si>
  <si>
    <t xml:space="preserve">91974.98</t>
  </si>
  <si>
    <t xml:space="preserve">WILSON DE SOUSA LEAL - 70853592500, RENILDO FREITAS PEREIRA - 40936805587</t>
  </si>
  <si>
    <t xml:space="preserve">81.95</t>
  </si>
  <si>
    <t xml:space="preserve">92056.93</t>
  </si>
  <si>
    <t xml:space="preserve">105.31</t>
  </si>
  <si>
    <t xml:space="preserve">92162.23</t>
  </si>
  <si>
    <t xml:space="preserve">JQC9404</t>
  </si>
  <si>
    <t xml:space="preserve">R5125</t>
  </si>
  <si>
    <t xml:space="preserve">0.00</t>
  </si>
  <si>
    <t xml:space="preserve">91485.00</t>
  </si>
  <si>
    <t xml:space="preserve">JQC9414</t>
  </si>
  <si>
    <t xml:space="preserve">R5155</t>
  </si>
  <si>
    <t xml:space="preserve">ISRAEL SOARES DOS SANTOS - 09628284916, EDVALDO ELIAS SILVA - 99881624568</t>
  </si>
  <si>
    <t xml:space="preserve">128.72</t>
  </si>
  <si>
    <t xml:space="preserve">726636.49</t>
  </si>
  <si>
    <t xml:space="preserve">726765.21</t>
  </si>
  <si>
    <t xml:space="preserve">148.75</t>
  </si>
  <si>
    <t xml:space="preserve">726765.50</t>
  </si>
  <si>
    <t xml:space="preserve">726914.25</t>
  </si>
  <si>
    <t xml:space="preserve">ISRAEL SOARES DOS SANTOS - 09628284916, EDVALDO ELIAS SILVA - 99881624568, EMERSON ANDRADE DA SILVA - 96170824549</t>
  </si>
  <si>
    <t xml:space="preserve">127.59</t>
  </si>
  <si>
    <t xml:space="preserve">727041.84</t>
  </si>
  <si>
    <t xml:space="preserve">ISRAEL SOARES DOS SANTOS - 09628284916, Jose Raimundo dos Santos - 00335224563, EDVALDO ELIAS SILVA - 99881624568, ERICO OLIVEIRA PEREIRA - 04284740555</t>
  </si>
  <si>
    <t xml:space="preserve">183.77</t>
  </si>
  <si>
    <t xml:space="preserve">BR-415</t>
  </si>
  <si>
    <t xml:space="preserve">727042.08</t>
  </si>
  <si>
    <t xml:space="preserve">727225.86</t>
  </si>
  <si>
    <t xml:space="preserve">EDVALDO ELIAS SILVA - 99881624568</t>
  </si>
  <si>
    <t xml:space="preserve">38.64</t>
  </si>
  <si>
    <t xml:space="preserve">727226.00</t>
  </si>
  <si>
    <t xml:space="preserve">727264.64</t>
  </si>
  <si>
    <t xml:space="preserve">MARCOS CARVALHO RIBEIRO - 03981643550, EDVALDO ELIAS SILVA - 99881624568, EMERSON ANDRADE DA SILVA - 96170824549</t>
  </si>
  <si>
    <t xml:space="preserve">167.71</t>
  </si>
  <si>
    <t xml:space="preserve">727432.35</t>
  </si>
  <si>
    <t xml:space="preserve">OUK9598</t>
  </si>
  <si>
    <t xml:space="preserve">R7005</t>
  </si>
  <si>
    <t xml:space="preserve">0.34</t>
  </si>
  <si>
    <t xml:space="preserve">0.13 L</t>
  </si>
  <si>
    <t xml:space="preserve">2.56 Km/L</t>
  </si>
  <si>
    <t xml:space="preserve">502189.71</t>
  </si>
  <si>
    <t xml:space="preserve">502190.05</t>
  </si>
  <si>
    <t xml:space="preserve">JOSE EUDES SANTOS - 93703503572</t>
  </si>
  <si>
    <t xml:space="preserve">175.25</t>
  </si>
  <si>
    <t xml:space="preserve">24.98 L</t>
  </si>
  <si>
    <t xml:space="preserve">7.02 Km/L</t>
  </si>
  <si>
    <t xml:space="preserve">502365.29</t>
  </si>
  <si>
    <t xml:space="preserve">242.45</t>
  </si>
  <si>
    <t xml:space="preserve">44.94 L</t>
  </si>
  <si>
    <t xml:space="preserve">5.39 Km/L</t>
  </si>
  <si>
    <t xml:space="preserve">502607.74</t>
  </si>
  <si>
    <t xml:space="preserve">0.14</t>
  </si>
  <si>
    <t xml:space="preserve">0.06 L</t>
  </si>
  <si>
    <t xml:space="preserve">2.46 Km/L</t>
  </si>
  <si>
    <t xml:space="preserve">502607.87</t>
  </si>
  <si>
    <t xml:space="preserve">ROBERTO CARLOS HIGINO P JUNIOR - 09578097514</t>
  </si>
  <si>
    <t xml:space="preserve">90.26</t>
  </si>
  <si>
    <t xml:space="preserve">15.81 L</t>
  </si>
  <si>
    <t xml:space="preserve">5.71 Km/L</t>
  </si>
  <si>
    <t xml:space="preserve">502698.13</t>
  </si>
  <si>
    <t xml:space="preserve">OUK7589</t>
  </si>
  <si>
    <t xml:space="preserve">R7015</t>
  </si>
  <si>
    <t xml:space="preserve">ANTONIEL SILVA NOVAIS - 16687097830</t>
  </si>
  <si>
    <t xml:space="preserve">324.04</t>
  </si>
  <si>
    <t xml:space="preserve">57.56 L</t>
  </si>
  <si>
    <t xml:space="preserve">5.63 Km/L</t>
  </si>
  <si>
    <t xml:space="preserve">Rua Xavantes</t>
  </si>
  <si>
    <t xml:space="preserve">511386.19</t>
  </si>
  <si>
    <t xml:space="preserve">511710.23</t>
  </si>
  <si>
    <t xml:space="preserve">1.75</t>
  </si>
  <si>
    <t xml:space="preserve">1.65 L</t>
  </si>
  <si>
    <t xml:space="preserve">1.06 Km/L</t>
  </si>
  <si>
    <t xml:space="preserve">Rua Tupinambás</t>
  </si>
  <si>
    <t xml:space="preserve">Avenida Presidente Dutra</t>
  </si>
  <si>
    <t xml:space="preserve">511711.98</t>
  </si>
  <si>
    <t xml:space="preserve">JAIMILTON OLIVEIRA ROCHA - 05812579520</t>
  </si>
  <si>
    <t xml:space="preserve">109.12</t>
  </si>
  <si>
    <t xml:space="preserve">22.26 L</t>
  </si>
  <si>
    <t xml:space="preserve">4.90 Km/L</t>
  </si>
  <si>
    <t xml:space="preserve">511821.10</t>
  </si>
  <si>
    <t xml:space="preserve">107.82</t>
  </si>
  <si>
    <t xml:space="preserve">21.04 L</t>
  </si>
  <si>
    <t xml:space="preserve">5.12 Km/L</t>
  </si>
  <si>
    <t xml:space="preserve">511928.92</t>
  </si>
  <si>
    <t xml:space="preserve">0.25 L</t>
  </si>
  <si>
    <t xml:space="preserve">0.55 Km/L</t>
  </si>
  <si>
    <t xml:space="preserve">511929.06</t>
  </si>
  <si>
    <t xml:space="preserve">VALDINEUDO JOSE ALVES CLARO - 87261758434</t>
  </si>
  <si>
    <t xml:space="preserve">107.89</t>
  </si>
  <si>
    <t xml:space="preserve">21.97 L</t>
  </si>
  <si>
    <t xml:space="preserve">4.91 Km/L</t>
  </si>
  <si>
    <t xml:space="preserve">512036.95</t>
  </si>
  <si>
    <t xml:space="preserve">OUK7974</t>
  </si>
  <si>
    <t xml:space="preserve">R7025</t>
  </si>
  <si>
    <t xml:space="preserve">175.73</t>
  </si>
  <si>
    <t xml:space="preserve">33.79 L</t>
  </si>
  <si>
    <t xml:space="preserve">5.20 Km/L</t>
  </si>
  <si>
    <t xml:space="preserve">Rua Bela Vista</t>
  </si>
  <si>
    <t xml:space="preserve">615405.81</t>
  </si>
  <si>
    <t xml:space="preserve">615581.54</t>
  </si>
  <si>
    <t xml:space="preserve">296.22</t>
  </si>
  <si>
    <t xml:space="preserve">50.70 L</t>
  </si>
  <si>
    <t xml:space="preserve">5.84 Km/L</t>
  </si>
  <si>
    <t xml:space="preserve">Rua Rui Barbosa</t>
  </si>
  <si>
    <t xml:space="preserve">615877.76</t>
  </si>
  <si>
    <t xml:space="preserve">FABIANO REIS DOS SANTOS - 06063406530</t>
  </si>
  <si>
    <t xml:space="preserve">297.74</t>
  </si>
  <si>
    <t xml:space="preserve">52.49 L</t>
  </si>
  <si>
    <t xml:space="preserve">5.67 Km/L</t>
  </si>
  <si>
    <t xml:space="preserve">616175.49</t>
  </si>
  <si>
    <t xml:space="preserve">297.71</t>
  </si>
  <si>
    <t xml:space="preserve">52.18 L</t>
  </si>
  <si>
    <t xml:space="preserve">616473.20</t>
  </si>
  <si>
    <t xml:space="preserve">297.83</t>
  </si>
  <si>
    <t xml:space="preserve">53.17 L</t>
  </si>
  <si>
    <t xml:space="preserve">5.60 Km/L</t>
  </si>
  <si>
    <t xml:space="preserve">616771.03</t>
  </si>
  <si>
    <t xml:space="preserve">OUK3365</t>
  </si>
  <si>
    <t xml:space="preserve">R7035</t>
  </si>
  <si>
    <t xml:space="preserve">0.23</t>
  </si>
  <si>
    <t xml:space="preserve">0.17 L</t>
  </si>
  <si>
    <t xml:space="preserve">1.35 Km/L</t>
  </si>
  <si>
    <t xml:space="preserve">Avenida Governador Roberto Santos</t>
  </si>
  <si>
    <t xml:space="preserve">572437.20</t>
  </si>
  <si>
    <t xml:space="preserve">572437.42</t>
  </si>
  <si>
    <t xml:space="preserve">EDSON RIBEIRO BATISTA SANTOS - 03640303563</t>
  </si>
  <si>
    <t xml:space="preserve">6.34</t>
  </si>
  <si>
    <t xml:space="preserve">1.57 L</t>
  </si>
  <si>
    <t xml:space="preserve">4.04 Km/L</t>
  </si>
  <si>
    <t xml:space="preserve">572443.76</t>
  </si>
  <si>
    <t xml:space="preserve">0.19</t>
  </si>
  <si>
    <t xml:space="preserve">0.20 L</t>
  </si>
  <si>
    <t xml:space="preserve">0.93 Km/L</t>
  </si>
  <si>
    <t xml:space="preserve">572443.95</t>
  </si>
  <si>
    <t xml:space="preserve">JQI1373</t>
  </si>
  <si>
    <t xml:space="preserve">R5485</t>
  </si>
  <si>
    <t xml:space="preserve">Jose Raimundo dos Santos - 00335224563, JOVANDO SANTANA MOREIRA - 65889843591, TIAGO SILVA BASTOS - 02581506539</t>
  </si>
  <si>
    <t xml:space="preserve">340.86</t>
  </si>
  <si>
    <t xml:space="preserve">89788.48</t>
  </si>
  <si>
    <t xml:space="preserve">90129.34</t>
  </si>
  <si>
    <t xml:space="preserve">FABIANO REIS DOS SANTOS - 06063406530, FERNANDO DAMASCENO DE JESUS - 03779273500</t>
  </si>
  <si>
    <t xml:space="preserve">31.50</t>
  </si>
  <si>
    <t xml:space="preserve">Rua João Franco</t>
  </si>
  <si>
    <t xml:space="preserve">90160.84</t>
  </si>
  <si>
    <t xml:space="preserve">Jose Adilson Dos Santos Reis - 02053767545, JUCIMAR DE JESUS SANTOS - 03136869559</t>
  </si>
  <si>
    <t xml:space="preserve">181.93</t>
  </si>
  <si>
    <t xml:space="preserve">90342.77</t>
  </si>
  <si>
    <t xml:space="preserve">JOVANDO SANTANA MOREIRA - 65889843591, ERICO OLIVEIRA PEREIRA - 04284740555, MARCELO BATISTA SANTOS - 08636731550</t>
  </si>
  <si>
    <t xml:space="preserve">167.34</t>
  </si>
  <si>
    <t xml:space="preserve">90510.10</t>
  </si>
  <si>
    <t xml:space="preserve">RAFAEL DE JESUS BARRETO - 85830111500, Jose Raimundo dos Santos - 00335224563, JUCIMAR DE JESUS SANTOS - 03136869559, OSNILDO CLEMENTINO ROCHA DOS - 87948125515, TALES ANTONIO ALMEIDA ALVES JUNIOR - 09534524506</t>
  </si>
  <si>
    <t xml:space="preserve">265.67</t>
  </si>
  <si>
    <t xml:space="preserve">90775.77</t>
  </si>
  <si>
    <t xml:space="preserve">JQI1371</t>
  </si>
  <si>
    <t xml:space="preserve">R5495</t>
  </si>
  <si>
    <t xml:space="preserve">18530.35</t>
  </si>
  <si>
    <t xml:space="preserve">0.82</t>
  </si>
  <si>
    <t xml:space="preserve">18531.17</t>
  </si>
  <si>
    <t xml:space="preserve">0.90</t>
  </si>
  <si>
    <t xml:space="preserve">18532.07</t>
  </si>
  <si>
    <t xml:space="preserve">83.69</t>
  </si>
  <si>
    <t xml:space="preserve">18615.76</t>
  </si>
  <si>
    <t xml:space="preserve">60.04</t>
  </si>
  <si>
    <t xml:space="preserve">18675.80</t>
  </si>
  <si>
    <t xml:space="preserve">209.66</t>
  </si>
  <si>
    <t xml:space="preserve">18885.46</t>
  </si>
  <si>
    <t xml:space="preserve">JQI1377</t>
  </si>
  <si>
    <t xml:space="preserve">R5515</t>
  </si>
  <si>
    <t xml:space="preserve">JQI1405</t>
  </si>
  <si>
    <t xml:space="preserve">R5535</t>
  </si>
  <si>
    <t xml:space="preserve">Jose Adilson Dos Santos Reis - 02053767545, Jose Raimundo dos Santos - 00335224563, PAULO SERGIO MENEZES SANTOS - 01555946569, ABILIO SANTOS COUTINHO - 92884539549</t>
  </si>
  <si>
    <t xml:space="preserve">157.61</t>
  </si>
  <si>
    <t xml:space="preserve">389488.70</t>
  </si>
  <si>
    <t xml:space="preserve">389646.31</t>
  </si>
  <si>
    <t xml:space="preserve">Jose Adilson Dos Santos Reis - 02053767545, RAFAEL DE JESUS BARRETO - 85830111500, PAULO SERGIO MENEZES SANTOS - 01555946569, CLODOALDO DOS SANTOS PINHEIRO - 00832134570</t>
  </si>
  <si>
    <t xml:space="preserve">271.38</t>
  </si>
  <si>
    <t xml:space="preserve">389917.69</t>
  </si>
  <si>
    <t xml:space="preserve">Jose Adilson Dos Santos Reis - 02053767545, PAULO SERGIO MENEZES SANTOS - 01555946569</t>
  </si>
  <si>
    <t xml:space="preserve">67.09</t>
  </si>
  <si>
    <t xml:space="preserve">389984.78</t>
  </si>
  <si>
    <t xml:space="preserve">Jose Adilson Dos Santos Reis - 02053767545, PAULO SERGIO MENEZES SANTOS - 01555946569, WILLIAN JOSE DA CUNHA - 03523954517</t>
  </si>
  <si>
    <t xml:space="preserve">261.94</t>
  </si>
  <si>
    <t xml:space="preserve">390246.72</t>
  </si>
  <si>
    <t xml:space="preserve">WILLIAN JOSE DA CUNHA - 03523954517</t>
  </si>
  <si>
    <t xml:space="preserve">31.40</t>
  </si>
  <si>
    <t xml:space="preserve">390278.12</t>
  </si>
  <si>
    <t xml:space="preserve">Jose Adilson Dos Santos Reis - 02053767545</t>
  </si>
  <si>
    <t xml:space="preserve">156.92</t>
  </si>
  <si>
    <t xml:space="preserve">390435.04</t>
  </si>
  <si>
    <t xml:space="preserve">Jose Adilson Dos Santos Reis - 02053767545, MARCOS FILIPE LIMA DE OLIVEIRA - 85262714587, JUCIMAR DE JESUS SANTOS - 03136869559, JOSE MAURICIO SANTANA SANTOS - 97382388549, CARLISSON MESSIAS DE JESUS - 04199062580</t>
  </si>
  <si>
    <t xml:space="preserve">246.62</t>
  </si>
  <si>
    <t xml:space="preserve">390681.66</t>
  </si>
  <si>
    <t xml:space="preserve">OUR3707</t>
  </si>
  <si>
    <t xml:space="preserve">R7125</t>
  </si>
  <si>
    <t xml:space="preserve">Jose Raimundo dos Santos - 00335224563, VALMIR JOSE DOS SANTOS - 42008476553, Samuel Brito dos Santos - 86013174563</t>
  </si>
  <si>
    <t xml:space="preserve">320.69</t>
  </si>
  <si>
    <t xml:space="preserve">130.65 L</t>
  </si>
  <si>
    <t xml:space="preserve">2.45 Km/L</t>
  </si>
  <si>
    <t xml:space="preserve">938144.59</t>
  </si>
  <si>
    <t xml:space="preserve">938465.28</t>
  </si>
  <si>
    <t xml:space="preserve">Samuel Brito dos Santos - 86013174563, JEREMIAS DO SANTOS GALIZA - 82787654568</t>
  </si>
  <si>
    <t xml:space="preserve">321.54</t>
  </si>
  <si>
    <t xml:space="preserve">128.62 L</t>
  </si>
  <si>
    <t xml:space="preserve">2.50 Km/L</t>
  </si>
  <si>
    <t xml:space="preserve">938786.81</t>
  </si>
  <si>
    <t xml:space="preserve">ANTONIO MAXIMO SANTOS SOUSA - 04634408546, VALMIR JOSE DOS SANTOS - 42008476553, Samuel Brito dos Santos - 86013174563</t>
  </si>
  <si>
    <t xml:space="preserve">321.04</t>
  </si>
  <si>
    <t xml:space="preserve">134.91 L</t>
  </si>
  <si>
    <t xml:space="preserve">2.38 Km/L</t>
  </si>
  <si>
    <t xml:space="preserve">939107.85</t>
  </si>
  <si>
    <t xml:space="preserve">VALMIR JOSE DOS SANTOS - 42008476553, Samuel Brito dos Santos - 86013174563</t>
  </si>
  <si>
    <t xml:space="preserve">321.26</t>
  </si>
  <si>
    <t xml:space="preserve">107.47 L</t>
  </si>
  <si>
    <t xml:space="preserve">2.99 Km/L</t>
  </si>
  <si>
    <t xml:space="preserve">939429.10</t>
  </si>
  <si>
    <t xml:space="preserve">Jose Raimundo dos Santos - 00335224563, VALMIR JOSE DOS SANTOS - 42008476553, JEREMIAS DO SANTOS GALIZA - 82787654568, EMERSON ANDRADE DA SILVA - 96170824549</t>
  </si>
  <si>
    <t xml:space="preserve">321.81</t>
  </si>
  <si>
    <t xml:space="preserve">128.29 L</t>
  </si>
  <si>
    <t xml:space="preserve">2.51 Km/L</t>
  </si>
  <si>
    <t xml:space="preserve">939750.91</t>
  </si>
  <si>
    <t xml:space="preserve">VALMIR JOSE DOS SANTOS - 42008476553</t>
  </si>
  <si>
    <t xml:space="preserve">213.97</t>
  </si>
  <si>
    <t xml:space="preserve">86.41 L</t>
  </si>
  <si>
    <t xml:space="preserve">2.48 Km/L</t>
  </si>
  <si>
    <t xml:space="preserve">939964.88</t>
  </si>
  <si>
    <t xml:space="preserve">320.89</t>
  </si>
  <si>
    <t xml:space="preserve">134.85 L</t>
  </si>
  <si>
    <t xml:space="preserve">940285.76</t>
  </si>
  <si>
    <t xml:space="preserve">OUR8713</t>
  </si>
  <si>
    <t xml:space="preserve">R7135</t>
  </si>
  <si>
    <t xml:space="preserve">JONE MARTINS DOS SANTOS - 01306290570</t>
  </si>
  <si>
    <t xml:space="preserve">307.00</t>
  </si>
  <si>
    <t xml:space="preserve">108.71 L</t>
  </si>
  <si>
    <t xml:space="preserve">2.82 Km/L</t>
  </si>
  <si>
    <t xml:space="preserve">Largo da Rodoviária</t>
  </si>
  <si>
    <t xml:space="preserve">252397.41</t>
  </si>
  <si>
    <t xml:space="preserve">252704.41</t>
  </si>
  <si>
    <t xml:space="preserve">307.46</t>
  </si>
  <si>
    <t xml:space="preserve">107.27 L</t>
  </si>
  <si>
    <t xml:space="preserve">2.87 Km/L</t>
  </si>
  <si>
    <t xml:space="preserve">253011.87</t>
  </si>
  <si>
    <t xml:space="preserve">307.80</t>
  </si>
  <si>
    <t xml:space="preserve">107.07 L</t>
  </si>
  <si>
    <t xml:space="preserve">253319.66</t>
  </si>
  <si>
    <t xml:space="preserve">307.86</t>
  </si>
  <si>
    <t xml:space="preserve">108.59 L</t>
  </si>
  <si>
    <t xml:space="preserve">2.84 Km/L</t>
  </si>
  <si>
    <t xml:space="preserve">253627.52</t>
  </si>
  <si>
    <t xml:space="preserve">304.85</t>
  </si>
  <si>
    <t xml:space="preserve">107.68 L</t>
  </si>
  <si>
    <t xml:space="preserve">2.83 Km/L</t>
  </si>
  <si>
    <t xml:space="preserve">253932.37</t>
  </si>
  <si>
    <t xml:space="preserve">307.92</t>
  </si>
  <si>
    <t xml:space="preserve">107.04 L</t>
  </si>
  <si>
    <t xml:space="preserve">2.88 Km/L</t>
  </si>
  <si>
    <t xml:space="preserve">254240.28</t>
  </si>
  <si>
    <t xml:space="preserve">OUR9200</t>
  </si>
  <si>
    <t xml:space="preserve">R7145</t>
  </si>
  <si>
    <t xml:space="preserve">301.27</t>
  </si>
  <si>
    <t xml:space="preserve">101.64 L</t>
  </si>
  <si>
    <t xml:space="preserve">2.96 Km/L</t>
  </si>
  <si>
    <t xml:space="preserve">Avenida Deraldo Peixoto de Araújo</t>
  </si>
  <si>
    <t xml:space="preserve">1126613.92</t>
  </si>
  <si>
    <t xml:space="preserve">1126915.19</t>
  </si>
  <si>
    <t xml:space="preserve">301.52</t>
  </si>
  <si>
    <t xml:space="preserve">95.91 L</t>
  </si>
  <si>
    <t xml:space="preserve">3.14 Km/L</t>
  </si>
  <si>
    <t xml:space="preserve">1127216.71</t>
  </si>
  <si>
    <t xml:space="preserve">302.01</t>
  </si>
  <si>
    <t xml:space="preserve">94.77 L</t>
  </si>
  <si>
    <t xml:space="preserve">3.19 Km/L</t>
  </si>
  <si>
    <t xml:space="preserve">1127518.20</t>
  </si>
  <si>
    <t xml:space="preserve">PAULO ROMA PINTO - 02932759558</t>
  </si>
  <si>
    <t xml:space="preserve">301.47</t>
  </si>
  <si>
    <t xml:space="preserve">96.49 L</t>
  </si>
  <si>
    <t xml:space="preserve">3.12 Km/L</t>
  </si>
  <si>
    <t xml:space="preserve">1127819.66</t>
  </si>
  <si>
    <t xml:space="preserve">301.99</t>
  </si>
  <si>
    <t xml:space="preserve">94.45 L</t>
  </si>
  <si>
    <t xml:space="preserve">3.20 Km/L</t>
  </si>
  <si>
    <t xml:space="preserve">1128121.65</t>
  </si>
  <si>
    <t xml:space="preserve">299.02</t>
  </si>
  <si>
    <t xml:space="preserve">96.78 L</t>
  </si>
  <si>
    <t xml:space="preserve">3.09 Km/L</t>
  </si>
  <si>
    <t xml:space="preserve">1128420.66</t>
  </si>
  <si>
    <t xml:space="preserve">301.30</t>
  </si>
  <si>
    <t xml:space="preserve">96.72 L</t>
  </si>
  <si>
    <t xml:space="preserve">1128721.96</t>
  </si>
  <si>
    <t xml:space="preserve">OUR8149</t>
  </si>
  <si>
    <t xml:space="preserve">R7155</t>
  </si>
  <si>
    <t xml:space="preserve">317.70</t>
  </si>
  <si>
    <t xml:space="preserve">117.33 L</t>
  </si>
  <si>
    <t xml:space="preserve">2.71 Km/L</t>
  </si>
  <si>
    <t xml:space="preserve">Praça Basílio Oliveira</t>
  </si>
  <si>
    <t xml:space="preserve">1201862.41</t>
  </si>
  <si>
    <t xml:space="preserve">1202180.11</t>
  </si>
  <si>
    <t xml:space="preserve">PAULO ROMA PINTO - 02932759558, CLEITON DA SILVA SANTOS - 01466358505</t>
  </si>
  <si>
    <t xml:space="preserve">316.37</t>
  </si>
  <si>
    <t xml:space="preserve">108.65 L</t>
  </si>
  <si>
    <t xml:space="preserve">2.91 Km/L</t>
  </si>
  <si>
    <t xml:space="preserve">Rua Querubim Mendes Costa</t>
  </si>
  <si>
    <t xml:space="preserve">1202496.47</t>
  </si>
  <si>
    <t xml:space="preserve">CLEITON DA SILVA SANTOS - 01466358505</t>
  </si>
  <si>
    <t xml:space="preserve">317.86</t>
  </si>
  <si>
    <t xml:space="preserve">105.71 L</t>
  </si>
  <si>
    <t xml:space="preserve">3.01 Km/L</t>
  </si>
  <si>
    <t xml:space="preserve">1202814.33</t>
  </si>
  <si>
    <t xml:space="preserve">315.97</t>
  </si>
  <si>
    <t xml:space="preserve">107.31 L</t>
  </si>
  <si>
    <t xml:space="preserve">2.94 Km/L</t>
  </si>
  <si>
    <t xml:space="preserve">Rua Euzébio Ferreira</t>
  </si>
  <si>
    <t xml:space="preserve">1203130.29</t>
  </si>
  <si>
    <t xml:space="preserve">CLEITON DA SILVA SANTOS - 01466358505, RAIMUNDO JOSE DE OLIVEIRA NUNES - 65617754572</t>
  </si>
  <si>
    <t xml:space="preserve">314.48</t>
  </si>
  <si>
    <t xml:space="preserve">109.93 L</t>
  </si>
  <si>
    <t xml:space="preserve">2.86 Km/L</t>
  </si>
  <si>
    <t xml:space="preserve">1203444.77</t>
  </si>
  <si>
    <t xml:space="preserve">317.49</t>
  </si>
  <si>
    <t xml:space="preserve">112.18 L</t>
  </si>
  <si>
    <t xml:space="preserve">1203762.26</t>
  </si>
  <si>
    <t xml:space="preserve">316.26</t>
  </si>
  <si>
    <t xml:space="preserve">111.85 L</t>
  </si>
  <si>
    <t xml:space="preserve">1204078.52</t>
  </si>
  <si>
    <t xml:space="preserve">OUR1H68</t>
  </si>
  <si>
    <t xml:space="preserve">R7165</t>
  </si>
  <si>
    <t xml:space="preserve">JOSE LUCIANO SANTOS SILVA - 00671441523</t>
  </si>
  <si>
    <t xml:space="preserve">70.59</t>
  </si>
  <si>
    <t xml:space="preserve">30.09 L</t>
  </si>
  <si>
    <t xml:space="preserve">2.35 Km/L</t>
  </si>
  <si>
    <t xml:space="preserve">1161475.74</t>
  </si>
  <si>
    <t xml:space="preserve">1161546.32</t>
  </si>
  <si>
    <t xml:space="preserve">Jose Raimundo dos Santos - 00335224563, GILMAR ALVES DE SOUSA - 32895178534</t>
  </si>
  <si>
    <t xml:space="preserve">447.70</t>
  </si>
  <si>
    <t xml:space="preserve">137.18 L</t>
  </si>
  <si>
    <t xml:space="preserve">3.26 Km/L</t>
  </si>
  <si>
    <t xml:space="preserve">Avenida Alto da Boa Vista</t>
  </si>
  <si>
    <t xml:space="preserve">1161994.02</t>
  </si>
  <si>
    <t xml:space="preserve">Jose Raimundo dos Santos - 00335224563, MARCELO EDUARDO OLIVEIRA COSTA - 60245476504</t>
  </si>
  <si>
    <t xml:space="preserve">306.02</t>
  </si>
  <si>
    <t xml:space="preserve">108.98 L</t>
  </si>
  <si>
    <t xml:space="preserve">2.81 Km/L</t>
  </si>
  <si>
    <t xml:space="preserve">1162300.03</t>
  </si>
  <si>
    <t xml:space="preserve">EDINALDO JOSE ALVES - 18681883534, GILMAR ALVES DE SOUSA - 32895178534, LEANDRO PINHEIRO DOS SANTOS - 02790495521</t>
  </si>
  <si>
    <t xml:space="preserve">629.86</t>
  </si>
  <si>
    <t xml:space="preserve">188.77 L</t>
  </si>
  <si>
    <t xml:space="preserve">3.34 Km/L</t>
  </si>
  <si>
    <t xml:space="preserve">Avenida Adno Musser</t>
  </si>
  <si>
    <t xml:space="preserve">1162929.89</t>
  </si>
  <si>
    <t xml:space="preserve">JOSELITO MATTOS SANTOS - 69101531549, LEANDRO PINHEIRO DOS SANTOS - 02790495521</t>
  </si>
  <si>
    <t xml:space="preserve">399.09</t>
  </si>
  <si>
    <t xml:space="preserve">135.15 L</t>
  </si>
  <si>
    <t xml:space="preserve">2.95 Km/L</t>
  </si>
  <si>
    <t xml:space="preserve">1162930.14</t>
  </si>
  <si>
    <t xml:space="preserve">1163329.23</t>
  </si>
  <si>
    <t xml:space="preserve">JOSE MAURICIO SANTANA SANTOS - 97382388549, CLODOALDO DOS SANTOS PINHEIRO - 00832134570, FABIO NASCIMENTO DOS SANTOS - 94691576568</t>
  </si>
  <si>
    <t xml:space="preserve">413.26</t>
  </si>
  <si>
    <t xml:space="preserve">150.10 L</t>
  </si>
  <si>
    <t xml:space="preserve">2.75 Km/L</t>
  </si>
  <si>
    <t xml:space="preserve">1163742.49</t>
  </si>
  <si>
    <t xml:space="preserve">JOSE RAIMUNDO CARDOSO FILHO - 70889945500, Jose Raimundo dos Santos - 00335224563, IELDES DE JESUS SANTOS - 03179329505</t>
  </si>
  <si>
    <t xml:space="preserve">267.17</t>
  </si>
  <si>
    <t xml:space="preserve">100.82 L</t>
  </si>
  <si>
    <t xml:space="preserve">2.65 Km/L</t>
  </si>
  <si>
    <t xml:space="preserve">1164009.66</t>
  </si>
  <si>
    <t xml:space="preserve">OUU0345</t>
  </si>
  <si>
    <t xml:space="preserve">R7065</t>
  </si>
  <si>
    <t xml:space="preserve">RODRIGO DOS SANTOS - 02501564588, PAULO ROBERTO GARCIA DA SILVA - 05472412595, ED WILSON CABRAL DE JESUS - 57248133515</t>
  </si>
  <si>
    <t xml:space="preserve">111.46 L</t>
  </si>
  <si>
    <t xml:space="preserve">0.00 Km/L</t>
  </si>
  <si>
    <t xml:space="preserve">1218389.08</t>
  </si>
  <si>
    <t xml:space="preserve">RODRIGO DOS SANTOS - 02501564588, ANTONIO CARLOS DE JESUS ASSUNCAO - 88983145587, PAULO ROBERTO GARCIA DA SILVA - 05472412595, ED WILSON CABRAL DE JESUS - 57248133515</t>
  </si>
  <si>
    <t xml:space="preserve">0.01</t>
  </si>
  <si>
    <t xml:space="preserve">134.35 L</t>
  </si>
  <si>
    <t xml:space="preserve">1218389.09</t>
  </si>
  <si>
    <t xml:space="preserve">EDSON RIBEIRO BATISTA SANTOS - 03640303563, ED WILSON CABRAL DE JESUS - 57248133515</t>
  </si>
  <si>
    <t xml:space="preserve">30.45 L</t>
  </si>
  <si>
    <t xml:space="preserve">1218389.10</t>
  </si>
  <si>
    <t xml:space="preserve">112.92 L</t>
  </si>
  <si>
    <t xml:space="preserve">PAULO ROBERTO GARCIA DA SILVA - 05472412595, ED WILSON CABRAL DE JESUS - 57248133515</t>
  </si>
  <si>
    <t xml:space="preserve">109.86 L</t>
  </si>
  <si>
    <t xml:space="preserve">ED WILSON CABRAL DE JESUS - 57248133515</t>
  </si>
  <si>
    <t xml:space="preserve">61.77 L</t>
  </si>
  <si>
    <t xml:space="preserve">OUR3J54</t>
  </si>
  <si>
    <t xml:space="preserve">R7095</t>
  </si>
  <si>
    <t xml:space="preserve">RAFAEL DE JESUS BARRETO - 85830111500, ALEXSANDRO DOS SANTOS - 02439748501, TALES ANTONIO ALMEIDA ALVES JUNIOR - 09534524506</t>
  </si>
  <si>
    <t xml:space="preserve">254.79</t>
  </si>
  <si>
    <t xml:space="preserve">91.83 L</t>
  </si>
  <si>
    <t xml:space="preserve">2.77 Km/L</t>
  </si>
  <si>
    <t xml:space="preserve">1236477.15</t>
  </si>
  <si>
    <t xml:space="preserve">1236731.93</t>
  </si>
  <si>
    <t xml:space="preserve">JOVANDO SANTANA MOREIRA - 65889843591, TIAGO SILVA BASTOS - 02581506539</t>
  </si>
  <si>
    <t xml:space="preserve">342.33</t>
  </si>
  <si>
    <t xml:space="preserve">117.44 L</t>
  </si>
  <si>
    <t xml:space="preserve">1237074.26</t>
  </si>
  <si>
    <t xml:space="preserve">334.87</t>
  </si>
  <si>
    <t xml:space="preserve">122.82 L</t>
  </si>
  <si>
    <t xml:space="preserve">2.73 Km/L</t>
  </si>
  <si>
    <t xml:space="preserve">1237409.12</t>
  </si>
  <si>
    <t xml:space="preserve">Jose Raimundo dos Santos - 00335224563, TIAGO SILVA BASTOS - 02581506539</t>
  </si>
  <si>
    <t xml:space="preserve">181.53</t>
  </si>
  <si>
    <t xml:space="preserve">66.64 L</t>
  </si>
  <si>
    <t xml:space="preserve">2.72 Km/L</t>
  </si>
  <si>
    <t xml:space="preserve">1237590.65</t>
  </si>
  <si>
    <t xml:space="preserve">ALAN ANDRADE FERREIRA - 05243952508</t>
  </si>
  <si>
    <t xml:space="preserve">345.11</t>
  </si>
  <si>
    <t xml:space="preserve">121.10 L</t>
  </si>
  <si>
    <t xml:space="preserve">2.85 Km/L</t>
  </si>
  <si>
    <t xml:space="preserve">1237935.76</t>
  </si>
  <si>
    <t xml:space="preserve">RODRIGO DOS SANTOS - 02501564588, PAULO ROBERTO GARCIA DA SILVA - 05472412595, DULCELINO ALMEIDA DE JESUS - 88125386572</t>
  </si>
  <si>
    <t xml:space="preserve">351.16</t>
  </si>
  <si>
    <t xml:space="preserve">118.04 L</t>
  </si>
  <si>
    <t xml:space="preserve">2.98 Km/L</t>
  </si>
  <si>
    <t xml:space="preserve">1238286.91</t>
  </si>
  <si>
    <t xml:space="preserve">R7085</t>
  </si>
  <si>
    <t xml:space="preserve">ALESSANDRO DA SILVA SANTOS - 91300681500</t>
  </si>
  <si>
    <t xml:space="preserve">204.70</t>
  </si>
  <si>
    <t xml:space="preserve">75.19 L</t>
  </si>
  <si>
    <t xml:space="preserve">1199613.41</t>
  </si>
  <si>
    <t xml:space="preserve">1199818.11</t>
  </si>
  <si>
    <t xml:space="preserve">ALESSANDRO DA SILVA SANTOS - 91300681500, WEKSLEY SILVA DAS NEVES - 04346712584</t>
  </si>
  <si>
    <t xml:space="preserve">408.65</t>
  </si>
  <si>
    <t xml:space="preserve">148.46 L</t>
  </si>
  <si>
    <t xml:space="preserve">1200226.75</t>
  </si>
  <si>
    <t xml:space="preserve">408.68</t>
  </si>
  <si>
    <t xml:space="preserve">148.70 L</t>
  </si>
  <si>
    <t xml:space="preserve">1200635.43</t>
  </si>
  <si>
    <t xml:space="preserve">ALESSANDRO DA SILVA SANTOS - 91300681500, JEREMIAS DO SANTOS GALIZA - 82787654568</t>
  </si>
  <si>
    <t xml:space="preserve">407.69</t>
  </si>
  <si>
    <t xml:space="preserve">150.92 L</t>
  </si>
  <si>
    <t xml:space="preserve">2.70 Km/L</t>
  </si>
  <si>
    <t xml:space="preserve">1201043.12</t>
  </si>
  <si>
    <t xml:space="preserve">EDSON SOUZA DOS SANTOS - 82190178568, ALESSANDRO DA SILVA SANTOS - 91300681500</t>
  </si>
  <si>
    <t xml:space="preserve">386.77</t>
  </si>
  <si>
    <t xml:space="preserve">133.01 L</t>
  </si>
  <si>
    <t xml:space="preserve">1201429.89</t>
  </si>
  <si>
    <t xml:space="preserve">EDSON SOUZA DOS SANTOS - 82190178568</t>
  </si>
  <si>
    <t xml:space="preserve">216.71</t>
  </si>
  <si>
    <t xml:space="preserve">77.75 L</t>
  </si>
  <si>
    <t xml:space="preserve">2.79 Km/L</t>
  </si>
  <si>
    <t xml:space="preserve">1201646.60</t>
  </si>
  <si>
    <t xml:space="preserve">RODRIGO SANTOS DE ASSIS - 02614313580, DULCELINO ALMEIDA DE JESUS - 88125386572, OTO CLIMACO DE SANTANA - 42245079515</t>
  </si>
  <si>
    <t xml:space="preserve">288.55</t>
  </si>
  <si>
    <t xml:space="preserve">106.41 L</t>
  </si>
  <si>
    <t xml:space="preserve">1201935.14</t>
  </si>
  <si>
    <t xml:space="preserve">OUR8027</t>
  </si>
  <si>
    <t xml:space="preserve">R7115</t>
  </si>
  <si>
    <t xml:space="preserve">SANDRO ALVES DA CRUZ - 04772139524, OTO CLIMACO DE SANTANA - 42245079515, ELTON ALMEIDA DA SILVA - 92384471520</t>
  </si>
  <si>
    <t xml:space="preserve">361.86</t>
  </si>
  <si>
    <t xml:space="preserve">114.95 L</t>
  </si>
  <si>
    <t xml:space="preserve">3.15 Km/L</t>
  </si>
  <si>
    <t xml:space="preserve">1196637.34</t>
  </si>
  <si>
    <t xml:space="preserve">1196999.20</t>
  </si>
  <si>
    <t xml:space="preserve">RODRIGO SANTOS DE ASSIS - 02614313580, OTO CLIMACO DE SANTANA - 42245079515</t>
  </si>
  <si>
    <t xml:space="preserve">360.19</t>
  </si>
  <si>
    <t xml:space="preserve">115.31 L</t>
  </si>
  <si>
    <t xml:space="preserve">1197359.38</t>
  </si>
  <si>
    <t xml:space="preserve">OTO CLIMACO DE SANTANA - 42245079515, RICARDO DE JESUS LOPES - 04936290505, EDIMARCIO NASCIMENTO DOS SANTOS - 29380382839</t>
  </si>
  <si>
    <t xml:space="preserve">360.22</t>
  </si>
  <si>
    <t xml:space="preserve">117.94 L</t>
  </si>
  <si>
    <t xml:space="preserve">3.05 Km/L</t>
  </si>
  <si>
    <t xml:space="preserve">1197719.60</t>
  </si>
  <si>
    <t xml:space="preserve">360.09</t>
  </si>
  <si>
    <t xml:space="preserve">122.28 L</t>
  </si>
  <si>
    <t xml:space="preserve">1198079.69</t>
  </si>
  <si>
    <t xml:space="preserve">EDSON SOUZA DOS SANTOS - 82190178568, OTO CLIMACO DE SANTANA - 42245079515, MARCELO DA SILVA ALVES - 00660499541, Joao Evangelista dos Santos - 58586342572</t>
  </si>
  <si>
    <t xml:space="preserve">178.24</t>
  </si>
  <si>
    <t xml:space="preserve">58.13 L</t>
  </si>
  <si>
    <t xml:space="preserve">3.07 Km/L</t>
  </si>
  <si>
    <t xml:space="preserve">1198079.70</t>
  </si>
  <si>
    <t xml:space="preserve">1198257.94</t>
  </si>
  <si>
    <t xml:space="preserve">CARLOS BRITTO PIZZANI - 93531583549</t>
  </si>
  <si>
    <t xml:space="preserve">0.10</t>
  </si>
  <si>
    <t xml:space="preserve">0.81 L</t>
  </si>
  <si>
    <t xml:space="preserve">0.12 Km/L</t>
  </si>
  <si>
    <t xml:space="preserve">1198258.04</t>
  </si>
  <si>
    <t xml:space="preserve">JOK7724</t>
  </si>
  <si>
    <t xml:space="preserve">R6435</t>
  </si>
  <si>
    <t xml:space="preserve">94.74</t>
  </si>
  <si>
    <t xml:space="preserve">21.89 L</t>
  </si>
  <si>
    <t xml:space="preserve">4.33 Km/L</t>
  </si>
  <si>
    <t xml:space="preserve">393384.55</t>
  </si>
  <si>
    <t xml:space="preserve">393479.29</t>
  </si>
  <si>
    <t xml:space="preserve">40.20</t>
  </si>
  <si>
    <t xml:space="preserve">11.17 L</t>
  </si>
  <si>
    <t xml:space="preserve">3.60 Km/L</t>
  </si>
  <si>
    <t xml:space="preserve">393519.49</t>
  </si>
  <si>
    <t xml:space="preserve">110.99</t>
  </si>
  <si>
    <t xml:space="preserve">27.72 L</t>
  </si>
  <si>
    <t xml:space="preserve">4.00 Km/L</t>
  </si>
  <si>
    <t xml:space="preserve">393630.48</t>
  </si>
  <si>
    <t xml:space="preserve">60.56</t>
  </si>
  <si>
    <t xml:space="preserve">16.14 L</t>
  </si>
  <si>
    <t xml:space="preserve">3.75 Km/L</t>
  </si>
  <si>
    <t xml:space="preserve">393691.04</t>
  </si>
  <si>
    <t xml:space="preserve">LEONARDO CERQUEIRA MEIRELES - 02116699541, CARLISSON MESSIAS DE JESUS - 04199062580</t>
  </si>
  <si>
    <t xml:space="preserve">235.43</t>
  </si>
  <si>
    <t xml:space="preserve">58.79 L</t>
  </si>
  <si>
    <t xml:space="preserve">393926.47</t>
  </si>
  <si>
    <t xml:space="preserve">LEONARDO CERQUEIRA MEIRELES - 02116699541</t>
  </si>
  <si>
    <t xml:space="preserve">82.15</t>
  </si>
  <si>
    <t xml:space="preserve">19.10 L</t>
  </si>
  <si>
    <t xml:space="preserve">4.30 Km/L</t>
  </si>
  <si>
    <t xml:space="preserve">394008.61</t>
  </si>
  <si>
    <t xml:space="preserve">DULCELINO ALMEIDA DE JESUS - 88125386572, SAMUEL DOS SANTOS ROCHA - 37092289807, LAERTE CONCEICAO CANDIDO - 90240197615, RENATO MATIAS DE SOUZA - 06054979663</t>
  </si>
  <si>
    <t xml:space="preserve">136.90</t>
  </si>
  <si>
    <t xml:space="preserve">35.83 L</t>
  </si>
  <si>
    <t xml:space="preserve">3.82 Km/L</t>
  </si>
  <si>
    <t xml:space="preserve">Rodovia Jorge Amado</t>
  </si>
  <si>
    <t xml:space="preserve">394145.51</t>
  </si>
  <si>
    <t xml:space="preserve">NYH3717</t>
  </si>
  <si>
    <t xml:space="preserve">R6295</t>
  </si>
  <si>
    <t xml:space="preserve">142.89</t>
  </si>
  <si>
    <t xml:space="preserve">Rua Antônio Amorim</t>
  </si>
  <si>
    <t xml:space="preserve">Avenida Vitória da Conquista</t>
  </si>
  <si>
    <t xml:space="preserve">801703.42</t>
  </si>
  <si>
    <t xml:space="preserve">801846.31</t>
  </si>
  <si>
    <t xml:space="preserve">142.78</t>
  </si>
  <si>
    <t xml:space="preserve">801989.09</t>
  </si>
  <si>
    <t xml:space="preserve">RUBEM JOSE PEREIRA SOUZA - 01425689531, MOISES VIEIRA DOS SANTOS - 05110430586</t>
  </si>
  <si>
    <t xml:space="preserve">295.85</t>
  </si>
  <si>
    <t xml:space="preserve">802284.93</t>
  </si>
  <si>
    <t xml:space="preserve">JABES DO CARMO SILVA - 00932510507</t>
  </si>
  <si>
    <t xml:space="preserve">506.02</t>
  </si>
  <si>
    <t xml:space="preserve">802790.95</t>
  </si>
  <si>
    <t xml:space="preserve">NYH5209</t>
  </si>
  <si>
    <t xml:space="preserve">R6305</t>
  </si>
  <si>
    <t xml:space="preserve">FAGNER SILVA DOS ANJOS - 05344151560</t>
  </si>
  <si>
    <t xml:space="preserve">6.78</t>
  </si>
  <si>
    <t xml:space="preserve">Rodovia Deputada Virgínia Hagge</t>
  </si>
  <si>
    <t xml:space="preserve">676666.10</t>
  </si>
  <si>
    <t xml:space="preserve">676672.88</t>
  </si>
  <si>
    <t xml:space="preserve">FAGNER SILVA DOS ANJOS - 05344151560, LEONARDO DA SILVA SALES - 37518532867</t>
  </si>
  <si>
    <t xml:space="preserve">220.23</t>
  </si>
  <si>
    <t xml:space="preserve">676893.11</t>
  </si>
  <si>
    <t xml:space="preserve">Sergio Das Merces Santana - 02804363511, LEONARDO DA SILVA SALES - 37518532867</t>
  </si>
  <si>
    <t xml:space="preserve">313.44</t>
  </si>
  <si>
    <t xml:space="preserve">677206.54</t>
  </si>
  <si>
    <t xml:space="preserve">JOLIMAR SILVA DE SOUZA - 00497900564, ROSENILDO NERY DOS SANTOS - 67827942504</t>
  </si>
  <si>
    <t xml:space="preserve">313.60</t>
  </si>
  <si>
    <t xml:space="preserve">677520.14</t>
  </si>
  <si>
    <t xml:space="preserve">52.29</t>
  </si>
  <si>
    <t xml:space="preserve">Avenida Goiás</t>
  </si>
  <si>
    <t xml:space="preserve">677572.43</t>
  </si>
  <si>
    <t xml:space="preserve">73.26</t>
  </si>
  <si>
    <t xml:space="preserve">677645.80</t>
  </si>
  <si>
    <t xml:space="preserve">ROSENILDO NERY DOS SANTOS - 67827942504</t>
  </si>
  <si>
    <t xml:space="preserve">312.16</t>
  </si>
  <si>
    <t xml:space="preserve">677957.96</t>
  </si>
  <si>
    <t xml:space="preserve">NYH5041</t>
  </si>
  <si>
    <t xml:space="preserve">R6315</t>
  </si>
  <si>
    <t xml:space="preserve">837489.43</t>
  </si>
  <si>
    <t xml:space="preserve">837795.45</t>
  </si>
  <si>
    <t xml:space="preserve">EDVALDO RIBEIRO SANTANA - 86561731549</t>
  </si>
  <si>
    <t xml:space="preserve">226.56</t>
  </si>
  <si>
    <t xml:space="preserve">838022.01</t>
  </si>
  <si>
    <t xml:space="preserve">LEONARDO DA SILVA SALES - 37518532867</t>
  </si>
  <si>
    <t xml:space="preserve">225.54</t>
  </si>
  <si>
    <t xml:space="preserve">838247.55</t>
  </si>
  <si>
    <t xml:space="preserve">131.37</t>
  </si>
  <si>
    <t xml:space="preserve">838378.92</t>
  </si>
  <si>
    <t xml:space="preserve">MOISES VIEIRA DOS SANTOS - 05110430586</t>
  </si>
  <si>
    <t xml:space="preserve">193.16</t>
  </si>
  <si>
    <t xml:space="preserve">838572.08</t>
  </si>
  <si>
    <t xml:space="preserve">83.68</t>
  </si>
  <si>
    <t xml:space="preserve">838655.76</t>
  </si>
  <si>
    <t xml:space="preserve">MOISES VIEIRA DOS SANTOS - 05110430586, Moíses Vieira dos santos - 05110430586</t>
  </si>
  <si>
    <t xml:space="preserve">90.80</t>
  </si>
  <si>
    <t xml:space="preserve">838746.56</t>
  </si>
  <si>
    <t xml:space="preserve">NZO0626</t>
  </si>
  <si>
    <t xml:space="preserve">R6715</t>
  </si>
  <si>
    <t xml:space="preserve">LEONARDO DA SILVA SALES - 37518532867, MOISES VIEIRA DOS SANTOS - 05110430586</t>
  </si>
  <si>
    <t xml:space="preserve">190.89</t>
  </si>
  <si>
    <t xml:space="preserve">1174708.22</t>
  </si>
  <si>
    <t xml:space="preserve">1174899.11</t>
  </si>
  <si>
    <t xml:space="preserve">ROSENILDO NERY DOS SANTOS - 67827942504, LEONARDO DA SILVA SALES - 37518532867</t>
  </si>
  <si>
    <t xml:space="preserve">260.28</t>
  </si>
  <si>
    <t xml:space="preserve">Avenida Cleriston Andrade</t>
  </si>
  <si>
    <t xml:space="preserve">1175159.39</t>
  </si>
  <si>
    <t xml:space="preserve">219.57</t>
  </si>
  <si>
    <t xml:space="preserve">Rua Fernando Barcelos</t>
  </si>
  <si>
    <t xml:space="preserve">1175378.96</t>
  </si>
  <si>
    <t xml:space="preserve">Moíses Vieira dos santos - 05110430586</t>
  </si>
  <si>
    <t xml:space="preserve">63.95</t>
  </si>
  <si>
    <t xml:space="preserve">1175442.91</t>
  </si>
  <si>
    <t xml:space="preserve">268.29</t>
  </si>
  <si>
    <t xml:space="preserve">1175711.19</t>
  </si>
  <si>
    <t xml:space="preserve">57.84</t>
  </si>
  <si>
    <t xml:space="preserve">1175769.03</t>
  </si>
  <si>
    <t xml:space="preserve">231.06</t>
  </si>
  <si>
    <t xml:space="preserve">1176000.09</t>
  </si>
  <si>
    <t xml:space="preserve">NZO6533</t>
  </si>
  <si>
    <t xml:space="preserve">R6725</t>
  </si>
  <si>
    <t xml:space="preserve">109.90</t>
  </si>
  <si>
    <t xml:space="preserve">Rua Radial Norte E</t>
  </si>
  <si>
    <t xml:space="preserve">493143.66</t>
  </si>
  <si>
    <t xml:space="preserve">493253.56</t>
  </si>
  <si>
    <t xml:space="preserve">146.91</t>
  </si>
  <si>
    <t xml:space="preserve">493400.46</t>
  </si>
  <si>
    <t xml:space="preserve">146.88</t>
  </si>
  <si>
    <t xml:space="preserve">493547.34</t>
  </si>
  <si>
    <t xml:space="preserve">157.71</t>
  </si>
  <si>
    <t xml:space="preserve">493705.05</t>
  </si>
  <si>
    <t xml:space="preserve">244.89</t>
  </si>
  <si>
    <t xml:space="preserve">493949.94</t>
  </si>
  <si>
    <t xml:space="preserve">110.10</t>
  </si>
  <si>
    <t xml:space="preserve">494060.04</t>
  </si>
  <si>
    <t xml:space="preserve">NZO1140</t>
  </si>
  <si>
    <t xml:space="preserve">R6735</t>
  </si>
  <si>
    <t xml:space="preserve">EDVALDO RIBEIRO SANTANA - 86561731549, LEONARDO DA SILVA SALES - 37518532867</t>
  </si>
  <si>
    <t xml:space="preserve">255.59</t>
  </si>
  <si>
    <t xml:space="preserve">1367603.99</t>
  </si>
  <si>
    <t xml:space="preserve">1367859.58</t>
  </si>
  <si>
    <t xml:space="preserve">ANTONIEL SILVA NOVAIS - 16687097830, FAGNER SILVA DOS ANJOS - 05344151560, EDVALDO RIBEIRO SANTANA - 86561731549, JOSE EDUARDO ROCHA DO NASCIMENTO - 41139631500</t>
  </si>
  <si>
    <t xml:space="preserve">124.03</t>
  </si>
  <si>
    <t xml:space="preserve">1367983.61</t>
  </si>
  <si>
    <t xml:space="preserve">216.69</t>
  </si>
  <si>
    <t xml:space="preserve">1368200.30</t>
  </si>
  <si>
    <t xml:space="preserve">216.67</t>
  </si>
  <si>
    <t xml:space="preserve">1368416.97</t>
  </si>
  <si>
    <t xml:space="preserve">216.22</t>
  </si>
  <si>
    <t xml:space="preserve">1368633.19</t>
  </si>
  <si>
    <t xml:space="preserve">216.81</t>
  </si>
  <si>
    <t xml:space="preserve">1368850.00</t>
  </si>
  <si>
    <t xml:space="preserve">NZO1585</t>
  </si>
  <si>
    <t xml:space="preserve">R6745</t>
  </si>
  <si>
    <t xml:space="preserve">215.90</t>
  </si>
  <si>
    <t xml:space="preserve">546068.81</t>
  </si>
  <si>
    <t xml:space="preserve">546284.70</t>
  </si>
  <si>
    <t xml:space="preserve">268.75</t>
  </si>
  <si>
    <t xml:space="preserve">546553.46</t>
  </si>
  <si>
    <t xml:space="preserve">119.75</t>
  </si>
  <si>
    <t xml:space="preserve">546673.20</t>
  </si>
  <si>
    <t xml:space="preserve">268.62</t>
  </si>
  <si>
    <t xml:space="preserve">546941.83</t>
  </si>
  <si>
    <t xml:space="preserve">213.47</t>
  </si>
  <si>
    <t xml:space="preserve">547155.30</t>
  </si>
  <si>
    <t xml:space="preserve">214.54</t>
  </si>
  <si>
    <t xml:space="preserve">547369.84</t>
  </si>
  <si>
    <t xml:space="preserve">NZO2423</t>
  </si>
  <si>
    <t xml:space="preserve">R6775</t>
  </si>
  <si>
    <t xml:space="preserve">AROLDO DE JESUS RIBEIRO - 82978158549, JOVANDO SANTANA MOREIRA - 65889843591, MARCEL DE CARVALHO SILVA - 97922064500, JOSE CRISTIANO ALVES FREITAS - 03635098523</t>
  </si>
  <si>
    <t xml:space="preserve">322.68</t>
  </si>
  <si>
    <t xml:space="preserve">1418110.15</t>
  </si>
  <si>
    <t xml:space="preserve">1418432.82</t>
  </si>
  <si>
    <t xml:space="preserve">JOVANDO SANTANA MOREIRA - 65889843591, BENIVALDO ALVES RIGAUD NETO - 04482063584, MARCEL DE CARVALHO SILVA - 97922064500, CARLOS EDUARDO BRITO DE ARAUJO - 51348047534</t>
  </si>
  <si>
    <t xml:space="preserve">323.13</t>
  </si>
  <si>
    <t xml:space="preserve">1418755.95</t>
  </si>
  <si>
    <t xml:space="preserve">JORGE LIMA DOS SANTOS - 03603667590, Jose Raimundo dos Santos - 00335224563, CLEBER FARIAS DOS REIS - 71858318572</t>
  </si>
  <si>
    <t xml:space="preserve">321.72</t>
  </si>
  <si>
    <t xml:space="preserve">1419077.68</t>
  </si>
  <si>
    <t xml:space="preserve">JOVANDO SANTANA MOREIRA - 65889843591, BENIVALDO ALVES RIGAUD NETO - 04482063584, JAILTON SA DOS SANTOS - 82191026591, JOSE CRISTIANO ALVES FREITAS - 03635098523</t>
  </si>
  <si>
    <t xml:space="preserve">218.52</t>
  </si>
  <si>
    <t xml:space="preserve">1419296.19</t>
  </si>
  <si>
    <t xml:space="preserve">NZO4525</t>
  </si>
  <si>
    <t xml:space="preserve">R6755</t>
  </si>
  <si>
    <t xml:space="preserve">VALDINES OLIVEIRA SOUSA - 31021000582, JULIO SOUZA REIS - 53008545572</t>
  </si>
  <si>
    <t xml:space="preserve">206.87</t>
  </si>
  <si>
    <t xml:space="preserve">64.92 L</t>
  </si>
  <si>
    <t xml:space="preserve">Travessa Jonas Rodrigues</t>
  </si>
  <si>
    <t xml:space="preserve">1587565.45</t>
  </si>
  <si>
    <t xml:space="preserve">1587772.31</t>
  </si>
  <si>
    <t xml:space="preserve">EDUARDO OLIVEIRA SAMPAIO - 06996074509, AILSON BORGES CORDEIRO - 01942130562, JULIO SOUZA REIS - 53008545572</t>
  </si>
  <si>
    <t xml:space="preserve">465.57</t>
  </si>
  <si>
    <t xml:space="preserve">159.65 L</t>
  </si>
  <si>
    <t xml:space="preserve">2.92 Km/L</t>
  </si>
  <si>
    <t xml:space="preserve">Avenida Oscar Cardoso</t>
  </si>
  <si>
    <t xml:space="preserve">BA-262</t>
  </si>
  <si>
    <t xml:space="preserve">1588238.34</t>
  </si>
  <si>
    <t xml:space="preserve">AILSON BORGES CORDEIRO - 01942130562</t>
  </si>
  <si>
    <t xml:space="preserve">277.91</t>
  </si>
  <si>
    <t xml:space="preserve">83.00 L</t>
  </si>
  <si>
    <t xml:space="preserve">3.35 Km/L</t>
  </si>
  <si>
    <t xml:space="preserve">Avenida Zeca Miranda</t>
  </si>
  <si>
    <t xml:space="preserve">1588239.73</t>
  </si>
  <si>
    <t xml:space="preserve">1588517.64</t>
  </si>
  <si>
    <t xml:space="preserve">0.91 L</t>
  </si>
  <si>
    <t xml:space="preserve">NZO8763</t>
  </si>
  <si>
    <t xml:space="preserve">R6805</t>
  </si>
  <si>
    <t xml:space="preserve">VALMIR JOSE DOS SANTOS - 42008476553, Anderson Ferreira Da Silva  - 01452873518, JOSE CRISTIANO ALVES FREITAS - 03635098523</t>
  </si>
  <si>
    <t xml:space="preserve">317.05</t>
  </si>
  <si>
    <t xml:space="preserve">1292817.12</t>
  </si>
  <si>
    <t xml:space="preserve">1293134.17</t>
  </si>
  <si>
    <t xml:space="preserve">DANILO DA SILVA SANTOS - 02202422595, Jose Raimundo dos Santos - 00335224563, JUCIMAR DE JESUS SANTOS - 03136869559, JEREMIAS DO SANTOS GALIZA - 82787654568, CLEBER FARIAS DOS REIS - 71858318572, MICHAEL MARTINS DOS SANTOS - 85796744500, BENIVALDO ALVES RIGAUD NETO - 04482063584</t>
  </si>
  <si>
    <t xml:space="preserve">262.49</t>
  </si>
  <si>
    <t xml:space="preserve">Avenida 23 de Abril</t>
  </si>
  <si>
    <t xml:space="preserve">1293396.66</t>
  </si>
  <si>
    <t xml:space="preserve">FRANKLIN PEREIRA CARDOSO - 02140251520, JUCIMAR DE JESUS SANTOS - 03136869559, VALDINES OLIVEIRA SOUSA - 31021000582</t>
  </si>
  <si>
    <t xml:space="preserve">241.95</t>
  </si>
  <si>
    <t xml:space="preserve">Avenida Lomanto Júnior</t>
  </si>
  <si>
    <t xml:space="preserve">1293638.61</t>
  </si>
  <si>
    <t xml:space="preserve">VALDINES OLIVEIRA SOUSA - 31021000582</t>
  </si>
  <si>
    <t xml:space="preserve">402.65</t>
  </si>
  <si>
    <t xml:space="preserve">Travessa Armando Freire</t>
  </si>
  <si>
    <t xml:space="preserve">1294041.25</t>
  </si>
  <si>
    <t xml:space="preserve">401.29</t>
  </si>
  <si>
    <t xml:space="preserve">1294442.54</t>
  </si>
  <si>
    <t xml:space="preserve">JOSE MAICON ALMEIDA DOS SANTOS - 01355426502, JULIO SOUZA REIS - 53008545572</t>
  </si>
  <si>
    <t xml:space="preserve">201.28</t>
  </si>
  <si>
    <t xml:space="preserve">1294643.82</t>
  </si>
  <si>
    <t xml:space="preserve">Jose Raimundo dos Santos - 00335224563, VALMIR JOSE DOS SANTOS - 42008476553, VALDINES OLIVEIRA SOUSA - 31021000582, LUIS SERGIO NUNES NASCIMENTO - 54942551587, JOSE CRISTIANO ALVES FREITAS - 03635098523</t>
  </si>
  <si>
    <t xml:space="preserve">312.44</t>
  </si>
  <si>
    <t xml:space="preserve">1294956.25</t>
  </si>
  <si>
    <t xml:space="preserve">NZO9187</t>
  </si>
  <si>
    <t xml:space="preserve">R6815</t>
  </si>
  <si>
    <t xml:space="preserve">JOSE RIBEIRO DOS SANTOS - 42737745500</t>
  </si>
  <si>
    <t xml:space="preserve">369.91</t>
  </si>
  <si>
    <t xml:space="preserve">Rua 8 de Dezembro</t>
  </si>
  <si>
    <t xml:space="preserve">1314009.06</t>
  </si>
  <si>
    <t xml:space="preserve">1314378.97</t>
  </si>
  <si>
    <t xml:space="preserve">369.16</t>
  </si>
  <si>
    <t xml:space="preserve">1314748.13</t>
  </si>
  <si>
    <t xml:space="preserve">369.50</t>
  </si>
  <si>
    <t xml:space="preserve">1315117.62</t>
  </si>
  <si>
    <t xml:space="preserve">ANDERSON SANTOS DE OLIVEIRA - 05561156519, JOSE RIBEIRO DOS SANTOS - 42737745500</t>
  </si>
  <si>
    <t xml:space="preserve">367.90</t>
  </si>
  <si>
    <t xml:space="preserve">1315485.52</t>
  </si>
  <si>
    <t xml:space="preserve">JOSE RIBEIRO DOS SANTOS - 42737745500, JOILSON SANTANA DAS VIRGENS - 01124920536, CLARENCIO LOPES DA CRUZ SANTOS - 01704810507</t>
  </si>
  <si>
    <t xml:space="preserve">273.61</t>
  </si>
  <si>
    <t xml:space="preserve">Rua Doutor João Nascimento</t>
  </si>
  <si>
    <t xml:space="preserve">1315759.13</t>
  </si>
  <si>
    <t xml:space="preserve">CLARENCIO LOPES DA CRUZ SANTOS - 01704810507</t>
  </si>
  <si>
    <t xml:space="preserve">278.85</t>
  </si>
  <si>
    <t xml:space="preserve">1316037.98</t>
  </si>
  <si>
    <t xml:space="preserve">CLARENCIO LOPES DA CRUZ SANTOS - 01704810507, ABILIO SANTOS COUTINHO - 92884539549</t>
  </si>
  <si>
    <t xml:space="preserve">368.55</t>
  </si>
  <si>
    <t xml:space="preserve">1316406.53</t>
  </si>
  <si>
    <t xml:space="preserve">NZO0576</t>
  </si>
  <si>
    <t xml:space="preserve">R6825</t>
  </si>
  <si>
    <t xml:space="preserve">JOSE NEILTON DOS SANTOS - 50982354568, OSNILDO CLEMENTINO ROCHA DOS - 87948125515, JOSE ARTHUR SANTOS QUEIROZ - 06074661545</t>
  </si>
  <si>
    <t xml:space="preserve">357.75</t>
  </si>
  <si>
    <t xml:space="preserve">Rua João Paulo II</t>
  </si>
  <si>
    <t xml:space="preserve">1349703.06</t>
  </si>
  <si>
    <t xml:space="preserve">1350060.81</t>
  </si>
  <si>
    <t xml:space="preserve">JOSE NEILTON DOS SANTOS - 50982354568, JOSE ARTHUR SANTOS QUEIROZ - 06074661545</t>
  </si>
  <si>
    <t xml:space="preserve">371.59</t>
  </si>
  <si>
    <t xml:space="preserve">1350432.40</t>
  </si>
  <si>
    <t xml:space="preserve">371.49</t>
  </si>
  <si>
    <t xml:space="preserve">1350803.89</t>
  </si>
  <si>
    <t xml:space="preserve">370.32</t>
  </si>
  <si>
    <t xml:space="preserve">1351174.20</t>
  </si>
  <si>
    <t xml:space="preserve">JOSE ARTHUR SANTOS QUEIROZ - 06074661545, PAULO SERGIO MENEZES SANTOS - 01555946569</t>
  </si>
  <si>
    <t xml:space="preserve">370.72</t>
  </si>
  <si>
    <t xml:space="preserve">BA-120</t>
  </si>
  <si>
    <t xml:space="preserve">1351544.92</t>
  </si>
  <si>
    <t xml:space="preserve">JOSE NEILTON DOS SANTOS - 50982354568</t>
  </si>
  <si>
    <t xml:space="preserve">216.55</t>
  </si>
  <si>
    <t xml:space="preserve">1351761.47</t>
  </si>
  <si>
    <t xml:space="preserve">OSNILDO CLEMENTINO ROCHA DOS - 87948125515, PAULO SERGIO MENEZES SANTOS - 01555946569</t>
  </si>
  <si>
    <t xml:space="preserve">357.78</t>
  </si>
  <si>
    <t xml:space="preserve">1352119.25</t>
  </si>
  <si>
    <t xml:space="preserve">NZR7728</t>
  </si>
  <si>
    <t xml:space="preserve">R6785</t>
  </si>
  <si>
    <t xml:space="preserve">1247317.65</t>
  </si>
  <si>
    <t xml:space="preserve">1247317.66</t>
  </si>
  <si>
    <t xml:space="preserve">JOSELITO MATTOS SANTOS - 69101531549</t>
  </si>
  <si>
    <t xml:space="preserve">ANGELO MARCIO RODRIGUES NOVAES - 00538319500, LUCIANO BATISTA LEITE - 52977080520</t>
  </si>
  <si>
    <t xml:space="preserve">Rua Antônio José de Souza</t>
  </si>
  <si>
    <t xml:space="preserve">GILDEON OLIVEIRA DE SOUZA - 18269010510, ANGELO MARCIO RODRIGUES NOVAES - 00538319500</t>
  </si>
  <si>
    <t xml:space="preserve">IRAILDO PAULINO DOS SANTOS - 47334878515</t>
  </si>
  <si>
    <t xml:space="preserve">275.74</t>
  </si>
  <si>
    <t xml:space="preserve">1247593.39</t>
  </si>
  <si>
    <t xml:space="preserve">NZQ2847</t>
  </si>
  <si>
    <t xml:space="preserve">R6795</t>
  </si>
  <si>
    <t xml:space="preserve">Everaldo Rosa da Paz - 02329709552, RONAN BOLSONI - 67427227549</t>
  </si>
  <si>
    <t xml:space="preserve">546.87</t>
  </si>
  <si>
    <t xml:space="preserve">171.66 L</t>
  </si>
  <si>
    <t xml:space="preserve">Rodovia Santos Dumont</t>
  </si>
  <si>
    <t xml:space="preserve">1182438.55</t>
  </si>
  <si>
    <t xml:space="preserve">1182985.41</t>
  </si>
  <si>
    <t xml:space="preserve">RONAN BOLSONI - 67427227549</t>
  </si>
  <si>
    <t xml:space="preserve">297.95</t>
  </si>
  <si>
    <t xml:space="preserve">92.91 L</t>
  </si>
  <si>
    <t xml:space="preserve">3.21 Km/L</t>
  </si>
  <si>
    <t xml:space="preserve">1183283.36</t>
  </si>
  <si>
    <t xml:space="preserve">HELIO RIBEIRO DOS SANTOS - 03218756561</t>
  </si>
  <si>
    <t xml:space="preserve">180.67</t>
  </si>
  <si>
    <t xml:space="preserve">55.26 L</t>
  </si>
  <si>
    <t xml:space="preserve">3.27 Km/L</t>
  </si>
  <si>
    <t xml:space="preserve">Rua A</t>
  </si>
  <si>
    <t xml:space="preserve">1183283.37</t>
  </si>
  <si>
    <t xml:space="preserve">1183464.03</t>
  </si>
  <si>
    <t xml:space="preserve">ADEMILSON MEDINA DE SOUZA - 05410321600</t>
  </si>
  <si>
    <t xml:space="preserve">333.24</t>
  </si>
  <si>
    <t xml:space="preserve">112.20 L</t>
  </si>
  <si>
    <t xml:space="preserve">2.97 Km/L</t>
  </si>
  <si>
    <t xml:space="preserve">1ª Travessa Professor Damião Vieira</t>
  </si>
  <si>
    <t xml:space="preserve">1183797.27</t>
  </si>
  <si>
    <t xml:space="preserve">HELIO RIBEIRO DOS SANTOS - 03218756561, MAX ANTONIO ANDRADE SILVA - 04681530557, AECIO ANJOS FREITAS - 03250266531</t>
  </si>
  <si>
    <t xml:space="preserve">388.49</t>
  </si>
  <si>
    <t xml:space="preserve">128.06 L</t>
  </si>
  <si>
    <t xml:space="preserve">3.03 Km/L</t>
  </si>
  <si>
    <t xml:space="preserve">Rua A (Dt Industrial)</t>
  </si>
  <si>
    <t xml:space="preserve">1184185.76</t>
  </si>
  <si>
    <t xml:space="preserve">ADRIANO DOS SANTOS FREITAS - 00441842550, Jose Raimundo dos Santos - 00335224563, SANDRO GOMES CARDOSO - 46985719520, FABIANO REIS DOS SANTOS - 06063406530</t>
  </si>
  <si>
    <t xml:space="preserve">367.95</t>
  </si>
  <si>
    <t xml:space="preserve">131.87 L</t>
  </si>
  <si>
    <t xml:space="preserve">Avenida Júlio José Rodrigues</t>
  </si>
  <si>
    <t xml:space="preserve">1184553.70</t>
  </si>
  <si>
    <t xml:space="preserve">GABRIEL LOPES NOGUEIRA - 02773195523</t>
  </si>
  <si>
    <t xml:space="preserve">506.99</t>
  </si>
  <si>
    <t xml:space="preserve">171.24 L</t>
  </si>
  <si>
    <t xml:space="preserve">Vila Santana</t>
  </si>
  <si>
    <t xml:space="preserve">1185060.69</t>
  </si>
  <si>
    <t xml:space="preserve">OUO0218</t>
  </si>
  <si>
    <t xml:space="preserve">R7045</t>
  </si>
  <si>
    <t xml:space="preserve">LEANDRO RAMOS JORGE - 05558432543, VANILSON MARQUES DE SOUZA - 00300572565</t>
  </si>
  <si>
    <t xml:space="preserve">154.90 L</t>
  </si>
  <si>
    <t xml:space="preserve">Rua Athanasio da Silva Neto</t>
  </si>
  <si>
    <t xml:space="preserve">1255171.16</t>
  </si>
  <si>
    <t xml:space="preserve">ANTONIO CARLOS DE JESUS ASSUNCAO - 88983145587, ADAILTON DA SILVA SANTOS - 01609731557</t>
  </si>
  <si>
    <t xml:space="preserve">108.00 L</t>
  </si>
  <si>
    <t xml:space="preserve">VANILSON MARQUES DE SOUZA - 00300572565</t>
  </si>
  <si>
    <t xml:space="preserve">52.43 L</t>
  </si>
  <si>
    <t xml:space="preserve">MARDEN  DA SILVA SANTOS - 02259736505, VANILSON MARQUES DE SOUZA - 00300572565</t>
  </si>
  <si>
    <t xml:space="preserve">152.35 L</t>
  </si>
  <si>
    <t xml:space="preserve">DERINALDO BATISTA DOS SANTOS - 29942550810, Anderson Felipe longo Santos - 06877849566</t>
  </si>
  <si>
    <t xml:space="preserve">144.90 L</t>
  </si>
  <si>
    <t xml:space="preserve">ARISTON TRINDADE DE SOUZA - 80943322553, DERINALDO BATISTA DOS SANTOS - 29942550810, Gedeon Silva Santos - 89737954572</t>
  </si>
  <si>
    <t xml:space="preserve">142.29 L</t>
  </si>
  <si>
    <t xml:space="preserve">ADRIANO DOS SANTOS FREITAS - 00441842550</t>
  </si>
  <si>
    <t xml:space="preserve">101.63 L</t>
  </si>
  <si>
    <t xml:space="preserve">OUO3179</t>
  </si>
  <si>
    <t xml:space="preserve">R7055</t>
  </si>
  <si>
    <t xml:space="preserve">ADRIANO DOS SANTOS FREITAS - 00441842550, LUCIANO BATISTA LEITE - 52977080520, LEONARDO ALCANTARA MASCARENHAS - 03138174566</t>
  </si>
  <si>
    <t xml:space="preserve">725.76</t>
  </si>
  <si>
    <t xml:space="preserve">248.99 L</t>
  </si>
  <si>
    <t xml:space="preserve">Rua Vinte e Oito</t>
  </si>
  <si>
    <t xml:space="preserve">1214227.75</t>
  </si>
  <si>
    <t xml:space="preserve">1214953.51</t>
  </si>
  <si>
    <t xml:space="preserve">288.87</t>
  </si>
  <si>
    <t xml:space="preserve">90.17 L</t>
  </si>
  <si>
    <t xml:space="preserve">1215242.38</t>
  </si>
  <si>
    <t xml:space="preserve">LUCIANO BATISTA LEITE - 52977080520, LEONARDO ALCANTARA MASCARENHAS - 03138174566</t>
  </si>
  <si>
    <t xml:space="preserve">570.97</t>
  </si>
  <si>
    <t xml:space="preserve">186.73 L</t>
  </si>
  <si>
    <t xml:space="preserve">3.06 Km/L</t>
  </si>
  <si>
    <t xml:space="preserve">1215813.35</t>
  </si>
  <si>
    <t xml:space="preserve">LEONARDO CERQUEIRA MEIRELES - 02116699541, LEONARDO ALCANTARA MASCARENHAS - 03138174566</t>
  </si>
  <si>
    <t xml:space="preserve">42.35</t>
  </si>
  <si>
    <t xml:space="preserve">16.01 L</t>
  </si>
  <si>
    <t xml:space="preserve">1215814.14</t>
  </si>
  <si>
    <t xml:space="preserve">1215856.49</t>
  </si>
  <si>
    <t xml:space="preserve">0.21</t>
  </si>
  <si>
    <t xml:space="preserve">0.16 L</t>
  </si>
  <si>
    <t xml:space="preserve">1.32 Km/L</t>
  </si>
  <si>
    <t xml:space="preserve">1215856.70</t>
  </si>
  <si>
    <t xml:space="preserve">OZM4852</t>
  </si>
  <si>
    <t xml:space="preserve">R7175</t>
  </si>
  <si>
    <t xml:space="preserve">CHRISTIAN DA TRINDADE MATOS - 06485167501, MARDEN  DA SILVA SANTOS - 02259736505, IRAILDO PAULINO DOS SANTOS - 47334878515, ARENILTON ALVES OLIVEIRA - 78947332534</t>
  </si>
  <si>
    <t xml:space="preserve">554.12</t>
  </si>
  <si>
    <t xml:space="preserve">166.54 L</t>
  </si>
  <si>
    <t xml:space="preserve">3.33 Km/L</t>
  </si>
  <si>
    <t xml:space="preserve">1307461.02</t>
  </si>
  <si>
    <t xml:space="preserve">1308015.14</t>
  </si>
  <si>
    <t xml:space="preserve">JOSE RICARDO DE JESUS - 02887829505, IRAILDO PAULINO DOS SANTOS - 47334878515</t>
  </si>
  <si>
    <t xml:space="preserve">561.91</t>
  </si>
  <si>
    <t xml:space="preserve">174.07 L</t>
  </si>
  <si>
    <t xml:space="preserve">3.23 Km/L</t>
  </si>
  <si>
    <t xml:space="preserve">1308577.05</t>
  </si>
  <si>
    <t xml:space="preserve">CHRISTIAN DA TRINDADE MATOS - 06485167501, JOSE RICARDO DE JESUS - 02887829505, SANDRO GOMES CARDOSO - 46985719520</t>
  </si>
  <si>
    <t xml:space="preserve">561.99</t>
  </si>
  <si>
    <t xml:space="preserve">173.39 L</t>
  </si>
  <si>
    <t xml:space="preserve">3.24 Km/L</t>
  </si>
  <si>
    <t xml:space="preserve">1309139.03</t>
  </si>
  <si>
    <t xml:space="preserve">RUBEM JOSE PEREIRA SOUZA - 01425689531, SANDRO GOMES CARDOSO - 46985719520</t>
  </si>
  <si>
    <t xml:space="preserve">560.52</t>
  </si>
  <si>
    <t xml:space="preserve">165.04 L</t>
  </si>
  <si>
    <t xml:space="preserve">3.40 Km/L</t>
  </si>
  <si>
    <t xml:space="preserve">1309699.55</t>
  </si>
  <si>
    <t xml:space="preserve">ANDERSON SANTOS DE OLIVEIRA - 05561156519, CHRISTIAN DA TRINDADE MATOS - 06485167501, RUBEM JOSE PEREIRA SOUZA - 01425689531, RAIMUNDO JOSE DE OLIVEIRA NUNES - 65617754572</t>
  </si>
  <si>
    <t xml:space="preserve">555.84</t>
  </si>
  <si>
    <t xml:space="preserve">165.67 L</t>
  </si>
  <si>
    <t xml:space="preserve">3.36 Km/L</t>
  </si>
  <si>
    <t xml:space="preserve">1310255.39</t>
  </si>
  <si>
    <t xml:space="preserve">ANDERSON SANTOS DE OLIVEIRA - 05561156519, LUCIANO BATISTA LEITE - 52977080520, EDENILSON GALDINO DOS SANTOS - 00707437547</t>
  </si>
  <si>
    <t xml:space="preserve">554.79</t>
  </si>
  <si>
    <t xml:space="preserve">174.01 L</t>
  </si>
  <si>
    <t xml:space="preserve">1310810.18</t>
  </si>
  <si>
    <t xml:space="preserve">DULCELINO ALMEIDA DE JESUS - 88125386572, LUCIANO BATISTA LEITE - 52977080520</t>
  </si>
  <si>
    <t xml:space="preserve">287.54</t>
  </si>
  <si>
    <t xml:space="preserve">91.84 L</t>
  </si>
  <si>
    <t xml:space="preserve">3.13 Km/L</t>
  </si>
  <si>
    <t xml:space="preserve">1311097.72</t>
  </si>
  <si>
    <t xml:space="preserve">OZM0738</t>
  </si>
  <si>
    <t xml:space="preserve">R7195</t>
  </si>
  <si>
    <t xml:space="preserve">0.50 L</t>
  </si>
  <si>
    <t xml:space="preserve">1744322.75</t>
  </si>
  <si>
    <t xml:space="preserve">OZM9744</t>
  </si>
  <si>
    <t xml:space="preserve">R7245</t>
  </si>
  <si>
    <t xml:space="preserve">MARCOS SILVA PEREIRA - 05102335545</t>
  </si>
  <si>
    <t xml:space="preserve">643.89</t>
  </si>
  <si>
    <t xml:space="preserve">268.15 L</t>
  </si>
  <si>
    <t xml:space="preserve">2.40 Km/L</t>
  </si>
  <si>
    <t xml:space="preserve">688801.26</t>
  </si>
  <si>
    <t xml:space="preserve">689445.14</t>
  </si>
  <si>
    <t xml:space="preserve">JOSE FABIO LISBOA GUEDES - 01264489579, ADAILTON DA SILVA SANTOS - 01609731557</t>
  </si>
  <si>
    <t xml:space="preserve">559.57</t>
  </si>
  <si>
    <t xml:space="preserve">232.80 L</t>
  </si>
  <si>
    <t xml:space="preserve">690004.71</t>
  </si>
  <si>
    <t xml:space="preserve">ADRIANO DOS SANTOS FREITAS - 00441842550, Anderson Ferreira Da Silva  - 01452873518</t>
  </si>
  <si>
    <t xml:space="preserve">38.70</t>
  </si>
  <si>
    <t xml:space="preserve">22.03 L</t>
  </si>
  <si>
    <t xml:space="preserve">1.76 Km/L</t>
  </si>
  <si>
    <t xml:space="preserve">690043.41</t>
  </si>
  <si>
    <t xml:space="preserve">ANTONIO MAXIMO SANTOS SOUSA - 04634408546</t>
  </si>
  <si>
    <t xml:space="preserve">365.38</t>
  </si>
  <si>
    <t xml:space="preserve">156.66 L</t>
  </si>
  <si>
    <t xml:space="preserve">2.33 Km/L</t>
  </si>
  <si>
    <t xml:space="preserve">Rodovia Governador Mário Covas</t>
  </si>
  <si>
    <t xml:space="preserve">690408.78</t>
  </si>
  <si>
    <t xml:space="preserve">53.71</t>
  </si>
  <si>
    <t xml:space="preserve">20.13 L</t>
  </si>
  <si>
    <t xml:space="preserve">2.67 Km/L</t>
  </si>
  <si>
    <t xml:space="preserve">690410.18</t>
  </si>
  <si>
    <t xml:space="preserve">690464.20</t>
  </si>
  <si>
    <t xml:space="preserve">GILMAR ALVES DE SOUSA - 32895178534</t>
  </si>
  <si>
    <t xml:space="preserve">343.38</t>
  </si>
  <si>
    <t xml:space="preserve">138.61 L</t>
  </si>
  <si>
    <t xml:space="preserve">690807.58</t>
  </si>
  <si>
    <t xml:space="preserve">150.06</t>
  </si>
  <si>
    <t xml:space="preserve">68.85 L</t>
  </si>
  <si>
    <t xml:space="preserve">2.18 Km/L</t>
  </si>
  <si>
    <t xml:space="preserve">690957.64</t>
  </si>
  <si>
    <t xml:space="preserve">OZM9102</t>
  </si>
  <si>
    <t xml:space="preserve">R7255</t>
  </si>
  <si>
    <t xml:space="preserve">Jose Raimundo dos Santos - 00335224563, JOSELITO MATTOS SANTOS - 69101531549, ITAMAR PAULINO DOS SANTOS - 65902947553, JOSE MAURICIO SANTANA SANTOS - 97382388549</t>
  </si>
  <si>
    <t xml:space="preserve">208.99</t>
  </si>
  <si>
    <t xml:space="preserve">39.94 L</t>
  </si>
  <si>
    <t xml:space="preserve">5.23 Km/L</t>
  </si>
  <si>
    <t xml:space="preserve">1416913.97</t>
  </si>
  <si>
    <t xml:space="preserve">1417122.96</t>
  </si>
  <si>
    <t xml:space="preserve">GIVALDO PASSOS DA CRUZ - 65814967587, JOSELITO MATTOS SANTOS - 69101531549</t>
  </si>
  <si>
    <t xml:space="preserve">208.77</t>
  </si>
  <si>
    <t xml:space="preserve">39.18 L</t>
  </si>
  <si>
    <t xml:space="preserve">5.33 Km/L</t>
  </si>
  <si>
    <t xml:space="preserve">1417331.73</t>
  </si>
  <si>
    <t xml:space="preserve">DANIEL TAVARES DOS SANTOS  - 04340704598</t>
  </si>
  <si>
    <t xml:space="preserve">687.00</t>
  </si>
  <si>
    <t xml:space="preserve">106.99 L</t>
  </si>
  <si>
    <t xml:space="preserve">6.42 Km/L</t>
  </si>
  <si>
    <t xml:space="preserve">Avenida Tiradentes</t>
  </si>
  <si>
    <t xml:space="preserve">1418018.72</t>
  </si>
  <si>
    <t xml:space="preserve">JOSÉ ACÁCIO BORGES DOS SANTOS - 03258369577, PEDRO SILVA JUNIOR - 80515843504</t>
  </si>
  <si>
    <t xml:space="preserve">683.05</t>
  </si>
  <si>
    <t xml:space="preserve">108.76 L</t>
  </si>
  <si>
    <t xml:space="preserve">6.28 Km/L</t>
  </si>
  <si>
    <t xml:space="preserve">1418701.77</t>
  </si>
  <si>
    <t xml:space="preserve">CARLOS ROBERTO - 88988503520</t>
  </si>
  <si>
    <t xml:space="preserve">294.30</t>
  </si>
  <si>
    <t xml:space="preserve">50.00 L</t>
  </si>
  <si>
    <t xml:space="preserve">5.89 Km/L</t>
  </si>
  <si>
    <t xml:space="preserve">1418996.07</t>
  </si>
  <si>
    <t xml:space="preserve">LUCAS NASCIMENTO BRITO - 69134022520, JOSENILDON BISPO DE JESUS - 57874891520</t>
  </si>
  <si>
    <t xml:space="preserve">394.96</t>
  </si>
  <si>
    <t xml:space="preserve">71.60 L</t>
  </si>
  <si>
    <t xml:space="preserve">5.52 Km/L</t>
  </si>
  <si>
    <t xml:space="preserve">1419391.03</t>
  </si>
  <si>
    <t xml:space="preserve">OZT5781</t>
  </si>
  <si>
    <t xml:space="preserve">R7475</t>
  </si>
  <si>
    <t xml:space="preserve">Luciano Junior Oliveira Santos - 06512965523, PAULO SERGIO MENEZES SANTOS - 01555946569</t>
  </si>
  <si>
    <t xml:space="preserve">212.82</t>
  </si>
  <si>
    <t xml:space="preserve">70.63 L</t>
  </si>
  <si>
    <t xml:space="preserve">1852871.86</t>
  </si>
  <si>
    <t xml:space="preserve">1853084.68</t>
  </si>
  <si>
    <t xml:space="preserve">LEANDRO RAMOS JORGE - 05558432543, PAULO SERGIO MENEZES SANTOS - 01555946569, Antonio Cardoso De Souza - 59906324520</t>
  </si>
  <si>
    <t xml:space="preserve">437.74</t>
  </si>
  <si>
    <t xml:space="preserve">150.52 L</t>
  </si>
  <si>
    <t xml:space="preserve">1853522.42</t>
  </si>
  <si>
    <t xml:space="preserve">LEANDRO RAMOS JORGE - 05558432543</t>
  </si>
  <si>
    <t xml:space="preserve">388.60</t>
  </si>
  <si>
    <t xml:space="preserve">127.12 L</t>
  </si>
  <si>
    <t xml:space="preserve">1853911.02</t>
  </si>
  <si>
    <t xml:space="preserve">PAULO SANTOS BANDEIRA - 00977783545, EDIMARCIO NASCIMENTO DOS SANTOS - 29380382839</t>
  </si>
  <si>
    <t xml:space="preserve">284.08</t>
  </si>
  <si>
    <t xml:space="preserve">93.52 L</t>
  </si>
  <si>
    <t xml:space="preserve">3.04 Km/L</t>
  </si>
  <si>
    <t xml:space="preserve">1854195.10</t>
  </si>
  <si>
    <t xml:space="preserve">JOSE FABIO LISBOA GUEDES - 01264489579</t>
  </si>
  <si>
    <t xml:space="preserve">279.92</t>
  </si>
  <si>
    <t xml:space="preserve">78.01 L</t>
  </si>
  <si>
    <t xml:space="preserve">3.59 Km/L</t>
  </si>
  <si>
    <t xml:space="preserve">1854475.02</t>
  </si>
  <si>
    <t xml:space="preserve">JOSE FABIO LISBOA GUEDES - 01264489579, ROQUE AQUINO LINS - 02750656850</t>
  </si>
  <si>
    <t xml:space="preserve">284.61</t>
  </si>
  <si>
    <t xml:space="preserve">96.09 L</t>
  </si>
  <si>
    <t xml:space="preserve">1854759.62</t>
  </si>
  <si>
    <t xml:space="preserve">Jefferson dos Santos França  - 08844760657, RODRIGO SOARES ROSA - 03344647571</t>
  </si>
  <si>
    <t xml:space="preserve">404.91</t>
  </si>
  <si>
    <t xml:space="preserve">127.73 L</t>
  </si>
  <si>
    <t xml:space="preserve">3.17 Km/L</t>
  </si>
  <si>
    <t xml:space="preserve">Avenida Professora Assis Gonçalves</t>
  </si>
  <si>
    <t xml:space="preserve">1855164.53</t>
  </si>
  <si>
    <t xml:space="preserve">OZT3755</t>
  </si>
  <si>
    <t xml:space="preserve">R7485</t>
  </si>
  <si>
    <t xml:space="preserve">JOSE MAICON ALMEIDA DOS SANTOS - 01355426502, JUCIMAR DE JESUS SANTOS - 03136869559</t>
  </si>
  <si>
    <t xml:space="preserve">295.28</t>
  </si>
  <si>
    <t xml:space="preserve">136.13 L</t>
  </si>
  <si>
    <t xml:space="preserve">2.17 Km/L</t>
  </si>
  <si>
    <t xml:space="preserve">730274.94</t>
  </si>
  <si>
    <t xml:space="preserve">730570.22</t>
  </si>
  <si>
    <t xml:space="preserve">VALDINES OLIVEIRA SOUSA - 31021000582, LEONARDO CERQUEIRA MEIRELES - 02116699541, MAQUITUZAEL ARAUJO DE JESUS - 95968326549</t>
  </si>
  <si>
    <t xml:space="preserve">429.17</t>
  </si>
  <si>
    <t xml:space="preserve">176.78 L</t>
  </si>
  <si>
    <t xml:space="preserve">2.43 Km/L</t>
  </si>
  <si>
    <t xml:space="preserve">Avenida Tancredo Neves</t>
  </si>
  <si>
    <t xml:space="preserve">730999.42</t>
  </si>
  <si>
    <t xml:space="preserve">12.04</t>
  </si>
  <si>
    <t xml:space="preserve">5.91 L</t>
  </si>
  <si>
    <t xml:space="preserve">2.04 Km/L</t>
  </si>
  <si>
    <t xml:space="preserve">730999.46</t>
  </si>
  <si>
    <t xml:space="preserve">731011.50</t>
  </si>
  <si>
    <t xml:space="preserve">IRAILDO PAULINO DOS SANTOS - 47334878515, VANILSON MARQUES DE SOUZA - 00300572565</t>
  </si>
  <si>
    <t xml:space="preserve">426.09</t>
  </si>
  <si>
    <t xml:space="preserve">181.20 L</t>
  </si>
  <si>
    <t xml:space="preserve">731437.59</t>
  </si>
  <si>
    <t xml:space="preserve">MAQUITUZAEL ARAUJO DE JESUS - 95968326549, VANILSON MARQUES DE SOUZA - 00300572565</t>
  </si>
  <si>
    <t xml:space="preserve">431.06</t>
  </si>
  <si>
    <t xml:space="preserve">175.10 L</t>
  </si>
  <si>
    <t xml:space="preserve">731868.65</t>
  </si>
  <si>
    <t xml:space="preserve">ADRIANO DOS SANTOS FREITAS - 00441842550, PAULO SANTOS BANDEIRA - 00977783545, EDENILSON GALDINO DOS SANTOS - 00707437547</t>
  </si>
  <si>
    <t xml:space="preserve">555.41</t>
  </si>
  <si>
    <t xml:space="preserve">214.48 L</t>
  </si>
  <si>
    <t xml:space="preserve">2.59 Km/L</t>
  </si>
  <si>
    <t xml:space="preserve">732424.58</t>
  </si>
  <si>
    <t xml:space="preserve">ADRIANO DOS SANTOS FREITAS - 00441842550, RUBEM JOSE PEREIRA SOUZA - 01425689531, PAULO SANTOS BANDEIRA - 00977783545</t>
  </si>
  <si>
    <t xml:space="preserve">390.75</t>
  </si>
  <si>
    <t xml:space="preserve">152.37 L</t>
  </si>
  <si>
    <t xml:space="preserve">Avenida Itabuna</t>
  </si>
  <si>
    <t xml:space="preserve">732424.84</t>
  </si>
  <si>
    <t xml:space="preserve">732815.59</t>
  </si>
  <si>
    <t xml:space="preserve">OZT9058</t>
  </si>
  <si>
    <t xml:space="preserve">R7495</t>
  </si>
  <si>
    <t xml:space="preserve">GILDEON OLIVEIRA DE SOUZA - 18269010510</t>
  </si>
  <si>
    <t xml:space="preserve">285.89</t>
  </si>
  <si>
    <t xml:space="preserve">105.42 L</t>
  </si>
  <si>
    <t xml:space="preserve">1810574.04</t>
  </si>
  <si>
    <t xml:space="preserve">1810859.93</t>
  </si>
  <si>
    <t xml:space="preserve">RODRIGO SOARES ROSA - 03344647571</t>
  </si>
  <si>
    <t xml:space="preserve">252.36</t>
  </si>
  <si>
    <t xml:space="preserve">80.84 L</t>
  </si>
  <si>
    <t xml:space="preserve">1811112.29</t>
  </si>
  <si>
    <t xml:space="preserve">ADEILSON ESPIRITO SANTO - 99120062591</t>
  </si>
  <si>
    <t xml:space="preserve">94.37</t>
  </si>
  <si>
    <t xml:space="preserve">27.90 L</t>
  </si>
  <si>
    <t xml:space="preserve">3.38 Km/L</t>
  </si>
  <si>
    <t xml:space="preserve">BR-330</t>
  </si>
  <si>
    <t xml:space="preserve">1811206.66</t>
  </si>
  <si>
    <t xml:space="preserve">ADEILSON ESPIRITO SANTO - 99120062591, Romulo Pimentel Santos - 00522633552</t>
  </si>
  <si>
    <t xml:space="preserve">207.44</t>
  </si>
  <si>
    <t xml:space="preserve">74.76 L</t>
  </si>
  <si>
    <t xml:space="preserve">1811414.10</t>
  </si>
  <si>
    <t xml:space="preserve">JOSE FABIO LISBOA GUEDES - 01264489579, ADEILSON ESPIRITO SANTO - 99120062591</t>
  </si>
  <si>
    <t xml:space="preserve">345.60</t>
  </si>
  <si>
    <t xml:space="preserve">126.83 L</t>
  </si>
  <si>
    <t xml:space="preserve">1811759.69</t>
  </si>
  <si>
    <t xml:space="preserve">ROBELIO FRANCISCO DOS SANTOS  - 03202662570</t>
  </si>
  <si>
    <t xml:space="preserve">260.93</t>
  </si>
  <si>
    <t xml:space="preserve">84.37 L</t>
  </si>
  <si>
    <t xml:space="preserve">1812020.62</t>
  </si>
  <si>
    <t xml:space="preserve">JEFFERSON DOS SANTOS FRANÇA - 8844760657, Jefferson dos Santos França  - 08844760657, ROBELIO FRANCISCO DOS SANTOS  - 03202662570</t>
  </si>
  <si>
    <t xml:space="preserve">143.02</t>
  </si>
  <si>
    <t xml:space="preserve">62.86 L</t>
  </si>
  <si>
    <t xml:space="preserve">2.28 Km/L</t>
  </si>
  <si>
    <t xml:space="preserve">1812021.39</t>
  </si>
  <si>
    <t xml:space="preserve">1812164.41</t>
  </si>
  <si>
    <t xml:space="preserve">OZT7127</t>
  </si>
  <si>
    <t xml:space="preserve">R7505</t>
  </si>
  <si>
    <t xml:space="preserve">0.15</t>
  </si>
  <si>
    <t xml:space="preserve">1.03 L</t>
  </si>
  <si>
    <t xml:space="preserve">0.15 Km/L</t>
  </si>
  <si>
    <t xml:space="preserve">1748565.08</t>
  </si>
  <si>
    <t xml:space="preserve">1748565.22</t>
  </si>
  <si>
    <t xml:space="preserve">0.04</t>
  </si>
  <si>
    <t xml:space="preserve">2.81 L</t>
  </si>
  <si>
    <t xml:space="preserve">0.01 Km/L</t>
  </si>
  <si>
    <t xml:space="preserve">1748565.26</t>
  </si>
  <si>
    <t xml:space="preserve">0.20</t>
  </si>
  <si>
    <t xml:space="preserve">6.51 L</t>
  </si>
  <si>
    <t xml:space="preserve">0.03 Km/L</t>
  </si>
  <si>
    <t xml:space="preserve">1748565.45</t>
  </si>
  <si>
    <t xml:space="preserve">ANTONIO MEIRELES DO N NETO - 15585891553, EDINALDO JOSE ALVES - 18681883534, RONALDO REIS SANTOS - 01961868547, MARCELO DE JESUS FERREIRA - 96736615534, LEONARDO ALCANTARA MASCARENHAS - 03138174566</t>
  </si>
  <si>
    <t xml:space="preserve">193.41</t>
  </si>
  <si>
    <t xml:space="preserve">73.41 L</t>
  </si>
  <si>
    <t xml:space="preserve">2.63 Km/L</t>
  </si>
  <si>
    <t xml:space="preserve">1748758.86</t>
  </si>
  <si>
    <t xml:space="preserve">Gilberto Vitória da Silva  - 56638434500, MARCELO DE JESUS FERREIRA - 96736615534</t>
  </si>
  <si>
    <t xml:space="preserve">236.98</t>
  </si>
  <si>
    <t xml:space="preserve">87.19 L</t>
  </si>
  <si>
    <t xml:space="preserve">BA-001</t>
  </si>
  <si>
    <t xml:space="preserve">1748995.84</t>
  </si>
  <si>
    <t xml:space="preserve">Rafael Santos de Jesus  - 06098218579</t>
  </si>
  <si>
    <t xml:space="preserve">243.06</t>
  </si>
  <si>
    <t xml:space="preserve">90.74 L</t>
  </si>
  <si>
    <t xml:space="preserve">2.68 Km/L</t>
  </si>
  <si>
    <t xml:space="preserve">1749238.89</t>
  </si>
  <si>
    <t xml:space="preserve">475.55</t>
  </si>
  <si>
    <t xml:space="preserve">180.38 L</t>
  </si>
  <si>
    <t xml:space="preserve">2.64 Km/L</t>
  </si>
  <si>
    <t xml:space="preserve">1749714.44</t>
  </si>
  <si>
    <t xml:space="preserve">OZT4007</t>
  </si>
  <si>
    <t xml:space="preserve">R7515</t>
  </si>
  <si>
    <t xml:space="preserve">MARCOS ALEX TEIXEIRA DOS SANTOS - 74400819515</t>
  </si>
  <si>
    <t xml:space="preserve">295.60</t>
  </si>
  <si>
    <t xml:space="preserve">96.60 L</t>
  </si>
  <si>
    <t xml:space="preserve">1760736.14</t>
  </si>
  <si>
    <t xml:space="preserve">1761031.74</t>
  </si>
  <si>
    <t xml:space="preserve">1.08</t>
  </si>
  <si>
    <t xml:space="preserve">4.43 L</t>
  </si>
  <si>
    <t xml:space="preserve">0.24 Km/L</t>
  </si>
  <si>
    <t xml:space="preserve">1761032.81</t>
  </si>
  <si>
    <t xml:space="preserve">joilson silva santos - 60489960553, RUBEM JOSE PEREIRA SOUZA - 01425689531</t>
  </si>
  <si>
    <t xml:space="preserve">476.28</t>
  </si>
  <si>
    <t xml:space="preserve">164.58 L</t>
  </si>
  <si>
    <t xml:space="preserve">2.89 Km/L</t>
  </si>
  <si>
    <t xml:space="preserve">1761509.09</t>
  </si>
  <si>
    <t xml:space="preserve">ANGELO MARCIO RODRIGUES NOVAES - 00538319500</t>
  </si>
  <si>
    <t xml:space="preserve">440.54</t>
  </si>
  <si>
    <t xml:space="preserve">150.66 L</t>
  </si>
  <si>
    <t xml:space="preserve">Avenida Antonio Carlos Magalhães</t>
  </si>
  <si>
    <t xml:space="preserve">1761949.63</t>
  </si>
  <si>
    <t xml:space="preserve">ANGELO MARCIO RODRIGUES NOVAES - 00538319500, LUCIANO BATISTA LEITE - 52977080520, Ricardo José Moreira de Souza - 78584159649</t>
  </si>
  <si>
    <t xml:space="preserve">470.29</t>
  </si>
  <si>
    <t xml:space="preserve">169.14 L</t>
  </si>
  <si>
    <t xml:space="preserve">2.78 Km/L</t>
  </si>
  <si>
    <t xml:space="preserve">1762419.91</t>
  </si>
  <si>
    <t xml:space="preserve">ANGELO MARCIO RODRIGUES NOVAES - 00538319500, IRAILDO PAULINO DOS SANTOS - 47334878515, Ãngelo Marcio Rodrigues Novaes - 00538319500</t>
  </si>
  <si>
    <t xml:space="preserve">476.11</t>
  </si>
  <si>
    <t xml:space="preserve">175.34 L</t>
  </si>
  <si>
    <t xml:space="preserve">1762896.02</t>
  </si>
  <si>
    <t xml:space="preserve">CARLOS ROBERTO - 88988503520, ANGELO MARCIO RODRIGUES NOVAES - 00538319500</t>
  </si>
  <si>
    <t xml:space="preserve">470.51</t>
  </si>
  <si>
    <t xml:space="preserve">172.21 L</t>
  </si>
  <si>
    <t xml:space="preserve">1763366.52</t>
  </si>
  <si>
    <t xml:space="preserve">OZT2347</t>
  </si>
  <si>
    <t xml:space="preserve">R7525</t>
  </si>
  <si>
    <t xml:space="preserve">RUBEM JOSE PEREIRA SOUZA - 01425689531, JOSE MARCIO SILVA - 91678463515</t>
  </si>
  <si>
    <t xml:space="preserve">183.12</t>
  </si>
  <si>
    <t xml:space="preserve">57.01 L</t>
  </si>
  <si>
    <t xml:space="preserve">1475961.63</t>
  </si>
  <si>
    <t xml:space="preserve">1476144.74</t>
  </si>
  <si>
    <t xml:space="preserve">RUBEM JOSE PEREIRA SOUZA - 01425689531, LEONARDO CERQUEIRA MEIRELES - 02116699541</t>
  </si>
  <si>
    <t xml:space="preserve">542.97</t>
  </si>
  <si>
    <t xml:space="preserve">178.01 L</t>
  </si>
  <si>
    <t xml:space="preserve">1476687.71</t>
  </si>
  <si>
    <t xml:space="preserve">JOSE MAICON ALMEIDA DOS SANTOS - 01355426502, VALDINES OLIVEIRA SOUSA - 31021000582</t>
  </si>
  <si>
    <t xml:space="preserve">412.13</t>
  </si>
  <si>
    <t xml:space="preserve">152.09 L</t>
  </si>
  <si>
    <t xml:space="preserve">1477099.84</t>
  </si>
  <si>
    <t xml:space="preserve">JOSE MAICON ALMEIDA DOS SANTOS - 01355426502, SUELIO GOMES DA SILVA - 03809272507</t>
  </si>
  <si>
    <t xml:space="preserve">414.06</t>
  </si>
  <si>
    <t xml:space="preserve">148.03 L</t>
  </si>
  <si>
    <t xml:space="preserve">2.80 Km/L</t>
  </si>
  <si>
    <t xml:space="preserve">1477513.90</t>
  </si>
  <si>
    <t xml:space="preserve">SUELIO GOMES DA SILVA - 03809272507, LEONARDO ALCANTARA MASCARENHAS - 03138174566</t>
  </si>
  <si>
    <t xml:space="preserve">412.14</t>
  </si>
  <si>
    <t xml:space="preserve">144.35 L</t>
  </si>
  <si>
    <t xml:space="preserve">1477926.03</t>
  </si>
  <si>
    <t xml:space="preserve">JOSE MAICON ALMEIDA DOS SANTOS - 01355426502, LEONARDO ALCANTARA MASCARENHAS - 03138174566</t>
  </si>
  <si>
    <t xml:space="preserve">715.86</t>
  </si>
  <si>
    <t xml:space="preserve">247.87 L</t>
  </si>
  <si>
    <t xml:space="preserve">Avenida Deputado Ulisses Guimarães</t>
  </si>
  <si>
    <t xml:space="preserve">1478641.89</t>
  </si>
  <si>
    <t xml:space="preserve">JOSE MAICON ALMEIDA DOS SANTOS - 01355426502, MAQUITUZAEL ARAUJO DE JESUS - 95968326549</t>
  </si>
  <si>
    <t xml:space="preserve">718.55</t>
  </si>
  <si>
    <t xml:space="preserve">250.63 L</t>
  </si>
  <si>
    <t xml:space="preserve">1479360.43</t>
  </si>
  <si>
    <t xml:space="preserve">OZT6763</t>
  </si>
  <si>
    <t xml:space="preserve">R7535</t>
  </si>
  <si>
    <t xml:space="preserve">SANDRO GOMES CARDOSO - 46985719520, RICARDO DE JESUS LOPES - 04936290505</t>
  </si>
  <si>
    <t xml:space="preserve">403.93</t>
  </si>
  <si>
    <t xml:space="preserve">149.09 L</t>
  </si>
  <si>
    <t xml:space="preserve">1489279.69</t>
  </si>
  <si>
    <t xml:space="preserve">1489683.62</t>
  </si>
  <si>
    <t xml:space="preserve">LEANDRO RAMOS JORGE - 05558432543, ADAILTON DA SILVA SANTOS - 01609731557, VANILSON MARQUES DE SOUZA - 00300572565</t>
  </si>
  <si>
    <t xml:space="preserve">446.36</t>
  </si>
  <si>
    <t xml:space="preserve">152.93 L</t>
  </si>
  <si>
    <t xml:space="preserve">1490129.98</t>
  </si>
  <si>
    <t xml:space="preserve">GIVANILDO OLIVEIRA DA SILVA - 00653834519, VANILSON MARQUES DE SOUZA - 00300572565</t>
  </si>
  <si>
    <t xml:space="preserve">448.34</t>
  </si>
  <si>
    <t xml:space="preserve">152.17 L</t>
  </si>
  <si>
    <t xml:space="preserve">1490578.32</t>
  </si>
  <si>
    <t xml:space="preserve">ALAN ANDRADE FERREIRA - 05243952508, MARCUS VINICIUS SILVA SANTOS - 01873867573</t>
  </si>
  <si>
    <t xml:space="preserve">34.25</t>
  </si>
  <si>
    <t xml:space="preserve">17.48 L</t>
  </si>
  <si>
    <t xml:space="preserve">1.96 Km/L</t>
  </si>
  <si>
    <t xml:space="preserve">1490612.57</t>
  </si>
  <si>
    <t xml:space="preserve">0.38 L</t>
  </si>
  <si>
    <t xml:space="preserve">OZT8368</t>
  </si>
  <si>
    <t xml:space="preserve">R7555</t>
  </si>
  <si>
    <t xml:space="preserve">6.95 L</t>
  </si>
  <si>
    <t xml:space="preserve">Rodovia Engenheiro Vasco Filho</t>
  </si>
  <si>
    <t xml:space="preserve">1462310.51</t>
  </si>
  <si>
    <t xml:space="preserve">0.84 L</t>
  </si>
  <si>
    <t xml:space="preserve">OZT0656</t>
  </si>
  <si>
    <t xml:space="preserve">R7565</t>
  </si>
  <si>
    <t xml:space="preserve">JOSE MAICON ALMEIDA DOS SANTOS - 01355426502</t>
  </si>
  <si>
    <t xml:space="preserve">592.74</t>
  </si>
  <si>
    <t xml:space="preserve">468957.65</t>
  </si>
  <si>
    <t xml:space="preserve">469550.39</t>
  </si>
  <si>
    <t xml:space="preserve">308.46</t>
  </si>
  <si>
    <t xml:space="preserve">Avenida e</t>
  </si>
  <si>
    <t xml:space="preserve">469550.81</t>
  </si>
  <si>
    <t xml:space="preserve">469860.59</t>
  </si>
  <si>
    <t xml:space="preserve">406.61</t>
  </si>
  <si>
    <t xml:space="preserve">470267.20</t>
  </si>
  <si>
    <t xml:space="preserve">509.31</t>
  </si>
  <si>
    <t xml:space="preserve">470776.51</t>
  </si>
  <si>
    <t xml:space="preserve">464.41</t>
  </si>
  <si>
    <t xml:space="preserve">471240.92</t>
  </si>
  <si>
    <t xml:space="preserve">409.89</t>
  </si>
  <si>
    <t xml:space="preserve">Rua Medeiros Neto</t>
  </si>
  <si>
    <t xml:space="preserve">471650.80</t>
  </si>
  <si>
    <t xml:space="preserve">JUCIMAR DE JESUS SANTOS - 03136869559</t>
  </si>
  <si>
    <t xml:space="preserve">202.36</t>
  </si>
  <si>
    <t xml:space="preserve">471853.16</t>
  </si>
  <si>
    <t xml:space="preserve">PJR9288</t>
  </si>
  <si>
    <t xml:space="preserve">R7575</t>
  </si>
  <si>
    <t xml:space="preserve">RUBEM JOSE PEREIRA SOUZA - 01425689531, LEONARDO CERQUEIRA MEIRELES - 02116699541, VANILSON MARQUES DE SOUZA - 00300572565</t>
  </si>
  <si>
    <t xml:space="preserve">457.03</t>
  </si>
  <si>
    <t xml:space="preserve">165.98 L</t>
  </si>
  <si>
    <t xml:space="preserve">110264.74</t>
  </si>
  <si>
    <t xml:space="preserve">110721.77</t>
  </si>
  <si>
    <t xml:space="preserve">87.52 L</t>
  </si>
  <si>
    <t xml:space="preserve">110983.70</t>
  </si>
  <si>
    <t xml:space="preserve">LEANDRO RAMOS JORGE - 05558432543, EMERSON SILVA DE ALMEIDA - 03930125579, JAILTON SA DOS SANTOS - 82191026591</t>
  </si>
  <si>
    <t xml:space="preserve">240.38</t>
  </si>
  <si>
    <t xml:space="preserve">85.50 L</t>
  </si>
  <si>
    <t xml:space="preserve">111224.08</t>
  </si>
  <si>
    <t xml:space="preserve">JOSE BISPO DA SILVA - 58590609553, ALEGUIRINALDO DE SOUZA LEITE JUNIOR - 05053784507</t>
  </si>
  <si>
    <t xml:space="preserve">584.35</t>
  </si>
  <si>
    <t xml:space="preserve">193.50 L</t>
  </si>
  <si>
    <t xml:space="preserve">3.02 Km/L</t>
  </si>
  <si>
    <t xml:space="preserve">111808.43</t>
  </si>
  <si>
    <t xml:space="preserve">PJR3626</t>
  </si>
  <si>
    <t xml:space="preserve">R7585</t>
  </si>
  <si>
    <t xml:space="preserve">REGINALDO SILVA NASCIMENTO - 93770308549</t>
  </si>
  <si>
    <t xml:space="preserve">496.58</t>
  </si>
  <si>
    <t xml:space="preserve">165.86 L</t>
  </si>
  <si>
    <t xml:space="preserve">466830.28</t>
  </si>
  <si>
    <t xml:space="preserve">467326.86</t>
  </si>
  <si>
    <t xml:space="preserve">GIVANILDO OLIVEIRA DA SILVA - 00653834519, REGINALDO SILVA NASCIMENTO - 93770308549, RODRIGO SOARES ROSA - 03344647571</t>
  </si>
  <si>
    <t xml:space="preserve">602.88</t>
  </si>
  <si>
    <t xml:space="preserve">192.61 L</t>
  </si>
  <si>
    <t xml:space="preserve">467929.74</t>
  </si>
  <si>
    <t xml:space="preserve">GIVANILDO OLIVEIRA DA SILVA - 00653834519, GILDEON OLIVEIRA DE SOUZA - 18269010510</t>
  </si>
  <si>
    <t xml:space="preserve">407.93</t>
  </si>
  <si>
    <t xml:space="preserve">122.18 L</t>
  </si>
  <si>
    <t xml:space="preserve">468337.66</t>
  </si>
  <si>
    <t xml:space="preserve">SUELIO GOMES DA SILVA - 03809272507</t>
  </si>
  <si>
    <t xml:space="preserve">404.37</t>
  </si>
  <si>
    <t xml:space="preserve">141.41 L</t>
  </si>
  <si>
    <t xml:space="preserve">468337.67</t>
  </si>
  <si>
    <t xml:space="preserve">468742.04</t>
  </si>
  <si>
    <t xml:space="preserve">711.07</t>
  </si>
  <si>
    <t xml:space="preserve">237.38 L</t>
  </si>
  <si>
    <t xml:space="preserve">3.00 Km/L</t>
  </si>
  <si>
    <t xml:space="preserve">469453.11</t>
  </si>
  <si>
    <t xml:space="preserve">GILDEON OLIVEIRA DE SOUZA - 18269010510, MARDEN  DA SILVA SANTOS - 02259736505, SUELIO GOMES DA SILVA - 03809272507</t>
  </si>
  <si>
    <t xml:space="preserve">406.86</t>
  </si>
  <si>
    <t xml:space="preserve">122.62 L</t>
  </si>
  <si>
    <t xml:space="preserve">3.32 Km/L</t>
  </si>
  <si>
    <t xml:space="preserve">469859.97</t>
  </si>
  <si>
    <t xml:space="preserve">JOSE FABIO LISBOA GUEDES - 01264489579, SUELIO GOMES DA SILVA - 03809272507</t>
  </si>
  <si>
    <t xml:space="preserve">405.58</t>
  </si>
  <si>
    <t xml:space="preserve">138.14 L</t>
  </si>
  <si>
    <t xml:space="preserve">470265.54</t>
  </si>
  <si>
    <t xml:space="preserve">OUK1247</t>
  </si>
  <si>
    <t xml:space="preserve">R6925</t>
  </si>
  <si>
    <t xml:space="preserve">180.69</t>
  </si>
  <si>
    <t xml:space="preserve">63.34 L</t>
  </si>
  <si>
    <t xml:space="preserve">Avenida Vereador José Fernandes</t>
  </si>
  <si>
    <t xml:space="preserve">Avenida José Carolino</t>
  </si>
  <si>
    <t xml:space="preserve">765819.73</t>
  </si>
  <si>
    <t xml:space="preserve">766000.42</t>
  </si>
  <si>
    <t xml:space="preserve">241.01</t>
  </si>
  <si>
    <t xml:space="preserve">96.81 L</t>
  </si>
  <si>
    <t xml:space="preserve">2.49 Km/L</t>
  </si>
  <si>
    <t xml:space="preserve">766000.68</t>
  </si>
  <si>
    <t xml:space="preserve">766241.69</t>
  </si>
  <si>
    <t xml:space="preserve">312.08</t>
  </si>
  <si>
    <t xml:space="preserve">117.84 L</t>
  </si>
  <si>
    <t xml:space="preserve">766241.95</t>
  </si>
  <si>
    <t xml:space="preserve">766554.03</t>
  </si>
  <si>
    <t xml:space="preserve">183.00</t>
  </si>
  <si>
    <t xml:space="preserve">67.61 L</t>
  </si>
  <si>
    <t xml:space="preserve">766554.64</t>
  </si>
  <si>
    <t xml:space="preserve">766737.64</t>
  </si>
  <si>
    <t xml:space="preserve">178.97</t>
  </si>
  <si>
    <t xml:space="preserve">64.95 L</t>
  </si>
  <si>
    <t xml:space="preserve">2.76 Km/L</t>
  </si>
  <si>
    <t xml:space="preserve">766738.03</t>
  </si>
  <si>
    <t xml:space="preserve">766917.00</t>
  </si>
  <si>
    <t xml:space="preserve">177.61</t>
  </si>
  <si>
    <t xml:space="preserve">62.38 L</t>
  </si>
  <si>
    <t xml:space="preserve">Avenida Governador Paulo Souto</t>
  </si>
  <si>
    <t xml:space="preserve">766917.56</t>
  </si>
  <si>
    <t xml:space="preserve">767095.17</t>
  </si>
  <si>
    <t xml:space="preserve">281.89</t>
  </si>
  <si>
    <t xml:space="preserve">106.80 L</t>
  </si>
  <si>
    <t xml:space="preserve">767095.43</t>
  </si>
  <si>
    <t xml:space="preserve">767377.32</t>
  </si>
  <si>
    <t xml:space="preserve">OUK9535</t>
  </si>
  <si>
    <t xml:space="preserve">R6935</t>
  </si>
  <si>
    <t xml:space="preserve">ZENILTON SANTOS COSTA - 96160250582</t>
  </si>
  <si>
    <t xml:space="preserve">101.71 L</t>
  </si>
  <si>
    <t xml:space="preserve">Praça Juscelino Kubitschek</t>
  </si>
  <si>
    <t xml:space="preserve">1291452.61</t>
  </si>
  <si>
    <t xml:space="preserve">1291754.08</t>
  </si>
  <si>
    <t xml:space="preserve">301.16</t>
  </si>
  <si>
    <t xml:space="preserve">94.58 L</t>
  </si>
  <si>
    <t xml:space="preserve">3.18 Km/L</t>
  </si>
  <si>
    <t xml:space="preserve">1292055.24</t>
  </si>
  <si>
    <t xml:space="preserve">301.01</t>
  </si>
  <si>
    <t xml:space="preserve">95.29 L</t>
  </si>
  <si>
    <t xml:space="preserve">3.16 Km/L</t>
  </si>
  <si>
    <t xml:space="preserve">1292356.25</t>
  </si>
  <si>
    <t xml:space="preserve">301.50</t>
  </si>
  <si>
    <t xml:space="preserve">95.67 L</t>
  </si>
  <si>
    <t xml:space="preserve">1292657.75</t>
  </si>
  <si>
    <t xml:space="preserve">301.60</t>
  </si>
  <si>
    <t xml:space="preserve">99.42 L</t>
  </si>
  <si>
    <t xml:space="preserve">1292959.35</t>
  </si>
  <si>
    <t xml:space="preserve">299.91</t>
  </si>
  <si>
    <t xml:space="preserve">51.33 L</t>
  </si>
  <si>
    <t xml:space="preserve">1293259.25</t>
  </si>
  <si>
    <t xml:space="preserve">OUK8533</t>
  </si>
  <si>
    <t xml:space="preserve">R6945</t>
  </si>
  <si>
    <t xml:space="preserve">FRANKLIN PEREIRA CARDOSO - 02140251520</t>
  </si>
  <si>
    <t xml:space="preserve">117.04</t>
  </si>
  <si>
    <t xml:space="preserve">47.59 L</t>
  </si>
  <si>
    <t xml:space="preserve">BA-969</t>
  </si>
  <si>
    <t xml:space="preserve">1194915.30</t>
  </si>
  <si>
    <t xml:space="preserve">1195032.33</t>
  </si>
  <si>
    <t xml:space="preserve">147.84</t>
  </si>
  <si>
    <t xml:space="preserve">55.56 L</t>
  </si>
  <si>
    <t xml:space="preserve">2.66 Km/L</t>
  </si>
  <si>
    <t xml:space="preserve">1195180.17</t>
  </si>
  <si>
    <t xml:space="preserve">117.02</t>
  </si>
  <si>
    <t xml:space="preserve">41.16 L</t>
  </si>
  <si>
    <t xml:space="preserve">1195297.19</t>
  </si>
  <si>
    <t xml:space="preserve">230.97</t>
  </si>
  <si>
    <t xml:space="preserve">83.08 L</t>
  </si>
  <si>
    <t xml:space="preserve">1195528.16</t>
  </si>
  <si>
    <t xml:space="preserve">FRANKLIN PEREIRA CARDOSO - 02140251520, AROLDO DE JESUS RIBEIRO - 82978158549</t>
  </si>
  <si>
    <t xml:space="preserve">229.53</t>
  </si>
  <si>
    <t xml:space="preserve">80.91 L</t>
  </si>
  <si>
    <t xml:space="preserve">1195757.69</t>
  </si>
  <si>
    <t xml:space="preserve">230.84</t>
  </si>
  <si>
    <t xml:space="preserve">80.86 L</t>
  </si>
  <si>
    <t xml:space="preserve">1195988.52</t>
  </si>
  <si>
    <t xml:space="preserve">OUO5005</t>
  </si>
  <si>
    <t xml:space="preserve">R6955</t>
  </si>
  <si>
    <t xml:space="preserve">0.10 L</t>
  </si>
  <si>
    <t xml:space="preserve">1105621.94</t>
  </si>
  <si>
    <t xml:space="preserve">0.22</t>
  </si>
  <si>
    <t xml:space="preserve">0.37 L</t>
  </si>
  <si>
    <t xml:space="preserve">0.59 Km/L</t>
  </si>
  <si>
    <t xml:space="preserve">1105622.15</t>
  </si>
  <si>
    <t xml:space="preserve">0.33</t>
  </si>
  <si>
    <t xml:space="preserve">0.29 L</t>
  </si>
  <si>
    <t xml:space="preserve">1.13 Km/L</t>
  </si>
  <si>
    <t xml:space="preserve">1105622.48</t>
  </si>
  <si>
    <t xml:space="preserve">VANDERLAN PEREIRA DE OLIVEIRA - 05236161550</t>
  </si>
  <si>
    <t xml:space="preserve">0.05</t>
  </si>
  <si>
    <t xml:space="preserve">0.11 L</t>
  </si>
  <si>
    <t xml:space="preserve">0.46 Km/L</t>
  </si>
  <si>
    <t xml:space="preserve">1105622.53</t>
  </si>
  <si>
    <t xml:space="preserve">JOAO LINO DOS SANTOS - 47800087000</t>
  </si>
  <si>
    <t xml:space="preserve">235.34</t>
  </si>
  <si>
    <t xml:space="preserve">69.91 L</t>
  </si>
  <si>
    <t xml:space="preserve">3.37 Km/L</t>
  </si>
  <si>
    <t xml:space="preserve">Rua Holanda</t>
  </si>
  <si>
    <t xml:space="preserve">1105857.86</t>
  </si>
  <si>
    <t xml:space="preserve">OUK7363</t>
  </si>
  <si>
    <t xml:space="preserve">R6965</t>
  </si>
  <si>
    <t xml:space="preserve">285.17</t>
  </si>
  <si>
    <t xml:space="preserve">Rua Arcanja Alves Costa</t>
  </si>
  <si>
    <t xml:space="preserve">1202193.59</t>
  </si>
  <si>
    <t xml:space="preserve">1202478.76</t>
  </si>
  <si>
    <t xml:space="preserve">284.04</t>
  </si>
  <si>
    <t xml:space="preserve">Praça Doutor Otelino Sol</t>
  </si>
  <si>
    <t xml:space="preserve">1202762.80</t>
  </si>
  <si>
    <t xml:space="preserve">292.85</t>
  </si>
  <si>
    <t xml:space="preserve">1203055.65</t>
  </si>
  <si>
    <t xml:space="preserve">285.40</t>
  </si>
  <si>
    <t xml:space="preserve">1203341.05</t>
  </si>
  <si>
    <t xml:space="preserve">284.58</t>
  </si>
  <si>
    <t xml:space="preserve">Rua Feliciano Silva</t>
  </si>
  <si>
    <t xml:space="preserve">1203625.63</t>
  </si>
  <si>
    <t xml:space="preserve">Jonathas Mateus De Sousa Santana - 01904691536, JOAO LINO DOS SANTOS - 47800087000</t>
  </si>
  <si>
    <t xml:space="preserve">245.90</t>
  </si>
  <si>
    <t xml:space="preserve">1203871.53</t>
  </si>
  <si>
    <t xml:space="preserve">OUK8F06</t>
  </si>
  <si>
    <t xml:space="preserve">R6975</t>
  </si>
  <si>
    <t xml:space="preserve">DEMETRIO CARDOSO DA CONCEICAO - 04059850888, MAX ANTONIO ANDRADE SILVA - 04681530557</t>
  </si>
  <si>
    <t xml:space="preserve">294.81</t>
  </si>
  <si>
    <t xml:space="preserve">91.00 L</t>
  </si>
  <si>
    <t xml:space="preserve">Rua das Flores</t>
  </si>
  <si>
    <t xml:space="preserve">1129583.94</t>
  </si>
  <si>
    <t xml:space="preserve">1129878.75</t>
  </si>
  <si>
    <t xml:space="preserve">MAX ANTONIO ANDRADE SILVA - 04681530557</t>
  </si>
  <si>
    <t xml:space="preserve">293.44</t>
  </si>
  <si>
    <t xml:space="preserve">85.68 L</t>
  </si>
  <si>
    <t xml:space="preserve">3.42 Km/L</t>
  </si>
  <si>
    <t xml:space="preserve">1130172.18</t>
  </si>
  <si>
    <t xml:space="preserve">295.09</t>
  </si>
  <si>
    <t xml:space="preserve">93.76 L</t>
  </si>
  <si>
    <t xml:space="preserve">1130467.27</t>
  </si>
  <si>
    <t xml:space="preserve">DEMETRIO CARDOSO DA CONCEICAO - 04059850888</t>
  </si>
  <si>
    <t xml:space="preserve">294.77</t>
  </si>
  <si>
    <t xml:space="preserve">92.64 L</t>
  </si>
  <si>
    <t xml:space="preserve">1130762.03</t>
  </si>
  <si>
    <t xml:space="preserve">DEMETRIO CARDOSO DA CONCEICAO - 04059850888, JABES DO CARMO SILVA - 00932510507</t>
  </si>
  <si>
    <t xml:space="preserve">176.59</t>
  </si>
  <si>
    <t xml:space="preserve">59.94 L</t>
  </si>
  <si>
    <t xml:space="preserve">1130938.62</t>
  </si>
  <si>
    <t xml:space="preserve">1.01</t>
  </si>
  <si>
    <t xml:space="preserve">1.26 L</t>
  </si>
  <si>
    <t xml:space="preserve">0.80 Km/L</t>
  </si>
  <si>
    <t xml:space="preserve">1130939.63</t>
  </si>
  <si>
    <t xml:space="preserve">OUK8278</t>
  </si>
  <si>
    <t xml:space="preserve">R6985</t>
  </si>
  <si>
    <t xml:space="preserve">35055.64</t>
  </si>
  <si>
    <t xml:space="preserve">35055.67</t>
  </si>
  <si>
    <t xml:space="preserve">89.87</t>
  </si>
  <si>
    <t xml:space="preserve">33.16 L</t>
  </si>
  <si>
    <t xml:space="preserve">35145.54</t>
  </si>
  <si>
    <t xml:space="preserve">88.69</t>
  </si>
  <si>
    <t xml:space="preserve">31.24 L</t>
  </si>
  <si>
    <t xml:space="preserve">35234.23</t>
  </si>
  <si>
    <t xml:space="preserve">265.77</t>
  </si>
  <si>
    <t xml:space="preserve">82.07 L</t>
  </si>
  <si>
    <t xml:space="preserve">Rodovia 330</t>
  </si>
  <si>
    <t xml:space="preserve">35499.99</t>
  </si>
  <si>
    <t xml:space="preserve">101.72</t>
  </si>
  <si>
    <t xml:space="preserve">24.24 L</t>
  </si>
  <si>
    <t xml:space="preserve">4.20 Km/L</t>
  </si>
  <si>
    <t xml:space="preserve">35500.19</t>
  </si>
  <si>
    <t xml:space="preserve">35601.91</t>
  </si>
  <si>
    <t xml:space="preserve">53.50</t>
  </si>
  <si>
    <t xml:space="preserve">22.63 L</t>
  </si>
  <si>
    <t xml:space="preserve">2.36 Km/L</t>
  </si>
  <si>
    <t xml:space="preserve">35655.41</t>
  </si>
  <si>
    <t xml:space="preserve">OUK3769</t>
  </si>
  <si>
    <t xml:space="preserve">R6995</t>
  </si>
  <si>
    <t xml:space="preserve">0.81</t>
  </si>
  <si>
    <t xml:space="preserve">4.01 Km/L</t>
  </si>
  <si>
    <t xml:space="preserve">2262.19</t>
  </si>
  <si>
    <t xml:space="preserve">1180390.81</t>
  </si>
  <si>
    <t xml:space="preserve">OZV6244</t>
  </si>
  <si>
    <t xml:space="preserve">R7415</t>
  </si>
  <si>
    <t xml:space="preserve">JOAO CARLOS BOMFIM JATOBA - 58603824568, RODRIGO DOS SANTOS - 02501564588</t>
  </si>
  <si>
    <t xml:space="preserve">426.88</t>
  </si>
  <si>
    <t xml:space="preserve">152.86 L</t>
  </si>
  <si>
    <t xml:space="preserve">Avenida Soares Lopes</t>
  </si>
  <si>
    <t xml:space="preserve">1149873.10</t>
  </si>
  <si>
    <t xml:space="preserve">1150299.97</t>
  </si>
  <si>
    <t xml:space="preserve">JOAO CARLOS BOMFIM JATOBA - 58603824568, RODRIGO DOS SANTOS - 02501564588, PAULO ROBERTO GARCIA DA SILVA - 05472412595</t>
  </si>
  <si>
    <t xml:space="preserve">427.62</t>
  </si>
  <si>
    <t xml:space="preserve">147.82 L</t>
  </si>
  <si>
    <t xml:space="preserve">1150727.59</t>
  </si>
  <si>
    <t xml:space="preserve">JOAO CARLOS BOMFIM JATOBA - 58603824568, RODRIGO DOS SANTOS - 02501564588, ANTONIO CARLOS DE JESUS ASSUNCAO - 88983145587, RICARDO DE JESUS LOPES - 04936290505</t>
  </si>
  <si>
    <t xml:space="preserve">424.50</t>
  </si>
  <si>
    <t xml:space="preserve">153.27 L</t>
  </si>
  <si>
    <t xml:space="preserve">1151152.09</t>
  </si>
  <si>
    <t xml:space="preserve">150.85 L</t>
  </si>
  <si>
    <t xml:space="preserve">1151578.96</t>
  </si>
  <si>
    <t xml:space="preserve">Jose Raimundo dos Santos - 00335224563, PAULO ROBERTO GARCIA DA SILVA - 05472412595</t>
  </si>
  <si>
    <t xml:space="preserve">106.94</t>
  </si>
  <si>
    <t xml:space="preserve">37.52 L</t>
  </si>
  <si>
    <t xml:space="preserve">Rua Macário dos Reis</t>
  </si>
  <si>
    <t xml:space="preserve">1151685.90</t>
  </si>
  <si>
    <t xml:space="preserve">LAZARO DOS SANTOS DE AMORIM - 86317382557, JUCIMAR DE JESUS SANTOS - 03136869559</t>
  </si>
  <si>
    <t xml:space="preserve">103.43</t>
  </si>
  <si>
    <t xml:space="preserve">41.04 L</t>
  </si>
  <si>
    <t xml:space="preserve">2.52 Km/L</t>
  </si>
  <si>
    <t xml:space="preserve">1151789.33</t>
  </si>
  <si>
    <t xml:space="preserve">OZV9339</t>
  </si>
  <si>
    <t xml:space="preserve">R7425</t>
  </si>
  <si>
    <t xml:space="preserve">UILLIANS DA SILVA OLIVEIRA - 11298606713, Jose Raimundo dos Santos - 00335224563</t>
  </si>
  <si>
    <t xml:space="preserve">215.43</t>
  </si>
  <si>
    <t xml:space="preserve">1094509.67</t>
  </si>
  <si>
    <t xml:space="preserve">1094725.09</t>
  </si>
  <si>
    <t xml:space="preserve">UILLIANS DA SILVA OLIVEIRA - 11298606713</t>
  </si>
  <si>
    <t xml:space="preserve">218.04</t>
  </si>
  <si>
    <t xml:space="preserve">1094943.13</t>
  </si>
  <si>
    <t xml:space="preserve">UILLIANS DA SILVA OLIVEIRA - 11298606713, IVANILDO SOUSA DE ANDRADE - 03112281519, Anderson Ferreira Da Silva  - 01452873518</t>
  </si>
  <si>
    <t xml:space="preserve">215.03</t>
  </si>
  <si>
    <t xml:space="preserve">1095158.15</t>
  </si>
  <si>
    <t xml:space="preserve">217.53</t>
  </si>
  <si>
    <t xml:space="preserve">1095375.68</t>
  </si>
  <si>
    <t xml:space="preserve">JOSE RAIMUNDO CARDOSO FILHO - 70889945500, GEVAN PINTO DOS SANTOS - 04195998514</t>
  </si>
  <si>
    <t xml:space="preserve">121.39</t>
  </si>
  <si>
    <t xml:space="preserve">1095497.07</t>
  </si>
  <si>
    <t xml:space="preserve">MARCOS FILIPE LIMA DE OLIVEIRA - 85262714587, LAZARO DOS SANTOS DE AMORIM - 86317382557, JOSE NEILTON DOS SANTOS - 50982354568, CARLISSON MESSIAS DE JESUS - 04199062580, PAULO SERGIO MENEZES SANTOS - 01555946569</t>
  </si>
  <si>
    <t xml:space="preserve">209.14</t>
  </si>
  <si>
    <t xml:space="preserve">1095706.20</t>
  </si>
  <si>
    <t xml:space="preserve">OZV9425</t>
  </si>
  <si>
    <t xml:space="preserve">R7435</t>
  </si>
  <si>
    <t xml:space="preserve">Jose Raimundo dos Santos - 00335224563, JOSE MARCOS DE JESUS BRITO - 05586450542</t>
  </si>
  <si>
    <t xml:space="preserve">147.77</t>
  </si>
  <si>
    <t xml:space="preserve">51.90 L</t>
  </si>
  <si>
    <t xml:space="preserve">942103.15</t>
  </si>
  <si>
    <t xml:space="preserve">942250.92</t>
  </si>
  <si>
    <t xml:space="preserve">JOSE MARCOS DE JESUS BRITO - 05586450542</t>
  </si>
  <si>
    <t xml:space="preserve">196.29</t>
  </si>
  <si>
    <t xml:space="preserve">66.62 L</t>
  </si>
  <si>
    <t xml:space="preserve">942447.21</t>
  </si>
  <si>
    <t xml:space="preserve">196.34</t>
  </si>
  <si>
    <t xml:space="preserve">70.61 L</t>
  </si>
  <si>
    <t xml:space="preserve">942643.54</t>
  </si>
  <si>
    <t xml:space="preserve">ANTONIO MAXIMO SANTOS SOUSA - 04634408546, CARLOS ROBERTO - 88988503520, ABILIO SANTOS COUTINHO - 92884539549</t>
  </si>
  <si>
    <t xml:space="preserve">111.20</t>
  </si>
  <si>
    <t xml:space="preserve">35.67 L</t>
  </si>
  <si>
    <t xml:space="preserve">942754.74</t>
  </si>
  <si>
    <t xml:space="preserve">231.50</t>
  </si>
  <si>
    <t xml:space="preserve">79.33 L</t>
  </si>
  <si>
    <t xml:space="preserve">942986.24</t>
  </si>
  <si>
    <t xml:space="preserve">OZV2987</t>
  </si>
  <si>
    <t xml:space="preserve">R7445</t>
  </si>
  <si>
    <t xml:space="preserve">Jose Raimundo dos Santos - 00335224563, FABIANO REIS DOS SANTOS - 06063406530, CARLISSON MESSIAS DE JESUS - 04199062580</t>
  </si>
  <si>
    <t xml:space="preserve">172.27</t>
  </si>
  <si>
    <t xml:space="preserve">65.82 L</t>
  </si>
  <si>
    <t xml:space="preserve">2.62 Km/L</t>
  </si>
  <si>
    <t xml:space="preserve">Avenida José Soares Pinheiro</t>
  </si>
  <si>
    <t xml:space="preserve">1010846.62</t>
  </si>
  <si>
    <t xml:space="preserve">1011018.89</t>
  </si>
  <si>
    <t xml:space="preserve">RAFAEL DE JESUS BARRETO - 85830111500, ELPIDIO SANTOS GONCALVES - 46146261572, EMERSON ANDRADE DA SILVA - 96170824549, NATANAEL AVELINO DOS SANTOS - 05037278570</t>
  </si>
  <si>
    <t xml:space="preserve">136.87</t>
  </si>
  <si>
    <t xml:space="preserve">58.15 L</t>
  </si>
  <si>
    <t xml:space="preserve">1011155.76</t>
  </si>
  <si>
    <t xml:space="preserve">ELPIDIO SANTOS GONCALVES - 46146261572, WELLINGTON JOVINO DOS SANTOS - 01790228573</t>
  </si>
  <si>
    <t xml:space="preserve">99.77</t>
  </si>
  <si>
    <t xml:space="preserve">42.26 L</t>
  </si>
  <si>
    <t xml:space="preserve">1011255.53</t>
  </si>
  <si>
    <t xml:space="preserve">EDVALDO ELIAS SILVA - 99881624568, ELPIDIO SANTOS GONCALVES - 46146261572, RONALDO REIS SANTOS - 01961868547, WELLINGTON JOVINO DOS SANTOS - 01790228573</t>
  </si>
  <si>
    <t xml:space="preserve">135.26</t>
  </si>
  <si>
    <t xml:space="preserve">56.26 L</t>
  </si>
  <si>
    <t xml:space="preserve">1011390.79</t>
  </si>
  <si>
    <t xml:space="preserve">0.03 L</t>
  </si>
  <si>
    <t xml:space="preserve">Rua G</t>
  </si>
  <si>
    <t xml:space="preserve">WALLACE MARCELO COSTA SOUZA - 01428336575, ALESSANDRO DA SILVA SANTOS - 91300681500, WEKSLEY SILVA DAS NEVES - 04346712584, WELLINGTON JOVINO DOS SANTOS - 01790228573</t>
  </si>
  <si>
    <t xml:space="preserve">365.81</t>
  </si>
  <si>
    <t xml:space="preserve">127.75 L</t>
  </si>
  <si>
    <t xml:space="preserve">1011756.60</t>
  </si>
  <si>
    <t xml:space="preserve">OZV7879</t>
  </si>
  <si>
    <t xml:space="preserve">R7455</t>
  </si>
  <si>
    <t xml:space="preserve">ISRAEL SOARES DOS SANTOS - 09628284916, ARLECIO HENRIQUE DE ANDRADE - 64987604515, ERINALDO SILVA NOVAES - 00346808537, GILDASIO R DOS SANTOS JUNIOR - 00596184506</t>
  </si>
  <si>
    <t xml:space="preserve">380.42</t>
  </si>
  <si>
    <t xml:space="preserve">917735.19</t>
  </si>
  <si>
    <t xml:space="preserve">918115.60</t>
  </si>
  <si>
    <t xml:space="preserve">VALDINE SILVA DE OLIVEIRA NERI - 00144623544, JUCIMAR DE JESUS SANTOS - 03136869559</t>
  </si>
  <si>
    <t xml:space="preserve">187.89</t>
  </si>
  <si>
    <t xml:space="preserve">918303.49</t>
  </si>
  <si>
    <t xml:space="preserve">EDVALDO ELIAS SILVA - 99881624568, FABIANO REIS DOS SANTOS - 06063406530</t>
  </si>
  <si>
    <t xml:space="preserve">59.50</t>
  </si>
  <si>
    <t xml:space="preserve">918363.00</t>
  </si>
  <si>
    <t xml:space="preserve">VALDINE SILVA DE OLIVEIRA NERI - 00144623544, JUCIMAR DE JESUS SANTOS - 03136869559, EDVALDO ELIAS SILVA - 99881624568, FERNANDO DAMASCENO DE JESUS - 03779273500</t>
  </si>
  <si>
    <t xml:space="preserve">135.51</t>
  </si>
  <si>
    <t xml:space="preserve">918498.51</t>
  </si>
  <si>
    <t xml:space="preserve">29.00</t>
  </si>
  <si>
    <t xml:space="preserve">918527.51</t>
  </si>
  <si>
    <t xml:space="preserve">EMERSON ANDRADE DA SILVA - 96170824549</t>
  </si>
  <si>
    <t xml:space="preserve">18.24</t>
  </si>
  <si>
    <t xml:space="preserve">918545.75</t>
  </si>
  <si>
    <t xml:space="preserve">OZV5174</t>
  </si>
  <si>
    <t xml:space="preserve">R7465</t>
  </si>
  <si>
    <t xml:space="preserve">WELLINGTON JOVINO DOS SANTOS - 01790228573</t>
  </si>
  <si>
    <t xml:space="preserve">16.73</t>
  </si>
  <si>
    <t xml:space="preserve">8.26 L</t>
  </si>
  <si>
    <t xml:space="preserve">2.03 Km/L</t>
  </si>
  <si>
    <t xml:space="preserve">902812.46</t>
  </si>
  <si>
    <t xml:space="preserve">902829.18</t>
  </si>
  <si>
    <t xml:space="preserve">CARLISSON MESSIAS DE JESUS - 04199062580</t>
  </si>
  <si>
    <t xml:space="preserve">179.32</t>
  </si>
  <si>
    <t xml:space="preserve">61.35 L</t>
  </si>
  <si>
    <t xml:space="preserve">903008.50</t>
  </si>
  <si>
    <t xml:space="preserve">EDUARDO OLIVEIRA SAMPAIO - 06996074509, EMERSON ANDRADE DA SILVA - 96170824549, EDSON REIS SANTOS - 02792072555</t>
  </si>
  <si>
    <t xml:space="preserve">22.21</t>
  </si>
  <si>
    <t xml:space="preserve">10.58 L</t>
  </si>
  <si>
    <t xml:space="preserve">2.10 Km/L</t>
  </si>
  <si>
    <t xml:space="preserve">903030.70</t>
  </si>
  <si>
    <t xml:space="preserve">JOELSON BARBOSA DA SILVA - 03581742527, NATANAEL AVELINO DOS SANTOS - 05037278570</t>
  </si>
  <si>
    <t xml:space="preserve">39.67</t>
  </si>
  <si>
    <t xml:space="preserve">18.13 L</t>
  </si>
  <si>
    <t xml:space="preserve">2.19 Km/L</t>
  </si>
  <si>
    <t xml:space="preserve">Rua São José</t>
  </si>
  <si>
    <t xml:space="preserve">903070.37</t>
  </si>
  <si>
    <t xml:space="preserve">OSNILDO CLEMENTINO ROCHA DOS - 87948125515, OTO CLIMACO DE SANTANA - 42245079515</t>
  </si>
  <si>
    <t xml:space="preserve">91.74</t>
  </si>
  <si>
    <t xml:space="preserve">34.22 L</t>
  </si>
  <si>
    <t xml:space="preserve">903162.11</t>
  </si>
  <si>
    <t xml:space="preserve">Luciano Junior Oliveira Santos - 06512965523</t>
  </si>
  <si>
    <t xml:space="preserve">78.39</t>
  </si>
  <si>
    <t xml:space="preserve">27.67 L</t>
  </si>
  <si>
    <t xml:space="preserve">903240.50</t>
  </si>
  <si>
    <t xml:space="preserve">FAGNER SILVA DOS ANJOS - 05344151560, JOSEFAL FERREIRA DE SOUZA - 92164986504</t>
  </si>
  <si>
    <t xml:space="preserve">174.54</t>
  </si>
  <si>
    <t xml:space="preserve">67.04 L</t>
  </si>
  <si>
    <t xml:space="preserve">2.60 Km/L</t>
  </si>
  <si>
    <t xml:space="preserve">903415.04</t>
  </si>
  <si>
    <t xml:space="preserve">JSO2185</t>
  </si>
  <si>
    <t xml:space="preserve">R6195</t>
  </si>
  <si>
    <t xml:space="preserve">MARCOS CARVALHO RIBEIRO - 03981643550, IRANILSON FAUSTINO DA SILVA - 00289567530</t>
  </si>
  <si>
    <t xml:space="preserve">118.30</t>
  </si>
  <si>
    <t xml:space="preserve">44.02 L</t>
  </si>
  <si>
    <t xml:space="preserve">2.69 Km/L</t>
  </si>
  <si>
    <t xml:space="preserve">47113.23</t>
  </si>
  <si>
    <t xml:space="preserve">47231.53</t>
  </si>
  <si>
    <t xml:space="preserve">IRANILSON FAUSTINO DA SILVA - 00289567530, ALEGUIRINALDO DE SOUZA LEITE JUNIOR - 05053784507</t>
  </si>
  <si>
    <t xml:space="preserve">119.41</t>
  </si>
  <si>
    <t xml:space="preserve">47350.94</t>
  </si>
  <si>
    <t xml:space="preserve">119.31</t>
  </si>
  <si>
    <t xml:space="preserve">44.25 L</t>
  </si>
  <si>
    <t xml:space="preserve">47470.26</t>
  </si>
  <si>
    <t xml:space="preserve">IRANILSON FAUSTINO DA SILVA - 00289567530, ALEGUIRINALDO DE SOUZA LEITE JUNIOR - 05053784507, FERNANDO DAMASCENO DE JESUS - 03779273500</t>
  </si>
  <si>
    <t xml:space="preserve">112.74</t>
  </si>
  <si>
    <t xml:space="preserve">40.87 L</t>
  </si>
  <si>
    <t xml:space="preserve">47582.99</t>
  </si>
  <si>
    <t xml:space="preserve">JOSEFAL FERREIRA DE SOUZA - 92164986504, ADAILTON JOSE DE JESUS - 39168727534</t>
  </si>
  <si>
    <t xml:space="preserve">77.77</t>
  </si>
  <si>
    <t xml:space="preserve">24.72 L</t>
  </si>
  <si>
    <t xml:space="preserve">47660.76</t>
  </si>
  <si>
    <t xml:space="preserve">ANDERSON SANTOS DE OLIVEIRA - 05561156519</t>
  </si>
  <si>
    <t xml:space="preserve">128.84</t>
  </si>
  <si>
    <t xml:space="preserve">34.62 L</t>
  </si>
  <si>
    <t xml:space="preserve">3.72 Km/L</t>
  </si>
  <si>
    <t xml:space="preserve">47789.61</t>
  </si>
  <si>
    <t xml:space="preserve">IRANILSON FAUSTINO DA SILVA - 00289567530, Anderson Ferreira Da Silva  - 01452873518</t>
  </si>
  <si>
    <t xml:space="preserve">120.02</t>
  </si>
  <si>
    <t xml:space="preserve">45.77 L</t>
  </si>
  <si>
    <t xml:space="preserve">47909.62</t>
  </si>
  <si>
    <t xml:space="preserve">NYK4322</t>
  </si>
  <si>
    <t xml:space="preserve">R6345</t>
  </si>
  <si>
    <t xml:space="preserve">179.41</t>
  </si>
  <si>
    <t xml:space="preserve">380104.32</t>
  </si>
  <si>
    <t xml:space="preserve">380283.73</t>
  </si>
  <si>
    <t xml:space="preserve">CLAUDIO MOREIRA DA SILVA - 96221151520, ELPIDIO SANTOS GONCALVES - 46146261572</t>
  </si>
  <si>
    <t xml:space="preserve">243.24</t>
  </si>
  <si>
    <t xml:space="preserve">Rua Eduardo Nunes</t>
  </si>
  <si>
    <t xml:space="preserve">380526.97</t>
  </si>
  <si>
    <t xml:space="preserve">JOSEFAL FERREIRA DE SOUZA - 92164986504, ELPIDIO SANTOS GONCALVES - 46146261572</t>
  </si>
  <si>
    <t xml:space="preserve">143.33</t>
  </si>
  <si>
    <t xml:space="preserve">380670.30</t>
  </si>
  <si>
    <t xml:space="preserve">JANEIDSON VILAS BOAS SANTOS - 02092576526</t>
  </si>
  <si>
    <t xml:space="preserve">227.61</t>
  </si>
  <si>
    <t xml:space="preserve">380897.92</t>
  </si>
  <si>
    <t xml:space="preserve">DEMETRIO CARDOSO DA CONCEICAO - 04059850888, NATANAEL AVELINO DOS SANTOS - 05037278570</t>
  </si>
  <si>
    <t xml:space="preserve">185.70</t>
  </si>
  <si>
    <t xml:space="preserve">381083.62</t>
  </si>
  <si>
    <t xml:space="preserve">290.93</t>
  </si>
  <si>
    <t xml:space="preserve">381374.55</t>
  </si>
  <si>
    <t xml:space="preserve">288.81</t>
  </si>
  <si>
    <t xml:space="preserve">381663.36</t>
  </si>
  <si>
    <t xml:space="preserve">NYK3954</t>
  </si>
  <si>
    <t xml:space="preserve">R6355</t>
  </si>
  <si>
    <t xml:space="preserve">ADALTO SILVA DOS SANTOS  - 00259219592</t>
  </si>
  <si>
    <t xml:space="preserve">105.04</t>
  </si>
  <si>
    <t xml:space="preserve">BR-030</t>
  </si>
  <si>
    <t xml:space="preserve">Rua B (Dt Industrial)</t>
  </si>
  <si>
    <t xml:space="preserve">342335.51</t>
  </si>
  <si>
    <t xml:space="preserve">342440.55</t>
  </si>
  <si>
    <t xml:space="preserve">26.89</t>
  </si>
  <si>
    <t xml:space="preserve">3ª Travessa Professor Damião Vieira</t>
  </si>
  <si>
    <t xml:space="preserve">342467.44</t>
  </si>
  <si>
    <t xml:space="preserve">GILVAN ROCHA BARBOSA - 00493983503</t>
  </si>
  <si>
    <t xml:space="preserve">175.82</t>
  </si>
  <si>
    <t xml:space="preserve">342643.25</t>
  </si>
  <si>
    <t xml:space="preserve">EMILIO JOSE SILVA SANTOS - 03610238550</t>
  </si>
  <si>
    <t xml:space="preserve">254.63</t>
  </si>
  <si>
    <t xml:space="preserve">342897.88</t>
  </si>
  <si>
    <t xml:space="preserve">NYP4733</t>
  </si>
  <si>
    <t xml:space="preserve">R6465</t>
  </si>
  <si>
    <t xml:space="preserve">EDUARDO OLIVEIRA SAMPAIO - 06996074509</t>
  </si>
  <si>
    <t xml:space="preserve">3.59</t>
  </si>
  <si>
    <t xml:space="preserve">408884.70</t>
  </si>
  <si>
    <t xml:space="preserve">408888.29</t>
  </si>
  <si>
    <t xml:space="preserve">0.11</t>
  </si>
  <si>
    <t xml:space="preserve">408888.39</t>
  </si>
  <si>
    <t xml:space="preserve">44.95</t>
  </si>
  <si>
    <t xml:space="preserve">408933.34</t>
  </si>
  <si>
    <t xml:space="preserve">42.47</t>
  </si>
  <si>
    <t xml:space="preserve">408975.80</t>
  </si>
  <si>
    <t xml:space="preserve">NYQ6162</t>
  </si>
  <si>
    <t xml:space="preserve">R6475</t>
  </si>
  <si>
    <t xml:space="preserve">EDEVALDO OLIVEIRA NASCIMENTO - 03931855597</t>
  </si>
  <si>
    <t xml:space="preserve">163.72</t>
  </si>
  <si>
    <t xml:space="preserve">Rua Góes Calmon</t>
  </si>
  <si>
    <t xml:space="preserve">178322.86</t>
  </si>
  <si>
    <t xml:space="preserve">178486.58</t>
  </si>
  <si>
    <t xml:space="preserve">164.40</t>
  </si>
  <si>
    <t xml:space="preserve">Rua Alfredo Andrade</t>
  </si>
  <si>
    <t xml:space="preserve">178650.98</t>
  </si>
  <si>
    <t xml:space="preserve">163.18</t>
  </si>
  <si>
    <t xml:space="preserve">178814.16</t>
  </si>
  <si>
    <t xml:space="preserve">325.51</t>
  </si>
  <si>
    <t xml:space="preserve">Praça Félix Mendonça</t>
  </si>
  <si>
    <t xml:space="preserve">179139.67</t>
  </si>
  <si>
    <t xml:space="preserve">EDEVALDO OLIVEIRA NASCIMENTO - 03931855597, WILLIAM WASKIEVICZ DE VARGAS - 02402034025</t>
  </si>
  <si>
    <t xml:space="preserve">163.81</t>
  </si>
  <si>
    <t xml:space="preserve">179303.48</t>
  </si>
  <si>
    <t xml:space="preserve">324.57</t>
  </si>
  <si>
    <t xml:space="preserve">Travessa Brás Mendonça</t>
  </si>
  <si>
    <t xml:space="preserve">179628.05</t>
  </si>
  <si>
    <t xml:space="preserve">NYP4A36</t>
  </si>
  <si>
    <t xml:space="preserve">R6485</t>
  </si>
  <si>
    <t xml:space="preserve">ANDERSON SANTOS DE OLIVEIRA - 05561156519, EMERSON ANDRADE DA SILVA - 96170824549, ALEGUIRINALDO DE SOUZA LEITE JUNIOR - 05053784507</t>
  </si>
  <si>
    <t xml:space="preserve">96.65</t>
  </si>
  <si>
    <t xml:space="preserve">81007.18</t>
  </si>
  <si>
    <t xml:space="preserve">81103.83</t>
  </si>
  <si>
    <t xml:space="preserve">Anderson Ferreira Da Silva  - 01452873518</t>
  </si>
  <si>
    <t xml:space="preserve">23.46</t>
  </si>
  <si>
    <t xml:space="preserve">81127.29</t>
  </si>
  <si>
    <t xml:space="preserve">JOSE MARCIO SILVA - 91678463515</t>
  </si>
  <si>
    <t xml:space="preserve">0.85</t>
  </si>
  <si>
    <t xml:space="preserve">81128.13</t>
  </si>
  <si>
    <t xml:space="preserve">81128.33</t>
  </si>
  <si>
    <t xml:space="preserve">OKJ1751</t>
  </si>
  <si>
    <t xml:space="preserve">R6645</t>
  </si>
  <si>
    <t xml:space="preserve">ISRAEL SOARES DOS SANTOS - 09628284916, RAFAEL DE JESUS BARRETO - 85830111500, EDVALDO ELIAS SILVA - 99881624568</t>
  </si>
  <si>
    <t xml:space="preserve">131.66</t>
  </si>
  <si>
    <t xml:space="preserve">8784105.52</t>
  </si>
  <si>
    <t xml:space="preserve">8784237.18</t>
  </si>
  <si>
    <t xml:space="preserve">ISRAEL SOARES DOS SANTOS - 09628284916, VALDINE SILVA DE OLIVEIRA NERI - 00144623544, EDVALDO ELIAS SILVA - 99881624568</t>
  </si>
  <si>
    <t xml:space="preserve">124.10</t>
  </si>
  <si>
    <t xml:space="preserve">8784361.28</t>
  </si>
  <si>
    <t xml:space="preserve">ISRAEL SOARES DOS SANTOS - 09628284916, MARCOS CARVALHO RIBEIRO - 03981643550, EDVALDO ELIAS SILVA - 99881624568</t>
  </si>
  <si>
    <t xml:space="preserve">143.76</t>
  </si>
  <si>
    <t xml:space="preserve">8784505.04</t>
  </si>
  <si>
    <t xml:space="preserve">ISRAEL SOARES DOS SANTOS - 09628284916, MARCOS CARVALHO RIBEIRO - 03981643550, EDVALDO ELIAS SILVA - 99881624568, IRANILSON FAUSTINO DA SILVA - 00289567530</t>
  </si>
  <si>
    <t xml:space="preserve">120.67</t>
  </si>
  <si>
    <t xml:space="preserve">8784625.71</t>
  </si>
  <si>
    <t xml:space="preserve">EDVALDO ELIAS SILVA - 99881624568, NATANAEL AVELINO DOS SANTOS - 05037278570</t>
  </si>
  <si>
    <t xml:space="preserve">115.47</t>
  </si>
  <si>
    <t xml:space="preserve">8784741.18</t>
  </si>
  <si>
    <t xml:space="preserve">0.07</t>
  </si>
  <si>
    <t xml:space="preserve">8784741.24</t>
  </si>
  <si>
    <t xml:space="preserve">FAGNER SILVA DOS ANJOS - 05344151560, EDVALDO ELIAS SILVA - 99881624568</t>
  </si>
  <si>
    <t xml:space="preserve">116.39</t>
  </si>
  <si>
    <t xml:space="preserve">8784857.63</t>
  </si>
  <si>
    <t xml:space="preserve">OUH1140</t>
  </si>
  <si>
    <t xml:space="preserve">R6845</t>
  </si>
  <si>
    <t xml:space="preserve">830779.01</t>
  </si>
  <si>
    <t xml:space="preserve">LUCAS NASCIMENTO BRITO - 69134022520</t>
  </si>
  <si>
    <t xml:space="preserve">91.70</t>
  </si>
  <si>
    <t xml:space="preserve">26.68 L</t>
  </si>
  <si>
    <t xml:space="preserve">3.44 Km/L</t>
  </si>
  <si>
    <t xml:space="preserve">830870.69</t>
  </si>
  <si>
    <t xml:space="preserve">DULCELINO ALMEIDA DE JESUS - 88125386572</t>
  </si>
  <si>
    <t xml:space="preserve">147.01</t>
  </si>
  <si>
    <t xml:space="preserve">25.24 L</t>
  </si>
  <si>
    <t xml:space="preserve">5.82 Km/L</t>
  </si>
  <si>
    <t xml:space="preserve">831017.70</t>
  </si>
  <si>
    <t xml:space="preserve">489.84</t>
  </si>
  <si>
    <t xml:space="preserve">67.38 L</t>
  </si>
  <si>
    <t xml:space="preserve">7.27 Km/L</t>
  </si>
  <si>
    <t xml:space="preserve">831507.53</t>
  </si>
  <si>
    <t xml:space="preserve">ELMO SOUZA DOS SANTOS - 00330688529, EDSON RIBEIRO BATISTA SANTOS - 03640303563</t>
  </si>
  <si>
    <t xml:space="preserve">6.03</t>
  </si>
  <si>
    <t xml:space="preserve">1.18 L</t>
  </si>
  <si>
    <t xml:space="preserve">Rua Bom Jesus</t>
  </si>
  <si>
    <t xml:space="preserve">831513.56</t>
  </si>
  <si>
    <t xml:space="preserve">2.11</t>
  </si>
  <si>
    <t xml:space="preserve">5.78 Km/L</t>
  </si>
  <si>
    <t xml:space="preserve">831515.67</t>
  </si>
  <si>
    <t xml:space="preserve">OUH3940</t>
  </si>
  <si>
    <t xml:space="preserve">R6855</t>
  </si>
  <si>
    <t xml:space="preserve">70.86</t>
  </si>
  <si>
    <t xml:space="preserve">25.44 L</t>
  </si>
  <si>
    <t xml:space="preserve">646893.08</t>
  </si>
  <si>
    <t xml:space="preserve">646963.94</t>
  </si>
  <si>
    <t xml:space="preserve">ANTONIEL SILVA NOVAIS - 16687097830, DULCELINO ALMEIDA DE JESUS - 88125386572</t>
  </si>
  <si>
    <t xml:space="preserve">265.15</t>
  </si>
  <si>
    <t xml:space="preserve">97.36 L</t>
  </si>
  <si>
    <t xml:space="preserve">647229.09</t>
  </si>
  <si>
    <t xml:space="preserve">0.35</t>
  </si>
  <si>
    <t xml:space="preserve">1.05 L</t>
  </si>
  <si>
    <t xml:space="preserve">0.33 Km/L</t>
  </si>
  <si>
    <t xml:space="preserve">647229.44</t>
  </si>
  <si>
    <t xml:space="preserve">VALDOMIRO BISPO DOS SANTOS - 57511322549, EDENILSON GALDINO DOS SANTOS - 00707437547</t>
  </si>
  <si>
    <t xml:space="preserve">123.35</t>
  </si>
  <si>
    <t xml:space="preserve">46.17 L</t>
  </si>
  <si>
    <t xml:space="preserve">647352.79</t>
  </si>
  <si>
    <t xml:space="preserve">EDENILSON GALDINO DOS SANTOS - 00707437547</t>
  </si>
  <si>
    <t xml:space="preserve">79.15</t>
  </si>
  <si>
    <t xml:space="preserve">30.55 L</t>
  </si>
  <si>
    <t xml:space="preserve">647431.94</t>
  </si>
  <si>
    <t xml:space="preserve">282.25</t>
  </si>
  <si>
    <t xml:space="preserve">99.13 L</t>
  </si>
  <si>
    <t xml:space="preserve">647714.18</t>
  </si>
  <si>
    <t xml:space="preserve">OUH0435</t>
  </si>
  <si>
    <t xml:space="preserve">R6865</t>
  </si>
  <si>
    <t xml:space="preserve">RODRIGO SANTOS DE ASSIS - 02614313580</t>
  </si>
  <si>
    <t xml:space="preserve">156.89</t>
  </si>
  <si>
    <t xml:space="preserve">55.88 L</t>
  </si>
  <si>
    <t xml:space="preserve">BA-676</t>
  </si>
  <si>
    <t xml:space="preserve">748075.03</t>
  </si>
  <si>
    <t xml:space="preserve">748231.92</t>
  </si>
  <si>
    <t xml:space="preserve">SANDRO ALVES DA CRUZ - 04772139524</t>
  </si>
  <si>
    <t xml:space="preserve">166.37</t>
  </si>
  <si>
    <t xml:space="preserve">53.42 L</t>
  </si>
  <si>
    <t xml:space="preserve">3.11 Km/L</t>
  </si>
  <si>
    <t xml:space="preserve">Praça José Olavo</t>
  </si>
  <si>
    <t xml:space="preserve">748398.28</t>
  </si>
  <si>
    <t xml:space="preserve">167.29</t>
  </si>
  <si>
    <t xml:space="preserve">52.84 L</t>
  </si>
  <si>
    <t xml:space="preserve">748565.57</t>
  </si>
  <si>
    <t xml:space="preserve">RODRIGO SANTOS DE ASSIS - 02614313580, MAURICIO FERREIRA DOS SANTOS - 21343882850</t>
  </si>
  <si>
    <t xml:space="preserve">166.55</t>
  </si>
  <si>
    <t xml:space="preserve">53.93 L</t>
  </si>
  <si>
    <t xml:space="preserve">748732.12</t>
  </si>
  <si>
    <t xml:space="preserve">54.59 L</t>
  </si>
  <si>
    <t xml:space="preserve">748899.46</t>
  </si>
  <si>
    <t xml:space="preserve">157.01</t>
  </si>
  <si>
    <t xml:space="preserve">51.20 L</t>
  </si>
  <si>
    <t xml:space="preserve">749056.46</t>
  </si>
  <si>
    <t xml:space="preserve">OUJ6028</t>
  </si>
  <si>
    <t xml:space="preserve">R6885</t>
  </si>
  <si>
    <t xml:space="preserve">30.01</t>
  </si>
  <si>
    <t xml:space="preserve">11.40 L</t>
  </si>
  <si>
    <t xml:space="preserve">685264.79</t>
  </si>
  <si>
    <t xml:space="preserve">685294.80</t>
  </si>
  <si>
    <t xml:space="preserve">CLAUDIO MOREIRA DA SILVA - 96221151520</t>
  </si>
  <si>
    <t xml:space="preserve">113.95</t>
  </si>
  <si>
    <t xml:space="preserve">39.81 L</t>
  </si>
  <si>
    <t xml:space="preserve">685408.75</t>
  </si>
  <si>
    <t xml:space="preserve">LUIS SERGIO NUNES NASCIMENTO - 54942551587</t>
  </si>
  <si>
    <t xml:space="preserve">177.22</t>
  </si>
  <si>
    <t xml:space="preserve">68.09 L</t>
  </si>
  <si>
    <t xml:space="preserve">685585.96</t>
  </si>
  <si>
    <t xml:space="preserve">177.11</t>
  </si>
  <si>
    <t xml:space="preserve">68.39 L</t>
  </si>
  <si>
    <t xml:space="preserve">685763.07</t>
  </si>
  <si>
    <t xml:space="preserve">EMILIO JOSE SILVA SANTOS - 03610238550, WILLIAN JOSE DA CUNHA - 03523954517</t>
  </si>
  <si>
    <t xml:space="preserve">227.46</t>
  </si>
  <si>
    <t xml:space="preserve">72.20 L</t>
  </si>
  <si>
    <t xml:space="preserve">685990.53</t>
  </si>
  <si>
    <t xml:space="preserve">177.23</t>
  </si>
  <si>
    <t xml:space="preserve">66.70 L</t>
  </si>
  <si>
    <t xml:space="preserve">686167.76</t>
  </si>
  <si>
    <t xml:space="preserve">177.19</t>
  </si>
  <si>
    <t xml:space="preserve">70.87 L</t>
  </si>
  <si>
    <t xml:space="preserve">686344.94</t>
  </si>
  <si>
    <t xml:space="preserve">OUI1672</t>
  </si>
  <si>
    <t xml:space="preserve">R6895</t>
  </si>
  <si>
    <t xml:space="preserve">CLAUDIO MOREIRA DA SILVA - 96221151520, NATANAEL AVELINO DOS SANTOS - 05037278570</t>
  </si>
  <si>
    <t xml:space="preserve">136.94</t>
  </si>
  <si>
    <t xml:space="preserve">51.52 L</t>
  </si>
  <si>
    <t xml:space="preserve">784423.49</t>
  </si>
  <si>
    <t xml:space="preserve">784560.43</t>
  </si>
  <si>
    <t xml:space="preserve">177.70</t>
  </si>
  <si>
    <t xml:space="preserve">71.29 L</t>
  </si>
  <si>
    <t xml:space="preserve">784738.13</t>
  </si>
  <si>
    <t xml:space="preserve">228.40</t>
  </si>
  <si>
    <t xml:space="preserve">80.66 L</t>
  </si>
  <si>
    <t xml:space="preserve">784966.53</t>
  </si>
  <si>
    <t xml:space="preserve">228.28</t>
  </si>
  <si>
    <t xml:space="preserve">83.44 L</t>
  </si>
  <si>
    <t xml:space="preserve">2.74 Km/L</t>
  </si>
  <si>
    <t xml:space="preserve">785194.80</t>
  </si>
  <si>
    <t xml:space="preserve">78.23 L</t>
  </si>
  <si>
    <t xml:space="preserve">2.27 Km/L</t>
  </si>
  <si>
    <t xml:space="preserve">785372.50</t>
  </si>
  <si>
    <t xml:space="preserve">226.60</t>
  </si>
  <si>
    <t xml:space="preserve">71.70 L</t>
  </si>
  <si>
    <t xml:space="preserve">785599.10</t>
  </si>
  <si>
    <t xml:space="preserve">228.05</t>
  </si>
  <si>
    <t xml:space="preserve">75.94 L</t>
  </si>
  <si>
    <t xml:space="preserve">785827.15</t>
  </si>
  <si>
    <t xml:space="preserve">PKN7797</t>
  </si>
  <si>
    <t xml:space="preserve">R7705</t>
  </si>
  <si>
    <t xml:space="preserve">165.11</t>
  </si>
  <si>
    <t xml:space="preserve">96.99 L</t>
  </si>
  <si>
    <t xml:space="preserve">1.70 Km/L</t>
  </si>
  <si>
    <t xml:space="preserve">678744.34</t>
  </si>
  <si>
    <t xml:space="preserve">678909.44</t>
  </si>
  <si>
    <t xml:space="preserve">268.58</t>
  </si>
  <si>
    <t xml:space="preserve">139.52 L</t>
  </si>
  <si>
    <t xml:space="preserve">1.93 Km/L</t>
  </si>
  <si>
    <t xml:space="preserve">679178.02</t>
  </si>
  <si>
    <t xml:space="preserve">GABRIEL LOPES NOGUEIRA - 02773195523, LUCIANO BATISTA LEITE - 52977080520, LEONARDO ALCANTARA MASCARENHAS - 03138174566</t>
  </si>
  <si>
    <t xml:space="preserve">303.29</t>
  </si>
  <si>
    <t xml:space="preserve">171.49 L</t>
  </si>
  <si>
    <t xml:space="preserve">1.77 Km/L</t>
  </si>
  <si>
    <t xml:space="preserve">679481.31</t>
  </si>
  <si>
    <t xml:space="preserve">LUCIANO BATISTA LEITE - 52977080520</t>
  </si>
  <si>
    <t xml:space="preserve">240.95</t>
  </si>
  <si>
    <t xml:space="preserve">147.49 L</t>
  </si>
  <si>
    <t xml:space="preserve">1.63 Km/L</t>
  </si>
  <si>
    <t xml:space="preserve">679722.26</t>
  </si>
  <si>
    <t xml:space="preserve">ANTONIO MEIRELES DO N NETO - 15585891553, VANILSON MARQUES DE SOUZA - 00300572565</t>
  </si>
  <si>
    <t xml:space="preserve">270.95</t>
  </si>
  <si>
    <t xml:space="preserve">162.98 L</t>
  </si>
  <si>
    <t xml:space="preserve">1.66 Km/L</t>
  </si>
  <si>
    <t xml:space="preserve">679993.21</t>
  </si>
  <si>
    <t xml:space="preserve">183.35</t>
  </si>
  <si>
    <t xml:space="preserve">113.02 L</t>
  </si>
  <si>
    <t xml:space="preserve">1.62 Km/L</t>
  </si>
  <si>
    <t xml:space="preserve">680176.56</t>
  </si>
  <si>
    <t xml:space="preserve">PKN0916</t>
  </si>
  <si>
    <t xml:space="preserve">R7715</t>
  </si>
  <si>
    <t xml:space="preserve">620816.92</t>
  </si>
  <si>
    <t xml:space="preserve">620817.03</t>
  </si>
  <si>
    <t xml:space="preserve">0.99 L</t>
  </si>
  <si>
    <t xml:space="preserve">Rax Ribeiro Costa - 01321494513</t>
  </si>
  <si>
    <t xml:space="preserve">25.29</t>
  </si>
  <si>
    <t xml:space="preserve">7.49 L</t>
  </si>
  <si>
    <t xml:space="preserve">620842.32</t>
  </si>
  <si>
    <t xml:space="preserve">MAURICIO FERREIRA DOS SANTOS - 21343882850</t>
  </si>
  <si>
    <t xml:space="preserve">538.68</t>
  </si>
  <si>
    <t xml:space="preserve">154.50 L</t>
  </si>
  <si>
    <t xml:space="preserve">3.49 Km/L</t>
  </si>
  <si>
    <t xml:space="preserve">Rua Martinlano Bonfim</t>
  </si>
  <si>
    <t xml:space="preserve">621381.00</t>
  </si>
  <si>
    <t xml:space="preserve">GEORGE OLIVEIRA DE CARVALHO - 04460215551</t>
  </si>
  <si>
    <t xml:space="preserve">1.19</t>
  </si>
  <si>
    <t xml:space="preserve">2.02 L</t>
  </si>
  <si>
    <t xml:space="preserve">621382.19</t>
  </si>
  <si>
    <t xml:space="preserve">PKN2227</t>
  </si>
  <si>
    <t xml:space="preserve">R7775</t>
  </si>
  <si>
    <t xml:space="preserve">JEFFERSON DOS SANTOS FRANÇA - 8844760657, odinélio de jesus pereira Rodrigues  - 07163439679, Jefferson dos Santos França  - 08844760657, FAGNER SILVA DOS ANJOS - 05344151560</t>
  </si>
  <si>
    <t xml:space="preserve">46.50 L</t>
  </si>
  <si>
    <t xml:space="preserve">971477.41</t>
  </si>
  <si>
    <t xml:space="preserve">JEFFERSON DOS SANTOS FRANÇA - 8844760657, Jefferson dos Santos França  - 08844760657</t>
  </si>
  <si>
    <t xml:space="preserve">41.98 L</t>
  </si>
  <si>
    <t xml:space="preserve">Jefferson dos Santos França  - 08844760657</t>
  </si>
  <si>
    <t xml:space="preserve">41.50 L</t>
  </si>
  <si>
    <t xml:space="preserve">DILSON OLIVEIRA DOS SANTOS - 19451628568, RONALDO REIS SANTOS - 01961868547</t>
  </si>
  <si>
    <t xml:space="preserve">135.01 L</t>
  </si>
  <si>
    <t xml:space="preserve">DILSON OLIVEIRA DOS SANTOS - 19451628568</t>
  </si>
  <si>
    <t xml:space="preserve">111.49 L</t>
  </si>
  <si>
    <t xml:space="preserve">DILSON OLIVEIRA DOS SANTOS - 19451628568, UILTON DUARTE DE OLIVEIRA - 02578015538</t>
  </si>
  <si>
    <t xml:space="preserve">101.50 L</t>
  </si>
  <si>
    <t xml:space="preserve">PKN7076</t>
  </si>
  <si>
    <t xml:space="preserve">R7765</t>
  </si>
  <si>
    <t xml:space="preserve">Adriano Santos Oliveira - 57989605520</t>
  </si>
  <si>
    <t xml:space="preserve">139.27</t>
  </si>
  <si>
    <t xml:space="preserve">44.03 L</t>
  </si>
  <si>
    <t xml:space="preserve">Rua do Paquistão</t>
  </si>
  <si>
    <t xml:space="preserve">1047156.89</t>
  </si>
  <si>
    <t xml:space="preserve">1047296.16</t>
  </si>
  <si>
    <t xml:space="preserve">ANDRE LUIS PINHEIRO LIMA - 94620504572</t>
  </si>
  <si>
    <t xml:space="preserve">137.60</t>
  </si>
  <si>
    <t xml:space="preserve">40.99 L</t>
  </si>
  <si>
    <t xml:space="preserve">1047433.76</t>
  </si>
  <si>
    <t xml:space="preserve">Flavio Carvalho das Merces - 99531100500, DAVID FIGUEIREDO DE OLIVEIRA - 01859230547, Lucas Suzarte da Silva - 04085967592</t>
  </si>
  <si>
    <t xml:space="preserve">114.25</t>
  </si>
  <si>
    <t xml:space="preserve">29.98 L</t>
  </si>
  <si>
    <t xml:space="preserve">3.81 Km/L</t>
  </si>
  <si>
    <t xml:space="preserve">1047548.01</t>
  </si>
  <si>
    <t xml:space="preserve">126.06</t>
  </si>
  <si>
    <t xml:space="preserve">38.50 L</t>
  </si>
  <si>
    <t xml:space="preserve">1047674.07</t>
  </si>
  <si>
    <t xml:space="preserve">ADRIANO SANTOS DA SILVA - 78640687587, Gilmario Ramos Santos - 56703236534</t>
  </si>
  <si>
    <t xml:space="preserve">223.43</t>
  </si>
  <si>
    <t xml:space="preserve">75.01 L</t>
  </si>
  <si>
    <t xml:space="preserve">BA-530</t>
  </si>
  <si>
    <t xml:space="preserve">1047897.50</t>
  </si>
  <si>
    <t xml:space="preserve">PKN4417</t>
  </si>
  <si>
    <t xml:space="preserve">R7755</t>
  </si>
  <si>
    <t xml:space="preserve">FAGNER DE JESUS ROCHA - 03771730538, JUCIMAR DE JESUS SANTOS - 03136869559, CRISPIM RIBEIRO DE O FILHO - 44330561549, José Acacio - 79235468515</t>
  </si>
  <si>
    <t xml:space="preserve">564.22</t>
  </si>
  <si>
    <t xml:space="preserve">3.65 Km/L</t>
  </si>
  <si>
    <t xml:space="preserve">1140293.21</t>
  </si>
  <si>
    <t xml:space="preserve">1140857.43</t>
  </si>
  <si>
    <t xml:space="preserve">Sergio Gabriel Dias Da Silva - 03661969528</t>
  </si>
  <si>
    <t xml:space="preserve">145.85</t>
  </si>
  <si>
    <t xml:space="preserve">52.00 L</t>
  </si>
  <si>
    <t xml:space="preserve">1141003.27</t>
  </si>
  <si>
    <t xml:space="preserve">Lucas Suzarte da Silva - 04085967592</t>
  </si>
  <si>
    <t xml:space="preserve">131.93</t>
  </si>
  <si>
    <t xml:space="preserve">44.99 L</t>
  </si>
  <si>
    <t xml:space="preserve">2.93 Km/L</t>
  </si>
  <si>
    <t xml:space="preserve">1141135.20</t>
  </si>
  <si>
    <t xml:space="preserve">131.47</t>
  </si>
  <si>
    <t xml:space="preserve">44.51 L</t>
  </si>
  <si>
    <t xml:space="preserve">Rua da Libéria</t>
  </si>
  <si>
    <t xml:space="preserve">1141266.67</t>
  </si>
  <si>
    <t xml:space="preserve">2.50 L</t>
  </si>
  <si>
    <t xml:space="preserve">1.02 L</t>
  </si>
  <si>
    <t xml:space="preserve">1141266.68</t>
  </si>
  <si>
    <t xml:space="preserve">0.42</t>
  </si>
  <si>
    <t xml:space="preserve">4.48 L</t>
  </si>
  <si>
    <t xml:space="preserve">0.09 Km/L</t>
  </si>
  <si>
    <t xml:space="preserve">1141267.10</t>
  </si>
  <si>
    <t xml:space="preserve">PKN8524</t>
  </si>
  <si>
    <t xml:space="preserve">R7745</t>
  </si>
  <si>
    <t xml:space="preserve">ROGERIO SOUZA SANTOS DE MEIRELES - 02484231504, JOSE RAIMUNDO CARDOSO FILHO - 70889945500, WELLINGTON DE OLIVEIRA RIBEIRO - 05207966596</t>
  </si>
  <si>
    <t xml:space="preserve">654.10</t>
  </si>
  <si>
    <t xml:space="preserve">Rua Padre Paulo Maria Tonucci</t>
  </si>
  <si>
    <t xml:space="preserve">897264.89</t>
  </si>
  <si>
    <t xml:space="preserve">897918.99</t>
  </si>
  <si>
    <t xml:space="preserve">Lucas Suzarte da Silva - 04085967592, WELLINGTON DE OLIVEIRA RIBEIRO - 05207966596</t>
  </si>
  <si>
    <t xml:space="preserve">148.69</t>
  </si>
  <si>
    <t xml:space="preserve">897919.28</t>
  </si>
  <si>
    <t xml:space="preserve">898067.97</t>
  </si>
  <si>
    <t xml:space="preserve">WELLINGTON DE OLIVEIRA RIBEIRO - 05207966596, Paulo Roberto Souza dos Santos - 59884312591</t>
  </si>
  <si>
    <t xml:space="preserve">180.34</t>
  </si>
  <si>
    <t xml:space="preserve">Estrada Ministro Antônio Carlos Magalhães</t>
  </si>
  <si>
    <t xml:space="preserve">898068.29</t>
  </si>
  <si>
    <t xml:space="preserve">898248.63</t>
  </si>
  <si>
    <t xml:space="preserve">114.26</t>
  </si>
  <si>
    <t xml:space="preserve">Estrada do Coco</t>
  </si>
  <si>
    <t xml:space="preserve">898362.89</t>
  </si>
  <si>
    <t xml:space="preserve">136.36</t>
  </si>
  <si>
    <t xml:space="preserve">898499.25</t>
  </si>
  <si>
    <t xml:space="preserve">PKN0145</t>
  </si>
  <si>
    <t xml:space="preserve">R7735</t>
  </si>
  <si>
    <t xml:space="preserve">49.50 L</t>
  </si>
  <si>
    <t xml:space="preserve">1073741.82</t>
  </si>
  <si>
    <t xml:space="preserve">DAVID FIGUEIREDO DE OLIVEIRA - 01859230547</t>
  </si>
  <si>
    <t xml:space="preserve">32.51 L</t>
  </si>
  <si>
    <t xml:space="preserve">54.98 L</t>
  </si>
  <si>
    <t xml:space="preserve">Hugo Frederico Oliveira da Silva - 79795676504, Luciano Xavier da Silva - 87924889515, Sergio Gabriel Dias Da Silva - 03661969528</t>
  </si>
  <si>
    <t xml:space="preserve">56.03 L</t>
  </si>
  <si>
    <t xml:space="preserve">0.51 L</t>
  </si>
  <si>
    <t xml:space="preserve">Hugo Frederico Oliveira da Silva - 79795676504</t>
  </si>
  <si>
    <t xml:space="preserve">PKN3F51</t>
  </si>
  <si>
    <t xml:space="preserve">R7725</t>
  </si>
  <si>
    <t xml:space="preserve">0.19 L</t>
  </si>
  <si>
    <t xml:space="preserve">717702.63</t>
  </si>
  <si>
    <t xml:space="preserve">RANIERY NOBERTO DA SILVA - 46553045534, RONAN BOLSONI - 67427227549</t>
  </si>
  <si>
    <t xml:space="preserve">180.75</t>
  </si>
  <si>
    <t xml:space="preserve">57.86 L</t>
  </si>
  <si>
    <t xml:space="preserve">717883.37</t>
  </si>
  <si>
    <t xml:space="preserve">470.55</t>
  </si>
  <si>
    <t xml:space="preserve">142.40 L</t>
  </si>
  <si>
    <t xml:space="preserve">3.30 Km/L</t>
  </si>
  <si>
    <t xml:space="preserve">718353.92</t>
  </si>
  <si>
    <t xml:space="preserve">JOSE BISPO DA SILVA - 58590609553, JOSE MAURICIO SANTANA SANTOS - 97382388549</t>
  </si>
  <si>
    <t xml:space="preserve">391.58</t>
  </si>
  <si>
    <t xml:space="preserve">118.53 L</t>
  </si>
  <si>
    <t xml:space="preserve">718745.50</t>
  </si>
  <si>
    <t xml:space="preserve">GIVALDO PASSOS DA CRUZ - 65814967587, EMERSON SILVA DE ALMEIDA - 03930125579</t>
  </si>
  <si>
    <t xml:space="preserve">251.92</t>
  </si>
  <si>
    <t xml:space="preserve">84.86 L</t>
  </si>
  <si>
    <t xml:space="preserve">718997.42</t>
  </si>
  <si>
    <t xml:space="preserve">EMERSON SILVA DE ALMEIDA - 03930125579</t>
  </si>
  <si>
    <t xml:space="preserve">301.23</t>
  </si>
  <si>
    <t xml:space="preserve">99.01 L</t>
  </si>
  <si>
    <t xml:space="preserve">719298.65</t>
  </si>
  <si>
    <t xml:space="preserve">SANDRO GOMES CARDOSO - 46985719520, ADEMILSON ANDRADE SANTOS - 10957238550</t>
  </si>
  <si>
    <t xml:space="preserve">427.49</t>
  </si>
  <si>
    <t xml:space="preserve">152.54 L</t>
  </si>
  <si>
    <t xml:space="preserve">719726.14</t>
  </si>
  <si>
    <t xml:space="preserve">PKW3241</t>
  </si>
  <si>
    <t xml:space="preserve">R7825</t>
  </si>
  <si>
    <t xml:space="preserve">CARLOS ALBERTO SOUZA DOS SANTOS - 00408306599, FABIANO REIS DOS SANTOS - 06063406530, CARLISSON MESSIAS DE JESUS - 04199062580</t>
  </si>
  <si>
    <t xml:space="preserve">141.16</t>
  </si>
  <si>
    <t xml:space="preserve">58.02 L</t>
  </si>
  <si>
    <t xml:space="preserve">668425.20</t>
  </si>
  <si>
    <t xml:space="preserve">668566.37</t>
  </si>
  <si>
    <t xml:space="preserve">ALEXSANDRO DOS SANTOS - 02439748501, JAMILLY SANTOS DA SILVA - 00158273567, MARCELO BATISTA SANTOS - 08636731550</t>
  </si>
  <si>
    <t xml:space="preserve">84.56</t>
  </si>
  <si>
    <t xml:space="preserve">34.99 L</t>
  </si>
  <si>
    <t xml:space="preserve">2.42 Km/L</t>
  </si>
  <si>
    <t xml:space="preserve">668650.92</t>
  </si>
  <si>
    <t xml:space="preserve">RAFAEL DE JESUS BARRETO - 85830111500, JOSEFAL FERREIRA DE SOUZA - 92164986504</t>
  </si>
  <si>
    <t xml:space="preserve">203.33</t>
  </si>
  <si>
    <t xml:space="preserve">80.50 L</t>
  </si>
  <si>
    <t xml:space="preserve">2.53 Km/L</t>
  </si>
  <si>
    <t xml:space="preserve">668854.25</t>
  </si>
  <si>
    <t xml:space="preserve">JOSEFAL FERREIRA DE SOUZA - 92164986504</t>
  </si>
  <si>
    <t xml:space="preserve">65.47</t>
  </si>
  <si>
    <t xml:space="preserve">27.50 L</t>
  </si>
  <si>
    <t xml:space="preserve">668919.72</t>
  </si>
  <si>
    <t xml:space="preserve">ALEGUIRINALDO DE SOUZA LEITE JUNIOR - 05053784507</t>
  </si>
  <si>
    <t xml:space="preserve">89.86</t>
  </si>
  <si>
    <t xml:space="preserve">2.57 Km/L</t>
  </si>
  <si>
    <t xml:space="preserve">669009.58</t>
  </si>
  <si>
    <t xml:space="preserve">FAGNER SILVA DOS ANJOS - 05344151560, EDVALDO ELIAS SILVA - 99881624568, ALESSANDRO DA SILVA SANTOS - 91300681500, WEKSLEY SILVA DAS NEVES - 04346712584</t>
  </si>
  <si>
    <t xml:space="preserve">122.48</t>
  </si>
  <si>
    <t xml:space="preserve">49.01 L</t>
  </si>
  <si>
    <t xml:space="preserve">669132.06</t>
  </si>
  <si>
    <t xml:space="preserve">PKW9840</t>
  </si>
  <si>
    <t xml:space="preserve">R7835</t>
  </si>
  <si>
    <t xml:space="preserve">CRISPIM SANTOS DE OLIVEIRA - 04087908577</t>
  </si>
  <si>
    <t xml:space="preserve">316.32</t>
  </si>
  <si>
    <t xml:space="preserve">727626.79</t>
  </si>
  <si>
    <t xml:space="preserve">727943.11</t>
  </si>
  <si>
    <t xml:space="preserve">278.92</t>
  </si>
  <si>
    <t xml:space="preserve">728222.03</t>
  </si>
  <si>
    <t xml:space="preserve">278.97</t>
  </si>
  <si>
    <t xml:space="preserve">728501.00</t>
  </si>
  <si>
    <t xml:space="preserve">315.01</t>
  </si>
  <si>
    <t xml:space="preserve">728816.01</t>
  </si>
  <si>
    <t xml:space="preserve">316.33</t>
  </si>
  <si>
    <t xml:space="preserve">729132.34</t>
  </si>
  <si>
    <t xml:space="preserve">PKW2430</t>
  </si>
  <si>
    <t xml:space="preserve">R7845</t>
  </si>
  <si>
    <t xml:space="preserve">ALEXSANDRO DOS SANTOS - 02439748501, OSNILDO CLEMENTINO ROCHA DOS - 87948125515</t>
  </si>
  <si>
    <t xml:space="preserve">291.90</t>
  </si>
  <si>
    <t xml:space="preserve">115.01 L</t>
  </si>
  <si>
    <t xml:space="preserve">2.54 Km/L</t>
  </si>
  <si>
    <t xml:space="preserve">Avenida Antônio Carlos Magalhães</t>
  </si>
  <si>
    <t xml:space="preserve">Rua Joviniano Modesto</t>
  </si>
  <si>
    <t xml:space="preserve">583807.31</t>
  </si>
  <si>
    <t xml:space="preserve">584099.21</t>
  </si>
  <si>
    <t xml:space="preserve">ALEXSANDRO DOS SANTOS - 02439748501</t>
  </si>
  <si>
    <t xml:space="preserve">239.27</t>
  </si>
  <si>
    <t xml:space="preserve">94.00 L</t>
  </si>
  <si>
    <t xml:space="preserve">2.55 Km/L</t>
  </si>
  <si>
    <t xml:space="preserve">584338.47</t>
  </si>
  <si>
    <t xml:space="preserve">292.44</t>
  </si>
  <si>
    <t xml:space="preserve">117.49 L</t>
  </si>
  <si>
    <t xml:space="preserve">584630.90</t>
  </si>
  <si>
    <t xml:space="preserve">337.98</t>
  </si>
  <si>
    <t xml:space="preserve">138.99 L</t>
  </si>
  <si>
    <t xml:space="preserve">584968.88</t>
  </si>
  <si>
    <t xml:space="preserve">167.78</t>
  </si>
  <si>
    <t xml:space="preserve">70.99 L</t>
  </si>
  <si>
    <t xml:space="preserve">Rua Mário Francisco Oliveira</t>
  </si>
  <si>
    <t xml:space="preserve">585136.66</t>
  </si>
  <si>
    <t xml:space="preserve">268.50</t>
  </si>
  <si>
    <t xml:space="preserve">105.50 L</t>
  </si>
  <si>
    <t xml:space="preserve">585405.16</t>
  </si>
  <si>
    <t xml:space="preserve">PKW3913</t>
  </si>
  <si>
    <t xml:space="preserve">R7855</t>
  </si>
  <si>
    <t xml:space="preserve">EDSON REIS SANTOS - 02792072555</t>
  </si>
  <si>
    <t xml:space="preserve">255.18</t>
  </si>
  <si>
    <t xml:space="preserve">97.49 L</t>
  </si>
  <si>
    <t xml:space="preserve">Rua Benício José dos Santos</t>
  </si>
  <si>
    <t xml:space="preserve">582945.13</t>
  </si>
  <si>
    <t xml:space="preserve">583200.31</t>
  </si>
  <si>
    <t xml:space="preserve">256.28</t>
  </si>
  <si>
    <t xml:space="preserve">97.01 L</t>
  </si>
  <si>
    <t xml:space="preserve">583456.57</t>
  </si>
  <si>
    <t xml:space="preserve">CARLISSON MESSIAS DE JESUS - 04199062580, EDSON REIS SANTOS - 02792072555</t>
  </si>
  <si>
    <t xml:space="preserve">267.34</t>
  </si>
  <si>
    <t xml:space="preserve">100.00 L</t>
  </si>
  <si>
    <t xml:space="preserve">583723.91</t>
  </si>
  <si>
    <t xml:space="preserve">RAFAEL DE JESUS BARRETO - 85830111500, EDSON REIS SANTOS - 02792072555, TALES ANTONIO ALMEIDA ALVES JUNIOR - 09534524506</t>
  </si>
  <si>
    <t xml:space="preserve">211.02</t>
  </si>
  <si>
    <t xml:space="preserve">86.50 L</t>
  </si>
  <si>
    <t xml:space="preserve">2.44 Km/L</t>
  </si>
  <si>
    <t xml:space="preserve">583934.93</t>
  </si>
  <si>
    <t xml:space="preserve">JAMILLY SANTOS DA SILVA - 00158273567, ALEGUIRINALDO DE SOUZA LEITE JUNIOR - 05053784507</t>
  </si>
  <si>
    <t xml:space="preserve">121.00</t>
  </si>
  <si>
    <t xml:space="preserve">47.50 L</t>
  </si>
  <si>
    <t xml:space="preserve">584055.93</t>
  </si>
  <si>
    <t xml:space="preserve">MOTORISTA FREELANCER ROTA David Jamilly Santos da  - 00158273567, JOSEFAL FERREIRA DE SOUZA - 92164986504, JAMILLY SANTOS DA SILVA - 00158273567, EDSON REIS SANTOS - 02792072555</t>
  </si>
  <si>
    <t xml:space="preserve">185.46</t>
  </si>
  <si>
    <t xml:space="preserve">71.50 L</t>
  </si>
  <si>
    <t xml:space="preserve">584241.39</t>
  </si>
  <si>
    <t xml:space="preserve">PKW7036</t>
  </si>
  <si>
    <t xml:space="preserve">R7865</t>
  </si>
  <si>
    <t xml:space="preserve">ROSEMBERG ALVES LIMA SANTOS - 06543994509, JAMILLY SANTOS DA SILVA - 00158273567</t>
  </si>
  <si>
    <t xml:space="preserve">256.43</t>
  </si>
  <si>
    <t xml:space="preserve">91.01 L</t>
  </si>
  <si>
    <t xml:space="preserve">716023.88</t>
  </si>
  <si>
    <t xml:space="preserve">716280.31</t>
  </si>
  <si>
    <t xml:space="preserve">IVANILDO SOUSA DE ANDRADE - 03112281519</t>
  </si>
  <si>
    <t xml:space="preserve">235.29</t>
  </si>
  <si>
    <t xml:space="preserve">89.49 L</t>
  </si>
  <si>
    <t xml:space="preserve">716515.60</t>
  </si>
  <si>
    <t xml:space="preserve">ROSEMBERG ALVES LIMA SANTOS - 06543994509</t>
  </si>
  <si>
    <t xml:space="preserve">211.33</t>
  </si>
  <si>
    <t xml:space="preserve">76.51 L</t>
  </si>
  <si>
    <t xml:space="preserve">Rua Jeremias Caetano</t>
  </si>
  <si>
    <t xml:space="preserve">716726.93</t>
  </si>
  <si>
    <t xml:space="preserve">236.18</t>
  </si>
  <si>
    <t xml:space="preserve">81.98 L</t>
  </si>
  <si>
    <t xml:space="preserve">716963.11</t>
  </si>
  <si>
    <t xml:space="preserve">269.79</t>
  </si>
  <si>
    <t xml:space="preserve">92.00 L</t>
  </si>
  <si>
    <t xml:space="preserve">717232.89</t>
  </si>
  <si>
    <t xml:space="preserve">255.45</t>
  </si>
  <si>
    <t xml:space="preserve">86.02 L</t>
  </si>
  <si>
    <t xml:space="preserve">717488.34</t>
  </si>
  <si>
    <t xml:space="preserve">235.92</t>
  </si>
  <si>
    <t xml:space="preserve">85.98 L</t>
  </si>
  <si>
    <t xml:space="preserve">717724.25</t>
  </si>
  <si>
    <t xml:space="preserve">PKW7451</t>
  </si>
  <si>
    <t xml:space="preserve">R7875</t>
  </si>
  <si>
    <t xml:space="preserve">Jose Raimundo dos Santos - 00335224563, IVAN JUNIOR OLIVEIRA MATOS - 89583280534, ALEGUIRINALDO DE SOUZA LEITE JUNIOR - 05053784507</t>
  </si>
  <si>
    <t xml:space="preserve">329.91</t>
  </si>
  <si>
    <t xml:space="preserve">136.00 L</t>
  </si>
  <si>
    <t xml:space="preserve">1012301.30</t>
  </si>
  <si>
    <t xml:space="preserve">1012631.21</t>
  </si>
  <si>
    <t xml:space="preserve">IVAN JUNIOR OLIVEIRA MATOS - 89583280534, ALEGUIRINALDO DE SOUZA LEITE JUNIOR - 05053784507</t>
  </si>
  <si>
    <t xml:space="preserve">328.71</t>
  </si>
  <si>
    <t xml:space="preserve">1012959.91</t>
  </si>
  <si>
    <t xml:space="preserve">328.28</t>
  </si>
  <si>
    <t xml:space="preserve">132.51 L</t>
  </si>
  <si>
    <t xml:space="preserve">1013288.19</t>
  </si>
  <si>
    <t xml:space="preserve">RONALDO REIS SANTOS - 01961868547, ALEGUIRINALDO DE SOUZA LEITE JUNIOR - 05053784507</t>
  </si>
  <si>
    <t xml:space="preserve">302.41</t>
  </si>
  <si>
    <t xml:space="preserve">126.46 L</t>
  </si>
  <si>
    <t xml:space="preserve">2.39 Km/L</t>
  </si>
  <si>
    <t xml:space="preserve">1013590.60</t>
  </si>
  <si>
    <t xml:space="preserve">IVAN JUNIOR OLIVEIRA MATOS - 89583280534, JABES DO CARMO SILVA - 00932510507, NATANAEL AVELINO DOS SANTOS - 05037278570</t>
  </si>
  <si>
    <t xml:space="preserve">206.44</t>
  </si>
  <si>
    <t xml:space="preserve">84.51 L</t>
  </si>
  <si>
    <t xml:space="preserve">1013797.04</t>
  </si>
  <si>
    <t xml:space="preserve">IVAN JUNIOR OLIVEIRA MATOS - 89583280534, WEKSLEY SILVA DAS NEVES - 04346712584</t>
  </si>
  <si>
    <t xml:space="preserve">355.33</t>
  </si>
  <si>
    <t xml:space="preserve">136.48 L</t>
  </si>
  <si>
    <t xml:space="preserve">1014152.37</t>
  </si>
  <si>
    <t xml:space="preserve">RAFAEL DE JESUS BARRETO - 85830111500, IVAN JUNIOR OLIVEIRA MATOS - 89583280534, Anderson Ferreira Da Silva  - 01452873518</t>
  </si>
  <si>
    <t xml:space="preserve">358.49</t>
  </si>
  <si>
    <t xml:space="preserve">145.50 L</t>
  </si>
  <si>
    <t xml:space="preserve">1014510.86</t>
  </si>
  <si>
    <t xml:space="preserve">PKW5068</t>
  </si>
  <si>
    <t xml:space="preserve">R7885</t>
  </si>
  <si>
    <t xml:space="preserve">28.92</t>
  </si>
  <si>
    <t xml:space="preserve">16.00 L</t>
  </si>
  <si>
    <t xml:space="preserve">1.81 Km/L</t>
  </si>
  <si>
    <t xml:space="preserve">890765.87</t>
  </si>
  <si>
    <t xml:space="preserve">890794.78</t>
  </si>
  <si>
    <t xml:space="preserve">254.40</t>
  </si>
  <si>
    <t xml:space="preserve">96.00 L</t>
  </si>
  <si>
    <t xml:space="preserve">891049.18</t>
  </si>
  <si>
    <t xml:space="preserve">IVANILDO SOUSA DE ANDRADE - 03112281519, JAMILLY SANTOS DA SILVA - 00158273567, EDSON REIS SANTOS - 02792072555</t>
  </si>
  <si>
    <t xml:space="preserve">331.34</t>
  </si>
  <si>
    <t xml:space="preserve">128.99 L</t>
  </si>
  <si>
    <t xml:space="preserve">891380.52</t>
  </si>
  <si>
    <t xml:space="preserve">PKW0627</t>
  </si>
  <si>
    <t xml:space="preserve">R7895</t>
  </si>
  <si>
    <t xml:space="preserve">MOYSES GONZAGA DOS SANTOS - 33227420597, MARCELO DA SILVA ALVES - 00660499541</t>
  </si>
  <si>
    <t xml:space="preserve">487.49</t>
  </si>
  <si>
    <t xml:space="preserve">182.02 L</t>
  </si>
  <si>
    <t xml:space="preserve">814253.12</t>
  </si>
  <si>
    <t xml:space="preserve">814740.61</t>
  </si>
  <si>
    <t xml:space="preserve">ARLECIO HENRIQUE DE ANDRADE - 64987604515, ERINALDO SILVA NOVAES - 00346808537, Anderson Ferreira Da Silva  - 01452873518</t>
  </si>
  <si>
    <t xml:space="preserve">495.64</t>
  </si>
  <si>
    <t xml:space="preserve">188.96 L</t>
  </si>
  <si>
    <t xml:space="preserve">815236.25</t>
  </si>
  <si>
    <t xml:space="preserve">JAMILLY SANTOS DA SILVA - 00158273567, Anderson Ferreira Da Silva  - 01452873518, ABILIO SANTOS COUTINHO - 92884539549</t>
  </si>
  <si>
    <t xml:space="preserve">323.06</t>
  </si>
  <si>
    <t xml:space="preserve">126.50 L</t>
  </si>
  <si>
    <t xml:space="preserve">815559.31</t>
  </si>
  <si>
    <t xml:space="preserve">IVANILDO SOUSA DE ANDRADE - 03112281519, ANTONIO MEIRELES DO N NETO - 15585891553, JAMILLY SANTOS DA SILVA - 00158273567</t>
  </si>
  <si>
    <t xml:space="preserve">325.18</t>
  </si>
  <si>
    <t xml:space="preserve">133.02 L</t>
  </si>
  <si>
    <t xml:space="preserve">815884.49</t>
  </si>
  <si>
    <t xml:space="preserve">Jose Raimundo dos Santos - 00335224563, JOVANDO SANTANA MOREIRA - 65889843591, JOSE CRISTIANO ALVES FREITAS - 03635098523</t>
  </si>
  <si>
    <t xml:space="preserve">342.75</t>
  </si>
  <si>
    <t xml:space="preserve">135.49 L</t>
  </si>
  <si>
    <t xml:space="preserve">816227.24</t>
  </si>
  <si>
    <t xml:space="preserve">816227.58</t>
  </si>
  <si>
    <t xml:space="preserve">LAERCIO CUNHA DOS SANTOS - 65618904500</t>
  </si>
  <si>
    <t xml:space="preserve">462.05</t>
  </si>
  <si>
    <t xml:space="preserve">170.50 L</t>
  </si>
  <si>
    <t xml:space="preserve">816689.63</t>
  </si>
  <si>
    <t xml:space="preserve">PLH9093</t>
  </si>
  <si>
    <t xml:space="preserve">R7985</t>
  </si>
  <si>
    <t xml:space="preserve">MAQUITUZAEL ARAUJO DE JESUS - 95968326549, LUCAS PIEROTE GASPAR NASCIMENTO - 03495432590</t>
  </si>
  <si>
    <t xml:space="preserve">255.90</t>
  </si>
  <si>
    <t xml:space="preserve">93.50 L</t>
  </si>
  <si>
    <t xml:space="preserve">678729.95</t>
  </si>
  <si>
    <t xml:space="preserve">678985.85</t>
  </si>
  <si>
    <t xml:space="preserve">JULIO SOUZA REIS - 53008545572, FABIANO REIS DOS SANTOS - 06063406530</t>
  </si>
  <si>
    <t xml:space="preserve">153.41</t>
  </si>
  <si>
    <t xml:space="preserve">58.00 L</t>
  </si>
  <si>
    <t xml:space="preserve">679139.25</t>
  </si>
  <si>
    <t xml:space="preserve">EMERSON SILVA DE ALMEIDA - 03930125579, MARDEN  DA SILVA SANTOS - 02259736505, JULIO SOUZA REIS - 53008545572, MARCELO BATISTA SANTOS - 08636731550</t>
  </si>
  <si>
    <t xml:space="preserve">355.40</t>
  </si>
  <si>
    <t xml:space="preserve">134.00 L</t>
  </si>
  <si>
    <t xml:space="preserve">679494.65</t>
  </si>
  <si>
    <t xml:space="preserve">ADRIANO DOS SANTOS FREITAS - 00441842550, MAQUITUZAEL ARAUJO DE JESUS - 95968326549</t>
  </si>
  <si>
    <t xml:space="preserve">715.06</t>
  </si>
  <si>
    <t xml:space="preserve">269.01 L</t>
  </si>
  <si>
    <t xml:space="preserve">680209.71</t>
  </si>
  <si>
    <t xml:space="preserve">SUELIO GOMES DA SILVA - 03809272507, MAQUITUZAEL ARAUJO DE JESUS - 95968326549, Antonio Cardoso De Souza - 59906324520</t>
  </si>
  <si>
    <t xml:space="preserve">412.57</t>
  </si>
  <si>
    <t xml:space="preserve">144.00 L</t>
  </si>
  <si>
    <t xml:space="preserve">680622.27</t>
  </si>
  <si>
    <t xml:space="preserve">SUELIO GOMES DA SILVA - 03809272507, RODRIGO SOARES ROSA - 03344647571</t>
  </si>
  <si>
    <t xml:space="preserve">409.26</t>
  </si>
  <si>
    <t xml:space="preserve">146.50 L</t>
  </si>
  <si>
    <t xml:space="preserve">681031.53</t>
  </si>
  <si>
    <t xml:space="preserve">0.17</t>
  </si>
  <si>
    <t xml:space="preserve">1.50 L</t>
  </si>
  <si>
    <t xml:space="preserve">0.11 Km/L</t>
  </si>
  <si>
    <t xml:space="preserve">681031.70</t>
  </si>
  <si>
    <t xml:space="preserve">PLI2573</t>
  </si>
  <si>
    <t xml:space="preserve">R7925</t>
  </si>
  <si>
    <t xml:space="preserve">0.13</t>
  </si>
  <si>
    <t xml:space="preserve">0.25 Km/L</t>
  </si>
  <si>
    <t xml:space="preserve">Avenida 1º de Janeiro</t>
  </si>
  <si>
    <t xml:space="preserve">1093644.62</t>
  </si>
  <si>
    <t xml:space="preserve">1093644.75</t>
  </si>
  <si>
    <t xml:space="preserve">GILVAN SANTOS MELO - 57552010568, DENISSON MIRANDA PRADO  - 89498089515</t>
  </si>
  <si>
    <t xml:space="preserve">762.39</t>
  </si>
  <si>
    <t xml:space="preserve">230.02 L</t>
  </si>
  <si>
    <t xml:space="preserve">3.31 Km/L</t>
  </si>
  <si>
    <t xml:space="preserve">Rua Araxá</t>
  </si>
  <si>
    <t xml:space="preserve">1094407.14</t>
  </si>
  <si>
    <t xml:space="preserve">HUDSON SANTANA DE MENEZES - 04885757533</t>
  </si>
  <si>
    <t xml:space="preserve">745.50</t>
  </si>
  <si>
    <t xml:space="preserve">229.98 L</t>
  </si>
  <si>
    <t xml:space="preserve">Avenida Presidente Tancredo Neves</t>
  </si>
  <si>
    <t xml:space="preserve">1095152.63</t>
  </si>
  <si>
    <t xml:space="preserve">JOSÉ ACÁCIO BORGES DOS SANTOS - 03258369577, JEFFERSON ALVES DA CRUZ  - 00913175501</t>
  </si>
  <si>
    <t xml:space="preserve">701.86</t>
  </si>
  <si>
    <t xml:space="preserve">211.52 L</t>
  </si>
  <si>
    <t xml:space="preserve">1095854.49</t>
  </si>
  <si>
    <t xml:space="preserve">ANTELMO SILVA ARAGAO - 66284562500, GILTON BARRETO VALENCA  - 87903261568</t>
  </si>
  <si>
    <t xml:space="preserve">722.55</t>
  </si>
  <si>
    <t xml:space="preserve">210.50 L</t>
  </si>
  <si>
    <t xml:space="preserve">3.43 Km/L</t>
  </si>
  <si>
    <t xml:space="preserve">1096577.04</t>
  </si>
  <si>
    <t xml:space="preserve">ADEMILTON SANTOS FERREIRA  - 66258880525, JAIRO ALVES DE CERQUEIRA - 93930054515</t>
  </si>
  <si>
    <t xml:space="preserve">718.39</t>
  </si>
  <si>
    <t xml:space="preserve">231.01 L</t>
  </si>
  <si>
    <t xml:space="preserve">1096577.20</t>
  </si>
  <si>
    <t xml:space="preserve">1097295.59</t>
  </si>
  <si>
    <t xml:space="preserve">PLH6808</t>
  </si>
  <si>
    <t xml:space="preserve">R7955</t>
  </si>
  <si>
    <t xml:space="preserve">0.06</t>
  </si>
  <si>
    <t xml:space="preserve">0.04 Km/L</t>
  </si>
  <si>
    <t xml:space="preserve">914368.01</t>
  </si>
  <si>
    <t xml:space="preserve">914368.07</t>
  </si>
  <si>
    <t xml:space="preserve">0.02 Km/L</t>
  </si>
  <si>
    <t xml:space="preserve">914368.08</t>
  </si>
  <si>
    <t xml:space="preserve">PLH4089</t>
  </si>
  <si>
    <t xml:space="preserve">R7975</t>
  </si>
  <si>
    <t xml:space="preserve">1.31</t>
  </si>
  <si>
    <t xml:space="preserve">4.00 L</t>
  </si>
  <si>
    <t xml:space="preserve">417499.39</t>
  </si>
  <si>
    <t xml:space="preserve">417500.70</t>
  </si>
  <si>
    <t xml:space="preserve">50.88</t>
  </si>
  <si>
    <t xml:space="preserve">26.02 L</t>
  </si>
  <si>
    <t xml:space="preserve">417551.58</t>
  </si>
  <si>
    <t xml:space="preserve">43.25</t>
  </si>
  <si>
    <t xml:space="preserve">12.50 L</t>
  </si>
  <si>
    <t xml:space="preserve">3.46 Km/L</t>
  </si>
  <si>
    <t xml:space="preserve">417594.82</t>
  </si>
  <si>
    <t xml:space="preserve">PLH8732</t>
  </si>
  <si>
    <t xml:space="preserve">R7945</t>
  </si>
  <si>
    <t xml:space="preserve">JOSÉ ACÁCIO BORGES DOS SANTOS - 03258369577, VALDINEUDO JOSE ALVES CLARO - 87261758434, JOSE ACACIO DOS SANTOS - 79235468515</t>
  </si>
  <si>
    <t xml:space="preserve">331.78</t>
  </si>
  <si>
    <t xml:space="preserve">123.52 L</t>
  </si>
  <si>
    <t xml:space="preserve">Rodovia Vereador George Alves Lisboa</t>
  </si>
  <si>
    <t xml:space="preserve">629939.03</t>
  </si>
  <si>
    <t xml:space="preserve">630270.80</t>
  </si>
  <si>
    <t xml:space="preserve">VALTEMISSON JOSE DOS SANTOS - 96941120525</t>
  </si>
  <si>
    <t xml:space="preserve">292.65</t>
  </si>
  <si>
    <t xml:space="preserve">114.50 L</t>
  </si>
  <si>
    <t xml:space="preserve">Calçadão Apolônio Sales</t>
  </si>
  <si>
    <t xml:space="preserve">630563.45</t>
  </si>
  <si>
    <t xml:space="preserve">HUMBERTO GOES VIEIRA - 55151196065, CARLOS JOSE CORREIA DA SILVA - 93503458549, JOSE EDVALDO SOARES OLIVEIRA - 31420567500</t>
  </si>
  <si>
    <t xml:space="preserve">557.60</t>
  </si>
  <si>
    <t xml:space="preserve">200.00 L</t>
  </si>
  <si>
    <t xml:space="preserve">631121.05</t>
  </si>
  <si>
    <t xml:space="preserve">CLAUDIO ALBUQUERQUE SANTOS - 65373847534, FÁBIO NASCIMENTO DOS SANTOS  - 01757294503</t>
  </si>
  <si>
    <t xml:space="preserve">538.19</t>
  </si>
  <si>
    <t xml:space="preserve">189.50 L</t>
  </si>
  <si>
    <t xml:space="preserve">Avenida André Falcão</t>
  </si>
  <si>
    <t xml:space="preserve">631659.24</t>
  </si>
  <si>
    <t xml:space="preserve">AILTON ROSA SANTOS - 28343307860, ALYSSON ANDRADE RODRIGUES  - 05599883540, FÁBIO NASCIMENTO DOS SANTOS  - 01757294503</t>
  </si>
  <si>
    <t xml:space="preserve">763.68</t>
  </si>
  <si>
    <t xml:space="preserve">240.48 L</t>
  </si>
  <si>
    <t xml:space="preserve">Avenida dos Estudantes</t>
  </si>
  <si>
    <t xml:space="preserve">631660.40</t>
  </si>
  <si>
    <t xml:space="preserve">632424.07</t>
  </si>
  <si>
    <t xml:space="preserve">Edmir Mendes de Pinho - 36959804515, VALDOMIRO BISPO DOS SANTOS  - 57511322549, CARLOS DAVI SILVA  BORGES  - 99807491568</t>
  </si>
  <si>
    <t xml:space="preserve">293.35</t>
  </si>
  <si>
    <t xml:space="preserve">632717.42</t>
  </si>
  <si>
    <t xml:space="preserve">EDSON ALVES DE LIMA - 66627877520, FÁBIO NASCIMENTO DOS SANTOS  - 01757294503</t>
  </si>
  <si>
    <t xml:space="preserve">731.54</t>
  </si>
  <si>
    <t xml:space="preserve">214.50 L</t>
  </si>
  <si>
    <t xml:space="preserve">3.41 Km/L</t>
  </si>
  <si>
    <t xml:space="preserve">633448.95</t>
  </si>
  <si>
    <t xml:space="preserve">PLI0461</t>
  </si>
  <si>
    <t xml:space="preserve">R7935</t>
  </si>
  <si>
    <t xml:space="preserve">RONALDO ALVES DA SILVA - 41786106515</t>
  </si>
  <si>
    <t xml:space="preserve">76.56</t>
  </si>
  <si>
    <t xml:space="preserve">20.99 L</t>
  </si>
  <si>
    <t xml:space="preserve">99323.75</t>
  </si>
  <si>
    <t xml:space="preserve">99400.30</t>
  </si>
  <si>
    <t xml:space="preserve">LUCAS JESUS DE MELO  - 03665383579, VANDERSON TELES NASCIMENTO  - 81967543534</t>
  </si>
  <si>
    <t xml:space="preserve">682.80</t>
  </si>
  <si>
    <t xml:space="preserve">221.50 L</t>
  </si>
  <si>
    <t xml:space="preserve">3.08 Km/L</t>
  </si>
  <si>
    <t xml:space="preserve">100083.10</t>
  </si>
  <si>
    <t xml:space="preserve">ADRIANO SANTOS DA SILVA - 92538479568, RICARDO FERREIRA SOUZA - 00321033523, RICARDO FERREIRA SOUZA - 1261170</t>
  </si>
  <si>
    <t xml:space="preserve">440.34</t>
  </si>
  <si>
    <t xml:space="preserve">137.98 L</t>
  </si>
  <si>
    <t xml:space="preserve">100523.44</t>
  </si>
  <si>
    <t xml:space="preserve">ROSENDO ALMEIDA SANTOS  - 53161289587</t>
  </si>
  <si>
    <t xml:space="preserve">67.07</t>
  </si>
  <si>
    <t xml:space="preserve">23.52 L</t>
  </si>
  <si>
    <t xml:space="preserve">BA-093</t>
  </si>
  <si>
    <t xml:space="preserve">100590.51</t>
  </si>
  <si>
    <t xml:space="preserve">CARLOS DAVI SILVA  BORGES  - 99807491568, ROSENDO ALMEIDA SANTOS  - 53161289587</t>
  </si>
  <si>
    <t xml:space="preserve">756.73</t>
  </si>
  <si>
    <t xml:space="preserve">219.01 L</t>
  </si>
  <si>
    <t xml:space="preserve">100590.72</t>
  </si>
  <si>
    <t xml:space="preserve">101347.45</t>
  </si>
  <si>
    <t xml:space="preserve">CLODOALDO DOS SANTOS  - 55794980559, CLODOALDO DOS SANTOS  - 55794980559, GILVAN SANTOS MELO - 57552010568</t>
  </si>
  <si>
    <t xml:space="preserve">544.61</t>
  </si>
  <si>
    <t xml:space="preserve">178.98 L</t>
  </si>
  <si>
    <t xml:space="preserve">BR-423</t>
  </si>
  <si>
    <t xml:space="preserve">101892.06</t>
  </si>
  <si>
    <t xml:space="preserve">GILVAN SANTOS MELO - 57552010568, CLAUDIO ALBUQUERQUE SANTOS - 65373847534</t>
  </si>
  <si>
    <t xml:space="preserve">596.44</t>
  </si>
  <si>
    <t xml:space="preserve">208.99 L</t>
  </si>
  <si>
    <t xml:space="preserve">Rodovia Ba 210</t>
  </si>
  <si>
    <t xml:space="preserve">101893.48</t>
  </si>
  <si>
    <t xml:space="preserve">102489.92</t>
  </si>
  <si>
    <t xml:space="preserve">PLG2528</t>
  </si>
  <si>
    <t xml:space="preserve">R7905</t>
  </si>
  <si>
    <t xml:space="preserve">VALTEMISSON JOSE DOS SANTOS - 96941120525, GILTON BARRETO VALENCA  - 87903261568</t>
  </si>
  <si>
    <t xml:space="preserve">685.10</t>
  </si>
  <si>
    <t xml:space="preserve">110.46 L</t>
  </si>
  <si>
    <t xml:space="preserve">6.20 Km/L</t>
  </si>
  <si>
    <t xml:space="preserve">798665.43</t>
  </si>
  <si>
    <t xml:space="preserve">799350.52</t>
  </si>
  <si>
    <t xml:space="preserve">PLG4809</t>
  </si>
  <si>
    <t xml:space="preserve">R7965</t>
  </si>
  <si>
    <t xml:space="preserve">DOMINGOS SANTANA SOUZA - 00663261503</t>
  </si>
  <si>
    <t xml:space="preserve">72.08</t>
  </si>
  <si>
    <t xml:space="preserve">26.00 L</t>
  </si>
  <si>
    <t xml:space="preserve">Avenida Juscelino Kubitscheck</t>
  </si>
  <si>
    <t xml:space="preserve">794138.55</t>
  </si>
  <si>
    <t xml:space="preserve">794210.63</t>
  </si>
  <si>
    <t xml:space="preserve">0.67 Km/L</t>
  </si>
  <si>
    <t xml:space="preserve">794210.96</t>
  </si>
  <si>
    <t xml:space="preserve">ADAILTON DA SILVA SANTOS - 01609731557</t>
  </si>
  <si>
    <t xml:space="preserve">72.13</t>
  </si>
  <si>
    <t xml:space="preserve">37.50 L</t>
  </si>
  <si>
    <t xml:space="preserve">1.92 Km/L</t>
  </si>
  <si>
    <t xml:space="preserve">794283.08</t>
  </si>
  <si>
    <t xml:space="preserve">JOSE MAICON ALMEIDA DOS SANTOS - 01355426502, RENATO MATIAS DE SOUZA - 06054979663</t>
  </si>
  <si>
    <t xml:space="preserve">292.81</t>
  </si>
  <si>
    <t xml:space="preserve">113.49 L</t>
  </si>
  <si>
    <t xml:space="preserve">2.58 Km/L</t>
  </si>
  <si>
    <t xml:space="preserve">794575.89</t>
  </si>
  <si>
    <t xml:space="preserve">PLE8D78</t>
  </si>
  <si>
    <t xml:space="preserve">R8025</t>
  </si>
  <si>
    <t xml:space="preserve">0.35 Km/L</t>
  </si>
  <si>
    <t xml:space="preserve">398022.10</t>
  </si>
  <si>
    <t xml:space="preserve">398022.17</t>
  </si>
  <si>
    <t xml:space="preserve">57.04</t>
  </si>
  <si>
    <t xml:space="preserve">23.26 L</t>
  </si>
  <si>
    <t xml:space="preserve">398079.21</t>
  </si>
  <si>
    <t xml:space="preserve">0.18 L</t>
  </si>
  <si>
    <t xml:space="preserve">0.28 Km/L</t>
  </si>
  <si>
    <t xml:space="preserve">398079.26</t>
  </si>
  <si>
    <t xml:space="preserve">2.37</t>
  </si>
  <si>
    <t xml:space="preserve">1.44 L</t>
  </si>
  <si>
    <t xml:space="preserve">1.65 Km/L</t>
  </si>
  <si>
    <t xml:space="preserve">398081.63</t>
  </si>
  <si>
    <t xml:space="preserve">0.14 L</t>
  </si>
  <si>
    <t xml:space="preserve">PLG3095</t>
  </si>
  <si>
    <t xml:space="preserve">R8035</t>
  </si>
  <si>
    <t xml:space="preserve">64.04</t>
  </si>
  <si>
    <t xml:space="preserve">20.42 L</t>
  </si>
  <si>
    <t xml:space="preserve">Rua Jorge Amado</t>
  </si>
  <si>
    <t xml:space="preserve">339346.31</t>
  </si>
  <si>
    <t xml:space="preserve">339410.34</t>
  </si>
  <si>
    <t xml:space="preserve">59.73</t>
  </si>
  <si>
    <t xml:space="preserve">18.88 L</t>
  </si>
  <si>
    <t xml:space="preserve">339470.07</t>
  </si>
  <si>
    <t xml:space="preserve">64.42</t>
  </si>
  <si>
    <t xml:space="preserve">19.04 L</t>
  </si>
  <si>
    <t xml:space="preserve">339534.49</t>
  </si>
  <si>
    <t xml:space="preserve">64.38</t>
  </si>
  <si>
    <t xml:space="preserve">19.66 L</t>
  </si>
  <si>
    <t xml:space="preserve">339598.87</t>
  </si>
  <si>
    <t xml:space="preserve">0.48</t>
  </si>
  <si>
    <t xml:space="preserve">0.59 L</t>
  </si>
  <si>
    <t xml:space="preserve">0.81 Km/L</t>
  </si>
  <si>
    <t xml:space="preserve">339599.34</t>
  </si>
  <si>
    <t xml:space="preserve">64.40</t>
  </si>
  <si>
    <t xml:space="preserve">19.51 L</t>
  </si>
  <si>
    <t xml:space="preserve">339663.74</t>
  </si>
  <si>
    <t xml:space="preserve">PLE7239</t>
  </si>
  <si>
    <t xml:space="preserve">R8055</t>
  </si>
  <si>
    <t xml:space="preserve">0.24</t>
  </si>
  <si>
    <t xml:space="preserve">0.48 Km/L</t>
  </si>
  <si>
    <t xml:space="preserve">432470.87</t>
  </si>
  <si>
    <t xml:space="preserve">432471.11</t>
  </si>
  <si>
    <t xml:space="preserve">0.55</t>
  </si>
  <si>
    <t xml:space="preserve">1.11 Km/L</t>
  </si>
  <si>
    <t xml:space="preserve">432471.66</t>
  </si>
  <si>
    <t xml:space="preserve">Jose Raimundo dos Santos - 00335224563</t>
  </si>
  <si>
    <t xml:space="preserve">0.66</t>
  </si>
  <si>
    <t xml:space="preserve">0.44 Km/L</t>
  </si>
  <si>
    <t xml:space="preserve">432472.32</t>
  </si>
  <si>
    <t xml:space="preserve">ROBERT KAUAN MACHADO SILVA - 06526475531, NATANAEL AVELINO DOS SANTOS - 05037278570</t>
  </si>
  <si>
    <t xml:space="preserve">94.78</t>
  </si>
  <si>
    <t xml:space="preserve">33.50 L</t>
  </si>
  <si>
    <t xml:space="preserve">432567.09</t>
  </si>
  <si>
    <t xml:space="preserve">IRANILSON FAUSTINO DA SILVA - 00289567530</t>
  </si>
  <si>
    <t xml:space="preserve">20.37</t>
  </si>
  <si>
    <t xml:space="preserve">432587.46</t>
  </si>
  <si>
    <t xml:space="preserve">0.40</t>
  </si>
  <si>
    <t xml:space="preserve">432587.85</t>
  </si>
  <si>
    <t xml:space="preserve">0.12</t>
  </si>
  <si>
    <t xml:space="preserve">432587.97</t>
  </si>
  <si>
    <t xml:space="preserve">PLE2G34</t>
  </si>
  <si>
    <t xml:space="preserve">R8045</t>
  </si>
  <si>
    <t xml:space="preserve">PLI0274</t>
  </si>
  <si>
    <t xml:space="preserve">R7915</t>
  </si>
  <si>
    <t xml:space="preserve">1201921.41</t>
  </si>
  <si>
    <t xml:space="preserve">PLS7H58</t>
  </si>
  <si>
    <t xml:space="preserve">R8065</t>
  </si>
  <si>
    <t xml:space="preserve">208.26</t>
  </si>
  <si>
    <t xml:space="preserve">84.00 L</t>
  </si>
  <si>
    <t xml:space="preserve">790038.26</t>
  </si>
  <si>
    <t xml:space="preserve">790246.51</t>
  </si>
  <si>
    <t xml:space="preserve">495.53</t>
  </si>
  <si>
    <t xml:space="preserve">188.00 L</t>
  </si>
  <si>
    <t xml:space="preserve">790742.04</t>
  </si>
  <si>
    <t xml:space="preserve">490.00</t>
  </si>
  <si>
    <t xml:space="preserve">184.00 L</t>
  </si>
  <si>
    <t xml:space="preserve">791232.04</t>
  </si>
  <si>
    <t xml:space="preserve">489.95</t>
  </si>
  <si>
    <t xml:space="preserve">186.02 L</t>
  </si>
  <si>
    <t xml:space="preserve">791721.98</t>
  </si>
  <si>
    <t xml:space="preserve">493.77</t>
  </si>
  <si>
    <t xml:space="preserve">193.95 L</t>
  </si>
  <si>
    <t xml:space="preserve">792215.75</t>
  </si>
  <si>
    <t xml:space="preserve">425.12</t>
  </si>
  <si>
    <t xml:space="preserve">172.51 L</t>
  </si>
  <si>
    <t xml:space="preserve">792640.87</t>
  </si>
  <si>
    <t xml:space="preserve">490.01</t>
  </si>
  <si>
    <t xml:space="preserve">187.49 L</t>
  </si>
  <si>
    <t xml:space="preserve">2.61 Km/L</t>
  </si>
  <si>
    <t xml:space="preserve">793130.87</t>
  </si>
  <si>
    <t xml:space="preserve">PLS3J00</t>
  </si>
  <si>
    <t xml:space="preserve">R8085</t>
  </si>
  <si>
    <t xml:space="preserve">ROSEMBERG ALVES LIMA SANTOS - 06543994509, Jose Raimundo dos Santos - 00335224563, IVANILDO SOUSA DE ANDRADE - 03112281519</t>
  </si>
  <si>
    <t xml:space="preserve">307.34</t>
  </si>
  <si>
    <t xml:space="preserve">110.50 L</t>
  </si>
  <si>
    <t xml:space="preserve">715282.28</t>
  </si>
  <si>
    <t xml:space="preserve">715589.63</t>
  </si>
  <si>
    <t xml:space="preserve">MARCOS CARVALHO RIBEIRO - 03981643550, CARLOS ALBERTO SOUZA DOS SANTOS - 00408306599</t>
  </si>
  <si>
    <t xml:space="preserve">430.04</t>
  </si>
  <si>
    <t xml:space="preserve">144.50 L</t>
  </si>
  <si>
    <t xml:space="preserve">716019.67</t>
  </si>
  <si>
    <t xml:space="preserve">MARCOS CARVALHO RIBEIRO - 03981643550, Jose Raimundo dos Santos - 00335224563, CARLOS ALBERTO SOUZA DOS SANTOS - 00408306599</t>
  </si>
  <si>
    <t xml:space="preserve">429.56</t>
  </si>
  <si>
    <t xml:space="preserve">141.01 L</t>
  </si>
  <si>
    <t xml:space="preserve">716449.23</t>
  </si>
  <si>
    <t xml:space="preserve">429.57</t>
  </si>
  <si>
    <t xml:space="preserve">141.49 L</t>
  </si>
  <si>
    <t xml:space="preserve">716878.80</t>
  </si>
  <si>
    <t xml:space="preserve">483.57</t>
  </si>
  <si>
    <t xml:space="preserve">161.01 L</t>
  </si>
  <si>
    <t xml:space="preserve">717362.37</t>
  </si>
  <si>
    <t xml:space="preserve">ANTONIO MAXIMO SANTOS SOUSA - 04634408546, JOSE NEILTON DOS SANTOS - 50982354568, JOILSON SANTANA DAS VIRGENS - 01124920536</t>
  </si>
  <si>
    <t xml:space="preserve">75.02</t>
  </si>
  <si>
    <t xml:space="preserve">28.50 L</t>
  </si>
  <si>
    <t xml:space="preserve">717437.39</t>
  </si>
  <si>
    <t xml:space="preserve">429.51</t>
  </si>
  <si>
    <t xml:space="preserve">142.00 L</t>
  </si>
  <si>
    <t xml:space="preserve">717866.90</t>
  </si>
  <si>
    <t xml:space="preserve">PLR6G20</t>
  </si>
  <si>
    <t xml:space="preserve">R8075</t>
  </si>
  <si>
    <t xml:space="preserve">MARCOS CARVALHO RIBEIRO - 03981643550, Jose Raimundo dos Santos - 00335224563, CARLOS ALBERTO SOUZA DOS SANTOS - 00408306599, CARLISSON MESSIAS DE JESUS - 04199062580</t>
  </si>
  <si>
    <t xml:space="preserve">369.52</t>
  </si>
  <si>
    <t xml:space="preserve">650130.52</t>
  </si>
  <si>
    <t xml:space="preserve">650500.04</t>
  </si>
  <si>
    <t xml:space="preserve">IVANILDO SOUSA DE ANDRADE - 03112281519, JAMILLY SANTOS DA SILVA - 00158273567</t>
  </si>
  <si>
    <t xml:space="preserve">323.08</t>
  </si>
  <si>
    <t xml:space="preserve">129.50 L</t>
  </si>
  <si>
    <t xml:space="preserve">650823.12</t>
  </si>
  <si>
    <t xml:space="preserve">145.16</t>
  </si>
  <si>
    <t xml:space="preserve">56.99 L</t>
  </si>
  <si>
    <t xml:space="preserve">650968.28</t>
  </si>
  <si>
    <t xml:space="preserve">2.41 Km/L</t>
  </si>
  <si>
    <t xml:space="preserve">651148.95</t>
  </si>
  <si>
    <t xml:space="preserve">44.63</t>
  </si>
  <si>
    <t xml:space="preserve">22.00 L</t>
  </si>
  <si>
    <t xml:space="preserve">651193.58</t>
  </si>
  <si>
    <t xml:space="preserve">JEREMIAS DO SANTOS GALIZA - 82787654568</t>
  </si>
  <si>
    <t xml:space="preserve">53.40</t>
  </si>
  <si>
    <t xml:space="preserve">21.50 L</t>
  </si>
  <si>
    <t xml:space="preserve">651246.97</t>
  </si>
  <si>
    <t xml:space="preserve">343.60</t>
  </si>
  <si>
    <t xml:space="preserve">Avenida Canavieiras</t>
  </si>
  <si>
    <t xml:space="preserve">651590.57</t>
  </si>
  <si>
    <t xml:space="preserve">QTV6C98</t>
  </si>
  <si>
    <t xml:space="preserve">R8215</t>
  </si>
  <si>
    <t xml:space="preserve">AROLDO DE JESUS RIBEIRO - 82978158549, EMERSON ANDRADE DA SILVA - 96170824549, JOSE CRISTIANO ALVES FREITAS - 03635098523</t>
  </si>
  <si>
    <t xml:space="preserve">20.82</t>
  </si>
  <si>
    <t xml:space="preserve">12.99 L</t>
  </si>
  <si>
    <t xml:space="preserve">1.60 Km/L</t>
  </si>
  <si>
    <t xml:space="preserve">652151.75</t>
  </si>
  <si>
    <t xml:space="preserve">652172.57</t>
  </si>
  <si>
    <t xml:space="preserve">Jose Raimundo dos Santos - 00335224563, BENIVALDO ALVES RIGAUD NETO - 04482063584, EMERSON ANDRADE DA SILVA - 96170824549</t>
  </si>
  <si>
    <t xml:space="preserve">18.79</t>
  </si>
  <si>
    <t xml:space="preserve">17.01 L</t>
  </si>
  <si>
    <t xml:space="preserve">1.10 Km/L</t>
  </si>
  <si>
    <t xml:space="preserve">652191.36</t>
  </si>
  <si>
    <t xml:space="preserve">ANTONIO MAXIMO SANTOS SOUSA - 04634408546, BENIVALDO ALVES RIGAUD NETO - 04482063584</t>
  </si>
  <si>
    <t xml:space="preserve">2.88</t>
  </si>
  <si>
    <t xml:space="preserve">2.00 L</t>
  </si>
  <si>
    <t xml:space="preserve">1.44 Km/L</t>
  </si>
  <si>
    <t xml:space="preserve">652194.23</t>
  </si>
  <si>
    <t xml:space="preserve">VALMIR JOSE DOS SANTOS - 42008476553, CLEBER FARIAS DOS REIS - 71858318572, BENIVALDO ALVES RIGAUD NETO - 04482063584</t>
  </si>
  <si>
    <t xml:space="preserve">329.73</t>
  </si>
  <si>
    <t xml:space="preserve">138.00 L</t>
  </si>
  <si>
    <t xml:space="preserve">652523.96</t>
  </si>
  <si>
    <t xml:space="preserve">JOVANDO SANTANA MOREIRA - 65889843591, BENIVALDO ALVES RIGAUD NETO - 04482063584, MARCEL DE CARVALHO SILVA - 97922064500</t>
  </si>
  <si>
    <t xml:space="preserve">330.04</t>
  </si>
  <si>
    <t xml:space="preserve">140.00 L</t>
  </si>
  <si>
    <t xml:space="preserve">652854.00</t>
  </si>
  <si>
    <t xml:space="preserve">JORGE LIMA DOS SANTOS - 03603667590, MARCEL DE CARVALHO SILVA - 97922064500</t>
  </si>
  <si>
    <t xml:space="preserve">125.98 L</t>
  </si>
  <si>
    <t xml:space="preserve">653184.04</t>
  </si>
  <si>
    <t xml:space="preserve">JOVANDO SANTANA MOREIRA - 65889843591, MARCEL DE CARVALHO SILVA - 97922064500, JOSE CRISTIANO ALVES FREITAS - 03635098523</t>
  </si>
  <si>
    <t xml:space="preserve">330.06</t>
  </si>
  <si>
    <t xml:space="preserve">653514.10</t>
  </si>
  <si>
    <t xml:space="preserve">QTV4G71</t>
  </si>
  <si>
    <t xml:space="preserve">R8245</t>
  </si>
  <si>
    <t xml:space="preserve">MARCELO EDUARDO OLIVEIRA COSTA - 60245476504</t>
  </si>
  <si>
    <t xml:space="preserve">104.70</t>
  </si>
  <si>
    <t xml:space="preserve">42.50 L</t>
  </si>
  <si>
    <t xml:space="preserve">612703.30</t>
  </si>
  <si>
    <t xml:space="preserve">612808.00</t>
  </si>
  <si>
    <t xml:space="preserve">FABIO NASCIMENTO DOS SANTOS - 94691576568</t>
  </si>
  <si>
    <t xml:space="preserve">304.18</t>
  </si>
  <si>
    <t xml:space="preserve">122.00 L</t>
  </si>
  <si>
    <t xml:space="preserve">613112.18</t>
  </si>
  <si>
    <t xml:space="preserve">JOSE ACACIO FERREIRA FIGUEIREDO - 58429352520, JOSE MAURICIO SANTANA SANTOS - 97382388549</t>
  </si>
  <si>
    <t xml:space="preserve">293.08</t>
  </si>
  <si>
    <t xml:space="preserve">114.99 L</t>
  </si>
  <si>
    <t xml:space="preserve">613405.25</t>
  </si>
  <si>
    <t xml:space="preserve">CARLOS ROBERTO - 88988503520, JOSE ACACIO FERREIRA FIGUEIREDO - 58429352520, FERNANDO DO NASCIMENTO - 37956647568, ITAMAR PAULINO DOS SANTOS - 65902947553</t>
  </si>
  <si>
    <t xml:space="preserve">296.46</t>
  </si>
  <si>
    <t xml:space="preserve">120.00 L</t>
  </si>
  <si>
    <t xml:space="preserve">2.47 Km/L</t>
  </si>
  <si>
    <t xml:space="preserve">613701.71</t>
  </si>
  <si>
    <t xml:space="preserve">ITAMAR PAULINO DOS SANTOS - 65902947553, JAILTON SA DOS SANTOS - 82191026591</t>
  </si>
  <si>
    <t xml:space="preserve">204.89</t>
  </si>
  <si>
    <t xml:space="preserve">78.02 L</t>
  </si>
  <si>
    <t xml:space="preserve">613906.60</t>
  </si>
  <si>
    <t xml:space="preserve">ROGERIO SOUZA SANTOS DE MEIRELES - 02484231504, MANOEL BIANO SOUZA - 29434416515, JOSE MAURICIO SANTANA SANTOS - 97382388549</t>
  </si>
  <si>
    <t xml:space="preserve">408.71</t>
  </si>
  <si>
    <t xml:space="preserve">156.99 L</t>
  </si>
  <si>
    <t xml:space="preserve">614315.31</t>
  </si>
  <si>
    <t xml:space="preserve">MANOEL BIANO SOUZA - 29434416515, RONALDO ALVES DA SILVA - 41786106515, LUCAS NASCIMENTO BRITO - 69134022520</t>
  </si>
  <si>
    <t xml:space="preserve">306.86</t>
  </si>
  <si>
    <t xml:space="preserve">614622.17</t>
  </si>
  <si>
    <t xml:space="preserve">QTV0G53</t>
  </si>
  <si>
    <t xml:space="preserve">R8225</t>
  </si>
  <si>
    <t xml:space="preserve">1.01 L</t>
  </si>
  <si>
    <t xml:space="preserve">0.05 Km/L</t>
  </si>
  <si>
    <t xml:space="preserve">629042.10</t>
  </si>
  <si>
    <t xml:space="preserve">629042.15</t>
  </si>
  <si>
    <t xml:space="preserve">0.88</t>
  </si>
  <si>
    <t xml:space="preserve">10.50 L</t>
  </si>
  <si>
    <t xml:space="preserve">0.08 Km/L</t>
  </si>
  <si>
    <t xml:space="preserve">629043.03</t>
  </si>
  <si>
    <t xml:space="preserve">Jose Raimundo dos Santos - 00335224563, CLEBER FARIAS DOS REIS - 71858318572, JOSE MARCOS DE JESUS BRITO - 05586450542</t>
  </si>
  <si>
    <t xml:space="preserve">217.50</t>
  </si>
  <si>
    <t xml:space="preserve">102.51 L</t>
  </si>
  <si>
    <t xml:space="preserve">2.12 Km/L</t>
  </si>
  <si>
    <t xml:space="preserve">629260.53</t>
  </si>
  <si>
    <t xml:space="preserve">MARCOS FILIPE LIMA DE OLIVEIRA - 85262714587, VALMIR JOSE DOS SANTOS - 42008476553, JOSE CRISTIANO ALVES FREITAS - 03635098523</t>
  </si>
  <si>
    <t xml:space="preserve">320.29</t>
  </si>
  <si>
    <t xml:space="preserve">137.49 L</t>
  </si>
  <si>
    <t xml:space="preserve">629580.82</t>
  </si>
  <si>
    <t xml:space="preserve">CLEBER FARIAS DOS REIS - 71858318572</t>
  </si>
  <si>
    <t xml:space="preserve">109.43</t>
  </si>
  <si>
    <t xml:space="preserve">629690.24</t>
  </si>
  <si>
    <t xml:space="preserve">QTV6C89</t>
  </si>
  <si>
    <t xml:space="preserve">R8235</t>
  </si>
  <si>
    <t xml:space="preserve">Jose Raimundo dos Santos - 00335224563, JEREMIAS DO SANTOS GALIZA - 82787654568, MARCEL DE CARVALHO SILVA - 97922064500</t>
  </si>
  <si>
    <t xml:space="preserve">319.11</t>
  </si>
  <si>
    <t xml:space="preserve">148.50 L</t>
  </si>
  <si>
    <t xml:space="preserve">2.15 Km/L</t>
  </si>
  <si>
    <t xml:space="preserve">611805.84</t>
  </si>
  <si>
    <t xml:space="preserve">612124.95</t>
  </si>
  <si>
    <t xml:space="preserve">ADRIANO ALVES LEITE - 93735596568, MARCEL DE CARVALHO SILVA - 97922064500</t>
  </si>
  <si>
    <t xml:space="preserve">320.96</t>
  </si>
  <si>
    <t xml:space="preserve">2.23 Km/L</t>
  </si>
  <si>
    <t xml:space="preserve">612445.90</t>
  </si>
  <si>
    <t xml:space="preserve">Jose Raimundo dos Santos - 00335224563, ADRIANO ALVES LEITE - 93735596568, MARCEL DE CARVALHO SILVA - 97922064500</t>
  </si>
  <si>
    <t xml:space="preserve">318.30</t>
  </si>
  <si>
    <t xml:space="preserve">132.50 L</t>
  </si>
  <si>
    <t xml:space="preserve">612764.20</t>
  </si>
  <si>
    <t xml:space="preserve">ADRIANO ALVES LEITE - 93735596568, JOSE CRISTIANO ALVES FREITAS - 03635098523</t>
  </si>
  <si>
    <t xml:space="preserve">318.42</t>
  </si>
  <si>
    <t xml:space="preserve">142.02 L</t>
  </si>
  <si>
    <t xml:space="preserve">2.24 Km/L</t>
  </si>
  <si>
    <t xml:space="preserve">613082.62</t>
  </si>
  <si>
    <t xml:space="preserve">MARCOS FILIPE LIMA DE OLIVEIRA - 85262714587, Jose Raimundo dos Santos - 00335224563, MARCEL DE CARVALHO SILVA - 97922064500</t>
  </si>
  <si>
    <t xml:space="preserve">309.62</t>
  </si>
  <si>
    <t xml:space="preserve">142.99 L</t>
  </si>
  <si>
    <t xml:space="preserve">613392.24</t>
  </si>
  <si>
    <t xml:space="preserve">Samuel Brito dos Santos - 86013174563, MARCEL DE CARVALHO SILVA - 97922064500</t>
  </si>
  <si>
    <t xml:space="preserve">319.03</t>
  </si>
  <si>
    <t xml:space="preserve">150.50 L</t>
  </si>
  <si>
    <t xml:space="preserve">613711.27</t>
  </si>
  <si>
    <t xml:space="preserve">JEREMIAS DO SANTOS GALIZA - 82787654568, MARCEL DE CARVALHO SILVA - 97922064500</t>
  </si>
  <si>
    <t xml:space="preserve">318.92</t>
  </si>
  <si>
    <t xml:space="preserve">143.50 L</t>
  </si>
  <si>
    <t xml:space="preserve">2.22 Km/L</t>
  </si>
  <si>
    <t xml:space="preserve">614030.19</t>
  </si>
  <si>
    <t xml:space="preserve">QTV7J90</t>
  </si>
  <si>
    <t xml:space="preserve">R8205</t>
  </si>
  <si>
    <t xml:space="preserve">319.02</t>
  </si>
  <si>
    <t xml:space="preserve">135.50 L</t>
  </si>
  <si>
    <t xml:space="preserve">658805.92</t>
  </si>
  <si>
    <t xml:space="preserve">659124.94</t>
  </si>
  <si>
    <t xml:space="preserve">175.57</t>
  </si>
  <si>
    <t xml:space="preserve">79.50 L</t>
  </si>
  <si>
    <t xml:space="preserve">2.21 Km/L</t>
  </si>
  <si>
    <t xml:space="preserve">659300.51</t>
  </si>
  <si>
    <t xml:space="preserve">0.41</t>
  </si>
  <si>
    <t xml:space="preserve">6.50 L</t>
  </si>
  <si>
    <t xml:space="preserve">0.06 Km/L</t>
  </si>
  <si>
    <t xml:space="preserve">659300.92</t>
  </si>
  <si>
    <t xml:space="preserve">318.97</t>
  </si>
  <si>
    <t xml:space="preserve">659619.89</t>
  </si>
  <si>
    <t xml:space="preserve">215.29</t>
  </si>
  <si>
    <t xml:space="preserve">90.00 L</t>
  </si>
  <si>
    <t xml:space="preserve">659835.17</t>
  </si>
  <si>
    <t xml:space="preserve">108.61</t>
  </si>
  <si>
    <t xml:space="preserve">46.00 L</t>
  </si>
  <si>
    <t xml:space="preserve">659943.78</t>
  </si>
  <si>
    <t xml:space="preserve">318.23</t>
  </si>
  <si>
    <t xml:space="preserve">2.37 Km/L</t>
  </si>
  <si>
    <t xml:space="preserve">660262.01</t>
  </si>
  <si>
    <t xml:space="preserve">PLZ8J53</t>
  </si>
  <si>
    <t xml:space="preserve">R8125</t>
  </si>
  <si>
    <t xml:space="preserve">599.56</t>
  </si>
  <si>
    <t xml:space="preserve">205.98 L</t>
  </si>
  <si>
    <t xml:space="preserve">940536.30</t>
  </si>
  <si>
    <t xml:space="preserve">941135.86</t>
  </si>
  <si>
    <t xml:space="preserve">ABILIO SANTOS COUTINHO - 92884539549</t>
  </si>
  <si>
    <t xml:space="preserve">299.20</t>
  </si>
  <si>
    <t xml:space="preserve">97.02 L</t>
  </si>
  <si>
    <t xml:space="preserve">941435.06</t>
  </si>
  <si>
    <t xml:space="preserve">Jose Raimundo dos Santos - 00335224563, HELIO DA SILVA SOUSA - 32561679500</t>
  </si>
  <si>
    <t xml:space="preserve">296.18</t>
  </si>
  <si>
    <t xml:space="preserve">98.98 L</t>
  </si>
  <si>
    <t xml:space="preserve">941731.24</t>
  </si>
  <si>
    <t xml:space="preserve">HELIO DA SILVA SOUSA - 32561679500, IRAILDO PAULINO DOS SANTOS - 47334878515, JOSENILDON BISPO DE JESUS - 57874891520</t>
  </si>
  <si>
    <t xml:space="preserve">682.36</t>
  </si>
  <si>
    <t xml:space="preserve">232.99 L</t>
  </si>
  <si>
    <t xml:space="preserve">942413.59</t>
  </si>
  <si>
    <t xml:space="preserve">HELIO DA SILVA SOUSA - 32561679500, TONI LEMOS DA SILVA GALO - 01002641586</t>
  </si>
  <si>
    <t xml:space="preserve">319.85</t>
  </si>
  <si>
    <t xml:space="preserve">108.51 L</t>
  </si>
  <si>
    <t xml:space="preserve">942733.44</t>
  </si>
  <si>
    <t xml:space="preserve">296.47</t>
  </si>
  <si>
    <t xml:space="preserve">103.01 L</t>
  </si>
  <si>
    <t xml:space="preserve">943029.91</t>
  </si>
  <si>
    <t xml:space="preserve">FABIO MASCARENHAS DA SILVA - 83651160572, CRISPIM RIBEIRO DE O FILHO - 44330561549</t>
  </si>
  <si>
    <t xml:space="preserve">298.91</t>
  </si>
  <si>
    <t xml:space="preserve">100.48 L</t>
  </si>
  <si>
    <t xml:space="preserve">943328.81</t>
  </si>
  <si>
    <t xml:space="preserve">PLZ7F11</t>
  </si>
  <si>
    <t xml:space="preserve">R8105</t>
  </si>
  <si>
    <t xml:space="preserve">JOSE BISPO DA SILVA - 58590609553</t>
  </si>
  <si>
    <t xml:space="preserve">298.58</t>
  </si>
  <si>
    <t xml:space="preserve">108.99 L</t>
  </si>
  <si>
    <t xml:space="preserve">1045418.94</t>
  </si>
  <si>
    <t xml:space="preserve">1045717.52</t>
  </si>
  <si>
    <t xml:space="preserve">HELIO DA SILVA SOUSA - 32561679500</t>
  </si>
  <si>
    <t xml:space="preserve">322.79</t>
  </si>
  <si>
    <t xml:space="preserve">106.02 L</t>
  </si>
  <si>
    <t xml:space="preserve">1046040.31</t>
  </si>
  <si>
    <t xml:space="preserve">PAULO SANTOS BANDEIRA - 00977783545, MAQUITUZAEL ARAUJO DE JESUS - 95968326549, MARCUS VINICIUS SILVA SANTOS - 01873867573</t>
  </si>
  <si>
    <t xml:space="preserve">554.65</t>
  </si>
  <si>
    <t xml:space="preserve">184.99 L</t>
  </si>
  <si>
    <t xml:space="preserve">1046594.95</t>
  </si>
  <si>
    <t xml:space="preserve">GILDEON OLIVEIRA DE SOUZA - 18269010510, PAULO SANTOS BANDEIRA - 00977783545</t>
  </si>
  <si>
    <t xml:space="preserve">561.52</t>
  </si>
  <si>
    <t xml:space="preserve">1047156.47</t>
  </si>
  <si>
    <t xml:space="preserve">PLZ7E93</t>
  </si>
  <si>
    <t xml:space="preserve">R8155</t>
  </si>
  <si>
    <t xml:space="preserve">ALEX HENRIQUE DE ALMEIDA - 72446048587, ROGERIO CARDOSO SANTOS - 82952884587</t>
  </si>
  <si>
    <t xml:space="preserve">1.48</t>
  </si>
  <si>
    <t xml:space="preserve">0.73 Km/L</t>
  </si>
  <si>
    <t xml:space="preserve">Acesso Avenida Doutor Jose da Silva Ribeiro Filho</t>
  </si>
  <si>
    <t xml:space="preserve">1040620.03</t>
  </si>
  <si>
    <t xml:space="preserve">1040621.51</t>
  </si>
  <si>
    <t xml:space="preserve">FÁBIO NASCIMENTO DOS SANTOS  - 01757294503</t>
  </si>
  <si>
    <t xml:space="preserve">0.02</t>
  </si>
  <si>
    <t xml:space="preserve">Rua Haiti</t>
  </si>
  <si>
    <t xml:space="preserve">1040621.53</t>
  </si>
  <si>
    <t xml:space="preserve">AILTON ROSA SANTOS - 28343307860, CLAUDIO ALBUQUERQUE SANTOS - 65373847534</t>
  </si>
  <si>
    <t xml:space="preserve">571.49</t>
  </si>
  <si>
    <t xml:space="preserve">220.48 L</t>
  </si>
  <si>
    <t xml:space="preserve">1041193.01</t>
  </si>
  <si>
    <t xml:space="preserve">JOSE MARIO DA COSTA FILHO - 94079790597</t>
  </si>
  <si>
    <t xml:space="preserve">578.45</t>
  </si>
  <si>
    <t xml:space="preserve">214.46 L</t>
  </si>
  <si>
    <t xml:space="preserve">1041771.46</t>
  </si>
  <si>
    <t xml:space="preserve">MOISES ALVES SANTOS - 58546863504, CARLOS HUGO OLIVEIRA CARDOSO - 56457677487</t>
  </si>
  <si>
    <t xml:space="preserve">580.37</t>
  </si>
  <si>
    <t xml:space="preserve">221.02 L</t>
  </si>
  <si>
    <t xml:space="preserve">1042351.83</t>
  </si>
  <si>
    <t xml:space="preserve">AILTON ROSA SANTOS - 28343307860, HUDSON SANTANA DE MENEZES - 04885757533, JOSE EDVALDO SOARES OLIVEIRA - 31420567500, LUCAS JESUS DE MELO  - 03665383579</t>
  </si>
  <si>
    <t xml:space="preserve">578.28</t>
  </si>
  <si>
    <t xml:space="preserve">216.00 L</t>
  </si>
  <si>
    <t xml:space="preserve">1042930.10</t>
  </si>
  <si>
    <t xml:space="preserve">JOSÉ ACÁCIO BORGES DOS SANTOS - 03258369577, Jose Raimundo dos Santos - 00335224563, ALEX HENRIQUE DE ALMEIDA - 72446048587, VALDOMIRO BISPO DOS SANTOS  - 57511322549</t>
  </si>
  <si>
    <t xml:space="preserve">693.45</t>
  </si>
  <si>
    <t xml:space="preserve">232.48 L</t>
  </si>
  <si>
    <t xml:space="preserve">1043623.55</t>
  </si>
  <si>
    <t xml:space="preserve">PLZ5A82</t>
  </si>
  <si>
    <t xml:space="preserve">R8145</t>
  </si>
  <si>
    <t xml:space="preserve">CLAUDIO ALBUQUERQUE SANTOS - 65373847534</t>
  </si>
  <si>
    <t xml:space="preserve">289.78</t>
  </si>
  <si>
    <t xml:space="preserve">1062353.52</t>
  </si>
  <si>
    <t xml:space="preserve">1062643.30</t>
  </si>
  <si>
    <t xml:space="preserve">AILTON ROSA SANTOS - 28343307860, HUDSON SANTANA DE MENEZES - 04885757533</t>
  </si>
  <si>
    <t xml:space="preserve">556.84</t>
  </si>
  <si>
    <t xml:space="preserve">198.02 L</t>
  </si>
  <si>
    <t xml:space="preserve">1063200.14</t>
  </si>
  <si>
    <t xml:space="preserve">AILTON ROSA SANTOS - 28343307860, JOSE MARIO DA COSTA FILHO - 94079790597, JOSE ELIELTO DE MELO - 33367230510, VALTEMISSON JOSE DOS SANTOS - 96941120525</t>
  </si>
  <si>
    <t xml:space="preserve">546.44</t>
  </si>
  <si>
    <t xml:space="preserve">196.99 L</t>
  </si>
  <si>
    <t xml:space="preserve">BR-110;BR-423</t>
  </si>
  <si>
    <t xml:space="preserve">Rua Floriano Peixoto</t>
  </si>
  <si>
    <t xml:space="preserve">1063201.30</t>
  </si>
  <si>
    <t xml:space="preserve">1063747.74</t>
  </si>
  <si>
    <t xml:space="preserve">CARLOS JOSE CORREIA DA SILVA - 93503458549, JOSE MARIO DA COSTA FILHO - 94079790597, DENISSON MIRANDA PRADO  - 89498089515</t>
  </si>
  <si>
    <t xml:space="preserve">583.12</t>
  </si>
  <si>
    <t xml:space="preserve">214.98 L</t>
  </si>
  <si>
    <t xml:space="preserve">Rua Manoel Ribeiro</t>
  </si>
  <si>
    <t xml:space="preserve">1063747.83</t>
  </si>
  <si>
    <t xml:space="preserve">1064330.95</t>
  </si>
  <si>
    <t xml:space="preserve">DENISSON MIRANDA PRADO  - 89498089515, LENALDO CAVALCANTE DA SILVA  - 00703023594</t>
  </si>
  <si>
    <t xml:space="preserve">454.95</t>
  </si>
  <si>
    <t xml:space="preserve">146.53 L</t>
  </si>
  <si>
    <t xml:space="preserve">3.10 Km/L</t>
  </si>
  <si>
    <t xml:space="preserve">Rua Joaquim Maria</t>
  </si>
  <si>
    <t xml:space="preserve">1064331.92</t>
  </si>
  <si>
    <t xml:space="preserve">1064786.87</t>
  </si>
  <si>
    <t xml:space="preserve">LENALDO CAVALCANTE DA SILVA  - 00703023594</t>
  </si>
  <si>
    <t xml:space="preserve">357.12</t>
  </si>
  <si>
    <t xml:space="preserve">121.50 L</t>
  </si>
  <si>
    <t xml:space="preserve">Estrada do Feijão</t>
  </si>
  <si>
    <t xml:space="preserve">1065143.99</t>
  </si>
  <si>
    <t xml:space="preserve">LENALDO CAVALCANTE DA SILVA  - 00703023594, VANDERSON TELES NASCIMENTO  - 81967543534</t>
  </si>
  <si>
    <t xml:space="preserve">652.59</t>
  </si>
  <si>
    <t xml:space="preserve">215.49 L</t>
  </si>
  <si>
    <t xml:space="preserve">1065145.48</t>
  </si>
  <si>
    <t xml:space="preserve">1065798.07</t>
  </si>
  <si>
    <t xml:space="preserve">PLZ4I93</t>
  </si>
  <si>
    <t xml:space="preserve">R8135</t>
  </si>
  <si>
    <t xml:space="preserve">405.89</t>
  </si>
  <si>
    <t xml:space="preserve">130.50 L</t>
  </si>
  <si>
    <t xml:space="preserve">1022970.02</t>
  </si>
  <si>
    <t xml:space="preserve">1023375.91</t>
  </si>
  <si>
    <t xml:space="preserve">408.92</t>
  </si>
  <si>
    <t xml:space="preserve">134.50 L</t>
  </si>
  <si>
    <t xml:space="preserve">1023784.83</t>
  </si>
  <si>
    <t xml:space="preserve">554.81</t>
  </si>
  <si>
    <t xml:space="preserve">191.52 L</t>
  </si>
  <si>
    <t xml:space="preserve">2.90 Km/L</t>
  </si>
  <si>
    <t xml:space="preserve">1024339.64</t>
  </si>
  <si>
    <t xml:space="preserve">99.72</t>
  </si>
  <si>
    <t xml:space="preserve">32.99 L</t>
  </si>
  <si>
    <t xml:space="preserve">1024439.35</t>
  </si>
  <si>
    <t xml:space="preserve">407.67</t>
  </si>
  <si>
    <t xml:space="preserve">116.51 L</t>
  </si>
  <si>
    <t xml:space="preserve">3.50 Km/L</t>
  </si>
  <si>
    <t xml:space="preserve">1024440.63</t>
  </si>
  <si>
    <t xml:space="preserve">1024848.29</t>
  </si>
  <si>
    <t xml:space="preserve">PLZ0E30</t>
  </si>
  <si>
    <t xml:space="preserve">R8115</t>
  </si>
  <si>
    <t xml:space="preserve">ALEX HENRIQUE DE ALMEIDA - 72446048587, MANOEL RIBEIRO DE JESUS - 71848770553, MARQUICIEL DIAS DA SILVA  - 92677452472, DANIEL TAVARES DOS SANTOS  - 04340704598</t>
  </si>
  <si>
    <t xml:space="preserve">699.64</t>
  </si>
  <si>
    <t xml:space="preserve">189.47 L</t>
  </si>
  <si>
    <t xml:space="preserve">3.69 Km/L</t>
  </si>
  <si>
    <t xml:space="preserve">964612.57</t>
  </si>
  <si>
    <t xml:space="preserve">965312.21</t>
  </si>
  <si>
    <t xml:space="preserve">ALEX HENRIQUE DE ALMEIDA - 72446048587, MANOEL RIBEIRO DE JESUS - 71848770553</t>
  </si>
  <si>
    <t xml:space="preserve">442.11</t>
  </si>
  <si>
    <t xml:space="preserve">138.53 L</t>
  </si>
  <si>
    <t xml:space="preserve">965313.22</t>
  </si>
  <si>
    <t xml:space="preserve">965755.33</t>
  </si>
  <si>
    <t xml:space="preserve">298.56</t>
  </si>
  <si>
    <t xml:space="preserve">98.02 L</t>
  </si>
  <si>
    <t xml:space="preserve">966053.88</t>
  </si>
  <si>
    <t xml:space="preserve">Jose Raimundo dos Santos - 00335224563, CRISPIM RIBEIRO DE O FILHO - 44330561549, PAULO CARDOSO DOS SANTOS - 01666900583</t>
  </si>
  <si>
    <t xml:space="preserve">294.14</t>
  </si>
  <si>
    <t xml:space="preserve">91.49 L</t>
  </si>
  <si>
    <t xml:space="preserve">3.22 Km/L</t>
  </si>
  <si>
    <t xml:space="preserve">966348.02</t>
  </si>
  <si>
    <t xml:space="preserve">QTW3B70</t>
  </si>
  <si>
    <t xml:space="preserve">R8295</t>
  </si>
  <si>
    <t xml:space="preserve">ITAMAR PAULINO DOS SANTOS - 65902947553, FABIO NASCIMENTO DOS SANTOS - 94691576568</t>
  </si>
  <si>
    <t xml:space="preserve">305.57</t>
  </si>
  <si>
    <t xml:space="preserve">119.50 L</t>
  </si>
  <si>
    <t xml:space="preserve">767078.27</t>
  </si>
  <si>
    <t xml:space="preserve">767383.84</t>
  </si>
  <si>
    <t xml:space="preserve">PAULO SERGIO MENEZES SANTOS - 01555946569, WILLIAN JOSE DA CUNHA - 03523954517</t>
  </si>
  <si>
    <t xml:space="preserve">101.35</t>
  </si>
  <si>
    <t xml:space="preserve">45.50 L</t>
  </si>
  <si>
    <t xml:space="preserve">767485.19</t>
  </si>
  <si>
    <t xml:space="preserve">JOSE MARCIO SILVA - 91678463515, MICHAEL MARTINS DOS SANTOS - 85796744500, JOABSON MENDES CARDOSO - 03130160540, GILDASIO R DOS SANTOS JUNIOR - 00596184506</t>
  </si>
  <si>
    <t xml:space="preserve">304.53</t>
  </si>
  <si>
    <t xml:space="preserve">109.49 L</t>
  </si>
  <si>
    <t xml:space="preserve">767789.72</t>
  </si>
  <si>
    <t xml:space="preserve">GIVALDO PASSOS DA CRUZ - 65814967587, FERNANDO DO NASCIMENTO - 37956647568</t>
  </si>
  <si>
    <t xml:space="preserve">400.39</t>
  </si>
  <si>
    <t xml:space="preserve">156.51 L</t>
  </si>
  <si>
    <t xml:space="preserve">768190.10</t>
  </si>
  <si>
    <t xml:space="preserve">MAX ANTONIO ANDRADE SILVA - 04681530557, AECIO ANJOS FREITAS - 03250266531</t>
  </si>
  <si>
    <t xml:space="preserve">100.78</t>
  </si>
  <si>
    <t xml:space="preserve">42.00 L</t>
  </si>
  <si>
    <t xml:space="preserve">768290.88</t>
  </si>
  <si>
    <t xml:space="preserve">271.89</t>
  </si>
  <si>
    <t xml:space="preserve">110.99 L</t>
  </si>
  <si>
    <t xml:space="preserve">768562.77</t>
  </si>
  <si>
    <t xml:space="preserve">CLODOALDO DOS SANTOS PINHEIRO - 00832134570</t>
  </si>
  <si>
    <t xml:space="preserve">0.89</t>
  </si>
  <si>
    <t xml:space="preserve">3.01 L</t>
  </si>
  <si>
    <t xml:space="preserve">0.30 Km/L</t>
  </si>
  <si>
    <t xml:space="preserve">768563.66</t>
  </si>
  <si>
    <t xml:space="preserve">QTW2H86</t>
  </si>
  <si>
    <t xml:space="preserve">R8285</t>
  </si>
  <si>
    <t xml:space="preserve">102.54</t>
  </si>
  <si>
    <t xml:space="preserve">547018.21</t>
  </si>
  <si>
    <t xml:space="preserve">547120.75</t>
  </si>
  <si>
    <t xml:space="preserve">0.14 Km/L</t>
  </si>
  <si>
    <t xml:space="preserve">547120.81</t>
  </si>
  <si>
    <t xml:space="preserve">104.43</t>
  </si>
  <si>
    <t xml:space="preserve">45.01 L</t>
  </si>
  <si>
    <t xml:space="preserve">2.32 Km/L</t>
  </si>
  <si>
    <t xml:space="preserve">547225.24</t>
  </si>
  <si>
    <t xml:space="preserve">403.77</t>
  </si>
  <si>
    <t xml:space="preserve">154.99 L</t>
  </si>
  <si>
    <t xml:space="preserve">547629.00</t>
  </si>
  <si>
    <t xml:space="preserve">303.72</t>
  </si>
  <si>
    <t xml:space="preserve">106.00 L</t>
  </si>
  <si>
    <t xml:space="preserve">547932.72</t>
  </si>
  <si>
    <t xml:space="preserve">404.94</t>
  </si>
  <si>
    <t xml:space="preserve">166.00 L</t>
  </si>
  <si>
    <t xml:space="preserve">548337.66</t>
  </si>
  <si>
    <t xml:space="preserve">QTW8D90</t>
  </si>
  <si>
    <t xml:space="preserve">R8275</t>
  </si>
  <si>
    <t xml:space="preserve">Jose Raimundo dos Santos - 00335224563, JOSELITO MATTOS SANTOS - 69101531549, MANOEL BIANO SOUZA - 29434416515, WILLIAN JOSE DA CUNHA - 03523954517</t>
  </si>
  <si>
    <t xml:space="preserve">411.59</t>
  </si>
  <si>
    <t xml:space="preserve">155.50 L</t>
  </si>
  <si>
    <t xml:space="preserve">618026.92</t>
  </si>
  <si>
    <t xml:space="preserve">618438.51</t>
  </si>
  <si>
    <t xml:space="preserve">JOSELITO MATTOS SANTOS - 69101531549, ITAMAR PAULINO DOS SANTOS - 65902947553, WILLIAN JOSE DA CUNHA - 03523954517</t>
  </si>
  <si>
    <t xml:space="preserve">412.91</t>
  </si>
  <si>
    <t xml:space="preserve">150.51 L</t>
  </si>
  <si>
    <t xml:space="preserve">618851.42</t>
  </si>
  <si>
    <t xml:space="preserve">GIVALDO PASSOS DA CRUZ - 65814967587, ITAMAR PAULINO DOS SANTOS - 65902947553, WILLIAN JOSE DA CUNHA - 03523954517</t>
  </si>
  <si>
    <t xml:space="preserve">412.40</t>
  </si>
  <si>
    <t xml:space="preserve">148.99 L</t>
  </si>
  <si>
    <t xml:space="preserve">619263.82</t>
  </si>
  <si>
    <t xml:space="preserve">GIVALDO PASSOS DA CRUZ - 65814967587, ITAMAR PAULINO DOS SANTOS - 65902947553, JOSE MAURICIO SANTANA SANTOS - 97382388549</t>
  </si>
  <si>
    <t xml:space="preserve">413.28</t>
  </si>
  <si>
    <t xml:space="preserve">147.01 L</t>
  </si>
  <si>
    <t xml:space="preserve">619677.10</t>
  </si>
  <si>
    <t xml:space="preserve">GIVALDO PASSOS DA CRUZ - 65814967587, JOSE RICARDO DE JESUS - 02887829505, JOSE MAURICIO SANTANA SANTOS - 97382388549</t>
  </si>
  <si>
    <t xml:space="preserve">413.16</t>
  </si>
  <si>
    <t xml:space="preserve">152.99 L</t>
  </si>
  <si>
    <t xml:space="preserve">620090.26</t>
  </si>
  <si>
    <t xml:space="preserve">MANOEL RIBEIRO DE JESUS - 71848770553, ELESBAO ALVES LEAO NETO - 02250711500, AECIO ANJOS FREITAS - 03250266531</t>
  </si>
  <si>
    <t xml:space="preserve">414.55</t>
  </si>
  <si>
    <t xml:space="preserve">150.00 L</t>
  </si>
  <si>
    <t xml:space="preserve">620504.81</t>
  </si>
  <si>
    <t xml:space="preserve">ANTONIO MAXIMO SANTOS SOUSA - 04634408546, Jose Raimundo dos Santos - 00335224563, FERNANDO DO NASCIMENTO - 37956647568, IELDES DE JESUS SANTOS - 03179329505, CLODOALDO DOS SANTOS PINHEIRO - 00832134570</t>
  </si>
  <si>
    <t xml:space="preserve">208.81</t>
  </si>
  <si>
    <t xml:space="preserve">620713.63</t>
  </si>
  <si>
    <t xml:space="preserve">QTW8F74</t>
  </si>
  <si>
    <t xml:space="preserve">R8255</t>
  </si>
  <si>
    <t xml:space="preserve">Luciano Junior Oliveira Santos - 06512965523, MAX ANTONIO ANDRADE SILVA - 04681530557</t>
  </si>
  <si>
    <t xml:space="preserve">565917.98</t>
  </si>
  <si>
    <t xml:space="preserve">GIVALDO PASSOS DA CRUZ - 65814967587, MARCELO EDUARDO OLIVEIRA COSTA - 60245476504</t>
  </si>
  <si>
    <t xml:space="preserve">ITAMAR PAULINO DOS SANTOS - 65902947553, JOSE MAURICIO SANTANA SANTOS - 97382388549, WILLIAN JOSE DA CUNHA - 03523954517, AECIO ANJOS FREITAS - 03250266531</t>
  </si>
  <si>
    <t xml:space="preserve">EDIMARCIO NASCIMENTO DOS SANTOS - 29380382839, AECIO ANJOS FREITAS - 03250266531</t>
  </si>
  <si>
    <t xml:space="preserve">JOSELITO MATTOS SANTOS - 69101531549, FERNANDO DO NASCIMENTO - 37956647568, JAILTON SA DOS SANTOS - 82191026591</t>
  </si>
  <si>
    <t xml:space="preserve">GIVALDO PASSOS DA CRUZ - 65814967587, Jose Raimundo dos Santos - 00335224563</t>
  </si>
  <si>
    <t xml:space="preserve">QTW0A86</t>
  </si>
  <si>
    <t xml:space="preserve">R8265</t>
  </si>
  <si>
    <t xml:space="preserve">FERNANDO DO NASCIMENTO - 37956647568</t>
  </si>
  <si>
    <t xml:space="preserve">417.56</t>
  </si>
  <si>
    <t xml:space="preserve">157.01 L</t>
  </si>
  <si>
    <t xml:space="preserve">618342.57</t>
  </si>
  <si>
    <t xml:space="preserve">618760.13</t>
  </si>
  <si>
    <t xml:space="preserve">Luciano Junior Oliveira Santos - 06512965523, AECIO ANJOS FREITAS - 03250266531</t>
  </si>
  <si>
    <t xml:space="preserve">419.25</t>
  </si>
  <si>
    <t xml:space="preserve">145.49 L</t>
  </si>
  <si>
    <t xml:space="preserve">619179.38</t>
  </si>
  <si>
    <t xml:space="preserve">Jose Raimundo dos Santos - 00335224563, FERNANDO DO NASCIMENTO - 37956647568, FABIO NASCIMENTO DOS SANTOS - 94691576568</t>
  </si>
  <si>
    <t xml:space="preserve">418.88</t>
  </si>
  <si>
    <t xml:space="preserve">142.51 L</t>
  </si>
  <si>
    <t xml:space="preserve">619598.27</t>
  </si>
  <si>
    <t xml:space="preserve">MARCELO EDUARDO OLIVEIRA COSTA - 60245476504, Luciano Junior Oliveira Santos - 06512965523</t>
  </si>
  <si>
    <t xml:space="preserve">419.00</t>
  </si>
  <si>
    <t xml:space="preserve">152.50 L</t>
  </si>
  <si>
    <t xml:space="preserve">620017.27</t>
  </si>
  <si>
    <t xml:space="preserve">418.26</t>
  </si>
  <si>
    <t xml:space="preserve">160.00 L</t>
  </si>
  <si>
    <t xml:space="preserve">620435.53</t>
  </si>
  <si>
    <t xml:space="preserve">IELDES DE JESUS SANTOS - 03179329505, LUCAS NASCIMENTO BRITO - 69134022520</t>
  </si>
  <si>
    <t xml:space="preserve">316.90</t>
  </si>
  <si>
    <t xml:space="preserve">118.00 L</t>
  </si>
  <si>
    <t xml:space="preserve">620752.43</t>
  </si>
  <si>
    <t xml:space="preserve">MANOEL BIANO SOUZA - 29434416515, Luciano Junior Oliveira Santos - 06512965523</t>
  </si>
  <si>
    <t xml:space="preserve">420.81</t>
  </si>
  <si>
    <t xml:space="preserve">149.50 L</t>
  </si>
  <si>
    <t xml:space="preserve">621173.24</t>
  </si>
  <si>
    <t xml:space="preserve">QTW7J53</t>
  </si>
  <si>
    <t xml:space="preserve">R8305</t>
  </si>
  <si>
    <t xml:space="preserve">28.20</t>
  </si>
  <si>
    <t xml:space="preserve">13.50 L</t>
  </si>
  <si>
    <t xml:space="preserve">2.09 Km/L</t>
  </si>
  <si>
    <t xml:space="preserve">831082.82</t>
  </si>
  <si>
    <t xml:space="preserve">831111.02</t>
  </si>
  <si>
    <t xml:space="preserve">TANIA CARLOS BASTOS ANDRADE - 95417389587</t>
  </si>
  <si>
    <t xml:space="preserve">139.08</t>
  </si>
  <si>
    <t xml:space="preserve">Avenida Frei Benjamim</t>
  </si>
  <si>
    <t xml:space="preserve">831250.10</t>
  </si>
  <si>
    <t xml:space="preserve">TANIA CARLOS BASTOS ANDRADE - 95417389587, Moíses Vieira dos santos - 05110430586</t>
  </si>
  <si>
    <t xml:space="preserve">142.61</t>
  </si>
  <si>
    <t xml:space="preserve">831392.71</t>
  </si>
  <si>
    <t xml:space="preserve">JOAO DA SILVA OLIVEIRA - 78306922549, LEONARDO DA SILVA SALES - 37518532867, MOISES VIEIRA DOS SANTOS - 05110430586</t>
  </si>
  <si>
    <t xml:space="preserve">190.62</t>
  </si>
  <si>
    <t xml:space="preserve">831583.33</t>
  </si>
  <si>
    <t xml:space="preserve">107.02</t>
  </si>
  <si>
    <t xml:space="preserve">36.99 L</t>
  </si>
  <si>
    <t xml:space="preserve">831690.35</t>
  </si>
  <si>
    <t xml:space="preserve">118.38</t>
  </si>
  <si>
    <t xml:space="preserve">831808.73</t>
  </si>
  <si>
    <t xml:space="preserve">RDG4A51</t>
  </si>
  <si>
    <t xml:space="preserve">R8365</t>
  </si>
  <si>
    <t xml:space="preserve">95.89</t>
  </si>
  <si>
    <t xml:space="preserve">31.94 L</t>
  </si>
  <si>
    <t xml:space="preserve">255349.59</t>
  </si>
  <si>
    <t xml:space="preserve">255445.48</t>
  </si>
  <si>
    <t xml:space="preserve">ROBERTO KAUAN MACHADO SILVA - 06526475531, ROBERT KAUAN MACHADO SILVA - 06526475531, NATANAEL AVELINO DOS SANTOS - 05037278570</t>
  </si>
  <si>
    <t xml:space="preserve">96.63</t>
  </si>
  <si>
    <t xml:space="preserve">37.06 L</t>
  </si>
  <si>
    <t xml:space="preserve">255542.11</t>
  </si>
  <si>
    <t xml:space="preserve">NATANAEL AVELINO DOS SANTOS - 05037278570</t>
  </si>
  <si>
    <t xml:space="preserve">94.14</t>
  </si>
  <si>
    <t xml:space="preserve">34.30 L</t>
  </si>
  <si>
    <t xml:space="preserve">255636.24</t>
  </si>
  <si>
    <t xml:space="preserve">MARCELO BATISTA SANTOS - 08636731550</t>
  </si>
  <si>
    <t xml:space="preserve">316.73</t>
  </si>
  <si>
    <t xml:space="preserve">90.03 L</t>
  </si>
  <si>
    <t xml:space="preserve">3.52 Km/L</t>
  </si>
  <si>
    <t xml:space="preserve">255952.97</t>
  </si>
  <si>
    <t xml:space="preserve">RAFAEL DE JESUS BARRETO - 85830111500</t>
  </si>
  <si>
    <t xml:space="preserve">105.88</t>
  </si>
  <si>
    <t xml:space="preserve">35.82 L</t>
  </si>
  <si>
    <t xml:space="preserve">256058.85</t>
  </si>
  <si>
    <t xml:space="preserve">151.27</t>
  </si>
  <si>
    <t xml:space="preserve">42.53 L</t>
  </si>
  <si>
    <t xml:space="preserve">3.56 Km/L</t>
  </si>
  <si>
    <t xml:space="preserve">256210.12</t>
  </si>
  <si>
    <t xml:space="preserve">95.77</t>
  </si>
  <si>
    <t xml:space="preserve">36.90 L</t>
  </si>
  <si>
    <t xml:space="preserve">256305.89</t>
  </si>
  <si>
    <t xml:space="preserve">RDG7A78</t>
  </si>
  <si>
    <t xml:space="preserve">R8375</t>
  </si>
  <si>
    <t xml:space="preserve">57.76</t>
  </si>
  <si>
    <t xml:space="preserve">23.56 L</t>
  </si>
  <si>
    <t xml:space="preserve">197975.59</t>
  </si>
  <si>
    <t xml:space="preserve">198033.35</t>
  </si>
  <si>
    <t xml:space="preserve">56.77</t>
  </si>
  <si>
    <t xml:space="preserve">24.56 L</t>
  </si>
  <si>
    <t xml:space="preserve">2.31 Km/L</t>
  </si>
  <si>
    <t xml:space="preserve">198090.12</t>
  </si>
  <si>
    <t xml:space="preserve">55.70</t>
  </si>
  <si>
    <t xml:space="preserve">24.50 L</t>
  </si>
  <si>
    <t xml:space="preserve">198145.81</t>
  </si>
  <si>
    <t xml:space="preserve">56.61</t>
  </si>
  <si>
    <t xml:space="preserve">23.88 L</t>
  </si>
  <si>
    <t xml:space="preserve">198202.42</t>
  </si>
  <si>
    <t xml:space="preserve">46.68</t>
  </si>
  <si>
    <t xml:space="preserve">21.76 L</t>
  </si>
  <si>
    <t xml:space="preserve">2.14 Km/L</t>
  </si>
  <si>
    <t xml:space="preserve">198249.10</t>
  </si>
  <si>
    <t xml:space="preserve">132.39</t>
  </si>
  <si>
    <t xml:space="preserve">44.66 L</t>
  </si>
  <si>
    <t xml:space="preserve">198381.48</t>
  </si>
  <si>
    <t xml:space="preserve">56.74</t>
  </si>
  <si>
    <t xml:space="preserve">23.92 L</t>
  </si>
  <si>
    <t xml:space="preserve">198438.22</t>
  </si>
  <si>
    <t xml:space="preserve">RDG1I19</t>
  </si>
  <si>
    <t xml:space="preserve">R8355</t>
  </si>
  <si>
    <t xml:space="preserve">ADAILTON JOSE DE JESUS - 39168727534</t>
  </si>
  <si>
    <t xml:space="preserve">87.36</t>
  </si>
  <si>
    <t xml:space="preserve">33.72 L</t>
  </si>
  <si>
    <t xml:space="preserve">264223.06</t>
  </si>
  <si>
    <t xml:space="preserve">264310.42</t>
  </si>
  <si>
    <t xml:space="preserve">88.00</t>
  </si>
  <si>
    <t xml:space="preserve">34.57 L</t>
  </si>
  <si>
    <t xml:space="preserve">264398.42</t>
  </si>
  <si>
    <t xml:space="preserve">87.37</t>
  </si>
  <si>
    <t xml:space="preserve">33.54 L</t>
  </si>
  <si>
    <t xml:space="preserve">264485.78</t>
  </si>
  <si>
    <t xml:space="preserve">84.59</t>
  </si>
  <si>
    <t xml:space="preserve">31.57 L</t>
  </si>
  <si>
    <t xml:space="preserve">264570.37</t>
  </si>
  <si>
    <t xml:space="preserve">EMERSON ANDRADE DA SILVA - 96170824549, ADAILTON JOSE DE JESUS - 39168727534</t>
  </si>
  <si>
    <t xml:space="preserve">155.13</t>
  </si>
  <si>
    <t xml:space="preserve">69.33 L</t>
  </si>
  <si>
    <t xml:space="preserve">264725.50</t>
  </si>
  <si>
    <t xml:space="preserve">104.64</t>
  </si>
  <si>
    <t xml:space="preserve">37.54 L</t>
  </si>
  <si>
    <t xml:space="preserve">264830.14</t>
  </si>
  <si>
    <t xml:space="preserve">86.47</t>
  </si>
  <si>
    <t xml:space="preserve">34.15 L</t>
  </si>
  <si>
    <t xml:space="preserve">264916.61</t>
  </si>
  <si>
    <t xml:space="preserve">RDG4A99</t>
  </si>
  <si>
    <t xml:space="preserve">R8385</t>
  </si>
  <si>
    <t xml:space="preserve">ROBERVALDO FERREIRA DOS SANTOS - 95780866600</t>
  </si>
  <si>
    <t xml:space="preserve">41.38</t>
  </si>
  <si>
    <t xml:space="preserve">17.98 L</t>
  </si>
  <si>
    <t xml:space="preserve">2.30 Km/L</t>
  </si>
  <si>
    <t xml:space="preserve">LMG-610</t>
  </si>
  <si>
    <t xml:space="preserve">196122.92</t>
  </si>
  <si>
    <t xml:space="preserve">196164.30</t>
  </si>
  <si>
    <t xml:space="preserve">34.53</t>
  </si>
  <si>
    <t xml:space="preserve">15.94 L</t>
  </si>
  <si>
    <t xml:space="preserve">196198.82</t>
  </si>
  <si>
    <t xml:space="preserve">ROBERVALDO FERREIRA DOS SANTOS - 95780866600, Ricardo José Moreira de Souza - 78584159649</t>
  </si>
  <si>
    <t xml:space="preserve">86.42</t>
  </si>
  <si>
    <t xml:space="preserve">38.26 L</t>
  </si>
  <si>
    <t xml:space="preserve">2.26 Km/L</t>
  </si>
  <si>
    <t xml:space="preserve">Avenida Floriano Silveira</t>
  </si>
  <si>
    <t xml:space="preserve">196285.24</t>
  </si>
  <si>
    <t xml:space="preserve">JOSE EDUARDO ROCHA DO NASCIMENTO - 41139631500</t>
  </si>
  <si>
    <t xml:space="preserve">170.06</t>
  </si>
  <si>
    <t xml:space="preserve">40.66 L</t>
  </si>
  <si>
    <t xml:space="preserve">4.18 Km/L</t>
  </si>
  <si>
    <t xml:space="preserve">Rua Deolina Ruas Santos</t>
  </si>
  <si>
    <t xml:space="preserve">Rua Trinta e Seis</t>
  </si>
  <si>
    <t xml:space="preserve">196455.30</t>
  </si>
  <si>
    <t xml:space="preserve">ANAILTON DE SOUZA - 04454250677, FABIO GOMES CABRAL - 04989750535</t>
  </si>
  <si>
    <t xml:space="preserve">171.76</t>
  </si>
  <si>
    <t xml:space="preserve">37.70 L</t>
  </si>
  <si>
    <t xml:space="preserve">4.56 Km/L</t>
  </si>
  <si>
    <t xml:space="preserve">Rua Aníbal Mendes</t>
  </si>
  <si>
    <t xml:space="preserve">196627.06</t>
  </si>
  <si>
    <t xml:space="preserve">ANAILTON DE SOUZA - 04454250677, ERLANDO DA ROCHA PINTO - 05437691602</t>
  </si>
  <si>
    <t xml:space="preserve">167.28</t>
  </si>
  <si>
    <t xml:space="preserve">72.43 L</t>
  </si>
  <si>
    <t xml:space="preserve">196794.33</t>
  </si>
  <si>
    <t xml:space="preserve">ROBERVALDO FERREIRA DOS SANTOS - 95780866600, ANAILTON DE SOUZA - 04454250677, Ricardo José Moreira de Souza - 78584159649</t>
  </si>
  <si>
    <t xml:space="preserve">135.16</t>
  </si>
  <si>
    <t xml:space="preserve">58.73 L</t>
  </si>
  <si>
    <t xml:space="preserve">196929.49</t>
  </si>
  <si>
    <t xml:space="preserve">PJK8498</t>
  </si>
  <si>
    <t xml:space="preserve">R6175</t>
  </si>
  <si>
    <t xml:space="preserve">JOSE MAURICIO SANTANA SANTOS - 97382388549, FERNANDO DAMASCENO DE JESUS - 03779273500</t>
  </si>
  <si>
    <t xml:space="preserve">27.71 L</t>
  </si>
  <si>
    <t xml:space="preserve">382513.50</t>
  </si>
  <si>
    <t xml:space="preserve">382599.92</t>
  </si>
  <si>
    <t xml:space="preserve">FERNANDO DAMASCENO DE JESUS - 03779273500</t>
  </si>
  <si>
    <t xml:space="preserve">109.91</t>
  </si>
  <si>
    <t xml:space="preserve">36.81 L</t>
  </si>
  <si>
    <t xml:space="preserve">382709.83</t>
  </si>
  <si>
    <t xml:space="preserve">RAFAEL DE JESUS BARRETO - 85830111500, FERNANDO DAMASCENO DE JESUS - 03779273500</t>
  </si>
  <si>
    <t xml:space="preserve">119.85</t>
  </si>
  <si>
    <t xml:space="preserve">39.31 L</t>
  </si>
  <si>
    <t xml:space="preserve">382709.92</t>
  </si>
  <si>
    <t xml:space="preserve">382829.77</t>
  </si>
  <si>
    <t xml:space="preserve">61.14</t>
  </si>
  <si>
    <t xml:space="preserve">20.89 L</t>
  </si>
  <si>
    <t xml:space="preserve">382890.91</t>
  </si>
  <si>
    <t xml:space="preserve">382890.93</t>
  </si>
  <si>
    <t xml:space="preserve">1.22 Km/L</t>
  </si>
  <si>
    <t xml:space="preserve">382891.16</t>
  </si>
  <si>
    <t xml:space="preserve">RPK0B75</t>
  </si>
  <si>
    <t xml:space="preserve">R8525</t>
  </si>
  <si>
    <t xml:space="preserve">JOSE ACACIO FERREIRA FIGUEIREDO - 58429352520</t>
  </si>
  <si>
    <t xml:space="preserve">92.08</t>
  </si>
  <si>
    <t xml:space="preserve">2.00 Km/L</t>
  </si>
  <si>
    <t xml:space="preserve">509829.13</t>
  </si>
  <si>
    <t xml:space="preserve">509921.21</t>
  </si>
  <si>
    <t xml:space="preserve">EDUARDO OLIVEIRA SAMPAIO - 06996074509, MARCOS ALEX TEIXEIRA DOS SANTOS - 74400819515</t>
  </si>
  <si>
    <t xml:space="preserve">303.12</t>
  </si>
  <si>
    <t xml:space="preserve">107.49 L</t>
  </si>
  <si>
    <t xml:space="preserve">510224.33</t>
  </si>
  <si>
    <t xml:space="preserve">GIVALDO PASSOS DA CRUZ - 65814967587, TONI LEMOS DA SILVA GALO - 01002641586</t>
  </si>
  <si>
    <t xml:space="preserve">404.86</t>
  </si>
  <si>
    <t xml:space="preserve">146.51 L</t>
  </si>
  <si>
    <t xml:space="preserve">510629.19</t>
  </si>
  <si>
    <t xml:space="preserve">FABIO MASCARENHAS DA SILVA - 83651160572, ITAMAR PAULINO DOS SANTOS - 65902947553, JOSENILDON BISPO DE JESUS - 57874891520</t>
  </si>
  <si>
    <t xml:space="preserve">407.29</t>
  </si>
  <si>
    <t xml:space="preserve">511036.47</t>
  </si>
  <si>
    <t xml:space="preserve">IRAILDO PAULINO DOS SANTOS - 47334878515, EDGAR LINS DA COSTA - 93824920549, MARCOS SILVA PEREIRA - 05102335545</t>
  </si>
  <si>
    <t xml:space="preserve">665.47</t>
  </si>
  <si>
    <t xml:space="preserve">223.50 L</t>
  </si>
  <si>
    <t xml:space="preserve">511701.94</t>
  </si>
  <si>
    <t xml:space="preserve">JOSE RAIMUNDO CARDOSO FILHO - 70889945500, EDINALDO JOSE ALVES - 18681883534, LUIS FELIPE SOUZA DA SILVA - 60389730360, EDGAR LINS DA COSTA - 93824920549</t>
  </si>
  <si>
    <t xml:space="preserve">590.62</t>
  </si>
  <si>
    <t xml:space="preserve">204.00 L</t>
  </si>
  <si>
    <t xml:space="preserve">512292.55</t>
  </si>
  <si>
    <t xml:space="preserve">ELESBAO ALVES LEAO NETO - 02250711500</t>
  </si>
  <si>
    <t xml:space="preserve">149.81</t>
  </si>
  <si>
    <t xml:space="preserve">52.50 L</t>
  </si>
  <si>
    <t xml:space="preserve">512442.36</t>
  </si>
  <si>
    <t xml:space="preserve">RPL2B23</t>
  </si>
  <si>
    <t xml:space="preserve">R8425</t>
  </si>
  <si>
    <t xml:space="preserve">436431.47</t>
  </si>
  <si>
    <t xml:space="preserve">436432.31</t>
  </si>
  <si>
    <t xml:space="preserve">0.53</t>
  </si>
  <si>
    <t xml:space="preserve">436432.84</t>
  </si>
  <si>
    <t xml:space="preserve">32.43</t>
  </si>
  <si>
    <t xml:space="preserve">19.01 L</t>
  </si>
  <si>
    <t xml:space="preserve">1.71 Km/L</t>
  </si>
  <si>
    <t xml:space="preserve">436432.85</t>
  </si>
  <si>
    <t xml:space="preserve">436465.28</t>
  </si>
  <si>
    <t xml:space="preserve">152.62</t>
  </si>
  <si>
    <t xml:space="preserve">56.00 L</t>
  </si>
  <si>
    <t xml:space="preserve">436617.90</t>
  </si>
  <si>
    <t xml:space="preserve">RPK6H08</t>
  </si>
  <si>
    <t xml:space="preserve">R8565</t>
  </si>
  <si>
    <t xml:space="preserve">ANTONIO MEIRELES DO N NETO - 15585891553, JOSE ACACIO FERREIRA FIGUEIREDO - 58429352520</t>
  </si>
  <si>
    <t xml:space="preserve">101.10</t>
  </si>
  <si>
    <t xml:space="preserve">499838.63</t>
  </si>
  <si>
    <t xml:space="preserve">499939.72</t>
  </si>
  <si>
    <t xml:space="preserve">JOSE ACACIO FERREIRA FIGUEIREDO - 58429352520, JOSE BISPO DA SILVA - 58590609553</t>
  </si>
  <si>
    <t xml:space="preserve">588.54</t>
  </si>
  <si>
    <t xml:space="preserve">197.50 L</t>
  </si>
  <si>
    <t xml:space="preserve">Rua João Batista Homem Del Rei</t>
  </si>
  <si>
    <t xml:space="preserve">500528.26</t>
  </si>
  <si>
    <t xml:space="preserve">MARCOS ALEX TEIXEIRA DOS SANTOS - 74400819515, LEANDRO PINHEIRO DOS SANTOS - 02790495521</t>
  </si>
  <si>
    <t xml:space="preserve">479.00</t>
  </si>
  <si>
    <t xml:space="preserve">159.49 L</t>
  </si>
  <si>
    <t xml:space="preserve">501007.26</t>
  </si>
  <si>
    <t xml:space="preserve">UBIRAJARA OLIVEIRA MAGNAVITA JUNIOR - 69074992587, Anderson Ferreira Da Silva  - 01452873518</t>
  </si>
  <si>
    <t xml:space="preserve">205.69</t>
  </si>
  <si>
    <t xml:space="preserve">77.01 L</t>
  </si>
  <si>
    <t xml:space="preserve">501212.95</t>
  </si>
  <si>
    <t xml:space="preserve">0.54</t>
  </si>
  <si>
    <t xml:space="preserve">0.54 Km/L</t>
  </si>
  <si>
    <t xml:space="preserve">501213.48</t>
  </si>
  <si>
    <t xml:space="preserve">JAILTON SA DOS SANTOS - 82191026591</t>
  </si>
  <si>
    <t xml:space="preserve">251.53</t>
  </si>
  <si>
    <t xml:space="preserve">88.00 L</t>
  </si>
  <si>
    <t xml:space="preserve">501465.01</t>
  </si>
  <si>
    <t xml:space="preserve">Jose Raimundo dos Santos - 00335224563, GILMAR ALVES DE SOUSA - 32895178534, WEKSLEY SILVA DAS NEVES - 04346712584</t>
  </si>
  <si>
    <t xml:space="preserve">340.50</t>
  </si>
  <si>
    <t xml:space="preserve">501805.50</t>
  </si>
  <si>
    <t xml:space="preserve">RPK0J24</t>
  </si>
  <si>
    <t xml:space="preserve">R8545</t>
  </si>
  <si>
    <t xml:space="preserve">0.74</t>
  </si>
  <si>
    <t xml:space="preserve">7.01 L</t>
  </si>
  <si>
    <t xml:space="preserve">1079520.92</t>
  </si>
  <si>
    <t xml:space="preserve">1079521.66</t>
  </si>
  <si>
    <t xml:space="preserve">2.99 L</t>
  </si>
  <si>
    <t xml:space="preserve">1079521.71</t>
  </si>
  <si>
    <t xml:space="preserve">EDUARDO OLIVEIRA SAMPAIO - 06996074509, JOSE ACACIO FERREIRA FIGUEIREDO - 58429352520, LEANDRO PINHEIRO DOS SANTOS - 02790495521</t>
  </si>
  <si>
    <t xml:space="preserve">495.58</t>
  </si>
  <si>
    <t xml:space="preserve">185.01 L</t>
  </si>
  <si>
    <t xml:space="preserve">1080017.30</t>
  </si>
  <si>
    <t xml:space="preserve">EDGAR LINS DA COSTA - 93824920549, RONAN BOLSONI - 67427227549</t>
  </si>
  <si>
    <t xml:space="preserve">473.02</t>
  </si>
  <si>
    <t xml:space="preserve">1080490.31</t>
  </si>
  <si>
    <t xml:space="preserve">PAULO ROBERTO DOS ANJOS DA SILVA - 70016380568, RONAN BOLSONI - 67427227549</t>
  </si>
  <si>
    <t xml:space="preserve">477.08</t>
  </si>
  <si>
    <t xml:space="preserve">166.99 L</t>
  </si>
  <si>
    <t xml:space="preserve">1080967.39</t>
  </si>
  <si>
    <t xml:space="preserve">TONI LEMOS DA SILVA GALO - 01002641586, EDINALDO JOSE ALVES - 18681883534</t>
  </si>
  <si>
    <t xml:space="preserve">473.74</t>
  </si>
  <si>
    <t xml:space="preserve">169.50 L</t>
  </si>
  <si>
    <t xml:space="preserve">1081441.13</t>
  </si>
  <si>
    <t xml:space="preserve">EDINALDO JOSE ALVES - 18681883534</t>
  </si>
  <si>
    <t xml:space="preserve">480.06</t>
  </si>
  <si>
    <t xml:space="preserve">174.50 L</t>
  </si>
  <si>
    <t xml:space="preserve">1081921.19</t>
  </si>
  <si>
    <t xml:space="preserve">RPK8A92</t>
  </si>
  <si>
    <t xml:space="preserve">R8555</t>
  </si>
  <si>
    <t xml:space="preserve">JOSE AUGUSTO FERREIRA DOS SANTOS - 16354057001, PAULO ROBERTO DOS ANJOS DA SILVA - 70016380568, EUDES INACIO DOS SANTOS - 00295208511</t>
  </si>
  <si>
    <t xml:space="preserve">210.00 L</t>
  </si>
  <si>
    <t xml:space="preserve">1844366.33</t>
  </si>
  <si>
    <t xml:space="preserve">Gilcimar Jesus de Paula - 03950339507</t>
  </si>
  <si>
    <t xml:space="preserve">120.50 L</t>
  </si>
  <si>
    <t xml:space="preserve">Avenida Rio Branco</t>
  </si>
  <si>
    <t xml:space="preserve">173.00 L</t>
  </si>
  <si>
    <t xml:space="preserve">JOSENILDON BISPO DE JESUS - 57874891520</t>
  </si>
  <si>
    <t xml:space="preserve">177.00 L</t>
  </si>
  <si>
    <t xml:space="preserve">LUCAS PIEROTE GASPAR NASCIMENTO - 03495432590</t>
  </si>
  <si>
    <t xml:space="preserve">171.00 L</t>
  </si>
  <si>
    <t xml:space="preserve">FABIO MASCARENHAS DA SILVA - 83651160572, JOSE BISPO DA SILVA - 58590609553</t>
  </si>
  <si>
    <t xml:space="preserve">8.00 L</t>
  </si>
  <si>
    <t xml:space="preserve">RPL2D70</t>
  </si>
  <si>
    <t xml:space="preserve">R8415</t>
  </si>
  <si>
    <t xml:space="preserve">0.77</t>
  </si>
  <si>
    <t xml:space="preserve">0.39 Km/L</t>
  </si>
  <si>
    <t xml:space="preserve">361795.20</t>
  </si>
  <si>
    <t xml:space="preserve">361795.97</t>
  </si>
  <si>
    <t xml:space="preserve">Antonio Cardoso De Souza - 59906324520</t>
  </si>
  <si>
    <t xml:space="preserve">289.83</t>
  </si>
  <si>
    <t xml:space="preserve">109.50 L</t>
  </si>
  <si>
    <t xml:space="preserve">362085.80</t>
  </si>
  <si>
    <t xml:space="preserve">140.04</t>
  </si>
  <si>
    <t xml:space="preserve">362225.84</t>
  </si>
  <si>
    <t xml:space="preserve">0.08</t>
  </si>
  <si>
    <t xml:space="preserve">0.16 Km/L</t>
  </si>
  <si>
    <t xml:space="preserve">362225.92</t>
  </si>
  <si>
    <t xml:space="preserve">140.25</t>
  </si>
  <si>
    <t xml:space="preserve">362366.16</t>
  </si>
  <si>
    <t xml:space="preserve">RPK3E21</t>
  </si>
  <si>
    <t xml:space="preserve">R8445</t>
  </si>
  <si>
    <t xml:space="preserve">635.67</t>
  </si>
  <si>
    <t xml:space="preserve">204.50 L</t>
  </si>
  <si>
    <t xml:space="preserve">Rodovia BR-367</t>
  </si>
  <si>
    <t xml:space="preserve">543235.09</t>
  </si>
  <si>
    <t xml:space="preserve">543870.75</t>
  </si>
  <si>
    <t xml:space="preserve">690.66</t>
  </si>
  <si>
    <t xml:space="preserve">219.50 L</t>
  </si>
  <si>
    <t xml:space="preserve">Avenida Ivan Costa Rodrigues</t>
  </si>
  <si>
    <t xml:space="preserve">543871.49</t>
  </si>
  <si>
    <t xml:space="preserve">544562.15</t>
  </si>
  <si>
    <t xml:space="preserve">662.23</t>
  </si>
  <si>
    <t xml:space="preserve">544562.16</t>
  </si>
  <si>
    <t xml:space="preserve">545224.45</t>
  </si>
  <si>
    <t xml:space="preserve">378.01</t>
  </si>
  <si>
    <t xml:space="preserve">133.49 L</t>
  </si>
  <si>
    <t xml:space="preserve">545224.46</t>
  </si>
  <si>
    <t xml:space="preserve">545602.46</t>
  </si>
  <si>
    <t xml:space="preserve">366.51</t>
  </si>
  <si>
    <t xml:space="preserve">545968.98</t>
  </si>
  <si>
    <t xml:space="preserve">396.16</t>
  </si>
  <si>
    <t xml:space="preserve">146.00 L</t>
  </si>
  <si>
    <t xml:space="preserve">546365.14</t>
  </si>
  <si>
    <t xml:space="preserve">546365.38</t>
  </si>
  <si>
    <t xml:space="preserve">RPK0J26</t>
  </si>
  <si>
    <t xml:space="preserve">R8515</t>
  </si>
  <si>
    <t xml:space="preserve">0.10 Km/L</t>
  </si>
  <si>
    <t xml:space="preserve">576274.82</t>
  </si>
  <si>
    <t xml:space="preserve">576274.86</t>
  </si>
  <si>
    <t xml:space="preserve">HELIO DA SILVA SOUSA - 32561679500, FABIO NASCIMENTO DOS SANTOS - 94691576568</t>
  </si>
  <si>
    <t xml:space="preserve">213.19</t>
  </si>
  <si>
    <t xml:space="preserve">79.00 L</t>
  </si>
  <si>
    <t xml:space="preserve">576488.05</t>
  </si>
  <si>
    <t xml:space="preserve">0.28</t>
  </si>
  <si>
    <t xml:space="preserve">1.00 L</t>
  </si>
  <si>
    <t xml:space="preserve">576488.32</t>
  </si>
  <si>
    <t xml:space="preserve">ELPIDIO SANTOS GONCALVES - 46146261572</t>
  </si>
  <si>
    <t xml:space="preserve">129.08</t>
  </si>
  <si>
    <t xml:space="preserve">576617.40</t>
  </si>
  <si>
    <t xml:space="preserve">TONI LEMOS DA SILVA GALO - 01002641586, ELPIDIO SANTOS GONCALVES - 46146261572</t>
  </si>
  <si>
    <t xml:space="preserve">430.69</t>
  </si>
  <si>
    <t xml:space="preserve">138.50 L</t>
  </si>
  <si>
    <t xml:space="preserve">577048.08</t>
  </si>
  <si>
    <t xml:space="preserve">GENILSON FERREIRA DE OLIVEIRA - 97115274568, ANTONIO MEIRELES DO N NETO - 15585891553, JOSENILDON BISPO DE JESUS - 57874891520</t>
  </si>
  <si>
    <t xml:space="preserve">644.92</t>
  </si>
  <si>
    <t xml:space="preserve">190.00 L</t>
  </si>
  <si>
    <t xml:space="preserve">3.39 Km/L</t>
  </si>
  <si>
    <t xml:space="preserve">BR-367</t>
  </si>
  <si>
    <t xml:space="preserve">577693.00</t>
  </si>
  <si>
    <t xml:space="preserve">JOSE BISPO DA SILVA - 58590609553, RONAN BOLSONI - 67427227549, JOSENILDON BISPO DE JESUS - 57874891520</t>
  </si>
  <si>
    <t xml:space="preserve">493.32</t>
  </si>
  <si>
    <t xml:space="preserve">159.00 L</t>
  </si>
  <si>
    <t xml:space="preserve">577693.13</t>
  </si>
  <si>
    <t xml:space="preserve">578186.45</t>
  </si>
  <si>
    <t xml:space="preserve">RPK2C48</t>
  </si>
  <si>
    <t xml:space="preserve">R8495</t>
  </si>
  <si>
    <t xml:space="preserve">TONI LEMOS DA SILVA GALO - 01002641586, MARCOS ALEX TEIXEIRA DOS SANTOS - 74400819515</t>
  </si>
  <si>
    <t xml:space="preserve">472.19</t>
  </si>
  <si>
    <t xml:space="preserve">168.00 L</t>
  </si>
  <si>
    <t xml:space="preserve">132665.62</t>
  </si>
  <si>
    <t xml:space="preserve">133137.81</t>
  </si>
  <si>
    <t xml:space="preserve">182.44</t>
  </si>
  <si>
    <t xml:space="preserve">67.01 L</t>
  </si>
  <si>
    <t xml:space="preserve">133320.25</t>
  </si>
  <si>
    <t xml:space="preserve">EDIVALDO PEREIRA DA SILVA - 00376530596</t>
  </si>
  <si>
    <t xml:space="preserve">111.94</t>
  </si>
  <si>
    <t xml:space="preserve">42.99 L</t>
  </si>
  <si>
    <t xml:space="preserve">Acesso da Rodoviária</t>
  </si>
  <si>
    <t xml:space="preserve">133432.19</t>
  </si>
  <si>
    <t xml:space="preserve">EDIVALDO PEREIRA DA SILVA - 00376530596, WELLINGTON DE OLIVEIRA RIBEIRO - 05207966596</t>
  </si>
  <si>
    <t xml:space="preserve">439.11</t>
  </si>
  <si>
    <t xml:space="preserve">157.50 L</t>
  </si>
  <si>
    <t xml:space="preserve">133871.30</t>
  </si>
  <si>
    <t xml:space="preserve">MARCELO DA SILVA ALVES - 00660499541, WELLINGTON DE OLIVEIRA RIBEIRO - 05207966596</t>
  </si>
  <si>
    <t xml:space="preserve">376.26</t>
  </si>
  <si>
    <t xml:space="preserve">130.00 L</t>
  </si>
  <si>
    <t xml:space="preserve">134247.55</t>
  </si>
  <si>
    <t xml:space="preserve">ROGERIO SOUZA SANTOS DE MEIRELES - 02484231504, Jose Raimundo dos Santos - 00335224563, LUIZ CARLOS BARRETO SANTOS - 97345954587, JOSE MAURICIO SANTANA SANTOS - 97382388549</t>
  </si>
  <si>
    <t xml:space="preserve">257.85</t>
  </si>
  <si>
    <t xml:space="preserve">102.50 L</t>
  </si>
  <si>
    <t xml:space="preserve">134505.40</t>
  </si>
  <si>
    <t xml:space="preserve">RPK7C31</t>
  </si>
  <si>
    <t xml:space="preserve">R8435</t>
  </si>
  <si>
    <t xml:space="preserve">JOSE FABIO LISBOA GUEDES - 01264489579, VALDINES OLIVEIRA SOUSA - 31021000582</t>
  </si>
  <si>
    <t xml:space="preserve">429.61</t>
  </si>
  <si>
    <t xml:space="preserve">530607.08</t>
  </si>
  <si>
    <t xml:space="preserve">531036.69</t>
  </si>
  <si>
    <t xml:space="preserve">531036.75</t>
  </si>
  <si>
    <t xml:space="preserve">531036.89</t>
  </si>
  <si>
    <t xml:space="preserve">RPE3F06</t>
  </si>
  <si>
    <t xml:space="preserve">R8405</t>
  </si>
  <si>
    <t xml:space="preserve">342.68</t>
  </si>
  <si>
    <t xml:space="preserve">104.99 L</t>
  </si>
  <si>
    <t xml:space="preserve">371192.85</t>
  </si>
  <si>
    <t xml:space="preserve">371535.53</t>
  </si>
  <si>
    <t xml:space="preserve">joilson silva santos - 60489960553, SANDRO GOMES CARDOSO - 46985719520</t>
  </si>
  <si>
    <t xml:space="preserve">471.78</t>
  </si>
  <si>
    <t xml:space="preserve">157.49 L</t>
  </si>
  <si>
    <t xml:space="preserve">372007.31</t>
  </si>
  <si>
    <t xml:space="preserve">Joilson Silva Santos - 60489960553, joilson silva santos - 60489960553</t>
  </si>
  <si>
    <t xml:space="preserve">221.80</t>
  </si>
  <si>
    <t xml:space="preserve">79.01 L</t>
  </si>
  <si>
    <t xml:space="preserve">Rua Silio Brige</t>
  </si>
  <si>
    <t xml:space="preserve">372229.10</t>
  </si>
  <si>
    <t xml:space="preserve">81.32</t>
  </si>
  <si>
    <t xml:space="preserve">43.01 L</t>
  </si>
  <si>
    <t xml:space="preserve">1.89 Km/L</t>
  </si>
  <si>
    <t xml:space="preserve">372310.42</t>
  </si>
  <si>
    <t xml:space="preserve">Raimundo Jose Alves Pereira - 42941490515, ADALGICIO BOTELHO MEIRA - 92632998549</t>
  </si>
  <si>
    <t xml:space="preserve">164.93</t>
  </si>
  <si>
    <t xml:space="preserve">40.50 L</t>
  </si>
  <si>
    <t xml:space="preserve">4.07 Km/L</t>
  </si>
  <si>
    <t xml:space="preserve">372475.35</t>
  </si>
  <si>
    <t xml:space="preserve">JOAO DA SILVA OLIVEIRA - 78306922549, ANTONIO FABIO BISPO DOS SANTOS - 21920337881, JAIMILTON OLIVEIRA ROCHA - 05812579520</t>
  </si>
  <si>
    <t xml:space="preserve">164.89</t>
  </si>
  <si>
    <t xml:space="preserve">57.50 L</t>
  </si>
  <si>
    <t xml:space="preserve">372640.24</t>
  </si>
  <si>
    <t xml:space="preserve">6.00</t>
  </si>
  <si>
    <t xml:space="preserve">4.50 L</t>
  </si>
  <si>
    <t xml:space="preserve">1.33 Km/L</t>
  </si>
  <si>
    <t xml:space="preserve">372646.24</t>
  </si>
  <si>
    <t xml:space="preserve">SJN4F98</t>
  </si>
  <si>
    <t xml:space="preserve">R8755</t>
  </si>
  <si>
    <t xml:space="preserve">MARCELO BATISTA SANTOS - 08636731550, TALES ANTONIO ALMEIDA ALVES JUNIOR - 09534524506</t>
  </si>
  <si>
    <t xml:space="preserve">163.51</t>
  </si>
  <si>
    <t xml:space="preserve">46.27 L</t>
  </si>
  <si>
    <t xml:space="preserve">3.53 Km/L</t>
  </si>
  <si>
    <t xml:space="preserve">Acesso DPA e Petrobras</t>
  </si>
  <si>
    <t xml:space="preserve">136305.08</t>
  </si>
  <si>
    <t xml:space="preserve">136468.59</t>
  </si>
  <si>
    <t xml:space="preserve">193.13</t>
  </si>
  <si>
    <t xml:space="preserve">56.86 L</t>
  </si>
  <si>
    <t xml:space="preserve">136469.32</t>
  </si>
  <si>
    <t xml:space="preserve">136662.45</t>
  </si>
  <si>
    <t xml:space="preserve">TALES ANTONIO ALMEIDA ALVES JUNIOR - 09534524506</t>
  </si>
  <si>
    <t xml:space="preserve">211.07</t>
  </si>
  <si>
    <t xml:space="preserve">58.57 L</t>
  </si>
  <si>
    <t xml:space="preserve">136662.89</t>
  </si>
  <si>
    <t xml:space="preserve">136873.96</t>
  </si>
  <si>
    <t xml:space="preserve">197.79</t>
  </si>
  <si>
    <t xml:space="preserve">136874.08</t>
  </si>
  <si>
    <t xml:space="preserve">137071.86</t>
  </si>
  <si>
    <t xml:space="preserve">Jose Raimundo dos Santos - 00335224563, VANDERSON CONCEICAO DO CARMO - 99630770563, TALES ANTONIO ALMEIDA ALVES JUNIOR - 09534524506</t>
  </si>
  <si>
    <t xml:space="preserve">149.17</t>
  </si>
  <si>
    <t xml:space="preserve">42.45 L</t>
  </si>
  <si>
    <t xml:space="preserve">3.51 Km/L</t>
  </si>
  <si>
    <t xml:space="preserve">Rua Cassimiro Rego</t>
  </si>
  <si>
    <t xml:space="preserve">137072.32</t>
  </si>
  <si>
    <t xml:space="preserve">137221.48</t>
  </si>
  <si>
    <t xml:space="preserve">Jose Raimundo dos Santos - 00335224563, ROBERT KAUAN MACHADO SILVA - 06526475531, MARCELO BATISTA SANTOS - 08636731550, TALES ANTONIO ALMEIDA ALVES JUNIOR - 09534524506</t>
  </si>
  <si>
    <t xml:space="preserve">350.57</t>
  </si>
  <si>
    <t xml:space="preserve">79.19 L</t>
  </si>
  <si>
    <t xml:space="preserve">4.43 Km/L</t>
  </si>
  <si>
    <t xml:space="preserve">137572.05</t>
  </si>
  <si>
    <t xml:space="preserve">VANDERSON CONCEICAO DO CARMO - 99630770563, MARCELO BATISTA SANTOS - 08636731550, TALES ANTONIO ALMEIDA ALVES JUNIOR - 09534524506</t>
  </si>
  <si>
    <t xml:space="preserve">156.31</t>
  </si>
  <si>
    <t xml:space="preserve">42.70 L</t>
  </si>
  <si>
    <t xml:space="preserve">3.66 Km/L</t>
  </si>
  <si>
    <t xml:space="preserve">Avenida Ilhéus</t>
  </si>
  <si>
    <t xml:space="preserve">137572.26</t>
  </si>
  <si>
    <t xml:space="preserve">137728.57</t>
  </si>
  <si>
    <t xml:space="preserve">OZT9896</t>
  </si>
  <si>
    <t xml:space="preserve">R7545</t>
  </si>
  <si>
    <t xml:space="preserve">Jose Raimundo dos Santos - 00335224563, JOSE RICARDO DE JESUS - 02887829505, ANGELO MARCIO RODRIGUES NOVAES - 00538319500</t>
  </si>
  <si>
    <t xml:space="preserve">469.50</t>
  </si>
  <si>
    <t xml:space="preserve">169.72 L</t>
  </si>
  <si>
    <t xml:space="preserve">1146319.35</t>
  </si>
  <si>
    <t xml:space="preserve">1146788.85</t>
  </si>
  <si>
    <t xml:space="preserve">VALDINES OLIVEIRA SOUSA - 31021000582, GILDEON OLIVEIRA DE SOUZA - 18269010510, OSVALDO ALMEIDA DE JESUS - 65565533520</t>
  </si>
  <si>
    <t xml:space="preserve">562.70</t>
  </si>
  <si>
    <t xml:space="preserve">173.91 L</t>
  </si>
  <si>
    <t xml:space="preserve">1147351.55</t>
  </si>
  <si>
    <t xml:space="preserve">JOSE FABIO LISBOA GUEDES - 01264489579, Jose Raimundo dos Santos - 00335224563, RODNEY DOS SANTOS ALMEIDA - 02112675540</t>
  </si>
  <si>
    <t xml:space="preserve">462.01</t>
  </si>
  <si>
    <t xml:space="preserve">152.08 L</t>
  </si>
  <si>
    <t xml:space="preserve">1147813.55</t>
  </si>
  <si>
    <t xml:space="preserve">LEANDRO RAMOS JORGE - 05558432543, EMERSON SILVA DE ALMEIDA - 03930125579</t>
  </si>
  <si>
    <t xml:space="preserve">138.34</t>
  </si>
  <si>
    <t xml:space="preserve">40.57 L</t>
  </si>
  <si>
    <t xml:space="preserve">1147951.89</t>
  </si>
  <si>
    <t xml:space="preserve">RPE4C65</t>
  </si>
  <si>
    <t xml:space="preserve">R8395</t>
  </si>
  <si>
    <t xml:space="preserve">PAULO SERGIO MENEZES SANTOS - 01555946569, JOSE LUCIANO SANTOS SILVA - 00671441523</t>
  </si>
  <si>
    <t xml:space="preserve">33.59</t>
  </si>
  <si>
    <t xml:space="preserve">15.99 L</t>
  </si>
  <si>
    <t xml:space="preserve">410148.60</t>
  </si>
  <si>
    <t xml:space="preserve">410182.19</t>
  </si>
  <si>
    <t xml:space="preserve">44.67</t>
  </si>
  <si>
    <t xml:space="preserve">13.01 L</t>
  </si>
  <si>
    <t xml:space="preserve">410226.86</t>
  </si>
  <si>
    <t xml:space="preserve">PAULO SERGIO MENEZES SANTOS - 01555946569</t>
  </si>
  <si>
    <t xml:space="preserve">64.68</t>
  </si>
  <si>
    <t xml:space="preserve">Rua Deputado Paulo Nunes</t>
  </si>
  <si>
    <t xml:space="preserve">410291.54</t>
  </si>
  <si>
    <t xml:space="preserve">ANANIAS DA SILVA ROCHA - 90899210520</t>
  </si>
  <si>
    <t xml:space="preserve">32.55</t>
  </si>
  <si>
    <t xml:space="preserve">410324.09</t>
  </si>
  <si>
    <t xml:space="preserve">173.71</t>
  </si>
  <si>
    <t xml:space="preserve">60.50 L</t>
  </si>
  <si>
    <t xml:space="preserve">410497.79</t>
  </si>
  <si>
    <t xml:space="preserve">RPR9C23</t>
  </si>
  <si>
    <t xml:space="preserve">R8575</t>
  </si>
  <si>
    <t xml:space="preserve">LAZARO DOS SANTOS DE AMORIM - 86317382557, RODRIGO SOARES ROSA - 03344647571</t>
  </si>
  <si>
    <t xml:space="preserve">557.14</t>
  </si>
  <si>
    <t xml:space="preserve">192.51 L</t>
  </si>
  <si>
    <t xml:space="preserve">653272.95</t>
  </si>
  <si>
    <t xml:space="preserve">653830.08</t>
  </si>
  <si>
    <t xml:space="preserve">CARLOS ROBERTO - 88988503520, LEANDRO PINHEIRO DOS SANTOS - 02790495521</t>
  </si>
  <si>
    <t xml:space="preserve">649.53</t>
  </si>
  <si>
    <t xml:space="preserve">216.50 L</t>
  </si>
  <si>
    <t xml:space="preserve">654479.61</t>
  </si>
  <si>
    <t xml:space="preserve">RONALDO REIS SANTOS - 01961868547, EDGAR LINS DA COSTA - 93824920549</t>
  </si>
  <si>
    <t xml:space="preserve">644.37</t>
  </si>
  <si>
    <t xml:space="preserve">198.50 L</t>
  </si>
  <si>
    <t xml:space="preserve">3.25 Km/L</t>
  </si>
  <si>
    <t xml:space="preserve">655123.97</t>
  </si>
  <si>
    <t xml:space="preserve">GIVANILDO OLIVEIRA DA SILVA - 00653834519, PAULO SANTOS BANDEIRA - 00977783545, MARCUS VINICIUS SILVA SANTOS - 01873867573</t>
  </si>
  <si>
    <t xml:space="preserve">560.61</t>
  </si>
  <si>
    <t xml:space="preserve">655684.58</t>
  </si>
  <si>
    <t xml:space="preserve">PAULO SANTOS BANDEIRA - 00977783545, MARDEN  DA SILVA SANTOS - 02259736505, MARCUS VINICIUS SILVA SANTOS - 01873867573</t>
  </si>
  <si>
    <t xml:space="preserve">559.20</t>
  </si>
  <si>
    <t xml:space="preserve">174.99 L</t>
  </si>
  <si>
    <t xml:space="preserve">656243.78</t>
  </si>
  <si>
    <t xml:space="preserve">MANOEL SANTOS GARCIA JUNIOR - 05374015559, RONALDO REIS SANTOS - 01961868547</t>
  </si>
  <si>
    <t xml:space="preserve">652.27</t>
  </si>
  <si>
    <t xml:space="preserve">205.01 L</t>
  </si>
  <si>
    <t xml:space="preserve">656896.05</t>
  </si>
  <si>
    <t xml:space="preserve">MARCOS PEREIRA DOS REIS - 43035302553, JOSE MAURICIO SANTANA SANTOS - 97382388549, RONALDO REIS SANTOS - 01961868547</t>
  </si>
  <si>
    <t xml:space="preserve">644.74</t>
  </si>
  <si>
    <t xml:space="preserve">202.50 L</t>
  </si>
  <si>
    <t xml:space="preserve">657540.79</t>
  </si>
  <si>
    <t xml:space="preserve">RPV1G14</t>
  </si>
  <si>
    <t xml:space="preserve">R8705</t>
  </si>
  <si>
    <t xml:space="preserve">GABRIEL NASCIMENTO SOUZA - 07212412554</t>
  </si>
  <si>
    <t xml:space="preserve">106.35</t>
  </si>
  <si>
    <t xml:space="preserve">20.34 L</t>
  </si>
  <si>
    <t xml:space="preserve">168421.44</t>
  </si>
  <si>
    <t xml:space="preserve">168527.79</t>
  </si>
  <si>
    <t xml:space="preserve">99.86</t>
  </si>
  <si>
    <t xml:space="preserve">18.75 L</t>
  </si>
  <si>
    <t xml:space="preserve">5.32 Km/L</t>
  </si>
  <si>
    <t xml:space="preserve">168627.65</t>
  </si>
  <si>
    <t xml:space="preserve">99.53</t>
  </si>
  <si>
    <t xml:space="preserve">19.17 L</t>
  </si>
  <si>
    <t xml:space="preserve">5.19 Km/L</t>
  </si>
  <si>
    <t xml:space="preserve">168727.18</t>
  </si>
  <si>
    <t xml:space="preserve">99.95</t>
  </si>
  <si>
    <t xml:space="preserve">5.25 Km/L</t>
  </si>
  <si>
    <t xml:space="preserve">168827.13</t>
  </si>
  <si>
    <t xml:space="preserve">0.09 L</t>
  </si>
  <si>
    <t xml:space="preserve">0.53 Km/L</t>
  </si>
  <si>
    <t xml:space="preserve">168827.18</t>
  </si>
  <si>
    <t xml:space="preserve">99.36</t>
  </si>
  <si>
    <t xml:space="preserve">20.14 L</t>
  </si>
  <si>
    <t xml:space="preserve">4.93 Km/L</t>
  </si>
  <si>
    <t xml:space="preserve">Rua Poções</t>
  </si>
  <si>
    <t xml:space="preserve">168926.53</t>
  </si>
  <si>
    <t xml:space="preserve">SJN7H90</t>
  </si>
  <si>
    <t xml:space="preserve">R8745</t>
  </si>
  <si>
    <t xml:space="preserve">GEVAN PINTO DOS SANTOS - 04195998514, ROBERTO KAUAN MACHADO SILVA - 06526475531, ROBERT KAUAN MACHADO SILVA - 06526475531, NATANAEL AVELINO DOS SANTOS - 05037278570</t>
  </si>
  <si>
    <t xml:space="preserve">163.24</t>
  </si>
  <si>
    <t xml:space="preserve">43.67 L</t>
  </si>
  <si>
    <t xml:space="preserve">3.74 Km/L</t>
  </si>
  <si>
    <t xml:space="preserve">167105.55</t>
  </si>
  <si>
    <t xml:space="preserve">167268.79</t>
  </si>
  <si>
    <t xml:space="preserve">Jose Raimundo dos Santos - 00335224563, GEVAN PINTO DOS SANTOS - 04195998514, ROBERT KAUAN MACHADO SILVA - 06526475531, NATANAEL AVELINO DOS SANTOS - 05037278570</t>
  </si>
  <si>
    <t xml:space="preserve">174.64</t>
  </si>
  <si>
    <t xml:space="preserve">49.30 L</t>
  </si>
  <si>
    <t xml:space="preserve">3.54 Km/L</t>
  </si>
  <si>
    <t xml:space="preserve">167443.43</t>
  </si>
  <si>
    <t xml:space="preserve">GEVAN PINTO DOS SANTOS - 04195998514, NATANAEL AVELINO DOS SANTOS - 05037278570, TALES ANTONIO ALMEIDA ALVES JUNIOR - 09534524506</t>
  </si>
  <si>
    <t xml:space="preserve">171.24</t>
  </si>
  <si>
    <t xml:space="preserve">47.83 L</t>
  </si>
  <si>
    <t xml:space="preserve">3.58 Km/L</t>
  </si>
  <si>
    <t xml:space="preserve">167614.67</t>
  </si>
  <si>
    <t xml:space="preserve">Jose Raimundo dos Santos - 00335224563, GEVAN PINTO DOS SANTOS - 04195998514, NATANAEL AVELINO DOS SANTOS - 05037278570</t>
  </si>
  <si>
    <t xml:space="preserve">183.14</t>
  </si>
  <si>
    <t xml:space="preserve">50.76 L</t>
  </si>
  <si>
    <t xml:space="preserve">3.61 Km/L</t>
  </si>
  <si>
    <t xml:space="preserve">167797.80</t>
  </si>
  <si>
    <t xml:space="preserve">VANDERSON CONCEICAO DO CARMO - 99630770563, TALES ANTONIO ALMEIDA ALVES JUNIOR - 09534524506</t>
  </si>
  <si>
    <t xml:space="preserve">103.55</t>
  </si>
  <si>
    <t xml:space="preserve">28.10 L</t>
  </si>
  <si>
    <t xml:space="preserve">3.68 Km/L</t>
  </si>
  <si>
    <t xml:space="preserve">167901.35</t>
  </si>
  <si>
    <t xml:space="preserve">ROBERTO KAUAN MACHADO SILVA - 06526475531, ROBERT KAUAN MACHADO SILVA - 06526475531, TALES ANTONIO ALMEIDA ALVES JUNIOR - 09534524506</t>
  </si>
  <si>
    <t xml:space="preserve">125.60</t>
  </si>
  <si>
    <t xml:space="preserve">36.97 L</t>
  </si>
  <si>
    <t xml:space="preserve">167901.59</t>
  </si>
  <si>
    <t xml:space="preserve">168027.19</t>
  </si>
  <si>
    <t xml:space="preserve">GEVAN PINTO DOS SANTOS - 04195998514, VANDERSON CONCEICAO DO CARMO - 99630770563, ROBERTO KAUAN MACHADO SILVA - 06526475531, ROBERT KAUAN MACHADO SILVA - 06526475531</t>
  </si>
  <si>
    <t xml:space="preserve">196.37</t>
  </si>
  <si>
    <t xml:space="preserve">54.28 L</t>
  </si>
  <si>
    <t xml:space="preserve">3.62 Km/L</t>
  </si>
  <si>
    <t xml:space="preserve">168223.56</t>
  </si>
  <si>
    <t xml:space="preserve">RPK0J84</t>
  </si>
  <si>
    <t xml:space="preserve">R8505</t>
  </si>
  <si>
    <t xml:space="preserve">565169.80</t>
  </si>
  <si>
    <t xml:space="preserve">565170.02</t>
  </si>
  <si>
    <t xml:space="preserve">ALEXSANDRO DOS SANTOS - 02439748501, JAILTON SA DOS SANTOS - 82191026591</t>
  </si>
  <si>
    <t xml:space="preserve">55.89</t>
  </si>
  <si>
    <t xml:space="preserve">565225.91</t>
  </si>
  <si>
    <t xml:space="preserve">CRISPIM SANTOS DE OLIVEIRA - 04087908577, JOSENILDON BISPO DE JESUS - 57874891520</t>
  </si>
  <si>
    <t xml:space="preserve">506.43</t>
  </si>
  <si>
    <t xml:space="preserve">121.01 L</t>
  </si>
  <si>
    <t xml:space="preserve">4.19 Km/L</t>
  </si>
  <si>
    <t xml:space="preserve">565732.34</t>
  </si>
  <si>
    <t xml:space="preserve">EDINALDO JOSE ALVES - 18681883534, MANOEL BIANO SOUZA - 29434416515, EDGAR LINS DA COSTA - 93824920549</t>
  </si>
  <si>
    <t xml:space="preserve">406.73</t>
  </si>
  <si>
    <t xml:space="preserve">131.50 L</t>
  </si>
  <si>
    <t xml:space="preserve">566139.07</t>
  </si>
  <si>
    <t xml:space="preserve">ROGERIO SOUZA SANTOS DE MEIRELES - 02484231504, LEANDRO PINHEIRO DOS SANTOS - 02790495521</t>
  </si>
  <si>
    <t xml:space="preserve">409.93</t>
  </si>
  <si>
    <t xml:space="preserve">130.99 L</t>
  </si>
  <si>
    <t xml:space="preserve">566549.00</t>
  </si>
  <si>
    <t xml:space="preserve">SJN8D36</t>
  </si>
  <si>
    <t xml:space="preserve">R8735</t>
  </si>
  <si>
    <t xml:space="preserve">110.36</t>
  </si>
  <si>
    <t xml:space="preserve">24.74 L</t>
  </si>
  <si>
    <t xml:space="preserve">4.46 Km/L</t>
  </si>
  <si>
    <t xml:space="preserve">139667.07</t>
  </si>
  <si>
    <t xml:space="preserve">139777.43</t>
  </si>
  <si>
    <t xml:space="preserve">110.69</t>
  </si>
  <si>
    <t xml:space="preserve">24.80 L</t>
  </si>
  <si>
    <t xml:space="preserve">139888.12</t>
  </si>
  <si>
    <t xml:space="preserve">9.44</t>
  </si>
  <si>
    <t xml:space="preserve">3.06 L</t>
  </si>
  <si>
    <t xml:space="preserve">139897.56</t>
  </si>
  <si>
    <t xml:space="preserve">26.05 L</t>
  </si>
  <si>
    <t xml:space="preserve">3.71 Km/L</t>
  </si>
  <si>
    <t xml:space="preserve">139994.18</t>
  </si>
  <si>
    <t xml:space="preserve">0.08 L</t>
  </si>
  <si>
    <t xml:space="preserve">1.96</t>
  </si>
  <si>
    <t xml:space="preserve">0.89 L</t>
  </si>
  <si>
    <t xml:space="preserve">2.20 Km/L</t>
  </si>
  <si>
    <t xml:space="preserve">139996.14</t>
  </si>
  <si>
    <t xml:space="preserve">SJN6C30</t>
  </si>
  <si>
    <t xml:space="preserve">R8815</t>
  </si>
  <si>
    <t xml:space="preserve">38.40</t>
  </si>
  <si>
    <t xml:space="preserve">18.74 L</t>
  </si>
  <si>
    <t xml:space="preserve">2.05 Km/L</t>
  </si>
  <si>
    <t xml:space="preserve">240892.22</t>
  </si>
  <si>
    <t xml:space="preserve">240930.61</t>
  </si>
  <si>
    <t xml:space="preserve">0.27</t>
  </si>
  <si>
    <t xml:space="preserve">0.30 L</t>
  </si>
  <si>
    <t xml:space="preserve">0.91 Km/L</t>
  </si>
  <si>
    <t xml:space="preserve">240930.88</t>
  </si>
  <si>
    <t xml:space="preserve">0.54 L</t>
  </si>
  <si>
    <t xml:space="preserve">79.98</t>
  </si>
  <si>
    <t xml:space="preserve">33.35 L</t>
  </si>
  <si>
    <t xml:space="preserve">241010.86</t>
  </si>
  <si>
    <t xml:space="preserve">1.52 Km/L</t>
  </si>
  <si>
    <t xml:space="preserve">241011.06</t>
  </si>
  <si>
    <t xml:space="preserve">JOSE FABIO LISBOA GUEDES - 01264489579, DANILO DA SILVA SANTOS - 02202422595, Jose Raimundo dos Santos - 00335224563, JOSE MAURICIO SANTANA SANTOS - 97382388549</t>
  </si>
  <si>
    <t xml:space="preserve">340.56</t>
  </si>
  <si>
    <t xml:space="preserve">111.99 L</t>
  </si>
  <si>
    <t xml:space="preserve">241351.60</t>
  </si>
  <si>
    <t xml:space="preserve">SJN7D41</t>
  </si>
  <si>
    <t xml:space="preserve">R8805</t>
  </si>
  <si>
    <t xml:space="preserve">501.87</t>
  </si>
  <si>
    <t xml:space="preserve">163.34 L</t>
  </si>
  <si>
    <t xml:space="preserve">215722.54</t>
  </si>
  <si>
    <t xml:space="preserve">216224.41</t>
  </si>
  <si>
    <t xml:space="preserve">297.47</t>
  </si>
  <si>
    <t xml:space="preserve">89.11 L</t>
  </si>
  <si>
    <t xml:space="preserve">216521.88</t>
  </si>
  <si>
    <t xml:space="preserve">136.46</t>
  </si>
  <si>
    <t xml:space="preserve">44.95 L</t>
  </si>
  <si>
    <t xml:space="preserve">216658.34</t>
  </si>
  <si>
    <t xml:space="preserve">608.44</t>
  </si>
  <si>
    <t xml:space="preserve">182.38 L</t>
  </si>
  <si>
    <t xml:space="preserve">217266.78</t>
  </si>
  <si>
    <t xml:space="preserve">717.69</t>
  </si>
  <si>
    <t xml:space="preserve">205.78 L</t>
  </si>
  <si>
    <t xml:space="preserve">217267.67</t>
  </si>
  <si>
    <t xml:space="preserve">217985.36</t>
  </si>
  <si>
    <t xml:space="preserve">516.44</t>
  </si>
  <si>
    <t xml:space="preserve">161.42 L</t>
  </si>
  <si>
    <t xml:space="preserve">Praça Desembargador Aloísio de Abreu Lima</t>
  </si>
  <si>
    <t xml:space="preserve">218501.80</t>
  </si>
  <si>
    <t xml:space="preserve">659.94</t>
  </si>
  <si>
    <t xml:space="preserve">198.90 L</t>
  </si>
  <si>
    <t xml:space="preserve">Avenida Paulo Vasconcelos</t>
  </si>
  <si>
    <t xml:space="preserve">218502.16</t>
  </si>
  <si>
    <t xml:space="preserve">219162.10</t>
  </si>
  <si>
    <t xml:space="preserve">SJN9I14</t>
  </si>
  <si>
    <t xml:space="preserve">R8765</t>
  </si>
  <si>
    <t xml:space="preserve">0.13 Km/L</t>
  </si>
  <si>
    <t xml:space="preserve">Rua E</t>
  </si>
  <si>
    <t xml:space="preserve">251574.50</t>
  </si>
  <si>
    <t xml:space="preserve">251574.53</t>
  </si>
  <si>
    <t xml:space="preserve">3.09 L</t>
  </si>
  <si>
    <t xml:space="preserve">251574.54</t>
  </si>
  <si>
    <t xml:space="preserve">SJN8D51</t>
  </si>
  <si>
    <t xml:space="preserve">R8785</t>
  </si>
  <si>
    <t xml:space="preserve">3.94</t>
  </si>
  <si>
    <t xml:space="preserve">2.98 L</t>
  </si>
  <si>
    <t xml:space="preserve">269686.41</t>
  </si>
  <si>
    <t xml:space="preserve">269690.35</t>
  </si>
  <si>
    <t xml:space="preserve">ANANIAS DA SILVA ROCHA - 90899210520, RODRIGO SOARES ROSA - 03344647571</t>
  </si>
  <si>
    <t xml:space="preserve">342.34</t>
  </si>
  <si>
    <t xml:space="preserve">106.92 L</t>
  </si>
  <si>
    <t xml:space="preserve">270032.69</t>
  </si>
  <si>
    <t xml:space="preserve">ADAILTON DA SILVA SANTOS - 01609731557, RODRIGO SOARES ROSA - 03344647571</t>
  </si>
  <si>
    <t xml:space="preserve">525.48</t>
  </si>
  <si>
    <t xml:space="preserve">166.76 L</t>
  </si>
  <si>
    <t xml:space="preserve">270033.06</t>
  </si>
  <si>
    <t xml:space="preserve">270558.54</t>
  </si>
  <si>
    <t xml:space="preserve">486.84</t>
  </si>
  <si>
    <t xml:space="preserve">152.29 L</t>
  </si>
  <si>
    <t xml:space="preserve">271045.38</t>
  </si>
  <si>
    <t xml:space="preserve">RUBEM JOSE PEREIRA SOUZA - 01425689531, MARCELO EDUARDO OLIVEIRA COSTA - 60245476504</t>
  </si>
  <si>
    <t xml:space="preserve">674.81</t>
  </si>
  <si>
    <t xml:space="preserve">216.42 L</t>
  </si>
  <si>
    <t xml:space="preserve">Avenida São Vicente de Paula</t>
  </si>
  <si>
    <t xml:space="preserve">271720.18</t>
  </si>
  <si>
    <t xml:space="preserve">SJN3C84</t>
  </si>
  <si>
    <t xml:space="preserve">R8795</t>
  </si>
  <si>
    <t xml:space="preserve">PEDRO SILVA JUNIOR - 80515843504, GILTON BARRETO VALENCA  - 87903261568</t>
  </si>
  <si>
    <t xml:space="preserve">701.10</t>
  </si>
  <si>
    <t xml:space="preserve">209.91 L</t>
  </si>
  <si>
    <t xml:space="preserve">240258.88</t>
  </si>
  <si>
    <t xml:space="preserve">240959.98</t>
  </si>
  <si>
    <t xml:space="preserve">CARLOS DAVI SILVA  BORGES  - 99807491568, DANIEL TAVARES DOS SANTOS  - 04340704598</t>
  </si>
  <si>
    <t xml:space="preserve">698.10</t>
  </si>
  <si>
    <t xml:space="preserve">192.07 L</t>
  </si>
  <si>
    <t xml:space="preserve">3.63 Km/L</t>
  </si>
  <si>
    <t xml:space="preserve">240960.00</t>
  </si>
  <si>
    <t xml:space="preserve">241658.10</t>
  </si>
  <si>
    <t xml:space="preserve">RANIERY NOBERTO DA SILVA - 46553045534</t>
  </si>
  <si>
    <t xml:space="preserve">136.80</t>
  </si>
  <si>
    <t xml:space="preserve">50.13 L</t>
  </si>
  <si>
    <t xml:space="preserve">241794.90</t>
  </si>
  <si>
    <t xml:space="preserve">JOSE ACACIO FERREIRA FIGUEIREDO - 58429352520, FERNANDO DO NASCIMENTO - 37956647568, EDGAR LINS DA COSTA - 93824920549</t>
  </si>
  <si>
    <t xml:space="preserve">502.69</t>
  </si>
  <si>
    <t xml:space="preserve">160.56 L</t>
  </si>
  <si>
    <t xml:space="preserve">242297.59</t>
  </si>
  <si>
    <t xml:space="preserve">297.48</t>
  </si>
  <si>
    <t xml:space="preserve">92.18 L</t>
  </si>
  <si>
    <t xml:space="preserve">242595.07</t>
  </si>
  <si>
    <t xml:space="preserve">84.04 L</t>
  </si>
  <si>
    <t xml:space="preserve">242850.66</t>
  </si>
  <si>
    <t xml:space="preserve">Danilo Santos de Souza - 03425113518</t>
  </si>
  <si>
    <t xml:space="preserve">30.19</t>
  </si>
  <si>
    <t xml:space="preserve">12.59 L</t>
  </si>
  <si>
    <t xml:space="preserve">242880.85</t>
  </si>
  <si>
    <t xml:space="preserve">SJN2F61</t>
  </si>
  <si>
    <t xml:space="preserve">R8775</t>
  </si>
  <si>
    <t xml:space="preserve">ALEX HENRIQUE DE ALMEIDA - 72446048587, HUDSON SANTANA DE MENEZES - 04885757533, VALDINEUDO JOSE ALVES CLARO - 87261758434</t>
  </si>
  <si>
    <t xml:space="preserve">565.67</t>
  </si>
  <si>
    <t xml:space="preserve">203.79 L</t>
  </si>
  <si>
    <t xml:space="preserve">264545.72</t>
  </si>
  <si>
    <t xml:space="preserve">265111.38</t>
  </si>
  <si>
    <t xml:space="preserve">RAFAEL SANTOS DE SOUZA  - 04429976554, HUMBERTO GOES VIEIRA - 55151196065, FÁBIO NASCIMENTO DOS SANTOS  - 01757294503</t>
  </si>
  <si>
    <t xml:space="preserve">545.90</t>
  </si>
  <si>
    <t xml:space="preserve">191.59 L</t>
  </si>
  <si>
    <t xml:space="preserve">265657.29</t>
  </si>
  <si>
    <t xml:space="preserve">EDVALDO DA CRUZ BRITO - 40891259520, JEFFERSON ALVES DA CRUZ  - 00913175501</t>
  </si>
  <si>
    <t xml:space="preserve">677.85</t>
  </si>
  <si>
    <t xml:space="preserve">210.23 L</t>
  </si>
  <si>
    <t xml:space="preserve">Travessa Vital Brasil</t>
  </si>
  <si>
    <t xml:space="preserve">266335.14</t>
  </si>
  <si>
    <t xml:space="preserve">EDVALDO DA CRUZ BRITO - 40891259520, CARLOS DAVI SILVA  BORGES  - 99807491568</t>
  </si>
  <si>
    <t xml:space="preserve">681.23</t>
  </si>
  <si>
    <t xml:space="preserve">208.05 L</t>
  </si>
  <si>
    <t xml:space="preserve">267016.36</t>
  </si>
  <si>
    <t xml:space="preserve">VALTEMISSON JOSE DOS SANTOS - 96941120525, VANDERSON TELES NASCIMENTO  - 81967543534</t>
  </si>
  <si>
    <t xml:space="preserve">679.31</t>
  </si>
  <si>
    <t xml:space="preserve">208.23 L</t>
  </si>
  <si>
    <t xml:space="preserve">267695.67</t>
  </si>
  <si>
    <t xml:space="preserve">PEDRO SILVA JUNIOR - 80515843504, RONALDO ALVES DA SILVA - 41786106515, LUCAS JESUS DE MELO  - 03665383579, VANDERSON TELES NASCIMENTO  - 81967543534</t>
  </si>
  <si>
    <t xml:space="preserve">683.84</t>
  </si>
  <si>
    <t xml:space="preserve">218.65 L</t>
  </si>
  <si>
    <t xml:space="preserve">268379.51</t>
  </si>
  <si>
    <t xml:space="preserve">VALDINEUDO JOSE ALVES CLARO - 87261758434, DENISSON MIRANDA PRADO  - 89498089515</t>
  </si>
  <si>
    <t xml:space="preserve">734.29</t>
  </si>
  <si>
    <t xml:space="preserve">249.02 L</t>
  </si>
  <si>
    <t xml:space="preserve">269113.80</t>
  </si>
  <si>
    <t xml:space="preserve">SJN2E11</t>
  </si>
  <si>
    <t xml:space="preserve">R8725</t>
  </si>
  <si>
    <t xml:space="preserve">LEANDRO OLIVEIRA FREITAS - 05080449527</t>
  </si>
  <si>
    <t xml:space="preserve">80.80 L</t>
  </si>
  <si>
    <t xml:space="preserve">Caminho 13</t>
  </si>
  <si>
    <t xml:space="preserve">Avenida América</t>
  </si>
  <si>
    <t xml:space="preserve">152825.79</t>
  </si>
  <si>
    <t xml:space="preserve">153109.87</t>
  </si>
  <si>
    <t xml:space="preserve">GERSIMARIO SANTOS GUIMARAES - 98338927520</t>
  </si>
  <si>
    <t xml:space="preserve">283.41</t>
  </si>
  <si>
    <t xml:space="preserve">81.94 L</t>
  </si>
  <si>
    <t xml:space="preserve">153110.16</t>
  </si>
  <si>
    <t xml:space="preserve">153393.56</t>
  </si>
  <si>
    <t xml:space="preserve">LEANDRO OLIVEIRA FREITAS - 05080449527, GERSIMARIO SANTOS GUIMARAES - 98338927520</t>
  </si>
  <si>
    <t xml:space="preserve">273.80</t>
  </si>
  <si>
    <t xml:space="preserve">77.67 L</t>
  </si>
  <si>
    <t xml:space="preserve">153393.88</t>
  </si>
  <si>
    <t xml:space="preserve">153667.67</t>
  </si>
  <si>
    <t xml:space="preserve">211.86</t>
  </si>
  <si>
    <t xml:space="preserve">63.38 L</t>
  </si>
  <si>
    <t xml:space="preserve">153667.90</t>
  </si>
  <si>
    <t xml:space="preserve">153879.75</t>
  </si>
  <si>
    <t xml:space="preserve">JOILSON MUNIZ MERCES - 83244000525, GERSIMARIO SANTOS GUIMARAES - 98338927520</t>
  </si>
  <si>
    <t xml:space="preserve">188.61</t>
  </si>
  <si>
    <t xml:space="preserve">56.20 L</t>
  </si>
  <si>
    <t xml:space="preserve">Rua da Matriz</t>
  </si>
  <si>
    <t xml:space="preserve">153880.07</t>
  </si>
  <si>
    <t xml:space="preserve">154068.67</t>
  </si>
  <si>
    <t xml:space="preserve">204.78</t>
  </si>
  <si>
    <t xml:space="preserve">58.06 L</t>
  </si>
  <si>
    <t xml:space="preserve">154069.00</t>
  </si>
  <si>
    <t xml:space="preserve">154273.77</t>
  </si>
  <si>
    <t xml:space="preserve">283.90</t>
  </si>
  <si>
    <t xml:space="preserve">80.38 L</t>
  </si>
  <si>
    <t xml:space="preserve">Avenida Doutor Arnoldo Neves</t>
  </si>
  <si>
    <t xml:space="preserve">154274.25</t>
  </si>
  <si>
    <t xml:space="preserve">154558.15</t>
  </si>
  <si>
    <t xml:space="preserve">SJN0C19</t>
  </si>
  <si>
    <t xml:space="preserve">R8715</t>
  </si>
  <si>
    <t xml:space="preserve">147.89</t>
  </si>
  <si>
    <t xml:space="preserve">33.17 L</t>
  </si>
  <si>
    <t xml:space="preserve">137624.98</t>
  </si>
  <si>
    <t xml:space="preserve">137772.87</t>
  </si>
  <si>
    <t xml:space="preserve">149.60</t>
  </si>
  <si>
    <t xml:space="preserve">35.06 L</t>
  </si>
  <si>
    <t xml:space="preserve">4.27 Km/L</t>
  </si>
  <si>
    <t xml:space="preserve">137922.47</t>
  </si>
  <si>
    <t xml:space="preserve">153.44</t>
  </si>
  <si>
    <t xml:space="preserve">34.64 L</t>
  </si>
  <si>
    <t xml:space="preserve">138075.91</t>
  </si>
  <si>
    <t xml:space="preserve">149.22</t>
  </si>
  <si>
    <t xml:space="preserve">35.31 L</t>
  </si>
  <si>
    <t xml:space="preserve">4.23 Km/L</t>
  </si>
  <si>
    <t xml:space="preserve">Rua Dois de Julho</t>
  </si>
  <si>
    <t xml:space="preserve">138225.12</t>
  </si>
  <si>
    <t xml:space="preserve">70.75</t>
  </si>
  <si>
    <t xml:space="preserve">18.24 L</t>
  </si>
  <si>
    <t xml:space="preserve">3.88 Km/L</t>
  </si>
  <si>
    <t xml:space="preserve">Avenida Mongoiós</t>
  </si>
  <si>
    <t xml:space="preserve">138295.87</t>
  </si>
  <si>
    <t xml:space="preserve">76.32</t>
  </si>
  <si>
    <t xml:space="preserve">3.98 Km/L</t>
  </si>
  <si>
    <t xml:space="preserve">138372.19</t>
  </si>
  <si>
    <t xml:space="preserve">149.38</t>
  </si>
  <si>
    <t xml:space="preserve">4.37 Km/L</t>
  </si>
  <si>
    <t xml:space="preserve">138521.57</t>
  </si>
  <si>
    <t xml:space="preserve">SJS5A78</t>
  </si>
  <si>
    <t xml:space="preserve">R8935</t>
  </si>
  <si>
    <t xml:space="preserve">280.73</t>
  </si>
  <si>
    <t xml:space="preserve">102.00 L</t>
  </si>
  <si>
    <t xml:space="preserve">87422.45</t>
  </si>
  <si>
    <t xml:space="preserve">87703.18</t>
  </si>
  <si>
    <t xml:space="preserve">219.28</t>
  </si>
  <si>
    <t xml:space="preserve">82.79 L</t>
  </si>
  <si>
    <t xml:space="preserve">87922.45</t>
  </si>
  <si>
    <t xml:space="preserve">113.90</t>
  </si>
  <si>
    <t xml:space="preserve">44.71 L</t>
  </si>
  <si>
    <t xml:space="preserve">Rua Chafik Luedy</t>
  </si>
  <si>
    <t xml:space="preserve">88036.35</t>
  </si>
  <si>
    <t xml:space="preserve">253.44</t>
  </si>
  <si>
    <t xml:space="preserve">91.30 L</t>
  </si>
  <si>
    <t xml:space="preserve">88289.78</t>
  </si>
  <si>
    <t xml:space="preserve">109.66</t>
  </si>
  <si>
    <t xml:space="preserve">36.46 L</t>
  </si>
  <si>
    <t xml:space="preserve">88399.44</t>
  </si>
  <si>
    <t xml:space="preserve">106.64</t>
  </si>
  <si>
    <t xml:space="preserve">37.35 L</t>
  </si>
  <si>
    <t xml:space="preserve">88506.08</t>
  </si>
  <si>
    <t xml:space="preserve">114.50</t>
  </si>
  <si>
    <t xml:space="preserve">46.73 L</t>
  </si>
  <si>
    <t xml:space="preserve">Rua Aloísio Lucena Ruas</t>
  </si>
  <si>
    <t xml:space="preserve">88620.57</t>
  </si>
  <si>
    <t xml:space="preserve">SJS2E47</t>
  </si>
  <si>
    <t xml:space="preserve">R8925</t>
  </si>
  <si>
    <t xml:space="preserve">89609.74</t>
  </si>
  <si>
    <t xml:space="preserve">0.41 L</t>
  </si>
  <si>
    <t xml:space="preserve">89609.84</t>
  </si>
  <si>
    <t xml:space="preserve">SJS5A08</t>
  </si>
  <si>
    <t xml:space="preserve">R8955</t>
  </si>
  <si>
    <t xml:space="preserve">3.61 L</t>
  </si>
  <si>
    <t xml:space="preserve">86409.66</t>
  </si>
  <si>
    <t xml:space="preserve">86409.83</t>
  </si>
  <si>
    <t xml:space="preserve">340.58</t>
  </si>
  <si>
    <t xml:space="preserve">69.81 L</t>
  </si>
  <si>
    <t xml:space="preserve">4.88 Km/L</t>
  </si>
  <si>
    <t xml:space="preserve">86750.41</t>
  </si>
  <si>
    <t xml:space="preserve">106.31</t>
  </si>
  <si>
    <t xml:space="preserve">37.11 L</t>
  </si>
  <si>
    <t xml:space="preserve">86856.73</t>
  </si>
  <si>
    <t xml:space="preserve">113.68</t>
  </si>
  <si>
    <t xml:space="preserve">44.81 L</t>
  </si>
  <si>
    <t xml:space="preserve">86970.40</t>
  </si>
  <si>
    <t xml:space="preserve">163.22</t>
  </si>
  <si>
    <t xml:space="preserve">61.31 L</t>
  </si>
  <si>
    <t xml:space="preserve">87133.62</t>
  </si>
  <si>
    <t xml:space="preserve">54.22 L</t>
  </si>
  <si>
    <t xml:space="preserve">87297.14</t>
  </si>
  <si>
    <t xml:space="preserve">214.87</t>
  </si>
  <si>
    <t xml:space="preserve">71.65 L</t>
  </si>
  <si>
    <t xml:space="preserve">87512.01</t>
  </si>
  <si>
    <t xml:space="preserve">SJS2J74</t>
  </si>
  <si>
    <t xml:space="preserve">R8905</t>
  </si>
  <si>
    <t xml:space="preserve">163.77</t>
  </si>
  <si>
    <t xml:space="preserve">111891.70</t>
  </si>
  <si>
    <t xml:space="preserve">112055.47</t>
  </si>
  <si>
    <t xml:space="preserve">164.10</t>
  </si>
  <si>
    <t xml:space="preserve">112219.56</t>
  </si>
  <si>
    <t xml:space="preserve">165.36</t>
  </si>
  <si>
    <t xml:space="preserve">112384.93</t>
  </si>
  <si>
    <t xml:space="preserve">216.05</t>
  </si>
  <si>
    <t xml:space="preserve">112600.98</t>
  </si>
  <si>
    <t xml:space="preserve">Ricardo José Moreira de Souza - 78584159649</t>
  </si>
  <si>
    <t xml:space="preserve">386.27</t>
  </si>
  <si>
    <t xml:space="preserve">112987.24</t>
  </si>
  <si>
    <t xml:space="preserve">82.04</t>
  </si>
  <si>
    <t xml:space="preserve">113069.28</t>
  </si>
  <si>
    <t xml:space="preserve">SJS9C80</t>
  </si>
  <si>
    <t xml:space="preserve">R8915</t>
  </si>
  <si>
    <t xml:space="preserve">224.40</t>
  </si>
  <si>
    <t xml:space="preserve">84.26 L</t>
  </si>
  <si>
    <t xml:space="preserve">97062.13</t>
  </si>
  <si>
    <t xml:space="preserve">97286.53</t>
  </si>
  <si>
    <t xml:space="preserve">226.02</t>
  </si>
  <si>
    <t xml:space="preserve">86.29 L</t>
  </si>
  <si>
    <t xml:space="preserve">97286.56</t>
  </si>
  <si>
    <t xml:space="preserve">97512.57</t>
  </si>
  <si>
    <t xml:space="preserve">224.77</t>
  </si>
  <si>
    <t xml:space="preserve">84.62 L</t>
  </si>
  <si>
    <t xml:space="preserve">97737.34</t>
  </si>
  <si>
    <t xml:space="preserve">224.81</t>
  </si>
  <si>
    <t xml:space="preserve">86.74 L</t>
  </si>
  <si>
    <t xml:space="preserve">97962.15</t>
  </si>
  <si>
    <t xml:space="preserve">223.71</t>
  </si>
  <si>
    <t xml:space="preserve">79.81 L</t>
  </si>
  <si>
    <t xml:space="preserve">98185.85</t>
  </si>
  <si>
    <t xml:space="preserve">115.62</t>
  </si>
  <si>
    <t xml:space="preserve">45.06 L</t>
  </si>
  <si>
    <t xml:space="preserve">98301.47</t>
  </si>
  <si>
    <t xml:space="preserve">115.00</t>
  </si>
  <si>
    <t xml:space="preserve">45.30 L</t>
  </si>
  <si>
    <t xml:space="preserve">98416.47</t>
  </si>
  <si>
    <t xml:space="preserve">SJS6G95</t>
  </si>
  <si>
    <t xml:space="preserve">R8945</t>
  </si>
  <si>
    <t xml:space="preserve">115.52</t>
  </si>
  <si>
    <t xml:space="preserve">43.45 L</t>
  </si>
  <si>
    <t xml:space="preserve">116752.29</t>
  </si>
  <si>
    <t xml:space="preserve">116867.81</t>
  </si>
  <si>
    <t xml:space="preserve">178.90</t>
  </si>
  <si>
    <t xml:space="preserve">69.49 L</t>
  </si>
  <si>
    <t xml:space="preserve">117046.70</t>
  </si>
  <si>
    <t xml:space="preserve">130.76</t>
  </si>
  <si>
    <t xml:space="preserve">47.67 L</t>
  </si>
  <si>
    <t xml:space="preserve">117177.46</t>
  </si>
  <si>
    <t xml:space="preserve">42.18</t>
  </si>
  <si>
    <t xml:space="preserve">15.50 L</t>
  </si>
  <si>
    <t xml:space="preserve">117219.64</t>
  </si>
  <si>
    <t xml:space="preserve">247.17</t>
  </si>
  <si>
    <t xml:space="preserve">93.88 L</t>
  </si>
  <si>
    <t xml:space="preserve">117466.81</t>
  </si>
  <si>
    <t xml:space="preserve">OLG4715</t>
  </si>
  <si>
    <t xml:space="preserve">R10115</t>
  </si>
  <si>
    <t xml:space="preserve">1030635.82</t>
  </si>
  <si>
    <t xml:space="preserve">1030636.01</t>
  </si>
  <si>
    <t xml:space="preserve">OSNILDO CLEMENTINO ROCHA DOS - 87948125515</t>
  </si>
  <si>
    <t xml:space="preserve">1030813.71</t>
  </si>
  <si>
    <t xml:space="preserve">213.94</t>
  </si>
  <si>
    <t xml:space="preserve">1031027.65</t>
  </si>
  <si>
    <t xml:space="preserve">214.65</t>
  </si>
  <si>
    <t xml:space="preserve">1031242.30</t>
  </si>
  <si>
    <t xml:space="preserve">213.01</t>
  </si>
  <si>
    <t xml:space="preserve">Rua Júlia Amaral Corrêa</t>
  </si>
  <si>
    <t xml:space="preserve">1031455.31</t>
  </si>
  <si>
    <t xml:space="preserve">ANDERSON SANTOS DE OLIVEIRA - 05561156519, JOSE NEILTON DOS SANTOS - 50982354568, OSNILDO CLEMENTINO ROCHA DOS - 87948125515</t>
  </si>
  <si>
    <t xml:space="preserve">148.78</t>
  </si>
  <si>
    <t xml:space="preserve">Rua Dom Pedro I</t>
  </si>
  <si>
    <t xml:space="preserve">1031604.08</t>
  </si>
  <si>
    <t xml:space="preserve">OZG6088</t>
  </si>
  <si>
    <t xml:space="preserve">R10185</t>
  </si>
  <si>
    <t xml:space="preserve">0.21 L</t>
  </si>
  <si>
    <t xml:space="preserve">227142.90</t>
  </si>
  <si>
    <t xml:space="preserve">0.73 L</t>
  </si>
  <si>
    <t xml:space="preserve">OLG3I24</t>
  </si>
  <si>
    <t xml:space="preserve">R10155</t>
  </si>
  <si>
    <t xml:space="preserve">146.93</t>
  </si>
  <si>
    <t xml:space="preserve">925633.56</t>
  </si>
  <si>
    <t xml:space="preserve">925780.49</t>
  </si>
  <si>
    <t xml:space="preserve">FRANKLIN PEREIRA CARDOSO - 02140251520, MICHAEL MARTINS DOS SANTOS - 85796744500</t>
  </si>
  <si>
    <t xml:space="preserve">91.77</t>
  </si>
  <si>
    <t xml:space="preserve">925872.26</t>
  </si>
  <si>
    <t xml:space="preserve">51.03</t>
  </si>
  <si>
    <t xml:space="preserve">925923.29</t>
  </si>
  <si>
    <t xml:space="preserve">JUCIMAR DE JESUS SANTOS - 03136869559, EDEZIO RIBEIRO DE JESUS - 66067782553</t>
  </si>
  <si>
    <t xml:space="preserve">445.44</t>
  </si>
  <si>
    <t xml:space="preserve">Rua Wandick Badaró</t>
  </si>
  <si>
    <t xml:space="preserve">Rua Juracy Magalhães</t>
  </si>
  <si>
    <t xml:space="preserve">926368.73</t>
  </si>
  <si>
    <t xml:space="preserve">EDEZIO RIBEIRO DE JESUS - 66067782553</t>
  </si>
  <si>
    <t xml:space="preserve">396.08</t>
  </si>
  <si>
    <t xml:space="preserve">926764.81</t>
  </si>
  <si>
    <t xml:space="preserve">JOSE MAICON ALMEIDA DOS SANTOS - 01355426502, ABILIO SANTOS COUTINHO - 92884539549</t>
  </si>
  <si>
    <t xml:space="preserve">214.63</t>
  </si>
  <si>
    <t xml:space="preserve">926979.44</t>
  </si>
  <si>
    <t xml:space="preserve">926979.83</t>
  </si>
  <si>
    <t xml:space="preserve">OZI2D57</t>
  </si>
  <si>
    <t xml:space="preserve">R10195</t>
  </si>
  <si>
    <t xml:space="preserve">WELLINGTON DE OLIVEIRA RIBEIRO - 05207966596</t>
  </si>
  <si>
    <t xml:space="preserve">328.80</t>
  </si>
  <si>
    <t xml:space="preserve">118.39 L</t>
  </si>
  <si>
    <t xml:space="preserve">1044199.17</t>
  </si>
  <si>
    <t xml:space="preserve">1044527.97</t>
  </si>
  <si>
    <t xml:space="preserve">111.17</t>
  </si>
  <si>
    <t xml:space="preserve">45.95 L</t>
  </si>
  <si>
    <t xml:space="preserve">1044639.15</t>
  </si>
  <si>
    <t xml:space="preserve">EDIVALDO PEREIRA DA SILVA - 00376530596, PAULO SERGIO MENEZES SANTOS - 01555946569</t>
  </si>
  <si>
    <t xml:space="preserve">173.02</t>
  </si>
  <si>
    <t xml:space="preserve">66.96 L</t>
  </si>
  <si>
    <t xml:space="preserve">1044812.17</t>
  </si>
  <si>
    <t xml:space="preserve">ITAMAR PAULINO DOS SANTOS - 65902947553, EDSON RIBEIRO BATISTA SANTOS - 03640303563, EMERSON ANDRADE DA SILVA - 96170824549, PAULO SERGIO MENEZES SANTOS - 01555946569</t>
  </si>
  <si>
    <t xml:space="preserve">186.26</t>
  </si>
  <si>
    <t xml:space="preserve">77.10 L</t>
  </si>
  <si>
    <t xml:space="preserve">1044998.43</t>
  </si>
  <si>
    <t xml:space="preserve">111.90</t>
  </si>
  <si>
    <t xml:space="preserve">42.32 L</t>
  </si>
  <si>
    <t xml:space="preserve">1045110.33</t>
  </si>
  <si>
    <t xml:space="preserve">266.01</t>
  </si>
  <si>
    <t xml:space="preserve">89.41 L</t>
  </si>
  <si>
    <t xml:space="preserve">1045376.34</t>
  </si>
  <si>
    <t xml:space="preserve">437.99</t>
  </si>
  <si>
    <t xml:space="preserve">153.26 L</t>
  </si>
  <si>
    <t xml:space="preserve">1045814.33</t>
  </si>
  <si>
    <t xml:space="preserve">SJP4A43</t>
  </si>
  <si>
    <t xml:space="preserve">R5365</t>
  </si>
  <si>
    <t xml:space="preserve">66207.57</t>
  </si>
  <si>
    <t xml:space="preserve">66207.61</t>
  </si>
  <si>
    <t xml:space="preserve">ELBSON MENEZES LIMA - 03899652517</t>
  </si>
  <si>
    <t xml:space="preserve">334.96</t>
  </si>
  <si>
    <t xml:space="preserve">66542.57</t>
  </si>
  <si>
    <t xml:space="preserve">ELBSON MENEZES LIMA - 03899652517, IVANILDO SOUSA DE ANDRADE - 03112281519</t>
  </si>
  <si>
    <t xml:space="preserve">2.86</t>
  </si>
  <si>
    <t xml:space="preserve">66545.43</t>
  </si>
  <si>
    <t xml:space="preserve">708.19</t>
  </si>
  <si>
    <t xml:space="preserve">67253.61</t>
  </si>
  <si>
    <t xml:space="preserve">0.79</t>
  </si>
  <si>
    <t xml:space="preserve">67254.40</t>
  </si>
  <si>
    <t xml:space="preserve">OZF2403</t>
  </si>
  <si>
    <t xml:space="preserve">R10245</t>
  </si>
  <si>
    <t xml:space="preserve">0.75 L</t>
  </si>
  <si>
    <t xml:space="preserve">641914.46</t>
  </si>
  <si>
    <t xml:space="preserve">OZG1786</t>
  </si>
  <si>
    <t xml:space="preserve">R10255</t>
  </si>
  <si>
    <t xml:space="preserve">1899050.75</t>
  </si>
  <si>
    <t xml:space="preserve">OZG7986</t>
  </si>
  <si>
    <t xml:space="preserve">R10265</t>
  </si>
  <si>
    <t xml:space="preserve">123.21</t>
  </si>
  <si>
    <t xml:space="preserve">41.00 L</t>
  </si>
  <si>
    <t xml:space="preserve">802550.15</t>
  </si>
  <si>
    <t xml:space="preserve">802673.36</t>
  </si>
  <si>
    <t xml:space="preserve">LAZARO DOS SANTOS DE AMORIM - 86317382557, WELLINGTON JOVINO DOS SANTOS - 01790228573</t>
  </si>
  <si>
    <t xml:space="preserve">92.45</t>
  </si>
  <si>
    <t xml:space="preserve">39.00 L</t>
  </si>
  <si>
    <t xml:space="preserve">802765.81</t>
  </si>
  <si>
    <t xml:space="preserve">ANTONIO MAXIMO SANTOS SOUSA - 04634408546, NATANAEL AVELINO DOS SANTOS - 05037278570</t>
  </si>
  <si>
    <t xml:space="preserve">33.49</t>
  </si>
  <si>
    <t xml:space="preserve">13.00 L</t>
  </si>
  <si>
    <t xml:space="preserve">802799.30</t>
  </si>
  <si>
    <t xml:space="preserve">JOSE RAIMUNDO CARDOSO FILHO - 70889945500</t>
  </si>
  <si>
    <t xml:space="preserve">276.04</t>
  </si>
  <si>
    <t xml:space="preserve">82.00 L</t>
  </si>
  <si>
    <t xml:space="preserve">803075.34</t>
  </si>
  <si>
    <t xml:space="preserve">101.98</t>
  </si>
  <si>
    <t xml:space="preserve">24.00 L</t>
  </si>
  <si>
    <t xml:space="preserve">4.25 Km/L</t>
  </si>
  <si>
    <t xml:space="preserve">803075.41</t>
  </si>
  <si>
    <t xml:space="preserve">803177.38</t>
  </si>
  <si>
    <t xml:space="preserve">85.88</t>
  </si>
  <si>
    <t xml:space="preserve">23.00 L</t>
  </si>
  <si>
    <t xml:space="preserve">3.73 Km/L</t>
  </si>
  <si>
    <t xml:space="preserve">Rua da Rodoviária</t>
  </si>
  <si>
    <t xml:space="preserve">803263.26</t>
  </si>
  <si>
    <t xml:space="preserve">OLG5094</t>
  </si>
  <si>
    <t xml:space="preserve">R10135</t>
  </si>
  <si>
    <t xml:space="preserve">FRANKLIN PEREIRA CARDOSO - 02140251520, JUCIMAR DE JESUS SANTOS - 03136869559, OSNILDO CLEMENTINO ROCHA DOS - 87948125515</t>
  </si>
  <si>
    <t xml:space="preserve">177.97</t>
  </si>
  <si>
    <t xml:space="preserve">Rua Maurício Batista</t>
  </si>
  <si>
    <t xml:space="preserve">124052.06</t>
  </si>
  <si>
    <t xml:space="preserve">124230.04</t>
  </si>
  <si>
    <t xml:space="preserve">JUCIMAR DE JESUS SANTOS - 03136869559, CLEBER FARIAS DOS REIS - 71858318572, JOSE CRISTIANO ALVES FREITAS - 03635098523</t>
  </si>
  <si>
    <t xml:space="preserve">266.77</t>
  </si>
  <si>
    <t xml:space="preserve">124496.80</t>
  </si>
  <si>
    <t xml:space="preserve">ANTONIO MAXIMO SANTOS SOUSA - 04634408546, Jose Raimundo dos Santos - 00335224563, JOVANDO SANTANA MOREIRA - 65889843591, MARCEL DE CARVALHO SILVA - 97922064500</t>
  </si>
  <si>
    <t xml:space="preserve">321.74</t>
  </si>
  <si>
    <t xml:space="preserve">124818.55</t>
  </si>
  <si>
    <t xml:space="preserve">JUCIMAR DE JESUS SANTOS - 03136869559, JOSE NEILTON DOS SANTOS - 50982354568, EMERSON ANDRADE DA SILVA - 96170824549, JAILTON SA DOS SANTOS - 82191026591, JOSE CRISTIANO ALVES FREITAS - 03635098523</t>
  </si>
  <si>
    <t xml:space="preserve">217.35</t>
  </si>
  <si>
    <t xml:space="preserve">125035.90</t>
  </si>
  <si>
    <t xml:space="preserve">Jose Raimundo dos Santos - 00335224563, VALMIR JOSE DOS SANTOS - 42008476553, JOSE RIBEIRO DOS SANTOS - 42737745500, JOILSON SANTANA DAS VIRGENS - 01124920536, BENIVALDO ALVES RIGAUD NETO - 04482063584</t>
  </si>
  <si>
    <t xml:space="preserve">386.72</t>
  </si>
  <si>
    <t xml:space="preserve">125422.61</t>
  </si>
  <si>
    <t xml:space="preserve">ADRIANO ALVES LEITE - 93735596568</t>
  </si>
  <si>
    <t xml:space="preserve">138.60</t>
  </si>
  <si>
    <t xml:space="preserve">125561.22</t>
  </si>
  <si>
    <t xml:space="preserve">GIVALDO PASSOS DA CRUZ - 65814967587, MARCELO EDUARDO OLIVEIRA COSTA - 60245476504, FABIO NASCIMENTO DOS SANTOS - 94691576568</t>
  </si>
  <si>
    <t xml:space="preserve">125829.51</t>
  </si>
  <si>
    <t xml:space="preserve">OZF0604</t>
  </si>
  <si>
    <t xml:space="preserve">R10225</t>
  </si>
  <si>
    <t xml:space="preserve">197.16</t>
  </si>
  <si>
    <t xml:space="preserve">681621.45</t>
  </si>
  <si>
    <t xml:space="preserve">681818.60</t>
  </si>
  <si>
    <t xml:space="preserve">251.07</t>
  </si>
  <si>
    <t xml:space="preserve">103.50 L</t>
  </si>
  <si>
    <t xml:space="preserve">Rua Tobias Barreto</t>
  </si>
  <si>
    <t xml:space="preserve">682069.67</t>
  </si>
  <si>
    <t xml:space="preserve">198.80</t>
  </si>
  <si>
    <t xml:space="preserve">682070.11</t>
  </si>
  <si>
    <t xml:space="preserve">682268.91</t>
  </si>
  <si>
    <t xml:space="preserve">150.00</t>
  </si>
  <si>
    <t xml:space="preserve">67.00 L</t>
  </si>
  <si>
    <t xml:space="preserve">682418.90</t>
  </si>
  <si>
    <t xml:space="preserve">0.29</t>
  </si>
  <si>
    <t xml:space="preserve">0.58 Km/L</t>
  </si>
  <si>
    <t xml:space="preserve">682419.19</t>
  </si>
  <si>
    <t xml:space="preserve">191.78</t>
  </si>
  <si>
    <t xml:space="preserve">682610.97</t>
  </si>
  <si>
    <t xml:space="preserve">PLZ9F44</t>
  </si>
  <si>
    <t xml:space="preserve">R10525</t>
  </si>
  <si>
    <t xml:space="preserve">276.48</t>
  </si>
  <si>
    <t xml:space="preserve">22.39 L</t>
  </si>
  <si>
    <t xml:space="preserve">12.35 Km/L</t>
  </si>
  <si>
    <t xml:space="preserve">832510.62</t>
  </si>
  <si>
    <t xml:space="preserve">832787.10</t>
  </si>
  <si>
    <t xml:space="preserve">CARLOS SANTOS DE SOUZA  - 62496689500, ELPIDIO SANTOS GONCALVES - 46146261572, ARNOBIO CORREIA DOS PASSOS - 00249711540</t>
  </si>
  <si>
    <t xml:space="preserve">485.66</t>
  </si>
  <si>
    <t xml:space="preserve">85.48 L</t>
  </si>
  <si>
    <t xml:space="preserve">5.68 Km/L</t>
  </si>
  <si>
    <t xml:space="preserve">833272.75</t>
  </si>
  <si>
    <t xml:space="preserve">GILMAR ALVES DE SOUSA - 32895178534, JOSE MARCIO SILVA - 91678463515, AECIO ANJOS FREITAS - 03250266531</t>
  </si>
  <si>
    <t xml:space="preserve">347.68</t>
  </si>
  <si>
    <t xml:space="preserve">58.04 L</t>
  </si>
  <si>
    <t xml:space="preserve">5.99 Km/L</t>
  </si>
  <si>
    <t xml:space="preserve">Rua Delmiro Figueiredo</t>
  </si>
  <si>
    <t xml:space="preserve">833620.43</t>
  </si>
  <si>
    <t xml:space="preserve">488.95</t>
  </si>
  <si>
    <t xml:space="preserve">73.87 L</t>
  </si>
  <si>
    <t xml:space="preserve">6.62 Km/L</t>
  </si>
  <si>
    <t xml:space="preserve">834109.38</t>
  </si>
  <si>
    <t xml:space="preserve">Everton Cidreira dos Santos - 1385961589</t>
  </si>
  <si>
    <t xml:space="preserve">5.39</t>
  </si>
  <si>
    <t xml:space="preserve">2.04 L</t>
  </si>
  <si>
    <t xml:space="preserve">834114.76</t>
  </si>
  <si>
    <t xml:space="preserve">0.31 L</t>
  </si>
  <si>
    <t xml:space="preserve">0.26 Km/L</t>
  </si>
  <si>
    <t xml:space="preserve">834114.84</t>
  </si>
  <si>
    <t xml:space="preserve">Daniel marcio santos bispo  - 02744580554</t>
  </si>
  <si>
    <t xml:space="preserve">171.38</t>
  </si>
  <si>
    <t xml:space="preserve">32.02 L</t>
  </si>
  <si>
    <t xml:space="preserve">5.35 Km/L</t>
  </si>
  <si>
    <t xml:space="preserve">834286.21</t>
  </si>
  <si>
    <t xml:space="preserve">OZG1534</t>
  </si>
  <si>
    <t xml:space="preserve">R10205</t>
  </si>
  <si>
    <t xml:space="preserve">687976.43</t>
  </si>
  <si>
    <t xml:space="preserve">RCR8G80</t>
  </si>
  <si>
    <t xml:space="preserve">R10555</t>
  </si>
  <si>
    <t xml:space="preserve">CLARENCIO LOPES DA CRUZ SANTOS - 01704810507, LUCAS NASCIMENTO BRITO - 69134022520</t>
  </si>
  <si>
    <t xml:space="preserve">BA-130</t>
  </si>
  <si>
    <t xml:space="preserve">731548.90</t>
  </si>
  <si>
    <t xml:space="preserve">JEOVA ARAUJO DA SILVA - 80938558587, ADRIANO SANTOS DA SILVA - 78640687587, Marcos Alberto Da C Santos - 81314892568</t>
  </si>
  <si>
    <t xml:space="preserve">54.99 L</t>
  </si>
  <si>
    <t xml:space="preserve">JEOVA ARAUJO DA SILVA - 80938558587, Lucas Suzarte da Silva - 04085967592</t>
  </si>
  <si>
    <t xml:space="preserve">54.51 L</t>
  </si>
  <si>
    <t xml:space="preserve">JEOVA ARAUJO DA SILVA - 80938558587</t>
  </si>
  <si>
    <t xml:space="preserve">59.01 L</t>
  </si>
  <si>
    <t xml:space="preserve">NZS2017</t>
  </si>
  <si>
    <t xml:space="preserve">R10055</t>
  </si>
  <si>
    <t xml:space="preserve">ANTONIO CARLOS DE JESUS ASSUNCAO - 88983145587</t>
  </si>
  <si>
    <t xml:space="preserve">245.46</t>
  </si>
  <si>
    <t xml:space="preserve">Avenida Vasco Neto</t>
  </si>
  <si>
    <t xml:space="preserve">852041.68</t>
  </si>
  <si>
    <t xml:space="preserve">852287.14</t>
  </si>
  <si>
    <t xml:space="preserve">ANTONIO CARLOS DE JESUS ASSUNCAO - 88983145587, LEONARDO CERQUEIRA MEIRELES - 02116699541</t>
  </si>
  <si>
    <t xml:space="preserve">226.88</t>
  </si>
  <si>
    <t xml:space="preserve">852514.02</t>
  </si>
  <si>
    <t xml:space="preserve">167.98</t>
  </si>
  <si>
    <t xml:space="preserve">852682.00</t>
  </si>
  <si>
    <t xml:space="preserve">227.67</t>
  </si>
  <si>
    <t xml:space="preserve">852909.68</t>
  </si>
  <si>
    <t xml:space="preserve">167.23</t>
  </si>
  <si>
    <t xml:space="preserve">853076.90</t>
  </si>
  <si>
    <t xml:space="preserve">ANTONIO CARLOS DE JESUS ASSUNCAO - 88983145587, EDENILSON GALDINO DOS SANTOS - 00707437547</t>
  </si>
  <si>
    <t xml:space="preserve">163.29</t>
  </si>
  <si>
    <t xml:space="preserve">853240.19</t>
  </si>
  <si>
    <t xml:space="preserve">DIOGENES SOUZA DE OLIVEIRA - 03308398532, ALMIRO SANTOS SENA - 94875871520</t>
  </si>
  <si>
    <t xml:space="preserve">229.01</t>
  </si>
  <si>
    <t xml:space="preserve">853469.20</t>
  </si>
  <si>
    <t xml:space="preserve">PJT3877</t>
  </si>
  <si>
    <t xml:space="preserve">R10375</t>
  </si>
  <si>
    <t xml:space="preserve">259.28</t>
  </si>
  <si>
    <t xml:space="preserve">115.69 L</t>
  </si>
  <si>
    <t xml:space="preserve">1200181.79</t>
  </si>
  <si>
    <t xml:space="preserve">1200441.07</t>
  </si>
  <si>
    <t xml:space="preserve">134.05</t>
  </si>
  <si>
    <t xml:space="preserve">64.83 L</t>
  </si>
  <si>
    <t xml:space="preserve">2.07 Km/L</t>
  </si>
  <si>
    <t xml:space="preserve">1200575.12</t>
  </si>
  <si>
    <t xml:space="preserve">259.21</t>
  </si>
  <si>
    <t xml:space="preserve">111.78 L</t>
  </si>
  <si>
    <t xml:space="preserve">1200834.32</t>
  </si>
  <si>
    <t xml:space="preserve">259.93</t>
  </si>
  <si>
    <t xml:space="preserve">115.94 L</t>
  </si>
  <si>
    <t xml:space="preserve">1201094.25</t>
  </si>
  <si>
    <t xml:space="preserve">0.39 L</t>
  </si>
  <si>
    <t xml:space="preserve">0.49 Km/L</t>
  </si>
  <si>
    <t xml:space="preserve">1201094.44</t>
  </si>
  <si>
    <t xml:space="preserve">259.31</t>
  </si>
  <si>
    <t xml:space="preserve">115.96 L</t>
  </si>
  <si>
    <t xml:space="preserve">1201353.75</t>
  </si>
  <si>
    <t xml:space="preserve">PLH4088</t>
  </si>
  <si>
    <t xml:space="preserve">R10515</t>
  </si>
  <si>
    <t xml:space="preserve">694536.92</t>
  </si>
  <si>
    <t xml:space="preserve">0.35 L</t>
  </si>
  <si>
    <t xml:space="preserve">PLZ9C39</t>
  </si>
  <si>
    <t xml:space="preserve">R10535</t>
  </si>
  <si>
    <t xml:space="preserve">140.57</t>
  </si>
  <si>
    <t xml:space="preserve">838081.01</t>
  </si>
  <si>
    <t xml:space="preserve">838221.57</t>
  </si>
  <si>
    <t xml:space="preserve">250.63</t>
  </si>
  <si>
    <t xml:space="preserve">2.63 L</t>
  </si>
  <si>
    <t xml:space="preserve">95.30 Km/L</t>
  </si>
  <si>
    <t xml:space="preserve">838471.72</t>
  </si>
  <si>
    <t xml:space="preserve">LEONARDO LACERDA CABRAL - 02988258562</t>
  </si>
  <si>
    <t xml:space="preserve">140.38</t>
  </si>
  <si>
    <t xml:space="preserve">20.70 L</t>
  </si>
  <si>
    <t xml:space="preserve">6.78 Km/L</t>
  </si>
  <si>
    <t xml:space="preserve">838612.10</t>
  </si>
  <si>
    <t xml:space="preserve">LEONARDO LACERDA CABRAL - 02988258562, GILDETE OLIVEIRA SANTOS - 57813922549</t>
  </si>
  <si>
    <t xml:space="preserve">230.36</t>
  </si>
  <si>
    <t xml:space="preserve">53.95 L</t>
  </si>
  <si>
    <t xml:space="preserve">BA-549</t>
  </si>
  <si>
    <t xml:space="preserve">838842.46</t>
  </si>
  <si>
    <t xml:space="preserve">297.19</t>
  </si>
  <si>
    <t xml:space="preserve">44.30 L</t>
  </si>
  <si>
    <t xml:space="preserve">6.71 Km/L</t>
  </si>
  <si>
    <t xml:space="preserve">838842.97</t>
  </si>
  <si>
    <t xml:space="preserve">839140.15</t>
  </si>
  <si>
    <t xml:space="preserve">Paulo Roberto Souza dos Santos - 59884312591</t>
  </si>
  <si>
    <t xml:space="preserve">0.38</t>
  </si>
  <si>
    <t xml:space="preserve">0.68 L</t>
  </si>
  <si>
    <t xml:space="preserve">0.56 Km/L</t>
  </si>
  <si>
    <t xml:space="preserve">839140.53</t>
  </si>
  <si>
    <t xml:space="preserve">111.87</t>
  </si>
  <si>
    <t xml:space="preserve">22.80 L</t>
  </si>
  <si>
    <t xml:space="preserve">839252.40</t>
  </si>
  <si>
    <t xml:space="preserve">PGB4H94</t>
  </si>
  <si>
    <t xml:space="preserve">R6165</t>
  </si>
  <si>
    <t xml:space="preserve">39.02</t>
  </si>
  <si>
    <t xml:space="preserve">419721.94</t>
  </si>
  <si>
    <t xml:space="preserve">419760.97</t>
  </si>
  <si>
    <t xml:space="preserve">RAFAEL DE JESUS BARRETO - 85830111500, WELLINGTON JOVINO DOS SANTOS - 01790228573</t>
  </si>
  <si>
    <t xml:space="preserve">53.25</t>
  </si>
  <si>
    <t xml:space="preserve">419814.22</t>
  </si>
  <si>
    <t xml:space="preserve">21.08</t>
  </si>
  <si>
    <t xml:space="preserve">419835.30</t>
  </si>
  <si>
    <t xml:space="preserve">JOSE RICARDO DE JESUS - 02887829505, MARCELO BATISTA SANTOS - 08636731550</t>
  </si>
  <si>
    <t xml:space="preserve">419970.56</t>
  </si>
  <si>
    <t xml:space="preserve">37.62</t>
  </si>
  <si>
    <t xml:space="preserve">420008.17</t>
  </si>
  <si>
    <t xml:space="preserve">FERNANDO DAMASCENO DE JESUS - 03779273500, NATANAEL AVELINO DOS SANTOS - 05037278570</t>
  </si>
  <si>
    <t xml:space="preserve">72.52</t>
  </si>
  <si>
    <t xml:space="preserve">420080.69</t>
  </si>
  <si>
    <t xml:space="preserve">GGJ8C22</t>
  </si>
  <si>
    <t xml:space="preserve">R10415</t>
  </si>
  <si>
    <t xml:space="preserve">291.16</t>
  </si>
  <si>
    <t xml:space="preserve">93.44 L</t>
  </si>
  <si>
    <t xml:space="preserve">800479.98</t>
  </si>
  <si>
    <t xml:space="preserve">800771.13</t>
  </si>
  <si>
    <t xml:space="preserve">265.85</t>
  </si>
  <si>
    <t xml:space="preserve">81.54 L</t>
  </si>
  <si>
    <t xml:space="preserve">801036.98</t>
  </si>
  <si>
    <t xml:space="preserve">261.26</t>
  </si>
  <si>
    <t xml:space="preserve">81.47 L</t>
  </si>
  <si>
    <t xml:space="preserve">801298.24</t>
  </si>
  <si>
    <t xml:space="preserve">222.49</t>
  </si>
  <si>
    <t xml:space="preserve">62.62 L</t>
  </si>
  <si>
    <t xml:space="preserve">3.55 Km/L</t>
  </si>
  <si>
    <t xml:space="preserve">801520.73</t>
  </si>
  <si>
    <t xml:space="preserve">133.82</t>
  </si>
  <si>
    <t xml:space="preserve">43.58 L</t>
  </si>
  <si>
    <t xml:space="preserve">801654.55</t>
  </si>
  <si>
    <t xml:space="preserve">52.18</t>
  </si>
  <si>
    <t xml:space="preserve">13.66 L</t>
  </si>
  <si>
    <t xml:space="preserve">801706.72</t>
  </si>
  <si>
    <t xml:space="preserve">91.51</t>
  </si>
  <si>
    <t xml:space="preserve">29.38 L</t>
  </si>
  <si>
    <t xml:space="preserve">801798.23</t>
  </si>
  <si>
    <t xml:space="preserve">GFF4J44</t>
  </si>
  <si>
    <t xml:space="preserve">R10435</t>
  </si>
  <si>
    <t xml:space="preserve">MARCOS CRUZ COSTA - 65196457534, LEANDRO OLIVEIRA FREITAS - 05080449527, EDIMARCIO NASCIMENTO DOS SANTOS - 29380382839</t>
  </si>
  <si>
    <t xml:space="preserve">267.96</t>
  </si>
  <si>
    <t xml:space="preserve">95.10 L</t>
  </si>
  <si>
    <t xml:space="preserve">833856.29</t>
  </si>
  <si>
    <t xml:space="preserve">834124.25</t>
  </si>
  <si>
    <t xml:space="preserve">SANDRO ALVES DA CRUZ - 04772139524, VALDEMIR SOUZA DO NASCIMENTO - 81615078568, GERSIMARIO SANTOS GUIMARAES - 98338927520</t>
  </si>
  <si>
    <t xml:space="preserve">232.89</t>
  </si>
  <si>
    <t xml:space="preserve">69.02 L</t>
  </si>
  <si>
    <t xml:space="preserve">834357.14</t>
  </si>
  <si>
    <t xml:space="preserve">VALDEMIR SOUZA DO NASCIMENTO - 81615078568</t>
  </si>
  <si>
    <t xml:space="preserve">53.02</t>
  </si>
  <si>
    <t xml:space="preserve">44.78 Km/L</t>
  </si>
  <si>
    <t xml:space="preserve">834410.15</t>
  </si>
  <si>
    <t xml:space="preserve">VALDEMIR SOUZA DO NASCIMENTO - 81615078568, MANOEL SANTOS GARCIA JUNIOR - 05374015559, GERSIMARIO SANTOS GUIMARAES - 98338927520</t>
  </si>
  <si>
    <t xml:space="preserve">275.28</t>
  </si>
  <si>
    <t xml:space="preserve">82.91 L</t>
  </si>
  <si>
    <t xml:space="preserve">834685.43</t>
  </si>
  <si>
    <t xml:space="preserve">VALDEMIR SOUZA DO NASCIMENTO - 81615078568, GERSIMARIO SANTOS GUIMARAES - 98338927520</t>
  </si>
  <si>
    <t xml:space="preserve">200.21</t>
  </si>
  <si>
    <t xml:space="preserve">69.38 L</t>
  </si>
  <si>
    <t xml:space="preserve">834685.55</t>
  </si>
  <si>
    <t xml:space="preserve">834885.76</t>
  </si>
  <si>
    <t xml:space="preserve">58.95</t>
  </si>
  <si>
    <t xml:space="preserve">19.07 L</t>
  </si>
  <si>
    <t xml:space="preserve">834886.18</t>
  </si>
  <si>
    <t xml:space="preserve">834945.13</t>
  </si>
  <si>
    <t xml:space="preserve">LEANDRO OLIVEIRA FREITAS - 05080449527, SAMUEL DOS SANTOS ROCHA - 37092289807, EDIMARCIO NASCIMENTO DOS SANTOS - 29380382839</t>
  </si>
  <si>
    <t xml:space="preserve">232.23</t>
  </si>
  <si>
    <t xml:space="preserve">83.94 L</t>
  </si>
  <si>
    <t xml:space="preserve">835177.36</t>
  </si>
  <si>
    <t xml:space="preserve">PKC5310</t>
  </si>
  <si>
    <t xml:space="preserve">R10405</t>
  </si>
  <si>
    <t xml:space="preserve">1047183.40</t>
  </si>
  <si>
    <t xml:space="preserve">1047055.70</t>
  </si>
  <si>
    <t xml:space="preserve">9.82</t>
  </si>
  <si>
    <t xml:space="preserve">9.66 L</t>
  </si>
  <si>
    <t xml:space="preserve">1.02 Km/L</t>
  </si>
  <si>
    <t xml:space="preserve">1047065.52</t>
  </si>
  <si>
    <t xml:space="preserve">121.69</t>
  </si>
  <si>
    <t xml:space="preserve">42.04 L</t>
  </si>
  <si>
    <t xml:space="preserve">1047187.21</t>
  </si>
  <si>
    <t xml:space="preserve">IRAILDO PAULINO DOS SANTOS - 47334878515, ELPIDIO SANTOS GONCALVES - 46146261572, RODRIGO SOARES ROSA - 03344647571</t>
  </si>
  <si>
    <t xml:space="preserve">473.12</t>
  </si>
  <si>
    <t xml:space="preserve">177.56 L</t>
  </si>
  <si>
    <t xml:space="preserve">1047660.32</t>
  </si>
  <si>
    <t xml:space="preserve">IRAILDO PAULINO DOS SANTOS - 47334878515, MARCOS SILVA PEREIRA - 05102335545</t>
  </si>
  <si>
    <t xml:space="preserve">379.84</t>
  </si>
  <si>
    <t xml:space="preserve">139.79 L</t>
  </si>
  <si>
    <t xml:space="preserve">1048040.16</t>
  </si>
  <si>
    <t xml:space="preserve">SANDRO GOMES CARDOSO - 46985719520</t>
  </si>
  <si>
    <t xml:space="preserve">476.35</t>
  </si>
  <si>
    <t xml:space="preserve">167.65 L</t>
  </si>
  <si>
    <t xml:space="preserve">1048516.50</t>
  </si>
  <si>
    <t xml:space="preserve">321.11</t>
  </si>
  <si>
    <t xml:space="preserve">109.18 L</t>
  </si>
  <si>
    <t xml:space="preserve">1048837.61</t>
  </si>
  <si>
    <t xml:space="preserve">PJT0F11</t>
  </si>
  <si>
    <t xml:space="preserve">R10355</t>
  </si>
  <si>
    <t xml:space="preserve">DIOGENES SOUZA DE OLIVEIRA - 03308398532</t>
  </si>
  <si>
    <t xml:space="preserve">67.16</t>
  </si>
  <si>
    <t xml:space="preserve">25.46 L</t>
  </si>
  <si>
    <t xml:space="preserve">1198673.41</t>
  </si>
  <si>
    <t xml:space="preserve">1198740.57</t>
  </si>
  <si>
    <t xml:space="preserve">169.65</t>
  </si>
  <si>
    <t xml:space="preserve">63.49 L</t>
  </si>
  <si>
    <t xml:space="preserve">1198910.22</t>
  </si>
  <si>
    <t xml:space="preserve">169.79</t>
  </si>
  <si>
    <t xml:space="preserve">62.75 L</t>
  </si>
  <si>
    <t xml:space="preserve">1199080.01</t>
  </si>
  <si>
    <t xml:space="preserve">164.60</t>
  </si>
  <si>
    <t xml:space="preserve">62.18 L</t>
  </si>
  <si>
    <t xml:space="preserve">1199244.60</t>
  </si>
  <si>
    <t xml:space="preserve">0.23 L</t>
  </si>
  <si>
    <t xml:space="preserve">0.75 Km/L</t>
  </si>
  <si>
    <t xml:space="preserve">1199244.77</t>
  </si>
  <si>
    <t xml:space="preserve">SAMUEL DOS SANTOS ROCHA - 37092289807</t>
  </si>
  <si>
    <t xml:space="preserve">120.93</t>
  </si>
  <si>
    <t xml:space="preserve">36.26 L</t>
  </si>
  <si>
    <t xml:space="preserve">1199365.70</t>
  </si>
  <si>
    <t xml:space="preserve">169.29</t>
  </si>
  <si>
    <t xml:space="preserve">65.18 L</t>
  </si>
  <si>
    <t xml:space="preserve">Rua Porto Seguro</t>
  </si>
  <si>
    <t xml:space="preserve">1199534.98</t>
  </si>
  <si>
    <t xml:space="preserve">NZS2H15</t>
  </si>
  <si>
    <t xml:space="preserve">R10045</t>
  </si>
  <si>
    <t xml:space="preserve">31.97</t>
  </si>
  <si>
    <t xml:space="preserve">2763567.92</t>
  </si>
  <si>
    <t xml:space="preserve">2763599.89</t>
  </si>
  <si>
    <t xml:space="preserve">1.36</t>
  </si>
  <si>
    <t xml:space="preserve">2763601.25</t>
  </si>
  <si>
    <t xml:space="preserve">0.61</t>
  </si>
  <si>
    <t xml:space="preserve">2763601.85</t>
  </si>
  <si>
    <t xml:space="preserve">2763601.99</t>
  </si>
  <si>
    <t xml:space="preserve">2763602.00</t>
  </si>
  <si>
    <t xml:space="preserve">2763602.04</t>
  </si>
  <si>
    <t xml:space="preserve">OLG5B65</t>
  </si>
  <si>
    <t xml:space="preserve">R10145</t>
  </si>
  <si>
    <t xml:space="preserve">JOSE ARTHUR SANTOS QUEIROZ - 06074661545, CARLISSON MESSIAS DE JESUS - 04199062580</t>
  </si>
  <si>
    <t xml:space="preserve">187.66</t>
  </si>
  <si>
    <t xml:space="preserve">955332.07</t>
  </si>
  <si>
    <t xml:space="preserve">955519.73</t>
  </si>
  <si>
    <t xml:space="preserve">35.59</t>
  </si>
  <si>
    <t xml:space="preserve">955555.32</t>
  </si>
  <si>
    <t xml:space="preserve">VALMIR JOSE DOS SANTOS - 42008476553, BENIVALDO ALVES RIGAUD NETO - 04482063584, Anderson Ferreira Da Silva  - 01452873518</t>
  </si>
  <si>
    <t xml:space="preserve">321.05</t>
  </si>
  <si>
    <t xml:space="preserve">955876.37</t>
  </si>
  <si>
    <t xml:space="preserve">JUCIMAR DE JESUS SANTOS - 03136869559, MICHAEL MARTINS DOS SANTOS - 85796744500, GILDASIO R DOS SANTOS JUNIOR - 00596184506</t>
  </si>
  <si>
    <t xml:space="preserve">219.81</t>
  </si>
  <si>
    <t xml:space="preserve">956096.18</t>
  </si>
  <si>
    <t xml:space="preserve">JUCIMAR DE JESUS SANTOS - 03136869559, Luciano Junior Oliveira Santos - 06512965523, EMERSON ANDRADE DA SILVA - 96170824549</t>
  </si>
  <si>
    <t xml:space="preserve">192.23</t>
  </si>
  <si>
    <t xml:space="preserve">956288.41</t>
  </si>
  <si>
    <t xml:space="preserve">JUCIMAR DE JESUS SANTOS - 03136869559, GILDASIO R DOS SANTOS JUNIOR - 00596184506, NATANAEL AVELINO DOS SANTOS - 05037278570</t>
  </si>
  <si>
    <t xml:space="preserve">266.81</t>
  </si>
  <si>
    <t xml:space="preserve">956555.22</t>
  </si>
  <si>
    <t xml:space="preserve">SKM2H18</t>
  </si>
  <si>
    <t xml:space="preserve">R9225</t>
  </si>
  <si>
    <t xml:space="preserve">355.93</t>
  </si>
  <si>
    <t xml:space="preserve">109.55 L</t>
  </si>
  <si>
    <t xml:space="preserve">141274.76</t>
  </si>
  <si>
    <t xml:space="preserve">141630.69</t>
  </si>
  <si>
    <t xml:space="preserve">355.53</t>
  </si>
  <si>
    <t xml:space="preserve">108.40 L</t>
  </si>
  <si>
    <t xml:space="preserve">3.28 Km/L</t>
  </si>
  <si>
    <t xml:space="preserve">141986.23</t>
  </si>
  <si>
    <t xml:space="preserve">356.69</t>
  </si>
  <si>
    <t xml:space="preserve">107.96 L</t>
  </si>
  <si>
    <t xml:space="preserve">142342.92</t>
  </si>
  <si>
    <t xml:space="preserve">355.82</t>
  </si>
  <si>
    <t xml:space="preserve">110.86 L</t>
  </si>
  <si>
    <t xml:space="preserve">142698.74</t>
  </si>
  <si>
    <t xml:space="preserve">345.95</t>
  </si>
  <si>
    <t xml:space="preserve">100.22 L</t>
  </si>
  <si>
    <t xml:space="preserve">3.45 Km/L</t>
  </si>
  <si>
    <t xml:space="preserve">143044.69</t>
  </si>
  <si>
    <t xml:space="preserve">219.63</t>
  </si>
  <si>
    <t xml:space="preserve">67.72 L</t>
  </si>
  <si>
    <t xml:space="preserve">143264.32</t>
  </si>
  <si>
    <t xml:space="preserve">354.96</t>
  </si>
  <si>
    <t xml:space="preserve">109.97 L</t>
  </si>
  <si>
    <t xml:space="preserve">143619.28</t>
  </si>
  <si>
    <t xml:space="preserve">SKM6A85</t>
  </si>
  <si>
    <t xml:space="preserve">R9195</t>
  </si>
  <si>
    <t xml:space="preserve">Jose Raimundo dos Santos - 00335224563, JOELSON BARBOSA DA SILVA - 03581742527, VALDINE SILVA DE OLIVEIRA NERI - 00144623544</t>
  </si>
  <si>
    <t xml:space="preserve">144.34 L</t>
  </si>
  <si>
    <t xml:space="preserve">128061.30</t>
  </si>
  <si>
    <t xml:space="preserve">JOELSON BARBOSA DA SILVA - 03581742527</t>
  </si>
  <si>
    <t xml:space="preserve">94.18 L</t>
  </si>
  <si>
    <t xml:space="preserve">JOELSON BARBOSA DA SILVA - 03581742527, VALDINE SILVA DE OLIVEIRA NERI - 00144623544</t>
  </si>
  <si>
    <t xml:space="preserve">144.32 L</t>
  </si>
  <si>
    <t xml:space="preserve">143.57 L</t>
  </si>
  <si>
    <t xml:space="preserve">15.85 L</t>
  </si>
  <si>
    <t xml:space="preserve">JEREMIAS DO SANTOS GALIZA - 82787654568, TIAGO SILVA BASTOS - 02581506539</t>
  </si>
  <si>
    <t xml:space="preserve">113.90 L</t>
  </si>
  <si>
    <t xml:space="preserve">140.80 L</t>
  </si>
  <si>
    <t xml:space="preserve">SKM5D52</t>
  </si>
  <si>
    <t xml:space="preserve">R9185 </t>
  </si>
  <si>
    <t xml:space="preserve">43.06 L</t>
  </si>
  <si>
    <t xml:space="preserve">159636.49</t>
  </si>
  <si>
    <t xml:space="preserve">3.07 L</t>
  </si>
  <si>
    <t xml:space="preserve">162.62 L</t>
  </si>
  <si>
    <t xml:space="preserve">Rua Oswaldo Cruz</t>
  </si>
  <si>
    <t xml:space="preserve">155.61 L</t>
  </si>
  <si>
    <t xml:space="preserve">87.05 L</t>
  </si>
  <si>
    <t xml:space="preserve">182.51 L</t>
  </si>
  <si>
    <t xml:space="preserve">103.62 L</t>
  </si>
  <si>
    <t xml:space="preserve">SKM7B58</t>
  </si>
  <si>
    <t xml:space="preserve">R9205</t>
  </si>
  <si>
    <t xml:space="preserve">145.10 L</t>
  </si>
  <si>
    <t xml:space="preserve">126935.51</t>
  </si>
  <si>
    <t xml:space="preserve">144.52 L</t>
  </si>
  <si>
    <t xml:space="preserve">144.63 L</t>
  </si>
  <si>
    <t xml:space="preserve">127.25 L</t>
  </si>
  <si>
    <t xml:space="preserve">157.84 L</t>
  </si>
  <si>
    <t xml:space="preserve">25.36 L</t>
  </si>
  <si>
    <t xml:space="preserve">144.44 L</t>
  </si>
  <si>
    <t xml:space="preserve">SKM5D38</t>
  </si>
  <si>
    <t xml:space="preserve">R9215</t>
  </si>
  <si>
    <t xml:space="preserve">4.90 L</t>
  </si>
  <si>
    <t xml:space="preserve">103664.07</t>
  </si>
  <si>
    <t xml:space="preserve">0.76 L</t>
  </si>
  <si>
    <t xml:space="preserve">0.15 L</t>
  </si>
  <si>
    <t xml:space="preserve">SKP4J06</t>
  </si>
  <si>
    <t xml:space="preserve">R9325 DD</t>
  </si>
  <si>
    <t xml:space="preserve">CLODOALDO DOS SANTOS  - 55794980559, CLODOALDO DOS SANTOS  - 55794980559, Jose Raimundo dos Santos - 00335224563, ALEX HENRIQUE DE ALMEIDA - 72446048587, LUCAS JESUS DE MELO  - 03665383579</t>
  </si>
  <si>
    <t xml:space="preserve">705.63</t>
  </si>
  <si>
    <t xml:space="preserve">230.54 L</t>
  </si>
  <si>
    <t xml:space="preserve">86142.72</t>
  </si>
  <si>
    <t xml:space="preserve">86848.35</t>
  </si>
  <si>
    <t xml:space="preserve">João Cleber Oliveira Guirra - 01995276529</t>
  </si>
  <si>
    <t xml:space="preserve">1.12</t>
  </si>
  <si>
    <t xml:space="preserve">2.52 L</t>
  </si>
  <si>
    <t xml:space="preserve">86849.46</t>
  </si>
  <si>
    <t xml:space="preserve">0.64 L</t>
  </si>
  <si>
    <t xml:space="preserve">86849.53</t>
  </si>
  <si>
    <t xml:space="preserve">0.88 L</t>
  </si>
  <si>
    <t xml:space="preserve">0.43 Km/L</t>
  </si>
  <si>
    <t xml:space="preserve">86849.91</t>
  </si>
  <si>
    <t xml:space="preserve">SKP3E09</t>
  </si>
  <si>
    <t xml:space="preserve">R9315 DD</t>
  </si>
  <si>
    <t xml:space="preserve">PAULO ROBERTO GARCIA DA SILVA - 05472412595</t>
  </si>
  <si>
    <t xml:space="preserve">32.31</t>
  </si>
  <si>
    <t xml:space="preserve">10.52 L</t>
  </si>
  <si>
    <t xml:space="preserve">91022.69</t>
  </si>
  <si>
    <t xml:space="preserve">91055.00</t>
  </si>
  <si>
    <t xml:space="preserve">0.99</t>
  </si>
  <si>
    <t xml:space="preserve">1.67 L</t>
  </si>
  <si>
    <t xml:space="preserve">91055.99</t>
  </si>
  <si>
    <t xml:space="preserve">WALLACE MARCELO COSTA SOUZA - 01428336575, JOSEFAL FERREIRA DE SOUZA - 92164986504, MANOEL BIANO SOUZA - 29434416515, MARCOS PEREIRA DOS REIS - 43035302553, RONALDO ALVES DA SILVA - 41786106515, ERICO OLIVEIRA PEREIRA - 04284740555</t>
  </si>
  <si>
    <t xml:space="preserve">231.43</t>
  </si>
  <si>
    <t xml:space="preserve">66.67 L</t>
  </si>
  <si>
    <t xml:space="preserve">3.47 Km/L</t>
  </si>
  <si>
    <t xml:space="preserve">91287.42</t>
  </si>
  <si>
    <t xml:space="preserve">91287.43</t>
  </si>
  <si>
    <t xml:space="preserve">SKP5J89</t>
  </si>
  <si>
    <t xml:space="preserve">R9285 DD</t>
  </si>
  <si>
    <t xml:space="preserve">824.55</t>
  </si>
  <si>
    <t xml:space="preserve">219.59 L</t>
  </si>
  <si>
    <t xml:space="preserve">Rua Ministro Mario Andreazza</t>
  </si>
  <si>
    <t xml:space="preserve">248340.17</t>
  </si>
  <si>
    <t xml:space="preserve">249164.71</t>
  </si>
  <si>
    <t xml:space="preserve">CLODOALDO DOS SANTOS  - 55794980559, CLODOALDO DOS SANTOS  - 55794980559, RANIERY NOBERTO DA SILVA - 46553045534, DANIEL TAVARES DOS SANTOS  - 04340704598</t>
  </si>
  <si>
    <t xml:space="preserve">788.45</t>
  </si>
  <si>
    <t xml:space="preserve">229.30 L</t>
  </si>
  <si>
    <t xml:space="preserve">249166.05</t>
  </si>
  <si>
    <t xml:space="preserve">249954.50</t>
  </si>
  <si>
    <t xml:space="preserve">CLODOALDO DOS SANTOS  - 55794980559, CLODOALDO DOS SANTOS  - 55794980559, LUCAS JESUS DE MELO  - 03665383579</t>
  </si>
  <si>
    <t xml:space="preserve">1028.11</t>
  </si>
  <si>
    <t xml:space="preserve">273.09 L</t>
  </si>
  <si>
    <t xml:space="preserve">3.76 Km/L</t>
  </si>
  <si>
    <t xml:space="preserve">249955.29</t>
  </si>
  <si>
    <t xml:space="preserve">250983.40</t>
  </si>
  <si>
    <t xml:space="preserve">VANDERSON TELES NASCIMENTO  - 81967543534</t>
  </si>
  <si>
    <t xml:space="preserve">833.21</t>
  </si>
  <si>
    <t xml:space="preserve">213.39 L</t>
  </si>
  <si>
    <t xml:space="preserve">3.90 Km/L</t>
  </si>
  <si>
    <t xml:space="preserve">251816.60</t>
  </si>
  <si>
    <t xml:space="preserve">PEDRO SILVA JUNIOR - 80515843504, VANDERSON TELES NASCIMENTO  - 81967543534</t>
  </si>
  <si>
    <t xml:space="preserve">722.35</t>
  </si>
  <si>
    <t xml:space="preserve">211.50 L</t>
  </si>
  <si>
    <t xml:space="preserve">Avenida Vereador João Silva</t>
  </si>
  <si>
    <t xml:space="preserve">251817.63</t>
  </si>
  <si>
    <t xml:space="preserve">252539.98</t>
  </si>
  <si>
    <t xml:space="preserve">JOSÉ ACÁCIO BORGES DOS SANTOS - 03258369577, CARLOS JOSE CORREIA DA SILVA - 93503458549, PEDRO SILVA JUNIOR - 80515843504</t>
  </si>
  <si>
    <t xml:space="preserve">461.48</t>
  </si>
  <si>
    <t xml:space="preserve">125.93 L</t>
  </si>
  <si>
    <t xml:space="preserve">253001.45</t>
  </si>
  <si>
    <t xml:space="preserve">266.91</t>
  </si>
  <si>
    <t xml:space="preserve">79.86 L</t>
  </si>
  <si>
    <t xml:space="preserve">253268.36</t>
  </si>
  <si>
    <t xml:space="preserve">SJT6E87</t>
  </si>
  <si>
    <t xml:space="preserve">R9465</t>
  </si>
  <si>
    <t xml:space="preserve">LUIZ DAVI DOS SANTOS - 07870295566, CHRISTIAN DA TRINDADE MATOS - 06485167501, MARCOS CRUZ COSTA - 65196457534</t>
  </si>
  <si>
    <t xml:space="preserve">113.49</t>
  </si>
  <si>
    <t xml:space="preserve">37.17 L</t>
  </si>
  <si>
    <t xml:space="preserve">120629.82</t>
  </si>
  <si>
    <t xml:space="preserve">120743.31</t>
  </si>
  <si>
    <t xml:space="preserve">LUIZ DAVI DOS SANTOS - 07870295566, CHRISTIAN DA TRINDADE MATOS - 06485167501, MARCOS SILVA PEREIRA - 05102335545</t>
  </si>
  <si>
    <t xml:space="preserve">195.68</t>
  </si>
  <si>
    <t xml:space="preserve">61.52 L</t>
  </si>
  <si>
    <t xml:space="preserve">120938.98</t>
  </si>
  <si>
    <t xml:space="preserve">LUIZ DAVI DOS SANTOS - 07870295566, CHRISTIAN DA TRINDADE MATOS - 06485167501, MANOEL SANTOS GARCIA JUNIOR - 05374015559, RAIMUNDO JOSE DE OLIVEIRA NUNES - 65617754572</t>
  </si>
  <si>
    <t xml:space="preserve">189.19</t>
  </si>
  <si>
    <t xml:space="preserve">58.55 L</t>
  </si>
  <si>
    <t xml:space="preserve">121128.17</t>
  </si>
  <si>
    <t xml:space="preserve">LUIZ DAVI DOS SANTOS - 07870295566, Paulo Cesar De Santana Vieira  - 69689903500, Joao Evangelista dos Santos - 58586342572, UILTON DUARTE DE OLIVEIRA - 02578015538</t>
  </si>
  <si>
    <t xml:space="preserve">248.33</t>
  </si>
  <si>
    <t xml:space="preserve">121376.50</t>
  </si>
  <si>
    <t xml:space="preserve">ALEX SANTOS RIOS - 04590769573, MARCUS VINICIUS SILVA SANTOS - 01873867573</t>
  </si>
  <si>
    <t xml:space="preserve">280.52</t>
  </si>
  <si>
    <t xml:space="preserve">97.31 L</t>
  </si>
  <si>
    <t xml:space="preserve">121657.02</t>
  </si>
  <si>
    <t xml:space="preserve">0.97 Km/L</t>
  </si>
  <si>
    <t xml:space="preserve">121657.24</t>
  </si>
  <si>
    <t xml:space="preserve">LUIZ DAVI DOS SANTOS - 07870295566, SAMUEL DOS SANTOS ROCHA - 37092289807, ELTON ALMEIDA DA SILVA - 92384471520</t>
  </si>
  <si>
    <t xml:space="preserve">188.81</t>
  </si>
  <si>
    <t xml:space="preserve">54.30 L</t>
  </si>
  <si>
    <t xml:space="preserve">3.48 Km/L</t>
  </si>
  <si>
    <t xml:space="preserve">121846.04</t>
  </si>
  <si>
    <t xml:space="preserve">RCR8A01</t>
  </si>
  <si>
    <t xml:space="preserve">R10545</t>
  </si>
  <si>
    <t xml:space="preserve">0.60</t>
  </si>
  <si>
    <t xml:space="preserve">0.60 Km/L</t>
  </si>
  <si>
    <t xml:space="preserve">720759.70</t>
  </si>
  <si>
    <t xml:space="preserve">720760.30</t>
  </si>
  <si>
    <t xml:space="preserve">RODNEY DOS SANTOS ALMEIDA - 02112675540</t>
  </si>
  <si>
    <t xml:space="preserve">148.07</t>
  </si>
  <si>
    <t xml:space="preserve">720908.37</t>
  </si>
  <si>
    <t xml:space="preserve">236.28</t>
  </si>
  <si>
    <t xml:space="preserve">104.00 L</t>
  </si>
  <si>
    <t xml:space="preserve">721144.65</t>
  </si>
  <si>
    <t xml:space="preserve">292.64</t>
  </si>
  <si>
    <t xml:space="preserve">721145.24</t>
  </si>
  <si>
    <t xml:space="preserve">721437.88</t>
  </si>
  <si>
    <t xml:space="preserve">ROBSON LUIZ SOUZA ROCHA - 03468165560, ELINALDO DO NASCIMENTO DO SANTOS - 00617905592</t>
  </si>
  <si>
    <t xml:space="preserve">133.12</t>
  </si>
  <si>
    <t xml:space="preserve">721571.00</t>
  </si>
  <si>
    <t xml:space="preserve">PJT7A12</t>
  </si>
  <si>
    <t xml:space="preserve">R10365</t>
  </si>
  <si>
    <t xml:space="preserve">304.69</t>
  </si>
  <si>
    <t xml:space="preserve">118.82 L</t>
  </si>
  <si>
    <t xml:space="preserve">253840.71</t>
  </si>
  <si>
    <t xml:space="preserve">254145.40</t>
  </si>
  <si>
    <t xml:space="preserve">268.67</t>
  </si>
  <si>
    <t xml:space="preserve">106.24 L</t>
  </si>
  <si>
    <t xml:space="preserve">254145.49</t>
  </si>
  <si>
    <t xml:space="preserve">254414.48</t>
  </si>
  <si>
    <t xml:space="preserve">302.90</t>
  </si>
  <si>
    <t xml:space="preserve">120.32 L</t>
  </si>
  <si>
    <t xml:space="preserve">254717.38</t>
  </si>
  <si>
    <t xml:space="preserve">319.98</t>
  </si>
  <si>
    <t xml:space="preserve">126.47 L</t>
  </si>
  <si>
    <t xml:space="preserve">254718.15</t>
  </si>
  <si>
    <t xml:space="preserve">255038.12</t>
  </si>
  <si>
    <t xml:space="preserve">58.99</t>
  </si>
  <si>
    <t xml:space="preserve">22.53 L</t>
  </si>
  <si>
    <t xml:space="preserve">255038.73</t>
  </si>
  <si>
    <t xml:space="preserve">255097.72</t>
  </si>
  <si>
    <t xml:space="preserve">287.51</t>
  </si>
  <si>
    <t xml:space="preserve">114.96 L</t>
  </si>
  <si>
    <t xml:space="preserve">255097.86</t>
  </si>
  <si>
    <t xml:space="preserve">255385.37</t>
  </si>
  <si>
    <t xml:space="preserve">195.63</t>
  </si>
  <si>
    <t xml:space="preserve">82.24 L</t>
  </si>
  <si>
    <t xml:space="preserve">255581.00</t>
  </si>
  <si>
    <t xml:space="preserve">RCR9E39</t>
  </si>
  <si>
    <t xml:space="preserve">R10575</t>
  </si>
  <si>
    <t xml:space="preserve">RODRIGO SANTOS DE ASSIS - 02614313580, SERGIO EDUARDO NEVES DA SILVA - 47600560500, LEONARDO ALCANTARA MASCARENHAS - 03138174566</t>
  </si>
  <si>
    <t xml:space="preserve">239.49</t>
  </si>
  <si>
    <t xml:space="preserve">3.76 L</t>
  </si>
  <si>
    <t xml:space="preserve">63.69 Km/L</t>
  </si>
  <si>
    <t xml:space="preserve">Rua Senhor do Bomfim</t>
  </si>
  <si>
    <t xml:space="preserve">689701.15</t>
  </si>
  <si>
    <t xml:space="preserve">689940.64</t>
  </si>
  <si>
    <t xml:space="preserve">DILSON OLIVEIRA DOS SANTOS - 19451628568, JOSE FABIO SENA ARAUJO - 01876662530</t>
  </si>
  <si>
    <t xml:space="preserve">638.48</t>
  </si>
  <si>
    <t xml:space="preserve">8.10 L</t>
  </si>
  <si>
    <t xml:space="preserve">78.86 Km/L</t>
  </si>
  <si>
    <t xml:space="preserve">690579.12</t>
  </si>
  <si>
    <t xml:space="preserve">JOSE FABIO SENA ARAUJO - 01876662530, MARCUS VINICIUS DA SILVA ARAUJO - 02476532509</t>
  </si>
  <si>
    <t xml:space="preserve">585.54</t>
  </si>
  <si>
    <t xml:space="preserve">9.33 L</t>
  </si>
  <si>
    <t xml:space="preserve">62.77 Km/L</t>
  </si>
  <si>
    <t xml:space="preserve">691164.65</t>
  </si>
  <si>
    <t xml:space="preserve">JOSE FABIO SENA ARAUJO - 01876662530, RONDINELLI DA SILVA SENA - 81201079500, KLEBSON TAVARES BOMFIM - 67407269572</t>
  </si>
  <si>
    <t xml:space="preserve">447.99</t>
  </si>
  <si>
    <t xml:space="preserve">7.12 L</t>
  </si>
  <si>
    <t xml:space="preserve">62.92 Km/L</t>
  </si>
  <si>
    <t xml:space="preserve">691612.64</t>
  </si>
  <si>
    <t xml:space="preserve">343.99</t>
  </si>
  <si>
    <t xml:space="preserve">7.36 L</t>
  </si>
  <si>
    <t xml:space="preserve">46.74 Km/L</t>
  </si>
  <si>
    <t xml:space="preserve">691956.63</t>
  </si>
  <si>
    <t xml:space="preserve">295.69</t>
  </si>
  <si>
    <t xml:space="preserve">6.19 L</t>
  </si>
  <si>
    <t xml:space="preserve">47.75 Km/L</t>
  </si>
  <si>
    <t xml:space="preserve">692252.31</t>
  </si>
  <si>
    <t xml:space="preserve">LUIZ CARLOS BARRETO SANTOS - 97345954587, MAX ANTONIO ANDRADE SILVA - 04681530557</t>
  </si>
  <si>
    <t xml:space="preserve">573.29</t>
  </si>
  <si>
    <t xml:space="preserve">7.90 L</t>
  </si>
  <si>
    <t xml:space="preserve">72.53 Km/L</t>
  </si>
  <si>
    <t xml:space="preserve">692825.60</t>
  </si>
  <si>
    <t xml:space="preserve">OZG5B13</t>
  </si>
  <si>
    <t xml:space="preserve">R10175</t>
  </si>
  <si>
    <t xml:space="preserve">88.43</t>
  </si>
  <si>
    <t xml:space="preserve">30.00 L</t>
  </si>
  <si>
    <t xml:space="preserve">908928.16</t>
  </si>
  <si>
    <t xml:space="preserve">909016.59</t>
  </si>
  <si>
    <t xml:space="preserve">143.96</t>
  </si>
  <si>
    <t xml:space="preserve">909160.55</t>
  </si>
  <si>
    <t xml:space="preserve">88.92</t>
  </si>
  <si>
    <t xml:space="preserve">909249.47</t>
  </si>
  <si>
    <t xml:space="preserve">0.23 Km/L</t>
  </si>
  <si>
    <t xml:space="preserve">909249.69</t>
  </si>
  <si>
    <t xml:space="preserve">909249.73</t>
  </si>
  <si>
    <t xml:space="preserve">SKP2F97</t>
  </si>
  <si>
    <t xml:space="preserve">R9295 DD</t>
  </si>
  <si>
    <t xml:space="preserve">HELIO RIBEIRO DOS SANTOS - 03218756561, JABES DO CARMO SILVA - 00932510507, RAFAEL SANTOS DE SOUSA - 04429976554</t>
  </si>
  <si>
    <t xml:space="preserve">404.59</t>
  </si>
  <si>
    <t xml:space="preserve">112.66 L</t>
  </si>
  <si>
    <t xml:space="preserve">253423.38</t>
  </si>
  <si>
    <t xml:space="preserve">253827.97</t>
  </si>
  <si>
    <t xml:space="preserve">RAFAEL SANTOS DE SOUSA - 04429976554</t>
  </si>
  <si>
    <t xml:space="preserve">253828.01</t>
  </si>
  <si>
    <t xml:space="preserve">JEFFERSON ALVES DA CRUZ - 84154594591, RAFAEL SANTOS DE SOUSA - 04429976554, JEFFERSON ALVES DA CRUZ  - 00913175501</t>
  </si>
  <si>
    <t xml:space="preserve">235.97</t>
  </si>
  <si>
    <t xml:space="preserve">77.48 L</t>
  </si>
  <si>
    <t xml:space="preserve">254063.98</t>
  </si>
  <si>
    <t xml:space="preserve">JEFFERSON ALVES DA CRUZ - 84154594591, EDVALDO DA CRUZ BRITO - 40891259520</t>
  </si>
  <si>
    <t xml:space="preserve">1038.36</t>
  </si>
  <si>
    <t xml:space="preserve">270.32 L</t>
  </si>
  <si>
    <t xml:space="preserve">3.84 Km/L</t>
  </si>
  <si>
    <t xml:space="preserve">254065.50</t>
  </si>
  <si>
    <t xml:space="preserve">255103.86</t>
  </si>
  <si>
    <t xml:space="preserve">MARCOS UBIRATÃ LEITE  - 56664672553</t>
  </si>
  <si>
    <t xml:space="preserve">842.21</t>
  </si>
  <si>
    <t xml:space="preserve">218.54 L</t>
  </si>
  <si>
    <t xml:space="preserve">3.85 Km/L</t>
  </si>
  <si>
    <t xml:space="preserve">255946.06</t>
  </si>
  <si>
    <t xml:space="preserve">MARCOS UBIRATÃ LEITE  - 56664672553, LEONARDO LACERDA CABRAL - 02988258562</t>
  </si>
  <si>
    <t xml:space="preserve">435.08</t>
  </si>
  <si>
    <t xml:space="preserve">120.60 L</t>
  </si>
  <si>
    <t xml:space="preserve">255947.62</t>
  </si>
  <si>
    <t xml:space="preserve">256382.69</t>
  </si>
  <si>
    <t xml:space="preserve">SKP1F75</t>
  </si>
  <si>
    <t xml:space="preserve">R9305 DD</t>
  </si>
  <si>
    <t xml:space="preserve">GILTON BARRETO VALENCA  - 87903261568, MARQUICIEL DIAS DA SILVA  - 92677452472</t>
  </si>
  <si>
    <t xml:space="preserve">1018.72</t>
  </si>
  <si>
    <t xml:space="preserve">286.02 L</t>
  </si>
  <si>
    <t xml:space="preserve">341587.11</t>
  </si>
  <si>
    <t xml:space="preserve">342605.83</t>
  </si>
  <si>
    <t xml:space="preserve">1.98 L</t>
  </si>
  <si>
    <t xml:space="preserve">342606.01</t>
  </si>
  <si>
    <t xml:space="preserve">JOSE ACACIO DOS SANTOS - 79235468515</t>
  </si>
  <si>
    <t xml:space="preserve">800.13</t>
  </si>
  <si>
    <t xml:space="preserve">223.23 L</t>
  </si>
  <si>
    <t xml:space="preserve">Rua Terminal Rodoviário</t>
  </si>
  <si>
    <t xml:space="preserve">343406.14</t>
  </si>
  <si>
    <t xml:space="preserve">AROLDO DE JESUS RIBEIRO - 82978158549, JOSE ACACIO DOS SANTOS - 79235468515, JEFFERSON ALVES DA CRUZ  - 00913175501</t>
  </si>
  <si>
    <t xml:space="preserve">457.80</t>
  </si>
  <si>
    <t xml:space="preserve">131.78 L</t>
  </si>
  <si>
    <t xml:space="preserve">343406.27</t>
  </si>
  <si>
    <t xml:space="preserve">343864.07</t>
  </si>
  <si>
    <t xml:space="preserve">3.60 L</t>
  </si>
  <si>
    <t xml:space="preserve">254.29</t>
  </si>
  <si>
    <t xml:space="preserve">89.26 L</t>
  </si>
  <si>
    <t xml:space="preserve">344118.36</t>
  </si>
  <si>
    <t xml:space="preserve">NYJ8D37</t>
  </si>
  <si>
    <t xml:space="preserve">R10015</t>
  </si>
  <si>
    <t xml:space="preserve">644.59</t>
  </si>
  <si>
    <t xml:space="preserve">960925.90</t>
  </si>
  <si>
    <t xml:space="preserve">961570.49</t>
  </si>
  <si>
    <t xml:space="preserve">JOSE FABIO SENA ARAUJO - 01876662530, EDVELTO COSTA LIMA - 04118048558</t>
  </si>
  <si>
    <t xml:space="preserve">294.47</t>
  </si>
  <si>
    <t xml:space="preserve">961864.95</t>
  </si>
  <si>
    <t xml:space="preserve">DILSON OLIVEIRA DOS SANTOS - 19451628568, CLEBER DOS SANTOS MIRANDA - 56813279572</t>
  </si>
  <si>
    <t xml:space="preserve">344.50</t>
  </si>
  <si>
    <t xml:space="preserve">962209.45</t>
  </si>
  <si>
    <t xml:space="preserve">REGINALDO SILVA NASCIMENTO - 93770308549, DILSON OLIVEIRA DOS SANTOS - 19451628568</t>
  </si>
  <si>
    <t xml:space="preserve">322.43</t>
  </si>
  <si>
    <t xml:space="preserve">962531.88</t>
  </si>
  <si>
    <t xml:space="preserve">490.98</t>
  </si>
  <si>
    <t xml:space="preserve">963022.85</t>
  </si>
  <si>
    <t xml:space="preserve">GABRIEL LOPES NOGUEIRA - 02773195523, MARCELO EDUARDO OLIVEIRA COSTA - 60245476504, ROQUE AQUINO LINS - 02750656850, ALEXANDRE NUNES DE SOUZA - 14093114811</t>
  </si>
  <si>
    <t xml:space="preserve">538.02</t>
  </si>
  <si>
    <t xml:space="preserve">963560.87</t>
  </si>
  <si>
    <t xml:space="preserve">Jose Raimundo dos Santos - 00335224563, ALEXANDRE NUNES DE SOUZA - 14093114811</t>
  </si>
  <si>
    <t xml:space="preserve">395.85</t>
  </si>
  <si>
    <t xml:space="preserve">963956.72</t>
  </si>
  <si>
    <t xml:space="preserve">PKC8365</t>
  </si>
  <si>
    <t xml:space="preserve">R10395</t>
  </si>
  <si>
    <t xml:space="preserve">SANDRO ALVES DA CRUZ - 04772139524, DIOGENES SOUZA DE OLIVEIRA - 03308398532, LEONARDO CERQUEIRA MEIRELES - 02116699541, Luan Santos Lina - 09225898525</t>
  </si>
  <si>
    <t xml:space="preserve">17.34 L</t>
  </si>
  <si>
    <t xml:space="preserve">1364138.81</t>
  </si>
  <si>
    <t xml:space="preserve">DIOGENES SOUZA DE OLIVEIRA - 03308398532, MARCOS CRUZ COSTA - 65196457534</t>
  </si>
  <si>
    <t xml:space="preserve">9.45 L</t>
  </si>
  <si>
    <t xml:space="preserve">11.43 L</t>
  </si>
  <si>
    <t xml:space="preserve">Joao Evangelista dos Santos - 58586342572, JOSE MARCOS DE JESUS BRITO - 05586450542</t>
  </si>
  <si>
    <t xml:space="preserve">8.03 L</t>
  </si>
  <si>
    <t xml:space="preserve">MARCIO SANTOS DA SILVA - 00179176544, LEANDRO DOS SANTOS DE SOUZA - 03088852523</t>
  </si>
  <si>
    <t xml:space="preserve">32.48 L</t>
  </si>
  <si>
    <t xml:space="preserve">RCR3E62</t>
  </si>
  <si>
    <t xml:space="preserve">R10565</t>
  </si>
  <si>
    <t xml:space="preserve">EDGAR LINS DA COSTA - 93824920549, WELLINGTON DE OLIVEIRA RIBEIRO - 05207966596</t>
  </si>
  <si>
    <t xml:space="preserve">466.69</t>
  </si>
  <si>
    <t xml:space="preserve">650176.06</t>
  </si>
  <si>
    <t xml:space="preserve">650642.75</t>
  </si>
  <si>
    <t xml:space="preserve">PAULO SERGIO MENEZES SANTOS - 01555946569, WELLINGTON DE OLIVEIRA RIBEIRO - 05207966596</t>
  </si>
  <si>
    <t xml:space="preserve">389.18</t>
  </si>
  <si>
    <t xml:space="preserve">120.99 L</t>
  </si>
  <si>
    <t xml:space="preserve">651031.93</t>
  </si>
  <si>
    <t xml:space="preserve">EDIVALDO PEREIRA DA SILVA - 00376530596, JOSE MARCIO SILVA - 91678463515, LUIZ CARLOS BARRETO SANTOS - 97345954587, PAULO SERGIO MENEZES SANTOS - 01555946569</t>
  </si>
  <si>
    <t xml:space="preserve">303.32</t>
  </si>
  <si>
    <t xml:space="preserve">100.50 L</t>
  </si>
  <si>
    <t xml:space="preserve">651335.25</t>
  </si>
  <si>
    <t xml:space="preserve">MAQUITUZAEL ARAUJO DE JESUS - 95968326549</t>
  </si>
  <si>
    <t xml:space="preserve">3.42</t>
  </si>
  <si>
    <t xml:space="preserve">0.86 Km/L</t>
  </si>
  <si>
    <t xml:space="preserve">651338.66</t>
  </si>
  <si>
    <t xml:space="preserve">651338.67</t>
  </si>
  <si>
    <t xml:space="preserve">SKP9D05</t>
  </si>
  <si>
    <t xml:space="preserve">R9275 DD</t>
  </si>
  <si>
    <t xml:space="preserve">655.88</t>
  </si>
  <si>
    <t xml:space="preserve">191.64 L</t>
  </si>
  <si>
    <t xml:space="preserve">207436.48</t>
  </si>
  <si>
    <t xml:space="preserve">208092.36</t>
  </si>
  <si>
    <t xml:space="preserve">EDVALDO DA CRUZ BRITO - 40891259520, PEDRO SILVA JUNIOR - 80515843504, VANDERSON TELES NASCIMENTO  - 81967543534</t>
  </si>
  <si>
    <t xml:space="preserve">738.62</t>
  </si>
  <si>
    <t xml:space="preserve">194.42 L</t>
  </si>
  <si>
    <t xml:space="preserve">3.80 Km/L</t>
  </si>
  <si>
    <t xml:space="preserve">208830.98</t>
  </si>
  <si>
    <t xml:space="preserve">668.10</t>
  </si>
  <si>
    <t xml:space="preserve">192.84 L</t>
  </si>
  <si>
    <t xml:space="preserve">208831.80</t>
  </si>
  <si>
    <t xml:space="preserve">209499.90</t>
  </si>
  <si>
    <t xml:space="preserve">IRANILTO DE SOUZA - 48993409587, CARLOS DAVI SILVA  BORGES  - 99807491568, DANIEL TAVARES DOS SANTOS  - 04340704598</t>
  </si>
  <si>
    <t xml:space="preserve">450.27</t>
  </si>
  <si>
    <t xml:space="preserve">125.24 L</t>
  </si>
  <si>
    <t xml:space="preserve">209950.17</t>
  </si>
  <si>
    <t xml:space="preserve">GILTON BARRETO VALENCA  - 87903261568</t>
  </si>
  <si>
    <t xml:space="preserve">310.85</t>
  </si>
  <si>
    <t xml:space="preserve">83.89 L</t>
  </si>
  <si>
    <t xml:space="preserve">Avenida Deputado Luís Eduardo Magalhães</t>
  </si>
  <si>
    <t xml:space="preserve">210261.01</t>
  </si>
  <si>
    <t xml:space="preserve">LEANDRO RAMOS JORGE - 05558432543, VALTEMISSON JOSE DOS SANTOS - 96941120525, GILTON BARRETO VALENCA  - 87903261568</t>
  </si>
  <si>
    <t xml:space="preserve">725.14</t>
  </si>
  <si>
    <t xml:space="preserve">210.34 L</t>
  </si>
  <si>
    <t xml:space="preserve">210261.63</t>
  </si>
  <si>
    <t xml:space="preserve">210986.77</t>
  </si>
  <si>
    <t xml:space="preserve">ANTELMO SILVA ARAGAO - 66284562500, PEDRO SILVA JUNIOR - 80515843504, VALTEMISSON JOSE DOS SANTOS - 96941120525, Pedro Silva Junior  - 80515843504</t>
  </si>
  <si>
    <t xml:space="preserve">1010.48</t>
  </si>
  <si>
    <t xml:space="preserve">266.90 L</t>
  </si>
  <si>
    <t xml:space="preserve">3.79 Km/L</t>
  </si>
  <si>
    <t xml:space="preserve">211997.25</t>
  </si>
  <si>
    <t xml:space="preserve">PKE7365</t>
  </si>
  <si>
    <t xml:space="preserve">R10295</t>
  </si>
  <si>
    <t xml:space="preserve">CARLOS ROBERTO - 88988503520, JOSE RICARDO DE JESUS - 02887829505, ANGELO MARCIO RODRIGUES NOVAES - 00538319500</t>
  </si>
  <si>
    <t xml:space="preserve">0.09</t>
  </si>
  <si>
    <t xml:space="preserve">176.40 L</t>
  </si>
  <si>
    <t xml:space="preserve">1035835.44</t>
  </si>
  <si>
    <t xml:space="preserve">1035835.53</t>
  </si>
  <si>
    <t xml:space="preserve">Joilson Silva Santos - 60489960553, joilson silva santos - 60489960553, ANGELO MARCIO RODRIGUES NOVAES - 00538319500, SANDRO GOMES CARDOSO - 46985719520</t>
  </si>
  <si>
    <t xml:space="preserve">1.04</t>
  </si>
  <si>
    <t xml:space="preserve">149.52 L</t>
  </si>
  <si>
    <t xml:space="preserve">1035836.57</t>
  </si>
  <si>
    <t xml:space="preserve">Jose Raimundo dos Santos - 00335224563, GILMAR ALVES DE SOUSA - 32895178534, ADEILSON ESPIRITO SANTO - 99120062591</t>
  </si>
  <si>
    <t xml:space="preserve">140.20 L</t>
  </si>
  <si>
    <t xml:space="preserve">Rua F</t>
  </si>
  <si>
    <t xml:space="preserve">LUIZ CARLOS BARRETO SANTOS - 97345954587</t>
  </si>
  <si>
    <t xml:space="preserve">109.29 L</t>
  </si>
  <si>
    <t xml:space="preserve">ERICO OLIVEIRA PEREIRA - 04284740555, ABILIO SANTOS COUTINHO - 92884539549</t>
  </si>
  <si>
    <t xml:space="preserve">110.93 L</t>
  </si>
  <si>
    <t xml:space="preserve">Rua Lindolfo Collor</t>
  </si>
  <si>
    <t xml:space="preserve">ANANIAS DA SILVA ROCHA - 90899210520, ERICO OLIVEIRA PEREIRA - 04284740555</t>
  </si>
  <si>
    <t xml:space="preserve">22.75 L</t>
  </si>
  <si>
    <t xml:space="preserve">Avenida Uberlândia</t>
  </si>
  <si>
    <t xml:space="preserve">ANTONIO MAXIMO SANTOS SOUSA - 04634408546, VALDINES OLIVEIRA SOUSA - 31021000582, MARCELO EDUARDO OLIVEIRA COSTA - 60245476504</t>
  </si>
  <si>
    <t xml:space="preserve">125.33 L</t>
  </si>
  <si>
    <t xml:space="preserve">1035836.80</t>
  </si>
  <si>
    <t xml:space="preserve">SJS3A86</t>
  </si>
  <si>
    <t xml:space="preserve">R9435</t>
  </si>
  <si>
    <t xml:space="preserve">204.06</t>
  </si>
  <si>
    <t xml:space="preserve">65.99 L</t>
  </si>
  <si>
    <t xml:space="preserve">111977.59</t>
  </si>
  <si>
    <t xml:space="preserve">112181.65</t>
  </si>
  <si>
    <t xml:space="preserve">69.98</t>
  </si>
  <si>
    <t xml:space="preserve">23.34 L</t>
  </si>
  <si>
    <t xml:space="preserve">112182.26</t>
  </si>
  <si>
    <t xml:space="preserve">112252.23</t>
  </si>
  <si>
    <t xml:space="preserve">121.99</t>
  </si>
  <si>
    <t xml:space="preserve">38.61 L</t>
  </si>
  <si>
    <t xml:space="preserve">112374.22</t>
  </si>
  <si>
    <t xml:space="preserve">216.48</t>
  </si>
  <si>
    <t xml:space="preserve">67.25 L</t>
  </si>
  <si>
    <t xml:space="preserve">112590.70</t>
  </si>
  <si>
    <t xml:space="preserve">198.53</t>
  </si>
  <si>
    <t xml:space="preserve">68.92 L</t>
  </si>
  <si>
    <t xml:space="preserve">112590.86</t>
  </si>
  <si>
    <t xml:space="preserve">112789.38</t>
  </si>
  <si>
    <t xml:space="preserve">201.30</t>
  </si>
  <si>
    <t xml:space="preserve">68.46 L</t>
  </si>
  <si>
    <t xml:space="preserve">112790.71</t>
  </si>
  <si>
    <t xml:space="preserve">112992.01</t>
  </si>
  <si>
    <t xml:space="preserve">190.33</t>
  </si>
  <si>
    <t xml:space="preserve">66.71 L</t>
  </si>
  <si>
    <t xml:space="preserve">112992.84</t>
  </si>
  <si>
    <t xml:space="preserve">113183.17</t>
  </si>
  <si>
    <t xml:space="preserve">SJS9A75</t>
  </si>
  <si>
    <t xml:space="preserve">R9445</t>
  </si>
  <si>
    <t xml:space="preserve">JOSE ROBERTO DOS SANTOS VIDAL - 61059366568</t>
  </si>
  <si>
    <t xml:space="preserve">169.86</t>
  </si>
  <si>
    <t xml:space="preserve">52.66 L</t>
  </si>
  <si>
    <t xml:space="preserve">114835.94</t>
  </si>
  <si>
    <t xml:space="preserve">115005.80</t>
  </si>
  <si>
    <t xml:space="preserve">JOSE ROBERTO DOS SANTOS VIDAL - 61059366568, MARCUS VINICIUS SILVA SANTOS - 01873867573</t>
  </si>
  <si>
    <t xml:space="preserve">240.41</t>
  </si>
  <si>
    <t xml:space="preserve">77.58 L</t>
  </si>
  <si>
    <t xml:space="preserve">115246.21</t>
  </si>
  <si>
    <t xml:space="preserve">JOSE ROBERTO DOS SANTOS VIDAL - 61059366568, MARCUS VINICIUS SILVA SANTOS - 01873867573, GERSIMARIO SANTOS GUIMARAES - 98338927520</t>
  </si>
  <si>
    <t xml:space="preserve">275.56</t>
  </si>
  <si>
    <t xml:space="preserve">90.84 L</t>
  </si>
  <si>
    <t xml:space="preserve">Avenida Professor Milton Santos</t>
  </si>
  <si>
    <t xml:space="preserve">115246.99</t>
  </si>
  <si>
    <t xml:space="preserve">115522.55</t>
  </si>
  <si>
    <t xml:space="preserve">LUIZ DAVI DOS SANTOS - 07870295566, ALEX DA PAZ - 34533991025, Joao Evangelista dos Santos - 58586342572, UILTON DUARTE DE OLIVEIRA - 02578015538, GERSIMARIO SANTOS GUIMARAES - 98338927520</t>
  </si>
  <si>
    <t xml:space="preserve">240.80</t>
  </si>
  <si>
    <t xml:space="preserve">74.52 L</t>
  </si>
  <si>
    <t xml:space="preserve">115522.68</t>
  </si>
  <si>
    <t xml:space="preserve">115763.48</t>
  </si>
  <si>
    <t xml:space="preserve">LUIZ DAVI DOS SANTOS - 07870295566, ELTON ALMEIDA DA SILVA - 92384471520</t>
  </si>
  <si>
    <t xml:space="preserve">81.46</t>
  </si>
  <si>
    <t xml:space="preserve">27.43 L</t>
  </si>
  <si>
    <t xml:space="preserve">115844.94</t>
  </si>
  <si>
    <t xml:space="preserve">DIOGENES SOUZA DE OLIVEIRA - 03308398532, MARCUS VINICIUS SILVA SANTOS - 01873867573</t>
  </si>
  <si>
    <t xml:space="preserve">122.25</t>
  </si>
  <si>
    <t xml:space="preserve">115967.19</t>
  </si>
  <si>
    <t xml:space="preserve">Joao Evangelista dos Santos - 58586342572, MARCUS VINICIUS SILVA SANTOS - 01873867573</t>
  </si>
  <si>
    <t xml:space="preserve">275.47</t>
  </si>
  <si>
    <t xml:space="preserve">91.18 L</t>
  </si>
  <si>
    <t xml:space="preserve">115968.06</t>
  </si>
  <si>
    <t xml:space="preserve">116243.53</t>
  </si>
  <si>
    <t xml:space="preserve">SJT0J59</t>
  </si>
  <si>
    <t xml:space="preserve">R9455</t>
  </si>
  <si>
    <t xml:space="preserve">236.97</t>
  </si>
  <si>
    <t xml:space="preserve">69.73 L</t>
  </si>
  <si>
    <t xml:space="preserve">138046.58</t>
  </si>
  <si>
    <t xml:space="preserve">138283.55</t>
  </si>
  <si>
    <t xml:space="preserve">229.51</t>
  </si>
  <si>
    <t xml:space="preserve">66.55 L</t>
  </si>
  <si>
    <t xml:space="preserve">138513.05</t>
  </si>
  <si>
    <t xml:space="preserve">193.74</t>
  </si>
  <si>
    <t xml:space="preserve">55.08 L</t>
  </si>
  <si>
    <t xml:space="preserve">138513.85</t>
  </si>
  <si>
    <t xml:space="preserve">138707.59</t>
  </si>
  <si>
    <t xml:space="preserve">SKP4F49</t>
  </si>
  <si>
    <t xml:space="preserve">Polo - ITN 01</t>
  </si>
  <si>
    <t xml:space="preserve">ANTONIO MEIRELES DO N NETO - 15585891553, WALDSON ARAUJO GOES - 58292411534, Matheus Da silva Sena - 02130979580</t>
  </si>
  <si>
    <t xml:space="preserve">156.43</t>
  </si>
  <si>
    <t xml:space="preserve">62094.11</t>
  </si>
  <si>
    <t xml:space="preserve">62250.54</t>
  </si>
  <si>
    <t xml:space="preserve">Jose Raimundo dos Santos - 00335224563, WALDSON ARAUJO GOES - 58292411534</t>
  </si>
  <si>
    <t xml:space="preserve">145.65</t>
  </si>
  <si>
    <t xml:space="preserve">62396.19</t>
  </si>
  <si>
    <t xml:space="preserve">WALDSON ARAUJO GOES - 58292411534</t>
  </si>
  <si>
    <t xml:space="preserve">181.19</t>
  </si>
  <si>
    <t xml:space="preserve">62577.38</t>
  </si>
  <si>
    <t xml:space="preserve">WALDSON ARAUJO GOES - 58292411534, Matheus Da silva Sena - 02130979580</t>
  </si>
  <si>
    <t xml:space="preserve">162.77</t>
  </si>
  <si>
    <t xml:space="preserve">62740.14</t>
  </si>
  <si>
    <t xml:space="preserve">62740.54</t>
  </si>
  <si>
    <t xml:space="preserve">TGV9E72</t>
  </si>
  <si>
    <t xml:space="preserve">R9395</t>
  </si>
  <si>
    <t xml:space="preserve">723.20</t>
  </si>
  <si>
    <t xml:space="preserve">192.49 L</t>
  </si>
  <si>
    <t xml:space="preserve">174670.30</t>
  </si>
  <si>
    <t xml:space="preserve">175393.49</t>
  </si>
  <si>
    <t xml:space="preserve">BENEDITO GERONIMO BICUTO NETO - 34606339802</t>
  </si>
  <si>
    <t xml:space="preserve">17.25</t>
  </si>
  <si>
    <t xml:space="preserve">9.65 L</t>
  </si>
  <si>
    <t xml:space="preserve">1.79 Km/L</t>
  </si>
  <si>
    <t xml:space="preserve">175394.06</t>
  </si>
  <si>
    <t xml:space="preserve">175411.31</t>
  </si>
  <si>
    <t xml:space="preserve">JOSE ELIELTO DE MELO - 33367230510, BENEDITO GERONIMO BICUTO NETO - 34606339802</t>
  </si>
  <si>
    <t xml:space="preserve">730.75</t>
  </si>
  <si>
    <t xml:space="preserve">177.12 L</t>
  </si>
  <si>
    <t xml:space="preserve">4.13 Km/L</t>
  </si>
  <si>
    <t xml:space="preserve">175411.73</t>
  </si>
  <si>
    <t xml:space="preserve">176142.48</t>
  </si>
  <si>
    <t xml:space="preserve">684.49</t>
  </si>
  <si>
    <t xml:space="preserve">183.21 L</t>
  </si>
  <si>
    <t xml:space="preserve">176826.97</t>
  </si>
  <si>
    <t xml:space="preserve">Rax Ribeiro Costa - 01321494513, FABIO GOMES CABRAL - 04989750535, BENEDITO GERONIMO BICUTO NETO - 34606339802</t>
  </si>
  <si>
    <t xml:space="preserve">88.56</t>
  </si>
  <si>
    <t xml:space="preserve">25.08 L</t>
  </si>
  <si>
    <t xml:space="preserve">176827.08</t>
  </si>
  <si>
    <t xml:space="preserve">176915.64</t>
  </si>
  <si>
    <t xml:space="preserve">3.64</t>
  </si>
  <si>
    <t xml:space="preserve">3.04 L</t>
  </si>
  <si>
    <t xml:space="preserve">1.20 Km/L</t>
  </si>
  <si>
    <t xml:space="preserve">176919.28</t>
  </si>
  <si>
    <t xml:space="preserve">GLEISSON CRISTIANO MARTINS PEREIRA - 02021347508, BENEDITO GERONIMO BICUTO NETO - 34606339802</t>
  </si>
  <si>
    <t xml:space="preserve">727.96</t>
  </si>
  <si>
    <t xml:space="preserve">170.30 L</t>
  </si>
  <si>
    <t xml:space="preserve">Rua Sebastião Rodrigues Castro</t>
  </si>
  <si>
    <t xml:space="preserve">176919.74</t>
  </si>
  <si>
    <t xml:space="preserve">177647.69</t>
  </si>
  <si>
    <t xml:space="preserve">TGV2C11</t>
  </si>
  <si>
    <t xml:space="preserve">R9415</t>
  </si>
  <si>
    <t xml:space="preserve">425.35</t>
  </si>
  <si>
    <t xml:space="preserve">Rua da Juventude</t>
  </si>
  <si>
    <t xml:space="preserve">152396.32</t>
  </si>
  <si>
    <t xml:space="preserve">152821.67</t>
  </si>
  <si>
    <t xml:space="preserve">489.52</t>
  </si>
  <si>
    <t xml:space="preserve">50.35 L</t>
  </si>
  <si>
    <t xml:space="preserve">9.72 Km/L</t>
  </si>
  <si>
    <t xml:space="preserve">153311.19</t>
  </si>
  <si>
    <t xml:space="preserve">787.73</t>
  </si>
  <si>
    <t xml:space="preserve">0.40 L</t>
  </si>
  <si>
    <t xml:space="preserve">1949.83 Km/L</t>
  </si>
  <si>
    <t xml:space="preserve">Avenida Santa Isabel</t>
  </si>
  <si>
    <t xml:space="preserve">153312.52</t>
  </si>
  <si>
    <t xml:space="preserve">154100.25</t>
  </si>
  <si>
    <t xml:space="preserve">513.66</t>
  </si>
  <si>
    <t xml:space="preserve">154613.91</t>
  </si>
  <si>
    <t xml:space="preserve">764.55</t>
  </si>
  <si>
    <t xml:space="preserve">143.98 L</t>
  </si>
  <si>
    <t xml:space="preserve">5.31 Km/L</t>
  </si>
  <si>
    <t xml:space="preserve">154614.00</t>
  </si>
  <si>
    <t xml:space="preserve">155378.55</t>
  </si>
  <si>
    <t xml:space="preserve">427.52</t>
  </si>
  <si>
    <t xml:space="preserve">122.38 L</t>
  </si>
  <si>
    <t xml:space="preserve">155806.07</t>
  </si>
  <si>
    <t xml:space="preserve">519.30</t>
  </si>
  <si>
    <t xml:space="preserve">148.37 L</t>
  </si>
  <si>
    <t xml:space="preserve">156325.37</t>
  </si>
  <si>
    <t xml:space="preserve">TGV7C74</t>
  </si>
  <si>
    <t xml:space="preserve">R9425</t>
  </si>
  <si>
    <t xml:space="preserve">198470.00</t>
  </si>
  <si>
    <t xml:space="preserve">198470.10</t>
  </si>
  <si>
    <t xml:space="preserve">0.87 L</t>
  </si>
  <si>
    <t xml:space="preserve">198470.19</t>
  </si>
  <si>
    <t xml:space="preserve">0.83 Km/L</t>
  </si>
  <si>
    <t xml:space="preserve">198470.38</t>
  </si>
  <si>
    <t xml:space="preserve">TGV4I53</t>
  </si>
  <si>
    <t xml:space="preserve">R9405</t>
  </si>
  <si>
    <t xml:space="preserve">JOSE JADERSON LIMA DE OLIVEIRA - 03981128435, DAVID MATHEUS LEMOS SILVA - 06242640503, MARCONDES MANOEL DA SILVA SOUZA - 05375263580, ABADE AVELAR SANTOS - 04444962542</t>
  </si>
  <si>
    <t xml:space="preserve">819.40</t>
  </si>
  <si>
    <t xml:space="preserve">231.54 L</t>
  </si>
  <si>
    <t xml:space="preserve">BR-407</t>
  </si>
  <si>
    <t xml:space="preserve">166149.50</t>
  </si>
  <si>
    <t xml:space="preserve">166968.90</t>
  </si>
  <si>
    <t xml:space="preserve">JOSE JADERSON LIMA DE OLIVEIRA - 03981128435, ABADE AVELAR SANTOS - 04444962542, JUCELINO DE JESUS SANTOS - 01096934507</t>
  </si>
  <si>
    <t xml:space="preserve">836.68</t>
  </si>
  <si>
    <t xml:space="preserve">224.28 L</t>
  </si>
  <si>
    <t xml:space="preserve">166969.37</t>
  </si>
  <si>
    <t xml:space="preserve">167806.05</t>
  </si>
  <si>
    <t xml:space="preserve">EDMILSON OLIVEIRA DOS SANTOS GUIMARAES - 99225123515, GERONIMO DOS SANTOS SILVA - 06483914423, JAELSON SANTOS SILVA - 03487222493, JUCELINO DE JESUS SANTOS - 01096934507</t>
  </si>
  <si>
    <t xml:space="preserve">794.92</t>
  </si>
  <si>
    <t xml:space="preserve">214.40 L</t>
  </si>
  <si>
    <t xml:space="preserve">167806.67</t>
  </si>
  <si>
    <t xml:space="preserve">168601.58</t>
  </si>
  <si>
    <t xml:space="preserve">EDMILSON OLIVEIRA DOS SANTOS GUIMARAES - 99225123515, JUCELINO DE JESUS SANTOS - 01096934507, LUCAS PIEROTE GASPAR NASCIMENTO - 03495432590</t>
  </si>
  <si>
    <t xml:space="preserve">1022.35</t>
  </si>
  <si>
    <t xml:space="preserve">271.86 L</t>
  </si>
  <si>
    <t xml:space="preserve">168603.11</t>
  </si>
  <si>
    <t xml:space="preserve">169625.45</t>
  </si>
  <si>
    <t xml:space="preserve">0.47 Km/L</t>
  </si>
  <si>
    <t xml:space="preserve">169625.52</t>
  </si>
  <si>
    <t xml:space="preserve">MARCOS PEREIRA DOS REIS - 43035302553, LUCAS PIEROTE GASPAR NASCIMENTO - 03495432590</t>
  </si>
  <si>
    <t xml:space="preserve">310.97</t>
  </si>
  <si>
    <t xml:space="preserve">94.75 L</t>
  </si>
  <si>
    <t xml:space="preserve">169936.49</t>
  </si>
  <si>
    <t xml:space="preserve">TGW2J32</t>
  </si>
  <si>
    <t xml:space="preserve">R9355</t>
  </si>
  <si>
    <t xml:space="preserve">0.03</t>
  </si>
  <si>
    <t xml:space="preserve">4.09 L</t>
  </si>
  <si>
    <t xml:space="preserve">132256.05</t>
  </si>
  <si>
    <t xml:space="preserve">132256.08</t>
  </si>
  <si>
    <t xml:space="preserve">292.01</t>
  </si>
  <si>
    <t xml:space="preserve">98.87 L</t>
  </si>
  <si>
    <t xml:space="preserve">132548.09</t>
  </si>
  <si>
    <t xml:space="preserve">JORGE LIMA DOS SANTOS - 03603667590</t>
  </si>
  <si>
    <t xml:space="preserve">17.12</t>
  </si>
  <si>
    <t xml:space="preserve">20.52 L</t>
  </si>
  <si>
    <t xml:space="preserve">132565.22</t>
  </si>
  <si>
    <t xml:space="preserve">ABADE AVELAR SANTOS - 04444962542</t>
  </si>
  <si>
    <t xml:space="preserve">637.86</t>
  </si>
  <si>
    <t xml:space="preserve">233.43 L</t>
  </si>
  <si>
    <t xml:space="preserve">BR-349</t>
  </si>
  <si>
    <t xml:space="preserve">133203.08</t>
  </si>
  <si>
    <t xml:space="preserve">TGW6J53</t>
  </si>
  <si>
    <t xml:space="preserve">R9345</t>
  </si>
  <si>
    <t xml:space="preserve">JOILSON SANTANA DAS VIRGENS - 01124920536</t>
  </si>
  <si>
    <t xml:space="preserve">8.26</t>
  </si>
  <si>
    <t xml:space="preserve">4.94 L</t>
  </si>
  <si>
    <t xml:space="preserve">1.67 Km/L</t>
  </si>
  <si>
    <t xml:space="preserve">107226.33</t>
  </si>
  <si>
    <t xml:space="preserve">107234.59</t>
  </si>
  <si>
    <t xml:space="preserve">8.81 L</t>
  </si>
  <si>
    <t xml:space="preserve">288.32</t>
  </si>
  <si>
    <t xml:space="preserve">88.73 L</t>
  </si>
  <si>
    <t xml:space="preserve">107522.91</t>
  </si>
  <si>
    <t xml:space="preserve">RODRIGO SANTOS FERREIRA - 04687708528</t>
  </si>
  <si>
    <t xml:space="preserve">324.65</t>
  </si>
  <si>
    <t xml:space="preserve">104.58 L</t>
  </si>
  <si>
    <t xml:space="preserve">Avenida Ernesto Santos Souza</t>
  </si>
  <si>
    <t xml:space="preserve">107847.55</t>
  </si>
  <si>
    <t xml:space="preserve">RODRIGO SANTOS FERREIRA - 04687708528, FABIO NASCIMENTO DOS SANTOS - 94691576568</t>
  </si>
  <si>
    <t xml:space="preserve">428.53</t>
  </si>
  <si>
    <t xml:space="preserve">146.98 L</t>
  </si>
  <si>
    <t xml:space="preserve">108276.08</t>
  </si>
  <si>
    <t xml:space="preserve">TGV4B86</t>
  </si>
  <si>
    <t xml:space="preserve">POLO - ITN</t>
  </si>
  <si>
    <t xml:space="preserve">JOAO DA SILVA OLIVEIRA - 78306922549</t>
  </si>
  <si>
    <t xml:space="preserve">12.94</t>
  </si>
  <si>
    <t xml:space="preserve">25209.74</t>
  </si>
  <si>
    <t xml:space="preserve">25222.68</t>
  </si>
  <si>
    <t xml:space="preserve">ARENILTON ALVES OLIVEIRA - 78947332534</t>
  </si>
  <si>
    <t xml:space="preserve">12.96</t>
  </si>
  <si>
    <t xml:space="preserve">Rua B</t>
  </si>
  <si>
    <t xml:space="preserve">25235.64</t>
  </si>
  <si>
    <t xml:space="preserve">11.50</t>
  </si>
  <si>
    <t xml:space="preserve">25247.14</t>
  </si>
  <si>
    <t xml:space="preserve">17.81</t>
  </si>
  <si>
    <t xml:space="preserve">25264.96</t>
  </si>
  <si>
    <t xml:space="preserve">8.19</t>
  </si>
  <si>
    <t xml:space="preserve">25273.14</t>
  </si>
  <si>
    <t xml:space="preserve">12.05</t>
  </si>
  <si>
    <t xml:space="preserve">25285.19</t>
  </si>
  <si>
    <t xml:space="preserve">7.29</t>
  </si>
  <si>
    <t xml:space="preserve">25292.48</t>
  </si>
  <si>
    <t xml:space="preserve">PLZ6E78</t>
  </si>
  <si>
    <t xml:space="preserve">R8165</t>
  </si>
  <si>
    <t xml:space="preserve">569.35</t>
  </si>
  <si>
    <t xml:space="preserve">208.76 L</t>
  </si>
  <si>
    <t xml:space="preserve">1021064.94</t>
  </si>
  <si>
    <t xml:space="preserve">1021634.29</t>
  </si>
  <si>
    <t xml:space="preserve">306.29</t>
  </si>
  <si>
    <t xml:space="preserve">122.50 L</t>
  </si>
  <si>
    <t xml:space="preserve">Ponte Dom Pedro II</t>
  </si>
  <si>
    <t xml:space="preserve">1021635.48</t>
  </si>
  <si>
    <t xml:space="preserve">1021941.76</t>
  </si>
  <si>
    <t xml:space="preserve">334.12</t>
  </si>
  <si>
    <t xml:space="preserve">99.76 L</t>
  </si>
  <si>
    <t xml:space="preserve">1022275.88</t>
  </si>
  <si>
    <t xml:space="preserve">541.94</t>
  </si>
  <si>
    <t xml:space="preserve">178.72 L</t>
  </si>
  <si>
    <t xml:space="preserve">Rua Amélia Rodrigues</t>
  </si>
  <si>
    <t xml:space="preserve">1022817.82</t>
  </si>
  <si>
    <t xml:space="preserve">755.87</t>
  </si>
  <si>
    <t xml:space="preserve">216.41 L</t>
  </si>
  <si>
    <t xml:space="preserve">BR-324</t>
  </si>
  <si>
    <t xml:space="preserve">1023573.69</t>
  </si>
  <si>
    <t xml:space="preserve">353.04</t>
  </si>
  <si>
    <t xml:space="preserve">98.07 L</t>
  </si>
  <si>
    <t xml:space="preserve">Avenida Clementino Cunha</t>
  </si>
  <si>
    <t xml:space="preserve">1023575.18</t>
  </si>
  <si>
    <t xml:space="preserve">1023928.22</t>
  </si>
  <si>
    <t xml:space="preserve">Rua do Contorno</t>
  </si>
  <si>
    <t xml:space="preserve">RPK4I55</t>
  </si>
  <si>
    <t xml:space="preserve">R8535</t>
  </si>
  <si>
    <t xml:space="preserve">93.98 L</t>
  </si>
  <si>
    <t xml:space="preserve">1149083.50</t>
  </si>
  <si>
    <t xml:space="preserve">152.51 L</t>
  </si>
  <si>
    <t xml:space="preserve">146.99 L</t>
  </si>
  <si>
    <t xml:space="preserve">89.50 L</t>
  </si>
  <si>
    <t xml:space="preserve">180.50 L</t>
  </si>
  <si>
    <t xml:space="preserve">226.51 L</t>
  </si>
  <si>
    <t xml:space="preserve">JQI1481</t>
  </si>
  <si>
    <t xml:space="preserve">R5525</t>
  </si>
  <si>
    <t xml:space="preserve">180.74</t>
  </si>
  <si>
    <t xml:space="preserve">501393.89</t>
  </si>
  <si>
    <t xml:space="preserve">501574.63</t>
  </si>
  <si>
    <t xml:space="preserve">180.88</t>
  </si>
  <si>
    <t xml:space="preserve">501755.51</t>
  </si>
  <si>
    <t xml:space="preserve">PAULO SERGIO MENEZES SANTOS - 01555946569, Anderson Ferreira Da Silva  - 01452873518, TALES ANTONIO ALMEIDA ALVES JUNIOR - 09534524506</t>
  </si>
  <si>
    <t xml:space="preserve">90.07</t>
  </si>
  <si>
    <t xml:space="preserve">501845.58</t>
  </si>
  <si>
    <t xml:space="preserve">Jose Adilson Dos Santos Reis - 02053767545, WILLIAN JOSE DA CUNHA - 03523954517</t>
  </si>
  <si>
    <t xml:space="preserve">200.44</t>
  </si>
  <si>
    <t xml:space="preserve">502046.02</t>
  </si>
  <si>
    <t xml:space="preserve">Jose Adilson Dos Santos Reis - 02053767545, Luciano Junior Oliveira Santos - 06512965523</t>
  </si>
  <si>
    <t xml:space="preserve">210.03</t>
  </si>
  <si>
    <t xml:space="preserve">502256.05</t>
  </si>
  <si>
    <t xml:space="preserve">JQI1404</t>
  </si>
  <si>
    <t xml:space="preserve">R5505</t>
  </si>
  <si>
    <t xml:space="preserve">75.68</t>
  </si>
  <si>
    <t xml:space="preserve">339988.16</t>
  </si>
  <si>
    <t xml:space="preserve">340063.84</t>
  </si>
  <si>
    <t xml:space="preserve">75.49</t>
  </si>
  <si>
    <t xml:space="preserve">340139.33</t>
  </si>
  <si>
    <t xml:space="preserve">RODRIGO DOS SANTOS - 02501564588, PAULO ROBERTO GARCIA DA SILVA - 05472412595</t>
  </si>
  <si>
    <t xml:space="preserve">355.89</t>
  </si>
  <si>
    <t xml:space="preserve">340495.22</t>
  </si>
  <si>
    <t xml:space="preserve">PAULO ROBERTO GARCIA DA SILVA - 05472412595, TIAGO SILVA BASTOS - 02581506539</t>
  </si>
  <si>
    <t xml:space="preserve">176.79</t>
  </si>
  <si>
    <t xml:space="preserve">340672.00</t>
  </si>
  <si>
    <t xml:space="preserve">69.32</t>
  </si>
  <si>
    <t xml:space="preserve">340741.33</t>
  </si>
  <si>
    <t xml:space="preserve">THH5C81</t>
  </si>
  <si>
    <t xml:space="preserve">R10665</t>
  </si>
  <si>
    <t xml:space="preserve">159.14</t>
  </si>
  <si>
    <t xml:space="preserve">Rodovia Virgílio Figueira Mendes</t>
  </si>
  <si>
    <t xml:space="preserve">16265.69</t>
  </si>
  <si>
    <t xml:space="preserve">16424.83</t>
  </si>
  <si>
    <t xml:space="preserve">66.83</t>
  </si>
  <si>
    <t xml:space="preserve">16491.66</t>
  </si>
  <si>
    <t xml:space="preserve">152.41</t>
  </si>
  <si>
    <t xml:space="preserve">16644.07</t>
  </si>
  <si>
    <t xml:space="preserve">154.34</t>
  </si>
  <si>
    <t xml:space="preserve">16798.42</t>
  </si>
  <si>
    <t xml:space="preserve">113.70</t>
  </si>
  <si>
    <t xml:space="preserve">16912.12</t>
  </si>
  <si>
    <t xml:space="preserve">THH0I76</t>
  </si>
  <si>
    <t xml:space="preserve">R10695</t>
  </si>
  <si>
    <t xml:space="preserve">JOAO CARLOS LEITE ROMA - 06198685543</t>
  </si>
  <si>
    <t xml:space="preserve">218.58</t>
  </si>
  <si>
    <t xml:space="preserve">26760.52</t>
  </si>
  <si>
    <t xml:space="preserve">26979.10</t>
  </si>
  <si>
    <t xml:space="preserve">143.63</t>
  </si>
  <si>
    <t xml:space="preserve">27122.73</t>
  </si>
  <si>
    <t xml:space="preserve">172.77</t>
  </si>
  <si>
    <t xml:space="preserve">27295.49</t>
  </si>
  <si>
    <t xml:space="preserve">140.55</t>
  </si>
  <si>
    <t xml:space="preserve">27436.04</t>
  </si>
  <si>
    <t xml:space="preserve">Elinaldo de Sousa Coelho  - 00829078541, JOAO CARLOS LEITE ROMA - 06198685543</t>
  </si>
  <si>
    <t xml:space="preserve">203.13</t>
  </si>
  <si>
    <t xml:space="preserve">27639.16</t>
  </si>
  <si>
    <t xml:space="preserve">TML3A59</t>
  </si>
  <si>
    <t xml:space="preserve">R10835</t>
  </si>
  <si>
    <t xml:space="preserve">FABIO GOMES CABRAL - 04989750535</t>
  </si>
  <si>
    <t xml:space="preserve">136.54</t>
  </si>
  <si>
    <t xml:space="preserve">19611.60</t>
  </si>
  <si>
    <t xml:space="preserve">19748.14</t>
  </si>
  <si>
    <t xml:space="preserve">114.09</t>
  </si>
  <si>
    <t xml:space="preserve">19862.22</t>
  </si>
  <si>
    <t xml:space="preserve">98.68</t>
  </si>
  <si>
    <t xml:space="preserve">19960.90</t>
  </si>
  <si>
    <t xml:space="preserve">20097.77</t>
  </si>
  <si>
    <t xml:space="preserve">232.57</t>
  </si>
  <si>
    <t xml:space="preserve">20330.34</t>
  </si>
  <si>
    <t xml:space="preserve">TML4J90</t>
  </si>
  <si>
    <t xml:space="preserve">R10755</t>
  </si>
  <si>
    <t xml:space="preserve">ALDAIR RIBEIRO DOS SANTOS - 08634090590</t>
  </si>
  <si>
    <t xml:space="preserve">229.31</t>
  </si>
  <si>
    <t xml:space="preserve">31564.54</t>
  </si>
  <si>
    <t xml:space="preserve">31793.85</t>
  </si>
  <si>
    <t xml:space="preserve">292.62</t>
  </si>
  <si>
    <t xml:space="preserve">32086.46</t>
  </si>
  <si>
    <t xml:space="preserve">ELTON ALMEIDA DA SILVA - 92384471520, ALDAIR RIBEIRO DOS SANTOS - 08634090590</t>
  </si>
  <si>
    <t xml:space="preserve">282.13</t>
  </si>
  <si>
    <t xml:space="preserve">Rua R</t>
  </si>
  <si>
    <t xml:space="preserve">32368.59</t>
  </si>
  <si>
    <t xml:space="preserve">287.13</t>
  </si>
  <si>
    <t xml:space="preserve">32655.72</t>
  </si>
  <si>
    <t xml:space="preserve">32655.75</t>
  </si>
  <si>
    <t xml:space="preserve">32655.90</t>
  </si>
  <si>
    <t xml:space="preserve">246.67</t>
  </si>
  <si>
    <t xml:space="preserve">32902.57</t>
  </si>
  <si>
    <t xml:space="preserve">TML1E48</t>
  </si>
  <si>
    <t xml:space="preserve">R10825</t>
  </si>
  <si>
    <t xml:space="preserve">196.54</t>
  </si>
  <si>
    <t xml:space="preserve">32088.63</t>
  </si>
  <si>
    <t xml:space="preserve">32285.17</t>
  </si>
  <si>
    <t xml:space="preserve">193.26</t>
  </si>
  <si>
    <t xml:space="preserve">32478.42</t>
  </si>
  <si>
    <t xml:space="preserve">182.41</t>
  </si>
  <si>
    <t xml:space="preserve">32660.84</t>
  </si>
  <si>
    <t xml:space="preserve">135.49</t>
  </si>
  <si>
    <t xml:space="preserve">32796.32</t>
  </si>
  <si>
    <t xml:space="preserve">159.86</t>
  </si>
  <si>
    <t xml:space="preserve">32956.19</t>
  </si>
  <si>
    <t xml:space="preserve">THH6F87</t>
  </si>
  <si>
    <t xml:space="preserve">R10655</t>
  </si>
  <si>
    <t xml:space="preserve">162.87</t>
  </si>
  <si>
    <t xml:space="preserve">137178.67</t>
  </si>
  <si>
    <t xml:space="preserve">137341.53</t>
  </si>
  <si>
    <t xml:space="preserve">Jonathas Mateus De Sousa Santana - 01904691536</t>
  </si>
  <si>
    <t xml:space="preserve">151.16</t>
  </si>
  <si>
    <t xml:space="preserve">137492.69</t>
  </si>
  <si>
    <t xml:space="preserve">170.29</t>
  </si>
  <si>
    <t xml:space="preserve">137662.97</t>
  </si>
  <si>
    <t xml:space="preserve">165.86</t>
  </si>
  <si>
    <t xml:space="preserve">137828.83</t>
  </si>
  <si>
    <t xml:space="preserve">76.87</t>
  </si>
  <si>
    <t xml:space="preserve">137905.70</t>
  </si>
  <si>
    <t xml:space="preserve">162.04</t>
  </si>
  <si>
    <t xml:space="preserve">138067.74</t>
  </si>
  <si>
    <t xml:space="preserve">TML0C86</t>
  </si>
  <si>
    <t xml:space="preserve">R10845</t>
  </si>
  <si>
    <t xml:space="preserve">JURACI CONCEICAO DE JESUS - 54849772587, RENATO MATIAS DE SOUZA - 06054979663</t>
  </si>
  <si>
    <t xml:space="preserve">102.98</t>
  </si>
  <si>
    <t xml:space="preserve">20999.57</t>
  </si>
  <si>
    <t xml:space="preserve">21102.55</t>
  </si>
  <si>
    <t xml:space="preserve">116.93</t>
  </si>
  <si>
    <t xml:space="preserve">21219.48</t>
  </si>
  <si>
    <t xml:space="preserve">RENATO MATIAS DE SOUZA - 06054979663</t>
  </si>
  <si>
    <t xml:space="preserve">55.54</t>
  </si>
  <si>
    <t xml:space="preserve">21275.01</t>
  </si>
  <si>
    <t xml:space="preserve">WARLEY ALMEIDA ROCHA - 04625255546</t>
  </si>
  <si>
    <t xml:space="preserve">62.37</t>
  </si>
  <si>
    <t xml:space="preserve">21337.38</t>
  </si>
  <si>
    <t xml:space="preserve">101.00</t>
  </si>
  <si>
    <t xml:space="preserve">21438.38</t>
  </si>
  <si>
    <t xml:space="preserve">TML0D26</t>
  </si>
  <si>
    <t xml:space="preserve">R10805</t>
  </si>
  <si>
    <t xml:space="preserve">92.56</t>
  </si>
  <si>
    <t xml:space="preserve">29481.91</t>
  </si>
  <si>
    <t xml:space="preserve">29574.47</t>
  </si>
  <si>
    <t xml:space="preserve">302.79</t>
  </si>
  <si>
    <t xml:space="preserve">29877.26</t>
  </si>
  <si>
    <t xml:space="preserve">169.76</t>
  </si>
  <si>
    <t xml:space="preserve">30047.02</t>
  </si>
  <si>
    <t xml:space="preserve">307.25</t>
  </si>
  <si>
    <t xml:space="preserve">30354.27</t>
  </si>
  <si>
    <t xml:space="preserve">75.10</t>
  </si>
  <si>
    <t xml:space="preserve">30429.38</t>
  </si>
  <si>
    <t xml:space="preserve">107.08</t>
  </si>
  <si>
    <t xml:space="preserve">30536.46</t>
  </si>
  <si>
    <t xml:space="preserve">TML4B85</t>
  </si>
  <si>
    <t xml:space="preserve">R10735</t>
  </si>
  <si>
    <t xml:space="preserve">64.70</t>
  </si>
  <si>
    <t xml:space="preserve">14098.33</t>
  </si>
  <si>
    <t xml:space="preserve">14163.03</t>
  </si>
  <si>
    <t xml:space="preserve">74.07</t>
  </si>
  <si>
    <t xml:space="preserve">14237.10</t>
  </si>
  <si>
    <t xml:space="preserve">88.86</t>
  </si>
  <si>
    <t xml:space="preserve">14325.96</t>
  </si>
  <si>
    <t xml:space="preserve">LUCAS PEREIRA DE SOUSA - 06689952541, EMERSON ALVES BARBOSA SANTOS - 01675349550, Elinaldo de Sousa Coelho  - 00829078541</t>
  </si>
  <si>
    <t xml:space="preserve">118.88</t>
  </si>
  <si>
    <t xml:space="preserve">14444.84</t>
  </si>
  <si>
    <t xml:space="preserve">EMERSON ALVES BARBOSA SANTOS - 01675349550, DIEGO CARVALHO PIRES - 07247269502, Elinaldo de Sousa Coelho  - 00829078541</t>
  </si>
  <si>
    <t xml:space="preserve">154.53</t>
  </si>
  <si>
    <t xml:space="preserve">14599.37</t>
  </si>
  <si>
    <t xml:space="preserve">TML0A65</t>
  </si>
  <si>
    <t xml:space="preserve">R10775</t>
  </si>
  <si>
    <t xml:space="preserve">BRUNO SILVA OLIVEIRA - 86615201500</t>
  </si>
  <si>
    <t xml:space="preserve">47.45</t>
  </si>
  <si>
    <t xml:space="preserve">11715.44</t>
  </si>
  <si>
    <t xml:space="preserve">11762.89</t>
  </si>
  <si>
    <t xml:space="preserve">43.60</t>
  </si>
  <si>
    <t xml:space="preserve">11806.49</t>
  </si>
  <si>
    <t xml:space="preserve">34.98</t>
  </si>
  <si>
    <t xml:space="preserve">11841.47</t>
  </si>
  <si>
    <t xml:space="preserve">90.46</t>
  </si>
  <si>
    <t xml:space="preserve">11931.93</t>
  </si>
  <si>
    <t xml:space="preserve">39.31</t>
  </si>
  <si>
    <t xml:space="preserve">11971.25</t>
  </si>
  <si>
    <t xml:space="preserve">THF0A94</t>
  </si>
  <si>
    <t xml:space="preserve">R10645</t>
  </si>
  <si>
    <t xml:space="preserve">ELIENALDO DE SOUZA COELHO - 829078541</t>
  </si>
  <si>
    <t xml:space="preserve">198.94</t>
  </si>
  <si>
    <t xml:space="preserve">20620.07</t>
  </si>
  <si>
    <t xml:space="preserve">20819.01</t>
  </si>
  <si>
    <t xml:space="preserve">213.64</t>
  </si>
  <si>
    <t xml:space="preserve">21032.65</t>
  </si>
  <si>
    <t xml:space="preserve">WARLEY ALMEIDA ROCHA - 04625255546, Elinaldo de Sousa Coelho  - 00829078541</t>
  </si>
  <si>
    <t xml:space="preserve">123.55</t>
  </si>
  <si>
    <t xml:space="preserve">21156.20</t>
  </si>
  <si>
    <t xml:space="preserve">JURACI CONCEICAO DE JESUS - 54849772587, ULISSES CECILIO NUNES - 01532904550</t>
  </si>
  <si>
    <t xml:space="preserve">163.35</t>
  </si>
  <si>
    <t xml:space="preserve">21319.55</t>
  </si>
  <si>
    <t xml:space="preserve">72.87</t>
  </si>
  <si>
    <t xml:space="preserve">21392.43</t>
  </si>
  <si>
    <t xml:space="preserve">ELIENALDO DE SOUZA COELHO - 829078541, WARLEY ALMEIDA ROCHA - 04625255546, Elinaldo de Sousa Coelho  - 00829078541</t>
  </si>
  <si>
    <t xml:space="preserve">170.54</t>
  </si>
  <si>
    <t xml:space="preserve">21562.96</t>
  </si>
  <si>
    <t xml:space="preserve">TML2I94</t>
  </si>
  <si>
    <t xml:space="preserve">R10765</t>
  </si>
  <si>
    <t xml:space="preserve">302.88</t>
  </si>
  <si>
    <t xml:space="preserve">17299.70</t>
  </si>
  <si>
    <t xml:space="preserve">17602.59</t>
  </si>
  <si>
    <t xml:space="preserve">ELIENALDO DE SOUZA COELHO - 829078541, Elinaldo de Sousa Coelho  - 00829078541</t>
  </si>
  <si>
    <t xml:space="preserve">156.49</t>
  </si>
  <si>
    <t xml:space="preserve">17759.07</t>
  </si>
  <si>
    <t xml:space="preserve">158.18</t>
  </si>
  <si>
    <t xml:space="preserve">17917.24</t>
  </si>
  <si>
    <t xml:space="preserve">271.08</t>
  </si>
  <si>
    <t xml:space="preserve">18188.31</t>
  </si>
  <si>
    <t xml:space="preserve">79.78</t>
  </si>
  <si>
    <t xml:space="preserve">18268.09</t>
  </si>
  <si>
    <t xml:space="preserve">267.06</t>
  </si>
  <si>
    <t xml:space="preserve">18535.15</t>
  </si>
  <si>
    <t xml:space="preserve">THH0H42</t>
  </si>
  <si>
    <t xml:space="preserve">R10725</t>
  </si>
  <si>
    <t xml:space="preserve">DANIEL DIAS ROCHA - 35548559877</t>
  </si>
  <si>
    <t xml:space="preserve">182.72</t>
  </si>
  <si>
    <t xml:space="preserve">17086.98</t>
  </si>
  <si>
    <t xml:space="preserve">17269.69</t>
  </si>
  <si>
    <t xml:space="preserve">80.15</t>
  </si>
  <si>
    <t xml:space="preserve">17349.84</t>
  </si>
  <si>
    <t xml:space="preserve">85.73</t>
  </si>
  <si>
    <t xml:space="preserve">17435.57</t>
  </si>
  <si>
    <t xml:space="preserve">98.46</t>
  </si>
  <si>
    <t xml:space="preserve">17534.03</t>
  </si>
  <si>
    <t xml:space="preserve">84.85</t>
  </si>
  <si>
    <t xml:space="preserve">17618.88</t>
  </si>
  <si>
    <t xml:space="preserve">TMM1C56</t>
  </si>
  <si>
    <t xml:space="preserve">R10865</t>
  </si>
  <si>
    <t xml:space="preserve">169.21</t>
  </si>
  <si>
    <t xml:space="preserve">27249.85</t>
  </si>
  <si>
    <t xml:space="preserve">27419.06</t>
  </si>
  <si>
    <t xml:space="preserve">171.00</t>
  </si>
  <si>
    <t xml:space="preserve">27590.05</t>
  </si>
  <si>
    <t xml:space="preserve">228.35</t>
  </si>
  <si>
    <t xml:space="preserve">27818.40</t>
  </si>
  <si>
    <t xml:space="preserve">WELLINGTON CESAR SANTOS DO NASCIMENTO - 40355764504</t>
  </si>
  <si>
    <t xml:space="preserve">170.98</t>
  </si>
  <si>
    <t xml:space="preserve">27989.38</t>
  </si>
  <si>
    <t xml:space="preserve">175.68</t>
  </si>
  <si>
    <t xml:space="preserve">28165.05</t>
  </si>
  <si>
    <t xml:space="preserve">THH9J49</t>
  </si>
  <si>
    <t xml:space="preserve">R10685</t>
  </si>
  <si>
    <t xml:space="preserve">ODINELIO DE JESUS P RODRIGUES - 07163439679, odinélio de jesus pereira Rodrigues  - 07163439679</t>
  </si>
  <si>
    <t xml:space="preserve">183.28</t>
  </si>
  <si>
    <t xml:space="preserve">26367.54</t>
  </si>
  <si>
    <t xml:space="preserve">26550.82</t>
  </si>
  <si>
    <t xml:space="preserve">odinélio de jesus pereira Rodrigues  - 07163439679, NATALICIO DA SILVA SANTOS - 02133088512</t>
  </si>
  <si>
    <t xml:space="preserve">196.08</t>
  </si>
  <si>
    <t xml:space="preserve">26746.90</t>
  </si>
  <si>
    <t xml:space="preserve">odinélio de jesus pereira Rodrigues  - 07163439679</t>
  </si>
  <si>
    <t xml:space="preserve">206.05</t>
  </si>
  <si>
    <t xml:space="preserve">26952.95</t>
  </si>
  <si>
    <t xml:space="preserve">203.91</t>
  </si>
  <si>
    <t xml:space="preserve">27156.86</t>
  </si>
  <si>
    <t xml:space="preserve">198.95</t>
  </si>
  <si>
    <t xml:space="preserve">27355.81</t>
  </si>
  <si>
    <t xml:space="preserve">TML7B64</t>
  </si>
  <si>
    <t xml:space="preserve">R10795</t>
  </si>
  <si>
    <t xml:space="preserve">DIEGO CARVALHO PIRES - 07247269502</t>
  </si>
  <si>
    <t xml:space="preserve">146.70</t>
  </si>
  <si>
    <t xml:space="preserve">19928.10</t>
  </si>
  <si>
    <t xml:space="preserve">20074.80</t>
  </si>
  <si>
    <t xml:space="preserve">JEFFERSON DOS SANTOS FRANÇA - 8844760657, DIEGO CARVALHO PIRES - 07247269502</t>
  </si>
  <si>
    <t xml:space="preserve">20251.91</t>
  </si>
  <si>
    <t xml:space="preserve">151.09</t>
  </si>
  <si>
    <t xml:space="preserve">20403.01</t>
  </si>
  <si>
    <t xml:space="preserve">151.74</t>
  </si>
  <si>
    <t xml:space="preserve">20554.75</t>
  </si>
  <si>
    <t xml:space="preserve">37.39</t>
  </si>
  <si>
    <t xml:space="preserve">20592.14</t>
  </si>
  <si>
    <t xml:space="preserve">TML9C70</t>
  </si>
  <si>
    <t xml:space="preserve">R10815</t>
  </si>
  <si>
    <t xml:space="preserve">168.79</t>
  </si>
  <si>
    <t xml:space="preserve">19911.02</t>
  </si>
  <si>
    <t xml:space="preserve">20079.81</t>
  </si>
  <si>
    <t xml:space="preserve">162.73</t>
  </si>
  <si>
    <t xml:space="preserve">20242.54</t>
  </si>
  <si>
    <t xml:space="preserve">154.86</t>
  </si>
  <si>
    <t xml:space="preserve">20397.40</t>
  </si>
  <si>
    <t xml:space="preserve">169.27</t>
  </si>
  <si>
    <t xml:space="preserve">20566.67</t>
  </si>
  <si>
    <t xml:space="preserve">6.99</t>
  </si>
  <si>
    <t xml:space="preserve">20573.66</t>
  </si>
  <si>
    <t xml:space="preserve">191.57</t>
  </si>
  <si>
    <t xml:space="preserve">20765.22</t>
  </si>
  <si>
    <t xml:space="preserve">THH7H75</t>
  </si>
  <si>
    <t xml:space="preserve">R10675</t>
  </si>
  <si>
    <t xml:space="preserve">LUCAS PEREIRA DE SOUSA - 06689952541, EMERSON ALVES BARBOSA SANTOS - 01675349550</t>
  </si>
  <si>
    <t xml:space="preserve">122.49</t>
  </si>
  <si>
    <t xml:space="preserve">21014.39</t>
  </si>
  <si>
    <t xml:space="preserve">21136.88</t>
  </si>
  <si>
    <t xml:space="preserve">130.82</t>
  </si>
  <si>
    <t xml:space="preserve">21267.69</t>
  </si>
  <si>
    <t xml:space="preserve">150.05</t>
  </si>
  <si>
    <t xml:space="preserve">21417.74</t>
  </si>
  <si>
    <t xml:space="preserve">LUCAS PEREIRA DE SOUSA - 06689952541</t>
  </si>
  <si>
    <t xml:space="preserve">153.20</t>
  </si>
  <si>
    <t xml:space="preserve">21570.94</t>
  </si>
  <si>
    <t xml:space="preserve">DANIEL DIAS ROCHA - 35548559877, WESLEY VIEIRA OLIVEIRA - 05951934559</t>
  </si>
  <si>
    <t xml:space="preserve">127.03</t>
  </si>
  <si>
    <t xml:space="preserve">21697.97</t>
  </si>
  <si>
    <t xml:space="preserve">THF4C23</t>
  </si>
  <si>
    <t xml:space="preserve">R10635</t>
  </si>
  <si>
    <t xml:space="preserve">WELDER DE SOUZA CARDOSO - 05738241509</t>
  </si>
  <si>
    <t xml:space="preserve">231.60</t>
  </si>
  <si>
    <t xml:space="preserve">25255.45</t>
  </si>
  <si>
    <t xml:space="preserve">25487.06</t>
  </si>
  <si>
    <t xml:space="preserve">232.73</t>
  </si>
  <si>
    <t xml:space="preserve">25719.79</t>
  </si>
  <si>
    <t xml:space="preserve">231.55</t>
  </si>
  <si>
    <t xml:space="preserve">25951.33</t>
  </si>
  <si>
    <t xml:space="preserve">Elinaldo de Sousa Coelho  - 00829078541, WELDER DE SOUZA CARDOSO - 05738241509</t>
  </si>
  <si>
    <t xml:space="preserve">231.17</t>
  </si>
  <si>
    <t xml:space="preserve">26182.51</t>
  </si>
  <si>
    <t xml:space="preserve">211.78</t>
  </si>
  <si>
    <t xml:space="preserve">26394.28</t>
  </si>
  <si>
    <t xml:space="preserve">THH6I81</t>
  </si>
  <si>
    <t xml:space="preserve">R10715</t>
  </si>
  <si>
    <t xml:space="preserve">ERISVALDO DA SILVA VIEIRA - 25022954591</t>
  </si>
  <si>
    <t xml:space="preserve">111.44</t>
  </si>
  <si>
    <t xml:space="preserve">15948.20</t>
  </si>
  <si>
    <t xml:space="preserve">16059.64</t>
  </si>
  <si>
    <t xml:space="preserve">124.73</t>
  </si>
  <si>
    <t xml:space="preserve">16184.37</t>
  </si>
  <si>
    <t xml:space="preserve">139.06</t>
  </si>
  <si>
    <t xml:space="preserve">16323.42</t>
  </si>
  <si>
    <t xml:space="preserve">114.02</t>
  </si>
  <si>
    <t xml:space="preserve">16437.45</t>
  </si>
  <si>
    <t xml:space="preserve">7.22</t>
  </si>
  <si>
    <t xml:space="preserve">16444.67</t>
  </si>
  <si>
    <t xml:space="preserve">135.70</t>
  </si>
  <si>
    <t xml:space="preserve">16580.37</t>
  </si>
  <si>
    <t xml:space="preserve">TMP1G86</t>
  </si>
  <si>
    <t xml:space="preserve">R9645</t>
  </si>
  <si>
    <t xml:space="preserve">WELLINGTON CESAR SANTOS DO NASCIMENTO - 40355764504, VALDIR MENEZES DOS SANTOS - 69682968534, JOSENILDO DE JESUS - 00195418565</t>
  </si>
  <si>
    <t xml:space="preserve">507.73</t>
  </si>
  <si>
    <t xml:space="preserve">174.21 L</t>
  </si>
  <si>
    <t xml:space="preserve">122191.34</t>
  </si>
  <si>
    <t xml:space="preserve">122699.07</t>
  </si>
  <si>
    <t xml:space="preserve">SERGIO EDUARDO NEVES DA SILVA - 47600560500, WELLINGTON CESAR SANTOS DO NASCIMENTO - 40355764504, MARCOS SILVA PEREIRA - 05102335545</t>
  </si>
  <si>
    <t xml:space="preserve">811.43</t>
  </si>
  <si>
    <t xml:space="preserve">246.39 L</t>
  </si>
  <si>
    <t xml:space="preserve">3.29 Km/L</t>
  </si>
  <si>
    <t xml:space="preserve">122699.98</t>
  </si>
  <si>
    <t xml:space="preserve">123511.41</t>
  </si>
  <si>
    <t xml:space="preserve">SERGIO EDUARDO NEVES DA SILVA - 47600560500, JOSENILDO DE JESUS - 00195418565, CLODOALDO DOS SANTOS PINHEIRO - 00832134570</t>
  </si>
  <si>
    <t xml:space="preserve">530.29</t>
  </si>
  <si>
    <t xml:space="preserve">181.97 L</t>
  </si>
  <si>
    <t xml:space="preserve">124041.70</t>
  </si>
  <si>
    <t xml:space="preserve">JOSENILDO DE JESUS - 00195418565, CLERISTON ROCHA DA SILVA - 83127283504, MARCOS SILVA PEREIRA - 05102335545, CLODOALDO DOS SANTOS PINHEIRO - 00832134570</t>
  </si>
  <si>
    <t xml:space="preserve">790.02</t>
  </si>
  <si>
    <t xml:space="preserve">235.91 L</t>
  </si>
  <si>
    <t xml:space="preserve">124043.15</t>
  </si>
  <si>
    <t xml:space="preserve">124833.16</t>
  </si>
  <si>
    <t xml:space="preserve">MAURICIO OLIVEIRA FREITAS - 97646849553</t>
  </si>
  <si>
    <t xml:space="preserve">446.84</t>
  </si>
  <si>
    <t xml:space="preserve">138.40 L</t>
  </si>
  <si>
    <t xml:space="preserve">125280.00</t>
  </si>
  <si>
    <t xml:space="preserve">SERGIO EDUARDO NEVES DA SILVA - 47600560500, VALDIR MENEZES DOS SANTOS - 69682968534, MICHAEL MARTINS DOS SANTOS - 85796744500, RICARDO DE JESUS LOPES - 04936290505</t>
  </si>
  <si>
    <t xml:space="preserve">535.30</t>
  </si>
  <si>
    <t xml:space="preserve">171.12 L</t>
  </si>
  <si>
    <t xml:space="preserve">125815.30</t>
  </si>
  <si>
    <t xml:space="preserve">SERGIO EDUARDO NEVES DA SILVA - 47600560500, WELLINGTON CESAR SANTOS DO NASCIMENTO - 40355764504</t>
  </si>
  <si>
    <t xml:space="preserve">785.22</t>
  </si>
  <si>
    <t xml:space="preserve">244.06 L</t>
  </si>
  <si>
    <t xml:space="preserve">125816.17</t>
  </si>
  <si>
    <t xml:space="preserve">126601.39</t>
  </si>
  <si>
    <t xml:space="preserve">TMP8A86</t>
  </si>
  <si>
    <t xml:space="preserve">R9705</t>
  </si>
  <si>
    <t xml:space="preserve">ROQUE AQUINO LINS - 02750656850</t>
  </si>
  <si>
    <t xml:space="preserve">65.12</t>
  </si>
  <si>
    <t xml:space="preserve">17.06 L</t>
  </si>
  <si>
    <t xml:space="preserve">10482.71</t>
  </si>
  <si>
    <t xml:space="preserve">10547.83</t>
  </si>
  <si>
    <t xml:space="preserve">66.90</t>
  </si>
  <si>
    <t xml:space="preserve">24.44 L</t>
  </si>
  <si>
    <t xml:space="preserve">10614.73</t>
  </si>
  <si>
    <t xml:space="preserve">69.12</t>
  </si>
  <si>
    <t xml:space="preserve">17.20 L</t>
  </si>
  <si>
    <t xml:space="preserve">4.02 Km/L</t>
  </si>
  <si>
    <t xml:space="preserve">10683.85</t>
  </si>
  <si>
    <t xml:space="preserve">65.27</t>
  </si>
  <si>
    <t xml:space="preserve">17.77 L</t>
  </si>
  <si>
    <t xml:space="preserve">3.67 Km/L</t>
  </si>
  <si>
    <t xml:space="preserve">10749.12</t>
  </si>
  <si>
    <t xml:space="preserve">2.05</t>
  </si>
  <si>
    <t xml:space="preserve">0.83 L</t>
  </si>
  <si>
    <t xml:space="preserve">10751.17</t>
  </si>
  <si>
    <t xml:space="preserve">63.96</t>
  </si>
  <si>
    <t xml:space="preserve">16.09 L</t>
  </si>
  <si>
    <t xml:space="preserve">10815.12</t>
  </si>
  <si>
    <t xml:space="preserve">TMP3G08</t>
  </si>
  <si>
    <t xml:space="preserve">R9735</t>
  </si>
  <si>
    <t xml:space="preserve">103.74</t>
  </si>
  <si>
    <t xml:space="preserve">25.09 L</t>
  </si>
  <si>
    <t xml:space="preserve">14026.11</t>
  </si>
  <si>
    <t xml:space="preserve">14129.85</t>
  </si>
  <si>
    <t xml:space="preserve">97.29</t>
  </si>
  <si>
    <t xml:space="preserve">23.90 L</t>
  </si>
  <si>
    <t xml:space="preserve">14227.14</t>
  </si>
  <si>
    <t xml:space="preserve">86.01</t>
  </si>
  <si>
    <t xml:space="preserve">18.12 L</t>
  </si>
  <si>
    <t xml:space="preserve">4.75 Km/L</t>
  </si>
  <si>
    <t xml:space="preserve">14313.15</t>
  </si>
  <si>
    <t xml:space="preserve">96.66</t>
  </si>
  <si>
    <t xml:space="preserve">18.38 L</t>
  </si>
  <si>
    <t xml:space="preserve">5.26 Km/L</t>
  </si>
  <si>
    <t xml:space="preserve">14409.81</t>
  </si>
  <si>
    <t xml:space="preserve">JOAO DA SILVA OLIVEIRA - 78306922549, Fabio Fernandes ferraz - 83248609591</t>
  </si>
  <si>
    <t xml:space="preserve">1.92</t>
  </si>
  <si>
    <t xml:space="preserve">14411.73</t>
  </si>
  <si>
    <t xml:space="preserve">93.93</t>
  </si>
  <si>
    <t xml:space="preserve">23.91 L</t>
  </si>
  <si>
    <t xml:space="preserve">3.93 Km/L</t>
  </si>
  <si>
    <t xml:space="preserve">14505.66</t>
  </si>
  <si>
    <t xml:space="preserve">TMP0J31</t>
  </si>
  <si>
    <t xml:space="preserve">R9575</t>
  </si>
  <si>
    <t xml:space="preserve">ODAIR JOSE SANTOS - 62959999487, GLEIILSON ALVES GUIMARAES FILHO - 05418426508, NEILSON DA HORA TERRA NOVA - 35882450578</t>
  </si>
  <si>
    <t xml:space="preserve">150.14 L</t>
  </si>
  <si>
    <t xml:space="preserve">Rua Eloi Ribeiro</t>
  </si>
  <si>
    <t xml:space="preserve">9354440.96</t>
  </si>
  <si>
    <t xml:space="preserve">ALEX ALVES DO NASCIMENTO - 72910607534, HERMES PINHEIRO NETO - 44303978485</t>
  </si>
  <si>
    <t xml:space="preserve">128.71 L</t>
  </si>
  <si>
    <t xml:space="preserve">EDMILSON ALVES DE JESUS - 50917099591, ELIAS DA SILVA - 78798426591, Paulo Santos - 78111609515</t>
  </si>
  <si>
    <t xml:space="preserve">48.07 L</t>
  </si>
  <si>
    <t xml:space="preserve">EDNALDO FERREIRA SOUSA - 78104726587, VALDJORGE CONCEICAO SAO PEDRO - 50750500506</t>
  </si>
  <si>
    <t xml:space="preserve">40.79 L</t>
  </si>
  <si>
    <t xml:space="preserve">Diego Cardoso Da Conceicao - 03452091503, DEUSDEDIT JOSE RODRIGUES - 39557880325, ODAIR JOSE SANTOS - 62959999487, ARNOBIO CORREIA DOS PASSOS - 00249711540</t>
  </si>
  <si>
    <t xml:space="preserve">167.85 L</t>
  </si>
  <si>
    <t xml:space="preserve">Avenida Cheffy Khoury</t>
  </si>
  <si>
    <t xml:space="preserve">JOSE ACACIO FERREIRA FIGUEIREDO - 58429352520, RICARDO SILVA DOS SANTOS - 81772629553, EDNALDO ALEXANDRINO ALVES - 88019829504, Anselmo Dias De Souza - 00767389492</t>
  </si>
  <si>
    <t xml:space="preserve">161.23 L</t>
  </si>
  <si>
    <t xml:space="preserve">TMP7A15</t>
  </si>
  <si>
    <t xml:space="preserve">R9615</t>
  </si>
  <si>
    <t xml:space="preserve">MARIO MENEZES DOS SANTOS - 55953638515, ANSELMO DE JESUS SOUZA - 90545419549, VALDJORGE CONCEICAO SAO PEDRO - 50750500506, ROGERIO BARBOSA DE CASTRO - 91996040510</t>
  </si>
  <si>
    <t xml:space="preserve">533.53</t>
  </si>
  <si>
    <t xml:space="preserve">163.02 L</t>
  </si>
  <si>
    <t xml:space="preserve">63183.15</t>
  </si>
  <si>
    <t xml:space="preserve">63716.68</t>
  </si>
  <si>
    <t xml:space="preserve">JOSE AUGUSTO FERREIRA DOS SANTOS - 16354057001, VALDJORGE CONCEICAO SAO PEDRO - 50750500506, ROGERIO BARBOSA DE CASTRO - 91996040510</t>
  </si>
  <si>
    <t xml:space="preserve">539.19</t>
  </si>
  <si>
    <t xml:space="preserve">151.18 L</t>
  </si>
  <si>
    <t xml:space="preserve">3.57 Km/L</t>
  </si>
  <si>
    <t xml:space="preserve">64255.87</t>
  </si>
  <si>
    <t xml:space="preserve">CLEBER DOS SANTOS MIRANDA - 56813279572, JOSE RAIMUNDO VIANA - 67688411572, ANTONIO MARCOS SANTOS DE SOUSA - 95205454504</t>
  </si>
  <si>
    <t xml:space="preserve">533.61</t>
  </si>
  <si>
    <t xml:space="preserve">160.33 L</t>
  </si>
  <si>
    <t xml:space="preserve">64789.47</t>
  </si>
  <si>
    <t xml:space="preserve">ODAIR JOSE SANTOS - 62959999487, ADRIANO SOARES DA SILVA - 30868162876, JOSE RAIMUNDO VIANA - 67688411572, GILZEVAL GONZAGA - 90386833591</t>
  </si>
  <si>
    <t xml:space="preserve">539.60</t>
  </si>
  <si>
    <t xml:space="preserve">156.06 L</t>
  </si>
  <si>
    <t xml:space="preserve">65329.07</t>
  </si>
  <si>
    <t xml:space="preserve">Alex Santos Silva - 85967857524</t>
  </si>
  <si>
    <t xml:space="preserve">533.80</t>
  </si>
  <si>
    <t xml:space="preserve">167.93 L</t>
  </si>
  <si>
    <t xml:space="preserve">65862.87</t>
  </si>
  <si>
    <t xml:space="preserve">352.86</t>
  </si>
  <si>
    <t xml:space="preserve">122.47 L</t>
  </si>
  <si>
    <t xml:space="preserve">66215.73</t>
  </si>
  <si>
    <t xml:space="preserve">TMP3I48</t>
  </si>
  <si>
    <t xml:space="preserve">R9725</t>
  </si>
  <si>
    <t xml:space="preserve">74.59</t>
  </si>
  <si>
    <t xml:space="preserve">18.44 L</t>
  </si>
  <si>
    <t xml:space="preserve">4.05 Km/L</t>
  </si>
  <si>
    <t xml:space="preserve">10213.18</t>
  </si>
  <si>
    <t xml:space="preserve">10287.78</t>
  </si>
  <si>
    <t xml:space="preserve">84.07</t>
  </si>
  <si>
    <t xml:space="preserve">21.49 L</t>
  </si>
  <si>
    <t xml:space="preserve">3.91 Km/L</t>
  </si>
  <si>
    <t xml:space="preserve">10371.85</t>
  </si>
  <si>
    <t xml:space="preserve">82.47</t>
  </si>
  <si>
    <t xml:space="preserve">19.38 L</t>
  </si>
  <si>
    <t xml:space="preserve">4.26 Km/L</t>
  </si>
  <si>
    <t xml:space="preserve">10454.32</t>
  </si>
  <si>
    <t xml:space="preserve">83.09</t>
  </si>
  <si>
    <t xml:space="preserve">23.42 L</t>
  </si>
  <si>
    <t xml:space="preserve">10537.41</t>
  </si>
  <si>
    <t xml:space="preserve">3.74</t>
  </si>
  <si>
    <t xml:space="preserve">1.28 L</t>
  </si>
  <si>
    <t xml:space="preserve">10541.15</t>
  </si>
  <si>
    <t xml:space="preserve">79.45</t>
  </si>
  <si>
    <t xml:space="preserve">19.78 L</t>
  </si>
  <si>
    <t xml:space="preserve">10620.60</t>
  </si>
  <si>
    <t xml:space="preserve">TMP0A64</t>
  </si>
  <si>
    <t xml:space="preserve">R9685</t>
  </si>
  <si>
    <t xml:space="preserve">63.35</t>
  </si>
  <si>
    <t xml:space="preserve">17.92 L</t>
  </si>
  <si>
    <t xml:space="preserve">11047.40</t>
  </si>
  <si>
    <t xml:space="preserve">11110.75</t>
  </si>
  <si>
    <t xml:space="preserve">97.26</t>
  </si>
  <si>
    <t xml:space="preserve">20.59 L</t>
  </si>
  <si>
    <t xml:space="preserve">4.72 Km/L</t>
  </si>
  <si>
    <t xml:space="preserve">11208.01</t>
  </si>
  <si>
    <t xml:space="preserve">51.94</t>
  </si>
  <si>
    <t xml:space="preserve">13.34 L</t>
  </si>
  <si>
    <t xml:space="preserve">3.89 Km/L</t>
  </si>
  <si>
    <t xml:space="preserve">11259.95</t>
  </si>
  <si>
    <t xml:space="preserve">233.52</t>
  </si>
  <si>
    <t xml:space="preserve">53.05 L</t>
  </si>
  <si>
    <t xml:space="preserve">4.40 Km/L</t>
  </si>
  <si>
    <t xml:space="preserve">11259.98</t>
  </si>
  <si>
    <t xml:space="preserve">11493.50</t>
  </si>
  <si>
    <t xml:space="preserve">1.80</t>
  </si>
  <si>
    <t xml:space="preserve">0.61 L</t>
  </si>
  <si>
    <t xml:space="preserve">11495.29</t>
  </si>
  <si>
    <t xml:space="preserve">55.63</t>
  </si>
  <si>
    <t xml:space="preserve">16.06 L</t>
  </si>
  <si>
    <t xml:space="preserve">11550.92</t>
  </si>
  <si>
    <t xml:space="preserve">TMP2A78</t>
  </si>
  <si>
    <t xml:space="preserve">R9715</t>
  </si>
  <si>
    <t xml:space="preserve">WESLEY VIEIRA OLIVEIRA - 05951934559</t>
  </si>
  <si>
    <t xml:space="preserve">139.49</t>
  </si>
  <si>
    <t xml:space="preserve">27.41 L</t>
  </si>
  <si>
    <t xml:space="preserve">5.09 Km/L</t>
  </si>
  <si>
    <t xml:space="preserve">13292.74</t>
  </si>
  <si>
    <t xml:space="preserve">13432.23</t>
  </si>
  <si>
    <t xml:space="preserve">94.16</t>
  </si>
  <si>
    <t xml:space="preserve">20.31 L</t>
  </si>
  <si>
    <t xml:space="preserve">4.64 Km/L</t>
  </si>
  <si>
    <t xml:space="preserve">13526.39</t>
  </si>
  <si>
    <t xml:space="preserve">98.62</t>
  </si>
  <si>
    <t xml:space="preserve">21.67 L</t>
  </si>
  <si>
    <t xml:space="preserve">4.55 Km/L</t>
  </si>
  <si>
    <t xml:space="preserve">13625.01</t>
  </si>
  <si>
    <t xml:space="preserve">94.54</t>
  </si>
  <si>
    <t xml:space="preserve">20.32 L</t>
  </si>
  <si>
    <t xml:space="preserve">4.65 Km/L</t>
  </si>
  <si>
    <t xml:space="preserve">13719.55</t>
  </si>
  <si>
    <t xml:space="preserve">8.09</t>
  </si>
  <si>
    <t xml:space="preserve">2.03 L</t>
  </si>
  <si>
    <t xml:space="preserve">13727.64</t>
  </si>
  <si>
    <t xml:space="preserve">94.09</t>
  </si>
  <si>
    <t xml:space="preserve">21.08 L</t>
  </si>
  <si>
    <t xml:space="preserve">13821.73</t>
  </si>
  <si>
    <t xml:space="preserve">TMP0B40</t>
  </si>
  <si>
    <t xml:space="preserve">R9745</t>
  </si>
  <si>
    <t xml:space="preserve">97.72</t>
  </si>
  <si>
    <t xml:space="preserve">19.92 L</t>
  </si>
  <si>
    <t xml:space="preserve">14975.88</t>
  </si>
  <si>
    <t xml:space="preserve">15073.59</t>
  </si>
  <si>
    <t xml:space="preserve">91.52</t>
  </si>
  <si>
    <t xml:space="preserve">16.25 L</t>
  </si>
  <si>
    <t xml:space="preserve">15165.11</t>
  </si>
  <si>
    <t xml:space="preserve">97.76</t>
  </si>
  <si>
    <t xml:space="preserve">5.36 Km/L</t>
  </si>
  <si>
    <t xml:space="preserve">15262.87</t>
  </si>
  <si>
    <t xml:space="preserve">72.97</t>
  </si>
  <si>
    <t xml:space="preserve">17.39 L</t>
  </si>
  <si>
    <t xml:space="preserve">15335.84</t>
  </si>
  <si>
    <t xml:space="preserve">1.24 L</t>
  </si>
  <si>
    <t xml:space="preserve">15337.89</t>
  </si>
  <si>
    <t xml:space="preserve">91.27</t>
  </si>
  <si>
    <t xml:space="preserve">16.35 L</t>
  </si>
  <si>
    <t xml:space="preserve">5.58 Km/L</t>
  </si>
  <si>
    <t xml:space="preserve">15429.15</t>
  </si>
  <si>
    <t xml:space="preserve">TMP1H63</t>
  </si>
  <si>
    <t xml:space="preserve">R9695</t>
  </si>
  <si>
    <t xml:space="preserve">132.71</t>
  </si>
  <si>
    <t xml:space="preserve">29.03 L</t>
  </si>
  <si>
    <t xml:space="preserve">4.57 Km/L</t>
  </si>
  <si>
    <t xml:space="preserve">Avenida dos Imborés</t>
  </si>
  <si>
    <t xml:space="preserve">13887.07</t>
  </si>
  <si>
    <t xml:space="preserve">14019.78</t>
  </si>
  <si>
    <t xml:space="preserve">121.56</t>
  </si>
  <si>
    <t xml:space="preserve">25.60 L</t>
  </si>
  <si>
    <t xml:space="preserve">14141.34</t>
  </si>
  <si>
    <t xml:space="preserve">127.09</t>
  </si>
  <si>
    <t xml:space="preserve">27.83 L</t>
  </si>
  <si>
    <t xml:space="preserve">14268.43</t>
  </si>
  <si>
    <t xml:space="preserve">125.94</t>
  </si>
  <si>
    <t xml:space="preserve">27.56 L</t>
  </si>
  <si>
    <t xml:space="preserve">14394.36</t>
  </si>
  <si>
    <t xml:space="preserve">1.94</t>
  </si>
  <si>
    <t xml:space="preserve">14396.30</t>
  </si>
  <si>
    <t xml:space="preserve">127.20</t>
  </si>
  <si>
    <t xml:space="preserve">30.72 L</t>
  </si>
  <si>
    <t xml:space="preserve">4.14 Km/L</t>
  </si>
  <si>
    <t xml:space="preserve">14523.50</t>
  </si>
  <si>
    <t xml:space="preserve">TMP4H59</t>
  </si>
  <si>
    <t xml:space="preserve">R9585</t>
  </si>
  <si>
    <t xml:space="preserve">KASSIO SAMPAIO OLIVEIRA ARAGAO - 62050982534, ROMILDO DA CUNHA PESSOA - 40267113404, GERONIMO DOS SANTOS SILVA - 06483914423</t>
  </si>
  <si>
    <t xml:space="preserve">560.34</t>
  </si>
  <si>
    <t xml:space="preserve">157.74 L</t>
  </si>
  <si>
    <t xml:space="preserve">88447.95</t>
  </si>
  <si>
    <t xml:space="preserve">89008.29</t>
  </si>
  <si>
    <t xml:space="preserve">REINALDO SANTOS DA SILVA - 79563007549, Reinaldo Santos da Silva - 79563007549</t>
  </si>
  <si>
    <t xml:space="preserve">111.53</t>
  </si>
  <si>
    <t xml:space="preserve">51.48 L</t>
  </si>
  <si>
    <t xml:space="preserve">89119.82</t>
  </si>
  <si>
    <t xml:space="preserve">Genival Ferreira Ramos - 55968716568, MARIVALDO SILVA SOUZA - 76722015572</t>
  </si>
  <si>
    <t xml:space="preserve">362.45</t>
  </si>
  <si>
    <t xml:space="preserve">112.08 L</t>
  </si>
  <si>
    <t xml:space="preserve">Rua Gregório Almeida</t>
  </si>
  <si>
    <t xml:space="preserve">89482.27</t>
  </si>
  <si>
    <t xml:space="preserve">MARIVALDO SILVA SOUZA - 76722015572</t>
  </si>
  <si>
    <t xml:space="preserve">364.67</t>
  </si>
  <si>
    <t xml:space="preserve">109.47 L</t>
  </si>
  <si>
    <t xml:space="preserve">89846.94</t>
  </si>
  <si>
    <t xml:space="preserve">FLAVIO CESAR ALBERTINO DE SOUZA JUNIOR  - 09922751488</t>
  </si>
  <si>
    <t xml:space="preserve">527.66</t>
  </si>
  <si>
    <t xml:space="preserve">145.56 L</t>
  </si>
  <si>
    <t xml:space="preserve">Avenida da Integração</t>
  </si>
  <si>
    <t xml:space="preserve">90374.60</t>
  </si>
  <si>
    <t xml:space="preserve">ANTONIO CLEILTON EVANGELISTA DE MATOS - 56991207500, FLAVIO CESAR ALBERTINO DE SOUZA JUNIOR  - 09922751488, MARCONDES MANOEL DA SILVA SOUZA - 05375263580, GLEICIANO CICERO DO NASCIMENTO - 03162793580</t>
  </si>
  <si>
    <t xml:space="preserve">540.54</t>
  </si>
  <si>
    <t xml:space="preserve">139.76 L</t>
  </si>
  <si>
    <t xml:space="preserve">3.87 Km/L</t>
  </si>
  <si>
    <t xml:space="preserve">90375.17</t>
  </si>
  <si>
    <t xml:space="preserve">90915.71</t>
  </si>
  <si>
    <t xml:space="preserve">TMP9A60</t>
  </si>
  <si>
    <t xml:space="preserve">R9625</t>
  </si>
  <si>
    <t xml:space="preserve">Everaldo Rosa da Paz - 02329709552, ANTONIO MARCOS SANTOS DE SOUSA - 95205454504</t>
  </si>
  <si>
    <t xml:space="preserve">828.17</t>
  </si>
  <si>
    <t xml:space="preserve">231.93 L</t>
  </si>
  <si>
    <t xml:space="preserve">63768.72</t>
  </si>
  <si>
    <t xml:space="preserve">64596.89</t>
  </si>
  <si>
    <t xml:space="preserve">Everaldo Rosa da Paz - 02329709552, ODAIR JOSE SANTOS - 62959999487, ABIMAEL SANTOS AGUIAR - 81514476568</t>
  </si>
  <si>
    <t xml:space="preserve">135.40</t>
  </si>
  <si>
    <t xml:space="preserve">55.31 L</t>
  </si>
  <si>
    <t xml:space="preserve">64598.39</t>
  </si>
  <si>
    <t xml:space="preserve">64733.78</t>
  </si>
  <si>
    <t xml:space="preserve">SEBASTIAO JOSE SANTOS REBOUCAS - 18193846591, FELIPE DOS SANTOS MARQUES - 03792907585, EUDES INACIO DOS SANTOS - 00295208511</t>
  </si>
  <si>
    <t xml:space="preserve">545.49</t>
  </si>
  <si>
    <t xml:space="preserve">165.21 L</t>
  </si>
  <si>
    <t xml:space="preserve">65279.27</t>
  </si>
  <si>
    <t xml:space="preserve">SEBASTIAO JOSE SANTOS REBOUCAS - 18193846591, EUDES INACIO DOS SANTOS - 00295208511, José Acacio - 79235468515</t>
  </si>
  <si>
    <t xml:space="preserve">794.70</t>
  </si>
  <si>
    <t xml:space="preserve">217.33 L</t>
  </si>
  <si>
    <t xml:space="preserve">66073.97</t>
  </si>
  <si>
    <t xml:space="preserve">José Acacio - 79235468515</t>
  </si>
  <si>
    <t xml:space="preserve">506.64</t>
  </si>
  <si>
    <t xml:space="preserve">143.87 L</t>
  </si>
  <si>
    <t xml:space="preserve">Avenida Domingos Fioravante</t>
  </si>
  <si>
    <t xml:space="preserve">66580.61</t>
  </si>
  <si>
    <t xml:space="preserve">Genival Ferreira Ramos - 55968716568, José Acacio - 79235468515</t>
  </si>
  <si>
    <t xml:space="preserve">791.87</t>
  </si>
  <si>
    <t xml:space="preserve">208.86 L</t>
  </si>
  <si>
    <t xml:space="preserve">66580.63</t>
  </si>
  <si>
    <t xml:space="preserve">67372.50</t>
  </si>
  <si>
    <t xml:space="preserve">TMP7H01</t>
  </si>
  <si>
    <t xml:space="preserve">R9635</t>
  </si>
  <si>
    <t xml:space="preserve">RONALDO REIS SANTOS - 01961868547, MAURICIO OLIVEIRA FREITAS - 97646849553</t>
  </si>
  <si>
    <t xml:space="preserve">824.56</t>
  </si>
  <si>
    <t xml:space="preserve">243.03 L</t>
  </si>
  <si>
    <t xml:space="preserve">122352.29</t>
  </si>
  <si>
    <t xml:space="preserve">123176.85</t>
  </si>
  <si>
    <t xml:space="preserve">GLEISSON CRISTIANO MARTINS PEREIRA - 02021347508, RONALDO REIS SANTOS - 01961868547</t>
  </si>
  <si>
    <t xml:space="preserve">477.62</t>
  </si>
  <si>
    <t xml:space="preserve">145.01 L</t>
  </si>
  <si>
    <t xml:space="preserve">123654.47</t>
  </si>
  <si>
    <t xml:space="preserve">ADRIANO DOS SANTOS FREITAS - 00441842550, ANTONIO MEIRELES DO N NETO - 15585891553, Anderson Ferreira Da Silva  - 01452873518, MARCUS VINICIUS SILVA SANTOS - 01873867573</t>
  </si>
  <si>
    <t xml:space="preserve">544.14</t>
  </si>
  <si>
    <t xml:space="preserve">166.28 L</t>
  </si>
  <si>
    <t xml:space="preserve">124198.61</t>
  </si>
  <si>
    <t xml:space="preserve">ALEX DA PAZ - 34533991025, SERGIO EDUARDO NEVES DA SILVA - 47600560500, JOSENILDO DE JESUS - 00195418565, ELIAS JERONIMO DA SILVA - 45765928404, SILVANO MARTINS GIL - 03844400532</t>
  </si>
  <si>
    <t xml:space="preserve">513.79</t>
  </si>
  <si>
    <t xml:space="preserve">158.34 L</t>
  </si>
  <si>
    <t xml:space="preserve">124712.40</t>
  </si>
  <si>
    <t xml:space="preserve">RICARDO DE JESUS LOPES - 04936290505, JOSENILDO DE JESUS - 00195418565</t>
  </si>
  <si>
    <t xml:space="preserve">915.43</t>
  </si>
  <si>
    <t xml:space="preserve">253.02 L</t>
  </si>
  <si>
    <t xml:space="preserve">Praça Teófilo Otoni</t>
  </si>
  <si>
    <t xml:space="preserve">124713.22</t>
  </si>
  <si>
    <t xml:space="preserve">125628.65</t>
  </si>
  <si>
    <t xml:space="preserve">RICARDO DE JESUS LOPES - 04936290505, TIAGO SANTOS GUIMARAES - 17089079635, MAURICIO OLIVEIRA FREITAS - 97646849553</t>
  </si>
  <si>
    <t xml:space="preserve">557.11</t>
  </si>
  <si>
    <t xml:space="preserve">157.37 L</t>
  </si>
  <si>
    <t xml:space="preserve">126185.76</t>
  </si>
  <si>
    <t xml:space="preserve">SERGIO EDUARDO NEVES DA SILVA - 47600560500, RICARDO DE JESUS LOPES - 04936290505, MAURICIO OLIVEIRA FREITAS - 97646849553</t>
  </si>
  <si>
    <t xml:space="preserve">516.22</t>
  </si>
  <si>
    <t xml:space="preserve">154.03 L</t>
  </si>
  <si>
    <t xml:space="preserve">126701.97</t>
  </si>
  <si>
    <t xml:space="preserve">TMP4A87</t>
  </si>
  <si>
    <t xml:space="preserve">R9675</t>
  </si>
  <si>
    <t xml:space="preserve">0.16</t>
  </si>
  <si>
    <t xml:space="preserve">0.98 Km/L</t>
  </si>
  <si>
    <t xml:space="preserve">12468.09</t>
  </si>
  <si>
    <t xml:space="preserve">12468.25</t>
  </si>
  <si>
    <t xml:space="preserve">1.55</t>
  </si>
  <si>
    <t xml:space="preserve">1.23 L</t>
  </si>
  <si>
    <t xml:space="preserve">1.26 Km/L</t>
  </si>
  <si>
    <t xml:space="preserve">12469.80</t>
  </si>
  <si>
    <t xml:space="preserve">NATALICIO DA SILVA SANTOS - 02133088512</t>
  </si>
  <si>
    <t xml:space="preserve">162.91</t>
  </si>
  <si>
    <t xml:space="preserve">40.26 L</t>
  </si>
  <si>
    <t xml:space="preserve">12632.71</t>
  </si>
  <si>
    <t xml:space="preserve">102.46</t>
  </si>
  <si>
    <t xml:space="preserve">27.01 L</t>
  </si>
  <si>
    <t xml:space="preserve">12735.17</t>
  </si>
  <si>
    <t xml:space="preserve">1.90</t>
  </si>
  <si>
    <t xml:space="preserve">0.80 L</t>
  </si>
  <si>
    <t xml:space="preserve">12737.07</t>
  </si>
  <si>
    <t xml:space="preserve">90.91</t>
  </si>
  <si>
    <t xml:space="preserve">24.43 L</t>
  </si>
  <si>
    <t xml:space="preserve">12827.98</t>
  </si>
  <si>
    <t xml:space="preserve">TMP2J53</t>
  </si>
  <si>
    <t xml:space="preserve">R9605</t>
  </si>
  <si>
    <t xml:space="preserve">LEVI FRANCA DE SOUZA - 27526925520</t>
  </si>
  <si>
    <t xml:space="preserve">338.44</t>
  </si>
  <si>
    <t xml:space="preserve">100.60 L</t>
  </si>
  <si>
    <t xml:space="preserve">63933.05</t>
  </si>
  <si>
    <t xml:space="preserve">64271.49</t>
  </si>
  <si>
    <t xml:space="preserve">CARLOS ALBERTO DE SANTANA DOS SANTOS - 65042689591</t>
  </si>
  <si>
    <t xml:space="preserve">209.30</t>
  </si>
  <si>
    <t xml:space="preserve">60.47 L</t>
  </si>
  <si>
    <t xml:space="preserve">64480.79</t>
  </si>
  <si>
    <t xml:space="preserve">336.08</t>
  </si>
  <si>
    <t xml:space="preserve">85.70 L</t>
  </si>
  <si>
    <t xml:space="preserve">3.92 Km/L</t>
  </si>
  <si>
    <t xml:space="preserve">64480.82</t>
  </si>
  <si>
    <t xml:space="preserve">64816.89</t>
  </si>
  <si>
    <t xml:space="preserve">EDNALDO FERREIRA SOUSA - 78104726587, GILZEVAL GONZAGA - 90386833591</t>
  </si>
  <si>
    <t xml:space="preserve">210.49</t>
  </si>
  <si>
    <t xml:space="preserve">78.91 L</t>
  </si>
  <si>
    <t xml:space="preserve">65027.39</t>
  </si>
  <si>
    <t xml:space="preserve">JOAO DA SILVA OLIVEIRA - 78306922549, SEBASTIAO JOSE SANTOS REBOUCAS - 18193846591, EUDES INACIO DOS SANTOS - 00295208511</t>
  </si>
  <si>
    <t xml:space="preserve">544.98</t>
  </si>
  <si>
    <t xml:space="preserve">65572.37</t>
  </si>
  <si>
    <t xml:space="preserve">Denes Leal de Oliveira - 78955211520</t>
  </si>
  <si>
    <t xml:space="preserve">92.52</t>
  </si>
  <si>
    <t xml:space="preserve">27.86 L</t>
  </si>
  <si>
    <t xml:space="preserve">65664.89</t>
  </si>
  <si>
    <t xml:space="preserve">TMP1F94</t>
  </si>
  <si>
    <t xml:space="preserve">R9765</t>
  </si>
  <si>
    <t xml:space="preserve">LEVI FRANCA DE SOUZA - 27526925520, WELDER DE SOUZA CARDOSO - 05738241509</t>
  </si>
  <si>
    <t xml:space="preserve">90.27</t>
  </si>
  <si>
    <t xml:space="preserve">24.14 L</t>
  </si>
  <si>
    <t xml:space="preserve">15219.26</t>
  </si>
  <si>
    <t xml:space="preserve">15309.53</t>
  </si>
  <si>
    <t xml:space="preserve">95.27</t>
  </si>
  <si>
    <t xml:space="preserve">15404.79</t>
  </si>
  <si>
    <t xml:space="preserve">0.72 Km/L</t>
  </si>
  <si>
    <t xml:space="preserve">15404.89</t>
  </si>
  <si>
    <t xml:space="preserve">400.48</t>
  </si>
  <si>
    <t xml:space="preserve">81.87 L</t>
  </si>
  <si>
    <t xml:space="preserve">4.89 Km/L</t>
  </si>
  <si>
    <t xml:space="preserve">Avenida Manoel Novaes</t>
  </si>
  <si>
    <t xml:space="preserve">15805.37</t>
  </si>
  <si>
    <t xml:space="preserve">0.26 L</t>
  </si>
  <si>
    <t xml:space="preserve">0.07 L</t>
  </si>
  <si>
    <t xml:space="preserve">1.23 Km/L</t>
  </si>
  <si>
    <t xml:space="preserve">15805.46</t>
  </si>
  <si>
    <t xml:space="preserve">TMP5F64</t>
  </si>
  <si>
    <t xml:space="preserve">R9595</t>
  </si>
  <si>
    <t xml:space="preserve">JOSE ROBERTO SOUSA DE JESUS - 02681251559, ANTONIO BATISTA DE SOUZA - 68082274549, Anselmo Dias De Souza - 00767389492</t>
  </si>
  <si>
    <t xml:space="preserve">810.94</t>
  </si>
  <si>
    <t xml:space="preserve">229.41 L</t>
  </si>
  <si>
    <t xml:space="preserve">Avenida José Renato Abreu Campos</t>
  </si>
  <si>
    <t xml:space="preserve">60468.15</t>
  </si>
  <si>
    <t xml:space="preserve">61279.08</t>
  </si>
  <si>
    <t xml:space="preserve">JOSE ROBERTO SOUSA DE JESUS - 02681251559, ANTONIO BATISTA DE SOUZA - 68082274549</t>
  </si>
  <si>
    <t xml:space="preserve">470.10</t>
  </si>
  <si>
    <t xml:space="preserve">130.35 L</t>
  </si>
  <si>
    <t xml:space="preserve">61749.18</t>
  </si>
  <si>
    <t xml:space="preserve">Genival Ferreira Ramos - 55968716568, JOAO CARLOS SOUZA DE JESUS - 27559564534</t>
  </si>
  <si>
    <t xml:space="preserve">89.79</t>
  </si>
  <si>
    <t xml:space="preserve">33.53 L</t>
  </si>
  <si>
    <t xml:space="preserve">BA-512</t>
  </si>
  <si>
    <t xml:space="preserve">61838.97</t>
  </si>
  <si>
    <t xml:space="preserve">Genival Ferreira Ramos - 55968716568, Igor Costa Requião dos Santos - 01864758538, GILZEVAL GONZAGA - 90386833591</t>
  </si>
  <si>
    <t xml:space="preserve">181.09</t>
  </si>
  <si>
    <t xml:space="preserve">58.30 L</t>
  </si>
  <si>
    <t xml:space="preserve">62020.06</t>
  </si>
  <si>
    <t xml:space="preserve">Igor Costa Requião dos Santos - 01864758538</t>
  </si>
  <si>
    <t xml:space="preserve">512.65</t>
  </si>
  <si>
    <t xml:space="preserve">144.27 L</t>
  </si>
  <si>
    <t xml:space="preserve">62020.79</t>
  </si>
  <si>
    <t xml:space="preserve">62533.44</t>
  </si>
  <si>
    <t xml:space="preserve">Gilcimar Jesus de Paula - 03950339507, Igor Costa Requião dos Santos - 01864758538</t>
  </si>
  <si>
    <t xml:space="preserve">856.07</t>
  </si>
  <si>
    <t xml:space="preserve">220.66 L</t>
  </si>
  <si>
    <t xml:space="preserve">62534.81</t>
  </si>
  <si>
    <t xml:space="preserve">63390.85</t>
  </si>
  <si>
    <t xml:space="preserve">TMP6E39</t>
  </si>
  <si>
    <t xml:space="preserve">R9665</t>
  </si>
  <si>
    <t xml:space="preserve">GLEISSON CRISTIANO MARTINS PEREIRA - 02021347508, WELLINGTON CESAR SANTOS DO NASCIMENTO - 40355764504</t>
  </si>
  <si>
    <t xml:space="preserve">816.43</t>
  </si>
  <si>
    <t xml:space="preserve">233.25 L</t>
  </si>
  <si>
    <t xml:space="preserve">107675.46</t>
  </si>
  <si>
    <t xml:space="preserve">108491.89</t>
  </si>
  <si>
    <t xml:space="preserve">JOSE MARCIO SILVA - 91678463515, MARCUS VINICIUS SILVA SANTOS - 01873867573</t>
  </si>
  <si>
    <t xml:space="preserve">96.10</t>
  </si>
  <si>
    <t xml:space="preserve">33.09 L</t>
  </si>
  <si>
    <t xml:space="preserve">108587.99</t>
  </si>
  <si>
    <t xml:space="preserve">GLEISSON CRISTIANO MARTINS PEREIRA - 02021347508, ELESBAO ALVES LEAO NETO - 02250711500</t>
  </si>
  <si>
    <t xml:space="preserve">789.29</t>
  </si>
  <si>
    <t xml:space="preserve">226.65 L</t>
  </si>
  <si>
    <t xml:space="preserve">108589.52</t>
  </si>
  <si>
    <t xml:space="preserve">109378.82</t>
  </si>
  <si>
    <t xml:space="preserve">PEDRO APOSTOLO EVANGELISTA - 26808145504</t>
  </si>
  <si>
    <t xml:space="preserve">42.17</t>
  </si>
  <si>
    <t xml:space="preserve">22.83 L</t>
  </si>
  <si>
    <t xml:space="preserve">1.85 Km/L</t>
  </si>
  <si>
    <t xml:space="preserve">109378.84</t>
  </si>
  <si>
    <t xml:space="preserve">109421.00</t>
  </si>
  <si>
    <t xml:space="preserve">Luan Santos Lina - 09225898525, ELTON ALMEIDA DA SILVA - 92384471520</t>
  </si>
  <si>
    <t xml:space="preserve">101.04</t>
  </si>
  <si>
    <t xml:space="preserve">35.95 L</t>
  </si>
  <si>
    <t xml:space="preserve">109522.04</t>
  </si>
  <si>
    <t xml:space="preserve">TMP4E96</t>
  </si>
  <si>
    <t xml:space="preserve">R9655</t>
  </si>
  <si>
    <t xml:space="preserve">PAULO ROBERTO GARCIA DA SILVA - 05472412595, VALDIR MENEZES DOS SANTOS - 69682968534</t>
  </si>
  <si>
    <t xml:space="preserve">127.85</t>
  </si>
  <si>
    <t xml:space="preserve">37.26 L</t>
  </si>
  <si>
    <t xml:space="preserve">118919.64</t>
  </si>
  <si>
    <t xml:space="preserve">119047.50</t>
  </si>
  <si>
    <t xml:space="preserve">VALDIR MENEZES DOS SANTOS - 69682968534, JOSENILDO DE JESUS - 00195418565</t>
  </si>
  <si>
    <t xml:space="preserve">792.50</t>
  </si>
  <si>
    <t xml:space="preserve">231.16 L</t>
  </si>
  <si>
    <t xml:space="preserve">119048.52</t>
  </si>
  <si>
    <t xml:space="preserve">119841.01</t>
  </si>
  <si>
    <t xml:space="preserve">GLEISSON CRISTIANO MARTINS PEREIRA - 02021347508, MARCOS SILVA PEREIRA - 05102335545</t>
  </si>
  <si>
    <t xml:space="preserve">506.95</t>
  </si>
  <si>
    <t xml:space="preserve">155.10 L</t>
  </si>
  <si>
    <t xml:space="preserve">120347.96</t>
  </si>
  <si>
    <t xml:space="preserve">GLEISSON CRISTIANO MARTINS PEREIRA - 02021347508, WELLINGTON CESAR SANTOS DO NASCIMENTO - 40355764504, EDSON RIBEIRO BATISTA SANTOS - 03640303563, EDENILSON GALDINO DOS SANTOS - 00707437547, RAIMUNDO JOSE DE OLIVEIRA NUNES - 65617754572, ELTON ALMEIDA DA SILVA - 92384471520</t>
  </si>
  <si>
    <t xml:space="preserve">826.11</t>
  </si>
  <si>
    <t xml:space="preserve">239.93 L</t>
  </si>
  <si>
    <t xml:space="preserve">120348.94</t>
  </si>
  <si>
    <t xml:space="preserve">121175.05</t>
  </si>
  <si>
    <t xml:space="preserve">442.36</t>
  </si>
  <si>
    <t xml:space="preserve">133.58 L</t>
  </si>
  <si>
    <t xml:space="preserve">121617.41</t>
  </si>
  <si>
    <t xml:space="preserve">WELLINGTON CESAR SANTOS DO NASCIMENTO - 40355764504, VALDIR MENEZES DOS SANTOS - 69682968534</t>
  </si>
  <si>
    <t xml:space="preserve">503.02</t>
  </si>
  <si>
    <t xml:space="preserve">142.75 L</t>
  </si>
  <si>
    <t xml:space="preserve">122120.42</t>
  </si>
  <si>
    <t xml:space="preserve">821.32</t>
  </si>
  <si>
    <t xml:space="preserve">246.52 L</t>
  </si>
  <si>
    <t xml:space="preserve">122120.60</t>
  </si>
  <si>
    <t xml:space="preserve">122941.92</t>
  </si>
  <si>
    <t xml:space="preserve">TMP2A40</t>
  </si>
  <si>
    <t xml:space="preserve">R9755</t>
  </si>
  <si>
    <t xml:space="preserve">65.58</t>
  </si>
  <si>
    <t xml:space="preserve">14.80 L</t>
  </si>
  <si>
    <t xml:space="preserve">10338.44</t>
  </si>
  <si>
    <t xml:space="preserve">10404.02</t>
  </si>
  <si>
    <t xml:space="preserve">97.51</t>
  </si>
  <si>
    <t xml:space="preserve">22.69 L</t>
  </si>
  <si>
    <t xml:space="preserve">10501.53</t>
  </si>
  <si>
    <t xml:space="preserve">65.56</t>
  </si>
  <si>
    <t xml:space="preserve">4.10 Km/L</t>
  </si>
  <si>
    <t xml:space="preserve">10567.09</t>
  </si>
  <si>
    <t xml:space="preserve">67.92</t>
  </si>
  <si>
    <t xml:space="preserve">16.59 L</t>
  </si>
  <si>
    <t xml:space="preserve">4.09 Km/L</t>
  </si>
  <si>
    <t xml:space="preserve">10635.01</t>
  </si>
  <si>
    <t xml:space="preserve">2.09</t>
  </si>
  <si>
    <t xml:space="preserve">0.70 L</t>
  </si>
  <si>
    <t xml:space="preserve">10637.10</t>
  </si>
  <si>
    <t xml:space="preserve">69.90</t>
  </si>
  <si>
    <t xml:space="preserve">17.33 L</t>
  </si>
  <si>
    <t xml:space="preserve">4.03 Km/L</t>
  </si>
  <si>
    <t xml:space="preserve">10706.99</t>
  </si>
  <si>
    <t xml:space="preserve">TML1D40</t>
  </si>
  <si>
    <t xml:space="preserve">Z8E9AF4B1</t>
  </si>
  <si>
    <t xml:space="preserve">19147.00</t>
  </si>
  <si>
    <t xml:space="preserve">19147.14</t>
  </si>
  <si>
    <t xml:space="preserve">R10745</t>
  </si>
  <si>
    <t xml:space="preserve">GIDALVO ALMEIDA SOUSA - 01973497573, ALDAIR RIBEIRO DOS SANTOS - 08634090590</t>
  </si>
  <si>
    <t xml:space="preserve">141.46</t>
  </si>
  <si>
    <t xml:space="preserve">19288.61</t>
  </si>
  <si>
    <t xml:space="preserve">THB8F08</t>
  </si>
  <si>
    <t xml:space="preserve">Z8B317B92</t>
  </si>
  <si>
    <t xml:space="preserve">64608.00</t>
  </si>
  <si>
    <t xml:space="preserve">R10615</t>
  </si>
  <si>
    <t xml:space="preserve">150.82</t>
  </si>
  <si>
    <t xml:space="preserve">64758.82</t>
  </si>
  <si>
    <t xml:space="preserve">THB4G48</t>
  </si>
  <si>
    <t xml:space="preserve">ZA78F3AE2</t>
  </si>
  <si>
    <t xml:space="preserve">49979.00</t>
  </si>
  <si>
    <t xml:space="preserve">49979.10</t>
  </si>
  <si>
    <t xml:space="preserve">R10605</t>
  </si>
  <si>
    <t xml:space="preserve">222.82</t>
  </si>
  <si>
    <t xml:space="preserve">50201.92</t>
  </si>
  <si>
    <t xml:space="preserve">THB1G58</t>
  </si>
  <si>
    <t xml:space="preserve">Z8DFB6659</t>
  </si>
  <si>
    <t xml:space="preserve">56784.00</t>
  </si>
  <si>
    <t xml:space="preserve">56784.10</t>
  </si>
  <si>
    <t xml:space="preserve">R10625</t>
  </si>
  <si>
    <t xml:space="preserve">RAMON BOTELHO DE PRADO - 05795819506</t>
  </si>
  <si>
    <t xml:space="preserve">80.45</t>
  </si>
  <si>
    <t xml:space="preserve">56864.54</t>
  </si>
  <si>
    <t xml:space="preserve">TMM9J71</t>
  </si>
  <si>
    <t xml:space="preserve">ZFD235BDC</t>
  </si>
  <si>
    <t xml:space="preserve">Avenida Itambé</t>
  </si>
  <si>
    <t xml:space="preserve">25646.00</t>
  </si>
  <si>
    <t xml:space="preserve">R10875</t>
  </si>
  <si>
    <t xml:space="preserve">203.12</t>
  </si>
  <si>
    <t xml:space="preserve">25849.12</t>
  </si>
  <si>
    <t xml:space="preserve">TML5A60</t>
  </si>
  <si>
    <t xml:space="preserve">Z3FA584AD</t>
  </si>
  <si>
    <t xml:space="preserve">25021.00</t>
  </si>
  <si>
    <t xml:space="preserve">R10785</t>
  </si>
  <si>
    <t xml:space="preserve">77.48</t>
  </si>
  <si>
    <t xml:space="preserve">25098.48</t>
  </si>
  <si>
    <t xml:space="preserve">THH6B60</t>
  </si>
  <si>
    <t xml:space="preserve">Z6C5F3A44</t>
  </si>
  <si>
    <t xml:space="preserve">39137.00</t>
  </si>
  <si>
    <t xml:space="preserve">R10705</t>
  </si>
  <si>
    <t xml:space="preserve">GIDALVO ALMEIDA SOUSA - 01973497573, TANIA CARLOS BASTOS ANDRADE - 95417389587</t>
  </si>
  <si>
    <t xml:space="preserve">280.42</t>
  </si>
  <si>
    <t xml:space="preserve">39417.42</t>
  </si>
  <si>
    <t xml:space="preserve">TMM2B16</t>
  </si>
  <si>
    <t xml:space="preserve">Z95B7D70A</t>
  </si>
  <si>
    <t xml:space="preserve">20707.00</t>
  </si>
  <si>
    <t xml:space="preserve">R10855</t>
  </si>
  <si>
    <t xml:space="preserve">152.87</t>
  </si>
  <si>
    <t xml:space="preserve">20859.87</t>
  </si>
  <si>
    <t xml:space="preserve">FROTA BASE</t>
  </si>
  <si>
    <t xml:space="preserve">Prefixo</t>
  </si>
  <si>
    <t xml:space="preserve">Placa</t>
  </si>
  <si>
    <t xml:space="preserve">Empresa</t>
  </si>
  <si>
    <t xml:space="preserve">Tipo</t>
  </si>
  <si>
    <t xml:space="preserve">FB</t>
  </si>
  <si>
    <t xml:space="preserve">Ano</t>
  </si>
  <si>
    <t xml:space="preserve">Unidade Operacional</t>
  </si>
  <si>
    <t xml:space="preserve">SETOR OU NOP</t>
  </si>
  <si>
    <t xml:space="preserve">Linha</t>
  </si>
  <si>
    <t xml:space="preserve">ROTA  </t>
  </si>
  <si>
    <t xml:space="preserve">ÔNIBUS</t>
  </si>
  <si>
    <t xml:space="preserve">MBB</t>
  </si>
  <si>
    <t xml:space="preserve">RT/Itabuna</t>
  </si>
  <si>
    <t xml:space="preserve">ITABUNA</t>
  </si>
  <si>
    <t xml:space="preserve">ITABUNA X CONQUISTA X ITAPENGA X CANES</t>
  </si>
  <si>
    <t xml:space="preserve">Volvo</t>
  </si>
  <si>
    <t xml:space="preserve">CONQUISTA</t>
  </si>
  <si>
    <t xml:space="preserve">ESCOLAR EM VIT. DA CONQUISTA ( 1050 R )</t>
  </si>
  <si>
    <t xml:space="preserve">ITABUNA / PAU BRASIL IRIZAR R</t>
  </si>
  <si>
    <t xml:space="preserve">RESERVA ITABUNA (OF) - VOLVO</t>
  </si>
  <si>
    <t xml:space="preserve">MINA NACIONAL GRAFITE - PEDRA AZUL - MG</t>
  </si>
  <si>
    <t xml:space="preserve">R10345</t>
  </si>
  <si>
    <t xml:space="preserve">PJT1670</t>
  </si>
  <si>
    <t xml:space="preserve">ILHÉUS</t>
  </si>
  <si>
    <t xml:space="preserve">HOTEL - CANABRAVA ILHÉUS (1200 RS)</t>
  </si>
  <si>
    <t xml:space="preserve">PJT0511</t>
  </si>
  <si>
    <t xml:space="preserve">PJT7012</t>
  </si>
  <si>
    <t xml:space="preserve">R10385</t>
  </si>
  <si>
    <t xml:space="preserve">PKC5996</t>
  </si>
  <si>
    <t xml:space="preserve">HOTEL - CANABRAVA ILHÉUS 1200 B310R</t>
  </si>
  <si>
    <t xml:space="preserve">RESERVA ITABUNA 1200 B310R</t>
  </si>
  <si>
    <t xml:space="preserve">ESCOLAR EM VIT. DA CONQUISTA (DIANTEIRO) - MB</t>
  </si>
  <si>
    <t xml:space="preserve">RESERVA ITABUNA</t>
  </si>
  <si>
    <t xml:space="preserve">ILHÉUS / BANCO CENTRAL</t>
  </si>
  <si>
    <t xml:space="preserve">OZG5113</t>
  </si>
  <si>
    <t xml:space="preserve">ESCOLAR EM VIT. DA CONQUISTA (OF) - VOLVO</t>
  </si>
  <si>
    <t xml:space="preserve">RESERVA EM ITABUNA</t>
  </si>
  <si>
    <t xml:space="preserve">RESERVA ITABUNA - URBANO</t>
  </si>
  <si>
    <t xml:space="preserve">ITABUNA / SALOBRINHO - ESTUDANTIL</t>
  </si>
  <si>
    <t xml:space="preserve">A SERVIÇO DA TRIFIL ( CAMPO VERDE )</t>
  </si>
  <si>
    <t xml:space="preserve">PJK7178</t>
  </si>
  <si>
    <t xml:space="preserve">A SERVIÇO DA JOANES / ILHÉUS</t>
  </si>
  <si>
    <t xml:space="preserve">ITABUNA / ITAJU DO COLÔNIA</t>
  </si>
  <si>
    <t xml:space="preserve">R6765</t>
  </si>
  <si>
    <t xml:space="preserve">NZO1912</t>
  </si>
  <si>
    <t xml:space="preserve">ITABUNA / URUÇUCA - C/ CATRACA</t>
  </si>
  <si>
    <t xml:space="preserve">NZO4523</t>
  </si>
  <si>
    <t xml:space="preserve">RESERVA OLIVENÇA - C/ CATRACA</t>
  </si>
  <si>
    <t xml:space="preserve">ILHÉUS / COLÔNIA</t>
  </si>
  <si>
    <t xml:space="preserve">R6875</t>
  </si>
  <si>
    <t xml:space="preserve">OUH912</t>
  </si>
  <si>
    <t xml:space="preserve">RESERVA EM ILHÉUS</t>
  </si>
  <si>
    <t xml:space="preserve">ITABUNA / UBATÃ via COAR</t>
  </si>
  <si>
    <t xml:space="preserve">UBATÃ / ITACARÉ</t>
  </si>
  <si>
    <t xml:space="preserve">R6915</t>
  </si>
  <si>
    <t xml:space="preserve">OUK7418</t>
  </si>
  <si>
    <t xml:space="preserve">A SERVIÇO DA ALMIRANTE CACAU- C/ CATRACA</t>
  </si>
  <si>
    <t xml:space="preserve">A SERVIÇO DA JOANES EM ILHÉUS</t>
  </si>
  <si>
    <t xml:space="preserve">ITABUNA / IBIRATAIA V. BR101</t>
  </si>
  <si>
    <t xml:space="preserve">ITABUNA / INEMA</t>
  </si>
  <si>
    <t xml:space="preserve">ITAPETINGA / JORDÂNIA / CONQUISTA</t>
  </si>
  <si>
    <t xml:space="preserve">ESCOLAR EM VIT. DA CONQUISTA</t>
  </si>
  <si>
    <t xml:space="preserve">ITABUNA / MARAÚ via ILHÉUS</t>
  </si>
  <si>
    <t xml:space="preserve">PLE2634</t>
  </si>
  <si>
    <t xml:space="preserve">FÁBRICA MUCAMBO / ILHÉUS</t>
  </si>
  <si>
    <t xml:space="preserve">RESERVA ITABUNA - MICRO C/ AR</t>
  </si>
  <si>
    <t xml:space="preserve">ITABUNA / IPIAÚ VIA COARACI 06:00</t>
  </si>
  <si>
    <t xml:space="preserve">R7075</t>
  </si>
  <si>
    <t xml:space="preserve">OUR3954</t>
  </si>
  <si>
    <t xml:space="preserve">ITABUNA / ILHEUS</t>
  </si>
  <si>
    <t xml:space="preserve">OUR7533</t>
  </si>
  <si>
    <t xml:space="preserve">ILHEUS / ITABUNA</t>
  </si>
  <si>
    <t xml:space="preserve">R7105</t>
  </si>
  <si>
    <t xml:space="preserve">OUR3686</t>
  </si>
  <si>
    <t xml:space="preserve">ITABUNA X OLIVENÇA C/ CATRACA</t>
  </si>
  <si>
    <t xml:space="preserve">ITABUNA / ITAPITANGA</t>
  </si>
  <si>
    <t xml:space="preserve">ALMADINA X ITABUNA E ILHÉUS</t>
  </si>
  <si>
    <t xml:space="preserve">ILHÉUS / CONQUISTA 06:00/16:30</t>
  </si>
  <si>
    <t xml:space="preserve">R8695</t>
  </si>
  <si>
    <t xml:space="preserve">RPV3E20</t>
  </si>
  <si>
    <t xml:space="preserve">ILHÉUS 08:30 X CONQUISTA 18:30</t>
  </si>
  <si>
    <t xml:space="preserve">ILHÉUS 11:00 X CONQUISTA 12:00</t>
  </si>
  <si>
    <t xml:space="preserve">CONQUISTA 06:00 X ITACARÉ 15:30</t>
  </si>
  <si>
    <t xml:space="preserve">OZT6736</t>
  </si>
  <si>
    <t xml:space="preserve">GIRO DE PREVENTIVA - LINHAS IOS - ITN E ITC / VCO</t>
  </si>
  <si>
    <t xml:space="preserve">TURISMO EM VIT. DA CONQUISTA</t>
  </si>
  <si>
    <t xml:space="preserve">R7695</t>
  </si>
  <si>
    <t xml:space="preserve">PKN2985</t>
  </si>
  <si>
    <t xml:space="preserve">ILHÉUS X CONQUISTA X MACARANI</t>
  </si>
  <si>
    <t xml:space="preserve">PKN3551</t>
  </si>
  <si>
    <t xml:space="preserve">ITABUNA / ITAPETINGA / MACARANI / ITAPETINGA</t>
  </si>
  <si>
    <t xml:space="preserve">RESERVA EM ITABUNA (1200 VOLVO)</t>
  </si>
  <si>
    <t xml:space="preserve">P. SEGURO 11:00 X ITACARÉ(13:00)- ITN 08:00-ITC 05:15)</t>
  </si>
  <si>
    <t xml:space="preserve">P. SEGURO (11:00 X ITACARÉ(13:00)- ITN 08:00-ITC 05:15)</t>
  </si>
  <si>
    <t xml:space="preserve">RESERVA EM ITABUNA (BUSCAR B360 R VOLVO)</t>
  </si>
  <si>
    <t xml:space="preserve">A SERVIÇO DA BARRY CALLEBAUT - EM ILHÉUS</t>
  </si>
  <si>
    <t xml:space="preserve">A SERVIÇO DA BARRY CALLEBAUT - EM ITABUNA</t>
  </si>
  <si>
    <t xml:space="preserve">VITORIA DA CONQUISTA X S. CRISTÓVÃO/ ARACAJU</t>
  </si>
  <si>
    <t xml:space="preserve">CONQUISTA / ILHÉUS 08:00/15:00</t>
  </si>
  <si>
    <t xml:space="preserve">RESERVA EM PORTO SEGURO</t>
  </si>
  <si>
    <t xml:space="preserve">METAS E PARÂMETROS — GESTÃO DE MÉDIA DE COMBUSTÍVEL</t>
  </si>
  <si>
    <t xml:space="preserve">Preço médio do diesel (R$/L)</t>
  </si>
  <si>
    <t xml:space="preserve">&lt;&lt; ATUALIZAR com o preço real pago (não fornecido na base) &gt;&gt;</t>
  </si>
  <si>
    <t xml:space="preserve">Metas de eficiência por Modelo/Fabricante × Unidade Operacional (Setor)</t>
  </si>
  <si>
    <t xml:space="preserve">Meta inicial sugerida = mediana do km/L real dos veículos válidos do próprio grupo, apurada nesta base (08/09 a 14/09/2026). Ajuste manualmente para a meta oficial da empresa quando disponível.</t>
  </si>
  <si>
    <t xml:space="preserve">Fabricante/Modelo (FB)</t>
  </si>
  <si>
    <t xml:space="preserve">Unidade Operacional (Setor)</t>
  </si>
  <si>
    <t xml:space="preserve">Nº de veículos na Base_Frota</t>
  </si>
  <si>
    <t xml:space="preserve">Km/L real do grupo no período (agregado)</t>
  </si>
  <si>
    <t xml:space="preserve">Meta (Km/L) — editável</t>
  </si>
  <si>
    <t xml:space="preserve">Fonte da meta</t>
  </si>
  <si>
    <t xml:space="preserve">Mediana do grupo (sugestão inicial) — substituir por meta oficial</t>
  </si>
  <si>
    <t xml:space="preserve">Sem dados no período</t>
  </si>
  <si>
    <t xml:space="preserve">Sem veículos com reporte numérico no período</t>
  </si>
  <si>
    <t xml:space="preserve">GESTÃO DE MÉDIA DE COMBUSTÍVEL — ANÁLISE POR VEÍCULO (km/L real = km ÷ litros, não média das médias)</t>
  </si>
  <si>
    <t xml:space="preserve">km/L real calculado apenas com os dias em que a telemetria reportou número (média ≠ "-"), para não distorcer o indicador com dias sem medição. Base: Boletim 08/09 a 14/09/2026.</t>
  </si>
  <si>
    <t xml:space="preserve">Fabricante/Modelo</t>
  </si>
  <si>
    <t xml:space="preserve">Setor/UO</t>
  </si>
  <si>
    <t xml:space="preserve">Classificação de reporte</t>
  </si>
  <si>
    <t xml:space="preserve">Km totais (todos os dias)</t>
  </si>
  <si>
    <t xml:space="preserve">Km em dias com reporte</t>
  </si>
  <si>
    <t xml:space="preserve">Litros em dias com reporte</t>
  </si>
  <si>
    <t xml:space="preserve">Dias com reporte</t>
  </si>
  <si>
    <t xml:space="preserve">Dias com tracinho</t>
  </si>
  <si>
    <t xml:space="preserve">Km/L real</t>
  </si>
  <si>
    <t xml:space="preserve">Meta (Km/L)</t>
  </si>
  <si>
    <t xml:space="preserve">Desvio vs meta (%)</t>
  </si>
  <si>
    <t xml:space="preserve">Status</t>
  </si>
  <si>
    <t xml:space="preserve">Preço diesel (R$/L)</t>
  </si>
  <si>
    <t xml:space="preserve">Custo por Km (R$)</t>
  </si>
  <si>
    <t xml:space="preserve">Custo total no período (R$)</t>
  </si>
  <si>
    <t xml:space="preserve">Economia potencial (L)</t>
  </si>
  <si>
    <t xml:space="preserve">Economia potencial (R$)</t>
  </si>
  <si>
    <t xml:space="preserve">Deixou de reportar</t>
  </si>
  <si>
    <t xml:space="preserve">Reporte contínuo</t>
  </si>
  <si>
    <t xml:space="preserve">Reporte retomado / aparente correção</t>
  </si>
  <si>
    <t xml:space="preserve">Sem reporte em todo o período observado</t>
  </si>
  <si>
    <t xml:space="preserve">PLACA ILEGÍVEL (cadastro corrompido — prefixo R7085)</t>
  </si>
  <si>
    <t xml:space="preserve">Intermitente</t>
  </si>
  <si>
    <t xml:space="preserve">PAINEL EXECUTIVO — GESTÃO DE MÉDIA DE COMBUSTÍVEL</t>
  </si>
  <si>
    <t xml:space="preserve">ROTA Transportes - Itabuna | Boletim 08/09/2026 a 14/09/2026 | Frota válida (Base_Frota) presente no boletim</t>
  </si>
  <si>
    <t xml:space="preserve">Veículos válidos analisados</t>
  </si>
  <si>
    <t xml:space="preserve">Litros consumidos (dias com reporte)</t>
  </si>
  <si>
    <t xml:space="preserve">Km/L real da frota (km ÷ litros)</t>
  </si>
  <si>
    <t xml:space="preserve">Custo total diesel no período (R$)</t>
  </si>
  <si>
    <t xml:space="preserve">Economia potencial no período (L)</t>
  </si>
  <si>
    <t xml:space="preserve">Economia potencial no período (R$)</t>
  </si>
  <si>
    <t xml:space="preserve">Continuidade do reporte de média (telemetria) — veículos válidos</t>
  </si>
  <si>
    <t xml:space="preserve">Classificação</t>
  </si>
  <si>
    <t xml:space="preserve">Qtde de veículos</t>
  </si>
  <si>
    <t xml:space="preserve">% do total</t>
  </si>
  <si>
    <t xml:space="preserve">Dados insuficientes ou inconsistentes</t>
  </si>
  <si>
    <t xml:space="preserve">Comparação entre Unidades Operacionais equivalentes (Setor)</t>
  </si>
  <si>
    <t xml:space="preserve">Setor</t>
  </si>
  <si>
    <t xml:space="preserve">Veículos</t>
  </si>
  <si>
    <t xml:space="preserve">Litros</t>
  </si>
  <si>
    <t xml:space="preserve">Km/L real (ponderado)</t>
  </si>
  <si>
    <t xml:space="preserve">Custo total (R$)</t>
  </si>
  <si>
    <t xml:space="preserve">Ranking de oportunidades — Top 10 veículos por economia potencial estimada (R$)</t>
  </si>
  <si>
    <t xml:space="preserve">#</t>
  </si>
  <si>
    <t xml:space="preserve">Meta</t>
  </si>
  <si>
    <t xml:space="preserve">UO/Localidade</t>
  </si>
  <si>
    <t xml:space="preserve">Primeiro dia com registro</t>
  </si>
  <si>
    <t xml:space="preserve">Último dia com registro</t>
  </si>
  <si>
    <t xml:space="preserve">Dias com registro no boletim</t>
  </si>
  <si>
    <t xml:space="preserve">Dias com média numérica</t>
  </si>
  <si>
    <t xml:space="preserve">Situação no último registro</t>
  </si>
  <si>
    <t xml:space="preserve">Distância (km) nos dias com tracinho</t>
  </si>
  <si>
    <t xml:space="preserve">Correspondência/ressalva de cruzamento</t>
  </si>
  <si>
    <t xml:space="preserve">Observação objetiva</t>
  </si>
  <si>
    <t xml:space="preserve">2026-09-08</t>
  </si>
  <si>
    <t xml:space="preserve">2026-09-14</t>
  </si>
  <si>
    <t xml:space="preserve">Sem reporte (tracinho)</t>
  </si>
  <si>
    <t xml:space="preserve">Placa OZG5B13 nao encontrada na Base_Frota; correspondencia feita pelo prefixo ['R10175']</t>
  </si>
  <si>
    <t xml:space="preserve">Cobertura de apenas 5 dia(s) no boletim (período tem 7 dias); dias sem linha no boletim não foram tratados como interrupção. Reportou normalmente até 2026-09-11 e ficou sem reporte (tracinho) do dia 2026-09-14 até o fim do período observado (2026-09-14).</t>
  </si>
  <si>
    <t xml:space="preserve">Cobertura de apenas 5 dia(s) no boletim (período tem 7 dias); dias sem linha no boletim não foram tratados como interrupção. Reportou normalmente até 2026-09-10 e ficou sem reporte (tracinho) do dia 2026-09-12 até o fim do período observado (2026-09-14).</t>
  </si>
  <si>
    <t xml:space="preserve">Reportando (numérico)</t>
  </si>
  <si>
    <t xml:space="preserve">Reportou média numérica (telemetria) em todos os dias com registro no boletim.</t>
  </si>
  <si>
    <t xml:space="preserve">2026-09-09</t>
  </si>
  <si>
    <t xml:space="preserve">Cobertura de apenas 3 dia(s) no boletim (período tem 7 dias); dias sem linha no boletim não foram tratados como interrupção. Reportou média numérica (telemetria) em todos os dias com registro no boletim.</t>
  </si>
  <si>
    <t xml:space="preserve">Placa PJT0F11 nao encontrada na Base_Frota; correspondencia feita pelo prefixo ['R10355']</t>
  </si>
  <si>
    <t xml:space="preserve">Placa PJT7A12 nao encontrada na Base_Frota; correspondencia feita pelo prefixo ['R10365']</t>
  </si>
  <si>
    <t xml:space="preserve">Ficou sem reporte (tracinho) de 2026-09-13 a 2026-09-13 (após dias com registros numéricos) e voltou a apresentar números a partir de 2026-09-14 — indício de correção conforme regra do estudo (sem confirmação de manutenção registrada).</t>
  </si>
  <si>
    <t xml:space="preserve">2026-09-11</t>
  </si>
  <si>
    <t xml:space="preserve">Ficou sem reporte (tracinho) de 2026-09-08 a 2026-09-08 (desde o início do período observado) e voltou a apresentar números a partir de 2026-09-09 — indício de correção conforme regra do estudo (sem confirmação de manutenção registrada).</t>
  </si>
  <si>
    <t xml:space="preserve">Cobertura de apenas 5 dia(s) no boletim (período tem 7 dias); dias sem linha no boletim não foram tratados como interrupção. Nenhum registro numérico de média em todo o período observado (todos os dias com tracinho).</t>
  </si>
  <si>
    <t xml:space="preserve">Cobertura de apenas 6 dia(s) no boletim (período tem 7 dias); dias sem linha no boletim não foram tratados como interrupção. Nenhum registro numérico de média em todo o período observado (todos os dias com tracinho).</t>
  </si>
  <si>
    <t xml:space="preserve">Cobertura de apenas 6 dia(s) no boletim (período tem 7 dias); dias sem linha no boletim não foram tratados como interrupção. Reportou média numérica (telemetria) em todos os dias com registro no boletim.</t>
  </si>
  <si>
    <t xml:space="preserve">Placa JOK7724 nao encontrada na Base_Frota; correspondencia feita pelo prefixo ['R6435']</t>
  </si>
  <si>
    <t xml:space="preserve">Cobertura de apenas 4 dia(s) no boletim (período tem 7 dias); dias sem linha no boletim não foram tratados como interrupção. Nenhum registro numérico de média em todo o período observado (todos os dias com tracinho).</t>
  </si>
  <si>
    <t xml:space="preserve">2026-09-13</t>
  </si>
  <si>
    <t xml:space="preserve">ATENÇÃO: o boletim reporta 2 placas diferentes para o prefixo R6755 na mesma semana (NZO2423, NZO4525); Base_Frota cadastra a placa NZO2423. Possível erro de digitação/OCR na captura da placa ou troca de veículo sob o mesmo prefixo — os registros foram tratados como um único veículo (chave = prefixo) e devem ser confirmados junto à operação.</t>
  </si>
  <si>
    <t xml:space="preserve">Cobertura de apenas 5 dia(s) no boletim (período tem 7 dias); dias sem linha no boletim não foram tratados como interrupção. Ficou sem reporte (tracinho) de 2026-09-11 a 2026-09-11 (após dias com registros numéricos) e voltou a apresentar números a partir de 2026-09-13 — indício de correção conforme regra do estudo (sem confirmação de manutenção registrada). ATENÇÃO: há dia(s) com registros simultâneos numérico e tracinho para este veículo (ver Ocorrências).</t>
  </si>
  <si>
    <t xml:space="preserve">Nenhum registro numérico de média em todo o período observado (todos os dias com tracinho).</t>
  </si>
  <si>
    <t xml:space="preserve">Cobertura de apenas 6 dia(s) no boletim (período tem 7 dias); dias sem linha no boletim não foram tratados como interrupção. Ficou sem reporte (tracinho) de 2026-09-08 a 2026-09-08 (desde o início do período observado) e voltou a apresentar números a partir de 2026-09-09 — indício de correção conforme regra do estudo (sem confirmação de manutenção registrada).</t>
  </si>
  <si>
    <t xml:space="preserve">Ficou sem reporte (tracinho) de 2026-09-12 a 2026-09-12 (após dias com registros numéricos) e voltou a apresentar números a partir de 2026-09-13 — indício de correção conforme regra do estudo (sem confirmação de manutenção registrada).</t>
  </si>
  <si>
    <t xml:space="preserve">Cobertura de apenas 5 dia(s) no boletim (período tem 7 dias); dias sem linha no boletim não foram tratados como interrupção. Reportou média numérica (telemetria) em todos os dias com registro no boletim.</t>
  </si>
  <si>
    <t xml:space="preserve">Cobertura de apenas 1 dia(s) no boletim (período tem 7 dias); dias sem linha no boletim não foram tratados como interrupção. Reportou média numérica (telemetria) em todos os dias com registro no boletim.</t>
  </si>
  <si>
    <t xml:space="preserve">Cobertura de apenas 6 dia(s) no boletim (período tem 7 dias); dias sem linha no boletim não foram tratados como interrupção. Ficou sem reporte (tracinho) de 2026-09-09 a 2026-09-09 (após dias com registros numéricos) e voltou a apresentar números a partir de 2026-09-10 — indício de correção conforme regra do estudo (sem confirmação de manutenção registrada).</t>
  </si>
  <si>
    <t xml:space="preserve">2026-09-12</t>
  </si>
  <si>
    <t xml:space="preserve">Placa do boletim ilegivel/corrompida; correspondencia feita pelo prefixo R7085</t>
  </si>
  <si>
    <t xml:space="preserve">Placa OUR3J54 nao encontrada na Base_Frota; correspondencia feita pelo prefixo ['R7095']</t>
  </si>
  <si>
    <t xml:space="preserve">Placa OZT6763 nao encontrada na Base_Frota; correspondencia feita pelo prefixo ['R7535']</t>
  </si>
  <si>
    <t xml:space="preserve">Cobertura de apenas 6 dia(s) no boletim (período tem 7 dias); dias sem linha no boletim não foram tratados como interrupção. Reportou normalmente até 2026-09-11 e ficou sem reporte (tracinho) do dia 2026-09-12 até o fim do período observado (2026-09-14).</t>
  </si>
  <si>
    <t xml:space="preserve">Cobertura de apenas 3 dia(s) no boletim (período tem 7 dias); dias sem linha no boletim não foram tratados como interrupção. Reportou normalmente até 2026-09-11 e ficou sem reporte (tracinho) do dia 2026-09-13 até o fim do período observado (2026-09-13).</t>
  </si>
  <si>
    <t xml:space="preserve">Placa PKN3F51 nao encontrada na Base_Frota; correspondencia feita pelo prefixo ['R7725']</t>
  </si>
  <si>
    <t xml:space="preserve">Cobertura de apenas 6 dia(s) no boletim (período tem 7 dias); dias sem linha no boletim não foram tratados como interrupção. Ficou sem reporte (tracinho) de 2026-09-11 a 2026-09-11 (após dias com registros numéricos) e voltou a apresentar números a partir de 2026-09-12 — indício de correção conforme regra do estudo (sem confirmação de manutenção registrada).</t>
  </si>
  <si>
    <t xml:space="preserve">Placa PLE2G34 nao encontrada na Base_Frota; correspondencia feita pelo prefixo ['R8045']</t>
  </si>
  <si>
    <t xml:space="preserve">Cobertura de apenas 1 dia(s) no boletim (período tem 7 dias); dias sem linha no boletim não foram tratados como interrupção. Nenhum registro numérico de média em todo o período observado (todos os dias com tracinho).</t>
  </si>
  <si>
    <t xml:space="preserve">Cobertura de apenas 6 dia(s) no boletim (período tem 7 dias); dias sem linha no boletim não foram tratados como interrupção. 2 episódios de interrupção do reporte ao longo do período; situação no último registro: Reportando (numérico).</t>
  </si>
  <si>
    <t xml:space="preserve">Cobertura de apenas 2 dia(s) no boletim (período tem 7 dias); dias sem linha no boletim não foram tratados como interrupção. Reportou média numérica (telemetria) em todos os dias com registro no boletim.</t>
  </si>
  <si>
    <t xml:space="preserve">Data</t>
  </si>
  <si>
    <t xml:space="preserve">Média (registro original)</t>
  </si>
  <si>
    <t xml:space="preserve">Distância (km)</t>
  </si>
  <si>
    <t xml:space="preserve">Tipo de ocorrência</t>
  </si>
  <si>
    <t xml:space="preserve">Início de interrupção do reporte</t>
  </si>
  <si>
    <t xml:space="preserve">Retomada do reporte (números voltam a aparecer)</t>
  </si>
  <si>
    <t xml:space="preserve">2026-09-10</t>
  </si>
  <si>
    <t xml:space="preserve">Veículos presentes no Boletim que NÃO constam na Base_Frota — mantidos fora da análise principal de continuidade de reporte, registros originais preservados na aba do boletim.</t>
  </si>
  <si>
    <t xml:space="preserve">Período dos registros</t>
  </si>
  <si>
    <t xml:space="preserve">Qtd. de registros no boletim</t>
  </si>
  <si>
    <t xml:space="preserve">Motivo da exclusão</t>
  </si>
  <si>
    <t xml:space="preserve">2026-09-08 a 2026-09-14</t>
  </si>
  <si>
    <t xml:space="preserve">Placa TGV4B86 (prefixo ['POLO - ITN']) nao consta na Base_Frota</t>
  </si>
  <si>
    <t xml:space="preserve">2026-09-08 a 2026-09-12</t>
  </si>
  <si>
    <t xml:space="preserve">Placa SKP4F49 (prefixo ['POLO - ITN 01']) nao consta na Base_Frota</t>
  </si>
  <si>
    <t xml:space="preserve">Placa NYJ8D37 (prefixo ['R10015']) nao consta na Base_Frota</t>
  </si>
  <si>
    <t xml:space="preserve">Placa NZS2H15 (prefixo ['R10045']) nao consta na Base_Frota</t>
  </si>
  <si>
    <t xml:space="preserve">Placa NZS2017 (prefixo ['R10055']) nao consta na Base_Frota</t>
  </si>
  <si>
    <t xml:space="preserve">Placa OLG4715 (prefixo ['R10115']) nao consta na Base_Frota</t>
  </si>
  <si>
    <t xml:space="preserve">Placa OLG5094 (prefixo ['R10135']) nao consta na Base_Frota</t>
  </si>
  <si>
    <t xml:space="preserve">Placa OLG5B65 (prefixo ['R10145']) nao consta na Base_Frota</t>
  </si>
  <si>
    <t xml:space="preserve">Placa OLG3I24 (prefixo ['R10155']) nao consta na Base_Frota</t>
  </si>
  <si>
    <t xml:space="preserve">2026-09-11 a 2026-09-11</t>
  </si>
  <si>
    <t xml:space="preserve">Placa OZG1534 (prefixo ['R10205']) nao consta na Base_Frota</t>
  </si>
  <si>
    <t xml:space="preserve">Placa OZF0604 (prefixo ['R10225']) nao consta na Base_Frota</t>
  </si>
  <si>
    <t xml:space="preserve">Placa OZG1786 (prefixo ['R10255']) nao consta na Base_Frota</t>
  </si>
  <si>
    <t xml:space="preserve">2026-09-08 a 2026-09-13</t>
  </si>
  <si>
    <t xml:space="preserve">Placa OZG7986 (prefixo ['R10265']) nao consta na Base_Frota</t>
  </si>
  <si>
    <t xml:space="preserve">Placa PKC8365 (prefixo ['R10395']) nao consta na Base_Frota</t>
  </si>
  <si>
    <t xml:space="preserve">Placa RCR8A01 (prefixo ['R10545']) nao consta na Base_Frota</t>
  </si>
  <si>
    <t xml:space="preserve">Placa RCR8G80 (prefixo ['R10555']) nao consta na Base_Frota</t>
  </si>
  <si>
    <t xml:space="preserve">Placa RCR3E62 (prefixo ['R10565']) nao consta na Base_Frota</t>
  </si>
  <si>
    <t xml:space="preserve">2026-09-12 a 2026-09-14</t>
  </si>
  <si>
    <t xml:space="preserve">Placa THB4G48 (prefixo ['R10605', 'ZA78F3AE2']) nao consta na Base_Frota</t>
  </si>
  <si>
    <t xml:space="preserve">Placa THB8F08 (prefixo ['Z8B317B92', 'R10615']) nao consta na Base_Frota</t>
  </si>
  <si>
    <t xml:space="preserve">Placa THB1G58 (prefixo ['R10625', 'Z8DFB6659']) nao consta na Base_Frota</t>
  </si>
  <si>
    <t xml:space="preserve">Placa THF4C23 (prefixo ['R10635']) nao consta na Base_Frota</t>
  </si>
  <si>
    <t xml:space="preserve">Placa THF0A94 (prefixo ['R10645']) nao consta na Base_Frota</t>
  </si>
  <si>
    <t xml:space="preserve">Placa THH6F87 (prefixo ['R10655']) nao consta na Base_Frota</t>
  </si>
  <si>
    <t xml:space="preserve">Placa THH5C81 (prefixo ['R10665']) nao consta na Base_Frota</t>
  </si>
  <si>
    <t xml:space="preserve">Placa THH7H75 (prefixo ['R10675']) nao consta na Base_Frota</t>
  </si>
  <si>
    <t xml:space="preserve">Placa THH9J49 (prefixo ['R10685']) nao consta na Base_Frota</t>
  </si>
  <si>
    <t xml:space="preserve">Placa THH0I76 (prefixo ['R10695']) nao consta na Base_Frota</t>
  </si>
  <si>
    <t xml:space="preserve">2026-09-13 a 2026-09-14</t>
  </si>
  <si>
    <t xml:space="preserve">Placa THH6B60 (prefixo ['R10705', 'Z6C5F3A44']) nao consta na Base_Frota</t>
  </si>
  <si>
    <t xml:space="preserve">Placa THH6I81 (prefixo ['R10715']) nao consta na Base_Frota</t>
  </si>
  <si>
    <t xml:space="preserve">Placa THH0H42 (prefixo ['R10725']) nao consta na Base_Frota</t>
  </si>
  <si>
    <t xml:space="preserve">Placa TML4B85 (prefixo ['R10735']) nao consta na Base_Frota</t>
  </si>
  <si>
    <t xml:space="preserve">Placa TML1D40 (prefixo ['Z8E9AF4B1', 'R10745']) nao consta na Base_Frota</t>
  </si>
  <si>
    <t xml:space="preserve">Placa TML4J90 (prefixo ['R10755']) nao consta na Base_Frota</t>
  </si>
  <si>
    <t xml:space="preserve">Placa TML2I94 (prefixo ['R10765']) nao consta na Base_Frota</t>
  </si>
  <si>
    <t xml:space="preserve">Placa TML0A65 (prefixo ['R10775']) nao consta na Base_Frota</t>
  </si>
  <si>
    <t xml:space="preserve">Placa TML5A60 (prefixo ['R10785', 'Z3FA584AD']) nao consta na Base_Frota</t>
  </si>
  <si>
    <t xml:space="preserve">Placa TML7B64 (prefixo ['R10795']) nao consta na Base_Frota</t>
  </si>
  <si>
    <t xml:space="preserve">Placa TML0D26 (prefixo ['R10805']) nao consta na Base_Frota</t>
  </si>
  <si>
    <t xml:space="preserve">Placa TML9C70 (prefixo ['R10815']) nao consta na Base_Frota</t>
  </si>
  <si>
    <t xml:space="preserve">Placa TML1E48 (prefixo ['R10825']) nao consta na Base_Frota</t>
  </si>
  <si>
    <t xml:space="preserve">Placa TML3A59 (prefixo ['R10835']) nao consta na Base_Frota</t>
  </si>
  <si>
    <t xml:space="preserve">Placa TML0C86 (prefixo ['R10845']) nao consta na Base_Frota</t>
  </si>
  <si>
    <t xml:space="preserve">Placa TMM2B16 (prefixo ['R10855', 'Z95B7D70A']) nao consta na Base_Frota</t>
  </si>
  <si>
    <t xml:space="preserve">Placa TMM1C56 (prefixo ['R10865']) nao consta na Base_Frota</t>
  </si>
  <si>
    <t xml:space="preserve">Placa TMM9J71 (prefixo ['R10875', 'ZFD235BDC']) nao consta na Base_Frota</t>
  </si>
  <si>
    <t xml:space="preserve">Placa JQC9385 (prefixo ['R5115']) nao consta na Base_Frota</t>
  </si>
  <si>
    <t xml:space="preserve">2026-09-08 a 2026-09-08</t>
  </si>
  <si>
    <t xml:space="preserve">Placa JQC9404 (prefixo ['R5125']) nao consta na Base_Frota</t>
  </si>
  <si>
    <t xml:space="preserve">Placa JQC9414 (prefixo ['R5155']) nao consta na Base_Frota</t>
  </si>
  <si>
    <t xml:space="preserve">Placa JQI1373 (prefixo ['R5485']) nao consta na Base_Frota</t>
  </si>
  <si>
    <t xml:space="preserve">Placa JQI1404 (prefixo ['R5505']) nao consta na Base_Frota</t>
  </si>
  <si>
    <t xml:space="preserve">Placa JQI1377 (prefixo ['R5515']) nao consta na Base_Frota</t>
  </si>
  <si>
    <t xml:space="preserve">Placa JQI1481 (prefixo ['R5525']) nao consta na Base_Frota</t>
  </si>
  <si>
    <t xml:space="preserve">Placa JQI1405 (prefixo ['R5535']) nao consta na Base_Frota</t>
  </si>
  <si>
    <t xml:space="preserve">Placa PGB4H94 (prefixo ['R6165']) nao consta na Base_Frota</t>
  </si>
  <si>
    <t xml:space="preserve">Placa JSO2185 (prefixo ['R6195']) nao consta na Base_Frota</t>
  </si>
  <si>
    <t xml:space="preserve">2026-09-08 a 2026-09-11</t>
  </si>
  <si>
    <t xml:space="preserve">Placa NYH3717 (prefixo ['R6295']) nao consta na Base_Frota</t>
  </si>
  <si>
    <t xml:space="preserve">Placa NYH5209 (prefixo ['R6305']) nao consta na Base_Frota</t>
  </si>
  <si>
    <t xml:space="preserve">Placa NYH5041 (prefixo ['R6315']) nao consta na Base_Frota</t>
  </si>
  <si>
    <t xml:space="preserve">Placa NYK4322 (prefixo ['R6345']) nao consta na Base_Frota</t>
  </si>
  <si>
    <t xml:space="preserve">Placa NYK3954 (prefixo ['R6355']) nao consta na Base_Frota</t>
  </si>
  <si>
    <t xml:space="preserve">Placa NYQ6162 (prefixo ['R6475']) nao consta na Base_Frota</t>
  </si>
  <si>
    <t xml:space="preserve">Placa NYP4A36 (prefixo ['R6485']) nao consta na Base_Frota</t>
  </si>
  <si>
    <t xml:space="preserve">Placa OKJ1751 (prefixo ['R6645']) nao consta na Base_Frota</t>
  </si>
  <si>
    <t xml:space="preserve">Placa NZO0626 (prefixo ['R6715']) nao consta na Base_Frota</t>
  </si>
  <si>
    <t xml:space="preserve">Placa NZO6533 (prefixo ['R6725']) nao consta na Base_Frota</t>
  </si>
  <si>
    <t xml:space="preserve">Placa NZO1140 (prefixo ['R6735']) nao consta na Base_Frota</t>
  </si>
  <si>
    <t xml:space="preserve">Placa NZO1585 (prefixo ['R6745']) nao consta na Base_Frota</t>
  </si>
  <si>
    <t xml:space="preserve">Placa NZR7728 (prefixo ['R6785']) nao consta na Base_Frota</t>
  </si>
  <si>
    <t xml:space="preserve">Placa NZO8763 (prefixo ['R6805']) nao consta na Base_Frota</t>
  </si>
  <si>
    <t xml:space="preserve">Placa NZO0576 (prefixo ['R6825']) nao consta na Base_Frota</t>
  </si>
  <si>
    <t xml:space="preserve">Placa OUK7974 (prefixo ['R7025']) nao consta na Base_Frota</t>
  </si>
  <si>
    <t xml:space="preserve">Placa OUO3179 (prefixo ['R7055']) nao consta na Base_Frota</t>
  </si>
  <si>
    <t xml:space="preserve">Placa OUU0345 (prefixo ['R7065']) nao consta na Base_Frota</t>
  </si>
  <si>
    <t xml:space="preserve">Placa OUR8027 (prefixo ['R7115']) nao consta na Base_Frota</t>
  </si>
  <si>
    <t xml:space="preserve">Placa OUR8713 (prefixo ['R7135']) nao consta na Base_Frota</t>
  </si>
  <si>
    <t xml:space="preserve">Placa OUR1H68 (prefixo ['R7165']) nao consta na Base_Frota</t>
  </si>
  <si>
    <t xml:space="preserve">Placa OZM9102 (prefixo ['R7255']) nao consta na Base_Frota</t>
  </si>
  <si>
    <t xml:space="preserve">Placa OZV9339 (prefixo ['R7425']) nao consta na Base_Frota</t>
  </si>
  <si>
    <t xml:space="preserve">Placa OZT9058 (prefixo ['R7495']) nao consta na Base_Frota</t>
  </si>
  <si>
    <t xml:space="preserve">Placa PJR9288 (prefixo ['R7575']) nao consta na Base_Frota</t>
  </si>
  <si>
    <t xml:space="preserve">Placa PKN7797 (prefixo ['R7705']) nao consta na Base_Frota</t>
  </si>
  <si>
    <t xml:space="preserve">Placa PKN0916 (prefixo ['R7715']) nao consta na Base_Frota</t>
  </si>
  <si>
    <t xml:space="preserve">Placa PKN0145 (prefixo ['R7735']) nao consta na Base_Frota</t>
  </si>
  <si>
    <t xml:space="preserve">Placa PKN4417 (prefixo ['R7755']) nao consta na Base_Frota</t>
  </si>
  <si>
    <t xml:space="preserve">Placa PKN7076 (prefixo ['R7765']) nao consta na Base_Frota</t>
  </si>
  <si>
    <t xml:space="preserve">Placa PKN2227 (prefixo ['R7775']) nao consta na Base_Frota</t>
  </si>
  <si>
    <t xml:space="preserve">Placa PKW3241 (prefixo ['R7825']) nao consta na Base_Frota</t>
  </si>
  <si>
    <t xml:space="preserve">Placa PKW9840 (prefixo ['R7835']) nao consta na Base_Frota</t>
  </si>
  <si>
    <t xml:space="preserve">Placa PKW2430 (prefixo ['R7845']) nao consta na Base_Frota</t>
  </si>
  <si>
    <t xml:space="preserve">Placa PKW3913 (prefixo ['R7855']) nao consta na Base_Frota</t>
  </si>
  <si>
    <t xml:space="preserve">Placa PKW7036 (prefixo ['R7865']) nao consta na Base_Frota</t>
  </si>
  <si>
    <t xml:space="preserve">Placa PKW7451 (prefixo ['R7875']) nao consta na Base_Frota</t>
  </si>
  <si>
    <t xml:space="preserve">2026-09-10 a 2026-09-14</t>
  </si>
  <si>
    <t xml:space="preserve">Placa PKW5068 (prefixo ['R7885']) nao consta na Base_Frota</t>
  </si>
  <si>
    <t xml:space="preserve">Placa PKW0627 (prefixo ['R7895']) nao consta na Base_Frota</t>
  </si>
  <si>
    <t xml:space="preserve">2026-09-14 a 2026-09-14</t>
  </si>
  <si>
    <t xml:space="preserve">Placa PLG2528 (prefixo ['R7905']) nao consta na Base_Frota</t>
  </si>
  <si>
    <t xml:space="preserve">Placa PLI0274 (prefixo ['R7915']) nao consta na Base_Frota</t>
  </si>
  <si>
    <t xml:space="preserve">2026-09-09 a 2026-09-14</t>
  </si>
  <si>
    <t xml:space="preserve">Placa PLI2573 (prefixo ['R7925']) nao consta na Base_Frota</t>
  </si>
  <si>
    <t xml:space="preserve">Placa PLI0461 (prefixo ['R7935']) nao consta na Base_Frota</t>
  </si>
  <si>
    <t xml:space="preserve">Placa PLH8732 (prefixo ['R7945']) nao consta na Base_Frota</t>
  </si>
  <si>
    <t xml:space="preserve">Placa PLH6808 (prefixo ['R7955']) nao consta na Base_Frota</t>
  </si>
  <si>
    <t xml:space="preserve">Placa PLG4809 (prefixo ['R7965']) nao consta na Base_Frota</t>
  </si>
  <si>
    <t xml:space="preserve">Placa PLH4089 (prefixo ['R7975']) nao consta na Base_Frota</t>
  </si>
  <si>
    <t xml:space="preserve">Placa PLH9093 (prefixo ['R7985']) nao consta na Base_Frota</t>
  </si>
  <si>
    <t xml:space="preserve">Placa PLE7239 (prefixo ['R8055']) nao consta na Base_Frota</t>
  </si>
  <si>
    <t xml:space="preserve">Placa PLS7H58 (prefixo ['R8065']) nao consta na Base_Frota</t>
  </si>
  <si>
    <t xml:space="preserve">Placa PLR6G20 (prefixo ['R8075']) nao consta na Base_Frota</t>
  </si>
  <si>
    <t xml:space="preserve">Placa PLS3J00 (prefixo ['R8085']) nao consta na Base_Frota</t>
  </si>
  <si>
    <t xml:space="preserve">Placa PLZ7F11 (prefixo ['R8105']) nao consta na Base_Frota</t>
  </si>
  <si>
    <t xml:space="preserve">Placa PLZ0E30 (prefixo ['R8115']) nao consta na Base_Frota</t>
  </si>
  <si>
    <t xml:space="preserve">Placa PLZ8J53 (prefixo ['R8125']) nao consta na Base_Frota</t>
  </si>
  <si>
    <t xml:space="preserve">Placa PLZ4I93 (prefixo ['R8135']) nao consta na Base_Frota</t>
  </si>
  <si>
    <t xml:space="preserve">Placa PLZ5A82 (prefixo ['R8145']) nao consta na Base_Frota</t>
  </si>
  <si>
    <t xml:space="preserve">Placa PLZ7E93 (prefixo ['R8155']) nao consta na Base_Frota</t>
  </si>
  <si>
    <t xml:space="preserve">Placa PLZ6E78 (prefixo ['R8165']) nao consta na Base_Frota</t>
  </si>
  <si>
    <t xml:space="preserve">Placa QTV7J90 (prefixo ['R8205']) nao consta na Base_Frota</t>
  </si>
  <si>
    <t xml:space="preserve">Placa QTV6C98 (prefixo ['R8215']) nao consta na Base_Frota</t>
  </si>
  <si>
    <t xml:space="preserve">Placa QTV0G53 (prefixo ['R8225']) nao consta na Base_Frota</t>
  </si>
  <si>
    <t xml:space="preserve">Placa QTV6C89 (prefixo ['R8235']) nao consta na Base_Frota</t>
  </si>
  <si>
    <t xml:space="preserve">Placa QTV4G71 (prefixo ['R8245']) nao consta na Base_Frota</t>
  </si>
  <si>
    <t xml:space="preserve">Placa QTW8F74 (prefixo ['R8255']) nao consta na Base_Frota</t>
  </si>
  <si>
    <t xml:space="preserve">Placa QTW0A86 (prefixo ['R8265']) nao consta na Base_Frota</t>
  </si>
  <si>
    <t xml:space="preserve">Placa QTW8D90 (prefixo ['R8275']) nao consta na Base_Frota</t>
  </si>
  <si>
    <t xml:space="preserve">Placa QTW2H86 (prefixo ['R8285']) nao consta na Base_Frota</t>
  </si>
  <si>
    <t xml:space="preserve">Placa QTW3B70 (prefixo ['R8295']) nao consta na Base_Frota</t>
  </si>
  <si>
    <t xml:space="preserve">Placa QTW7J53 (prefixo ['R8305']) nao consta na Base_Frota</t>
  </si>
  <si>
    <t xml:space="preserve">Placa RDG1I19 (prefixo ['R8355']) nao consta na Base_Frota</t>
  </si>
  <si>
    <t xml:space="preserve">Placa RDG4A51 (prefixo ['R8365']) nao consta na Base_Frota</t>
  </si>
  <si>
    <t xml:space="preserve">Placa RDG7A78 (prefixo ['R8375']) nao consta na Base_Frota</t>
  </si>
  <si>
    <t xml:space="preserve">Placa RDG4A99 (prefixo ['R8385']) nao consta na Base_Frota</t>
  </si>
  <si>
    <t xml:space="preserve">Placa RPE4C65 (prefixo ['R8395']) nao consta na Base_Frota</t>
  </si>
  <si>
    <t xml:space="preserve">Placa RPE3F06 (prefixo ['R8405']) nao consta na Base_Frota</t>
  </si>
  <si>
    <t xml:space="preserve">Placa RPL2D70 (prefixo ['R8415']) nao consta na Base_Frota</t>
  </si>
  <si>
    <t xml:space="preserve">Placa RPK7C31 (prefixo ['R8435']) nao consta na Base_Frota</t>
  </si>
  <si>
    <t xml:space="preserve">Placa RPK3E21 (prefixo ['R8445']) nao consta na Base_Frota</t>
  </si>
  <si>
    <t xml:space="preserve">Placa RPK2C48 (prefixo ['R8495']) nao consta na Base_Frota</t>
  </si>
  <si>
    <t xml:space="preserve">Placa RPK0J84 (prefixo ['R8505']) nao consta na Base_Frota</t>
  </si>
  <si>
    <t xml:space="preserve">Placa RPK4I55 (prefixo ['R8535']) nao consta na Base_Frota</t>
  </si>
  <si>
    <t xml:space="preserve">Placa RPK0J24 (prefixo ['R8545']) nao consta na Base_Frota</t>
  </si>
  <si>
    <t xml:space="preserve">Placa RPK8A92 (prefixo ['R8555']) nao consta na Base_Frota</t>
  </si>
  <si>
    <t xml:space="preserve">Placa RPK6H08 (prefixo ['R8565']) nao consta na Base_Frota</t>
  </si>
  <si>
    <t xml:space="preserve">Placa RPR9C23 (prefixo ['R8575']) nao consta na Base_Frota</t>
  </si>
  <si>
    <t xml:space="preserve">Placa SJN8D36 (prefixo ['R8735']) nao consta na Base_Frota</t>
  </si>
  <si>
    <t xml:space="preserve">Placa SJN7H90 (prefixo ['R8745']) nao consta na Base_Frota</t>
  </si>
  <si>
    <t xml:space="preserve">2026-09-08 a 2026-09-10</t>
  </si>
  <si>
    <t xml:space="preserve">Placa SJN9I14 (prefixo ['R8765']) nao consta na Base_Frota</t>
  </si>
  <si>
    <t xml:space="preserve">Placa SJN2F61 (prefixo ['R8775']) nao consta na Base_Frota</t>
  </si>
  <si>
    <t xml:space="preserve">Placa SJN8D51 (prefixo ['R8785']) nao consta na Base_Frota</t>
  </si>
  <si>
    <t xml:space="preserve">Placa SJN3C84 (prefixo ['R8795']) nao consta na Base_Frota</t>
  </si>
  <si>
    <t xml:space="preserve">Placa SJN7D41 (prefixo ['R8805']) nao consta na Base_Frota</t>
  </si>
  <si>
    <t xml:space="preserve">Placa SJN6C30 (prefixo ['R8815']) nao consta na Base_Frota</t>
  </si>
  <si>
    <t xml:space="preserve">Placa SJS9C80 (prefixo ['R8915']) nao consta na Base_Frota</t>
  </si>
  <si>
    <t xml:space="preserve">Placa SJS5A78 (prefixo ['R8935']) nao consta na Base_Frota</t>
  </si>
  <si>
    <t xml:space="preserve">Placa SJS5A08 (prefixo ['R8955']) nao consta na Base_Frota</t>
  </si>
  <si>
    <t xml:space="preserve">Placa SKM5D52 (prefixo ['R9185']) nao consta na Base_Frota</t>
  </si>
  <si>
    <t xml:space="preserve">Placa SKM6A85 (prefixo ['R9195']) nao consta na Base_Frota</t>
  </si>
  <si>
    <t xml:space="preserve">Placa SKM7B58 (prefixo ['R9205']) nao consta na Base_Frota</t>
  </si>
  <si>
    <t xml:space="preserve">Placa SKM5D38 (prefixo ['R9215']) nao consta na Base_Frota</t>
  </si>
  <si>
    <t xml:space="preserve">Placa SKM2H18 (prefixo ['R9225']) nao consta na Base_Frota</t>
  </si>
  <si>
    <t xml:space="preserve">Placa SKP9D05 (prefixo ['R9275 DD']) nao consta na Base_Frota</t>
  </si>
  <si>
    <t xml:space="preserve">Placa SKP5J89 (prefixo ['R9285 DD']) nao consta na Base_Frota</t>
  </si>
  <si>
    <t xml:space="preserve">Placa SKP2F97 (prefixo ['R9295 DD']) nao consta na Base_Frota</t>
  </si>
  <si>
    <t xml:space="preserve">Placa SKP1F75 (prefixo ['R9305 DD']) nao consta na Base_Frota</t>
  </si>
  <si>
    <t xml:space="preserve">Placa SKP3E09 (prefixo ['R9315 DD']) nao consta na Base_Frota</t>
  </si>
  <si>
    <t xml:space="preserve">Placa SKP4J06 (prefixo ['R9325 DD']) nao consta na Base_Frota</t>
  </si>
  <si>
    <t xml:space="preserve">Placa TGW6J53 (prefixo ['R9345']) nao consta na Base_Frota</t>
  </si>
  <si>
    <t xml:space="preserve">2026-09-09 a 2026-09-12</t>
  </si>
  <si>
    <t xml:space="preserve">Placa TGW2J32 (prefixo ['R9355']) nao consta na Base_Frota</t>
  </si>
  <si>
    <t xml:space="preserve">Placa TGV4I53 (prefixo ['R9405']) nao consta na Base_Frota</t>
  </si>
  <si>
    <t xml:space="preserve">Placa TGV2C11 (prefixo ['R9415']) nao consta na Base_Frota</t>
  </si>
  <si>
    <t xml:space="preserve">Placa TGV7C74 (prefixo ['R9425']) nao consta na Base_Frota</t>
  </si>
  <si>
    <t xml:space="preserve">Placa SJS3A86 (prefixo ['R9435']) nao consta na Base_Frota</t>
  </si>
  <si>
    <t xml:space="preserve">Placa SJS9A75 (prefixo ['R9445']) nao consta na Base_Frota</t>
  </si>
  <si>
    <t xml:space="preserve">Placa SJT0J59 (prefixo ['R9455']) nao consta na Base_Frota</t>
  </si>
  <si>
    <t xml:space="preserve">Placa SJT6E87 (prefixo ['R9465']) nao consta na Base_Frota</t>
  </si>
  <si>
    <t xml:space="preserve">Placa TMP0J31 (prefixo ['R9575']) nao consta na Base_Frota</t>
  </si>
  <si>
    <t xml:space="preserve">Placa TMP4H59 (prefixo ['R9585']) nao consta na Base_Frota</t>
  </si>
  <si>
    <t xml:space="preserve">Placa TMP5F64 (prefixo ['R9595']) nao consta na Base_Frota</t>
  </si>
  <si>
    <t xml:space="preserve">Placa TMP2J53 (prefixo ['R9605']) nao consta na Base_Frota</t>
  </si>
  <si>
    <t xml:space="preserve">Placa TMP7A15 (prefixo ['R9615']) nao consta na Base_Frota</t>
  </si>
  <si>
    <t xml:space="preserve">Placa TMP9A60 (prefixo ['R9625']) nao consta na Base_Frota</t>
  </si>
  <si>
    <t xml:space="preserve">Placa TMP7H01 (prefixo ['R9635']) nao consta na Base_Frota</t>
  </si>
  <si>
    <t xml:space="preserve">Placa TMP1G86 (prefixo ['R9645']) nao consta na Base_Frota</t>
  </si>
  <si>
    <t xml:space="preserve">Placa TMP4E96 (prefixo ['R9655']) nao consta na Base_Frota</t>
  </si>
  <si>
    <t xml:space="preserve">Placa TMP6E39 (prefixo ['R9665']) nao consta na Base_Frota</t>
  </si>
  <si>
    <t xml:space="preserve">Placa TMP4A87 (prefixo ['R9675']) nao consta na Base_Frota</t>
  </si>
  <si>
    <t xml:space="preserve">Placa TMP0A64 (prefixo ['R9685']) nao consta na Base_Frota</t>
  </si>
  <si>
    <t xml:space="preserve">Placa TMP1H63 (prefixo ['R9695']) nao consta na Base_Frota</t>
  </si>
  <si>
    <t xml:space="preserve">Placa TMP8A86 (prefixo ['R9705']) nao consta na Base_Frota</t>
  </si>
  <si>
    <t xml:space="preserve">Placa TMP2A78 (prefixo ['R9715']) nao consta na Base_Frota</t>
  </si>
  <si>
    <t xml:space="preserve">Placa TMP3I48 (prefixo ['R9725']) nao consta na Base_Frota</t>
  </si>
  <si>
    <t xml:space="preserve">Placa TMP3G08 (prefixo ['R9735']) nao consta na Base_Frota</t>
  </si>
  <si>
    <t xml:space="preserve">Placa TMP0B40 (prefixo ['R9745']) nao consta na Base_Frota</t>
  </si>
  <si>
    <t xml:space="preserve">Placa TMP2A40 (prefixo ['R9755']) nao consta na Base_Frota</t>
  </si>
  <si>
    <t xml:space="preserve">Placa TMP1F94 (prefixo ['R9765']) nao consta na Base_Frota</t>
  </si>
  <si>
    <t xml:space="preserve">Veículos da Base_Frota que NÃO possuem nenhum registro no boletim do período (08/09 a 14/09/2026).</t>
  </si>
  <si>
    <t xml:space="preserve">RESUMO — DISPONIBILIDADE E CONTINUIDADE DO REPORTE DE MÉDIA DE COMBUSTÍVEL</t>
  </si>
  <si>
    <t xml:space="preserve">Boletim ROTA Transportes - Itabuna | Período: 08/09/2026 a 14/09/2026</t>
  </si>
  <si>
    <t xml:space="preserve">Total de veículos na Base_Frota</t>
  </si>
  <si>
    <t xml:space="preserve">Total de veículos válidos presentes no boletim</t>
  </si>
  <si>
    <t xml:space="preserve">Total de veículos válidos sem nenhum registro no boletim</t>
  </si>
  <si>
    <t xml:space="preserve">Total de veículos excluídos (boletim, fora da Base_Frota)</t>
  </si>
  <si>
    <t xml:space="preserve">Período esperado</t>
  </si>
  <si>
    <t xml:space="preserve">Confirmação do período</t>
  </si>
  <si>
    <t xml:space="preserve">2026-09-08 a 2026-09-14 (todas as 1628 linhas do boletim estão dentro do período esperado; nenhuma divergência de data encontrada)</t>
  </si>
  <si>
    <t xml:space="preserve">Registros com placa ilegível/corrompida no boletim</t>
  </si>
  <si>
    <t xml:space="preserve">Registros com inconsistência de hodômetro (&gt;5 km de divergência)</t>
  </si>
  <si>
    <t xml:space="preserve">Dias com registros simultâneos numérico e tracinho (mesmo veículo/dia)</t>
  </si>
  <si>
    <t xml:space="preserve">Classificação (base: veículos válidos presentes no boletim)</t>
  </si>
  <si>
    <t xml:space="preserve">Quantidade</t>
  </si>
  <si>
    <t xml:space="preserve">Excluídos por localidade (UO informada no boletim)</t>
  </si>
  <si>
    <t xml:space="preserve">Localidade</t>
  </si>
  <si>
    <t xml:space="preserve">Lista prioritária de investigação — veículos que rodaram sem reportar média (ordenado por classificação de risco e distância percorrida sem reporte)</t>
  </si>
  <si>
    <t xml:space="preserve">Km nos dias com tracinho</t>
  </si>
  <si>
    <t xml:space="preserve">Regras e limitações desta análise</t>
  </si>
  <si>
    <t xml:space="preserve">• "-" (tracinho) na Média de Consumo = telemetria não importou a média naquele registro (sem comunicação/sem dado).</t>
  </si>
  <si>
    <t xml:space="preserve">• Qualquer valor numérico, inclusive 0,00, conta como reporte (comunicação ocorreu).</t>
  </si>
  <si>
    <t xml:space="preserve">• Datas sem linha no boletim NÃO foram tratadas como interrupção — apenas a sequência de dias efetivamente registrados foi avaliada.</t>
  </si>
  <si>
    <t xml:space="preserve">• Retomada de números após tracinho é tratada como indício de correção, sem confirmação de manutenção (não há registro de OS nesta base).</t>
  </si>
  <si>
    <t xml:space="preserve">• Não foi atribuída causa mecânica nem responsabilidade ao motorista em nenhuma classificação.</t>
  </si>
  <si>
    <t xml:space="preserve">• km/L é sempre calculado por (km totais ÷ litros totais) no grupo/veículo — nunca pela média simples das médias diárias.</t>
  </si>
  <si>
    <t xml:space="preserve">• Frota válida = exclusivamente veículos cadastrados na aba Base_Frota, cruzados pela Placa (normalizada) e, em caso de divergência, pelo Prefixo.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</si>
</sst>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/yyyy"/>
    <numFmt numFmtId="166" formatCode="h:mm:ss"/>
    <numFmt numFmtId="167" formatCode="0.00"/>
    <numFmt numFmtId="168" formatCode="[h]:mm:ss"/>
    <numFmt numFmtId="169" formatCode="mmm\-yy"/>
    <numFmt numFmtId="170" formatCode="&quot;R$ &quot;#,##0.00"/>
    <numFmt numFmtId="171" formatCode="0.0%"/>
    <numFmt numFmtId="172" formatCode="0.0"/>
    <numFmt numFmtId="173" formatCode="0"/>
    <numFmt numFmtId="174" formatCode="#,##0"/>
    <numFmt numFmtId="175" formatCode="#,##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2"/>
      <color rgb="FF000000"/>
      <name val="Century Gothic"/>
      <family val="2"/>
      <charset val="1"/>
    </font>
    <font>
      <b val="true"/>
      <sz val="10"/>
      <color theme="1"/>
      <name val="Century Gothic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theme="1"/>
      <name val="Century Gothic"/>
      <family val="2"/>
      <charset val="1"/>
    </font>
    <font>
      <sz val="10"/>
      <color rgb="FF000000"/>
      <name val="Century Gothic"/>
      <family val="2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CCCCCC"/>
      </patternFill>
    </fill>
    <fill>
      <patternFill patternType="solid">
        <fgColor rgb="FFC6EFCE"/>
        <bgColor rgb="FFD9E1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6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4" min="64" style="0" width="2"/>
    <col collapsed="false" customWidth="true" hidden="false" outlineLevel="0" max="69" min="65" style="0" width="16"/>
  </cols>
  <sheetData>
    <row r="1" customFormat="false" ht="26.8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1"/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customFormat="false" ht="15" hidden="false" customHeight="false" outlineLevel="0" collapsed="false">
      <c r="A2" s="0" t="s">
        <v>68</v>
      </c>
      <c r="B2" s="0" t="s">
        <v>69</v>
      </c>
      <c r="C2" s="0" t="s">
        <v>70</v>
      </c>
      <c r="D2" s="0" t="s">
        <v>71</v>
      </c>
      <c r="E2" s="3" t="n">
        <v>46273</v>
      </c>
      <c r="F2" s="4" t="s">
        <v>72</v>
      </c>
      <c r="G2" s="5" t="n">
        <v>0.297384259259259</v>
      </c>
      <c r="H2" s="5" t="n">
        <v>0.29380787037037</v>
      </c>
      <c r="I2" s="5" t="n">
        <v>0.000173611111111111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5" t="n">
        <v>0</v>
      </c>
      <c r="P2" s="5" t="n">
        <v>0</v>
      </c>
      <c r="Q2" s="4" t="s">
        <v>73</v>
      </c>
      <c r="R2" s="4" t="s">
        <v>73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0" t="n">
        <v>0</v>
      </c>
      <c r="AA2" s="0" t="n">
        <v>0</v>
      </c>
      <c r="AB2" s="0" t="n">
        <v>0</v>
      </c>
      <c r="AC2" s="4" t="s">
        <v>74</v>
      </c>
      <c r="AD2" s="4" t="s">
        <v>75</v>
      </c>
      <c r="AE2" s="4" t="s">
        <v>76</v>
      </c>
      <c r="AF2" s="4" t="s">
        <v>77</v>
      </c>
      <c r="AG2" s="5" t="n">
        <v>0.261354166666667</v>
      </c>
      <c r="AH2" s="5" t="n">
        <v>0.143900462962963</v>
      </c>
      <c r="AI2" s="5" t="n">
        <v>0</v>
      </c>
      <c r="AJ2" s="5" t="n">
        <v>0</v>
      </c>
      <c r="AK2" s="5" t="n">
        <v>0</v>
      </c>
      <c r="AL2" s="5" t="n">
        <v>0</v>
      </c>
      <c r="AM2" s="4" t="s">
        <v>78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9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M2" s="6" t="n">
        <f aca="false">IFERROR(VALUE(F2),"")</f>
        <v>126.33</v>
      </c>
      <c r="BN2" s="6" t="str">
        <f aca="false">IF(R2="-","",IFERROR(VALUE(LEFT(Q2,LEN(Q2)-2)),""))</f>
        <v/>
      </c>
      <c r="BO2" s="6" t="str">
        <f aca="false">IF(R2="-","",IFERROR(VALUE(LEFT(R2,LEN(R2)-5)),""))</f>
        <v/>
      </c>
      <c r="BP2" s="6" t="str">
        <f aca="false">IF(R2="-","",IFERROR(VALUE(F2),""))</f>
        <v/>
      </c>
      <c r="BQ2" s="4" t="n">
        <f aca="false">IF(R2="-",1,0)</f>
        <v>1</v>
      </c>
    </row>
    <row r="3" customFormat="false" ht="15" hidden="false" customHeight="false" outlineLevel="0" collapsed="false">
      <c r="A3" s="0" t="s">
        <v>68</v>
      </c>
      <c r="B3" s="0" t="s">
        <v>69</v>
      </c>
      <c r="C3" s="0" t="s">
        <v>70</v>
      </c>
      <c r="D3" s="0" t="s">
        <v>79</v>
      </c>
      <c r="E3" s="3" t="n">
        <v>46274</v>
      </c>
      <c r="F3" s="4" t="s">
        <v>80</v>
      </c>
      <c r="G3" s="5" t="n">
        <v>0.281180555555556</v>
      </c>
      <c r="H3" s="5" t="n">
        <v>0.273148148148148</v>
      </c>
      <c r="I3" s="5" t="n">
        <v>9.25925925925926E-005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5" t="n">
        <v>0</v>
      </c>
      <c r="P3" s="5" t="n">
        <v>0</v>
      </c>
      <c r="Q3" s="4" t="s">
        <v>73</v>
      </c>
      <c r="R3" s="4" t="s">
        <v>73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0" t="n">
        <v>0</v>
      </c>
      <c r="AA3" s="0" t="n">
        <v>0</v>
      </c>
      <c r="AB3" s="0" t="n">
        <v>0</v>
      </c>
      <c r="AC3" s="4" t="s">
        <v>81</v>
      </c>
      <c r="AD3" s="4" t="s">
        <v>75</v>
      </c>
      <c r="AE3" s="4" t="s">
        <v>77</v>
      </c>
      <c r="AF3" s="4" t="s">
        <v>82</v>
      </c>
      <c r="AG3" s="5" t="n">
        <v>0.220173611111111</v>
      </c>
      <c r="AH3" s="5" t="n">
        <v>0.140520833333333</v>
      </c>
      <c r="AI3" s="5" t="n">
        <v>0</v>
      </c>
      <c r="AJ3" s="5" t="n">
        <v>0</v>
      </c>
      <c r="AK3" s="5" t="n">
        <v>0</v>
      </c>
      <c r="AL3" s="5" t="n">
        <v>0</v>
      </c>
      <c r="AM3" s="4" t="s">
        <v>78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2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M3" s="6" t="n">
        <f aca="false">IFERROR(VALUE(F3),"")</f>
        <v>106.06</v>
      </c>
      <c r="BN3" s="6" t="str">
        <f aca="false">IF(R3="-","",IFERROR(VALUE(LEFT(Q3,LEN(Q3)-2)),""))</f>
        <v/>
      </c>
      <c r="BO3" s="6" t="str">
        <f aca="false">IF(R3="-","",IFERROR(VALUE(LEFT(R3,LEN(R3)-5)),""))</f>
        <v/>
      </c>
      <c r="BP3" s="6" t="str">
        <f aca="false">IF(R3="-","",IFERROR(VALUE(F3),""))</f>
        <v/>
      </c>
      <c r="BQ3" s="4" t="n">
        <f aca="false">IF(R3="-",1,0)</f>
        <v>1</v>
      </c>
    </row>
    <row r="4" customFormat="false" ht="15" hidden="false" customHeight="false" outlineLevel="0" collapsed="false">
      <c r="A4" s="0" t="s">
        <v>68</v>
      </c>
      <c r="B4" s="0" t="s">
        <v>69</v>
      </c>
      <c r="C4" s="0" t="s">
        <v>70</v>
      </c>
      <c r="D4" s="0" t="s">
        <v>83</v>
      </c>
      <c r="E4" s="3" t="n">
        <v>46275</v>
      </c>
      <c r="F4" s="4" t="s">
        <v>84</v>
      </c>
      <c r="G4" s="5" t="n">
        <v>0.237361111111111</v>
      </c>
      <c r="H4" s="5" t="n">
        <v>0.222465277777778</v>
      </c>
      <c r="I4" s="5" t="n">
        <v>4.62962962962963E-005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5" t="n">
        <v>0</v>
      </c>
      <c r="P4" s="5" t="n">
        <v>0</v>
      </c>
      <c r="Q4" s="4" t="s">
        <v>73</v>
      </c>
      <c r="R4" s="4" t="s">
        <v>73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0" t="n">
        <v>0</v>
      </c>
      <c r="AA4" s="0" t="n">
        <v>0</v>
      </c>
      <c r="AB4" s="0" t="n">
        <v>0</v>
      </c>
      <c r="AC4" s="4" t="s">
        <v>74</v>
      </c>
      <c r="AD4" s="4" t="s">
        <v>75</v>
      </c>
      <c r="AE4" s="4" t="s">
        <v>82</v>
      </c>
      <c r="AF4" s="4" t="s">
        <v>85</v>
      </c>
      <c r="AG4" s="5" t="n">
        <v>0.205</v>
      </c>
      <c r="AH4" s="5" t="n">
        <v>0.141226851851852</v>
      </c>
      <c r="AI4" s="5" t="n">
        <v>0</v>
      </c>
      <c r="AJ4" s="5" t="n">
        <v>0</v>
      </c>
      <c r="AK4" s="5" t="n">
        <v>0</v>
      </c>
      <c r="AL4" s="5" t="n">
        <v>0</v>
      </c>
      <c r="AM4" s="4" t="s">
        <v>78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1</v>
      </c>
      <c r="AT4" s="0" t="n">
        <v>0</v>
      </c>
      <c r="AU4" s="0" t="n">
        <v>5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M4" s="6" t="n">
        <f aca="false">IFERROR(VALUE(F4),"")</f>
        <v>104.03</v>
      </c>
      <c r="BN4" s="6" t="str">
        <f aca="false">IF(R4="-","",IFERROR(VALUE(LEFT(Q4,LEN(Q4)-2)),""))</f>
        <v/>
      </c>
      <c r="BO4" s="6" t="str">
        <f aca="false">IF(R4="-","",IFERROR(VALUE(LEFT(R4,LEN(R4)-5)),""))</f>
        <v/>
      </c>
      <c r="BP4" s="6" t="str">
        <f aca="false">IF(R4="-","",IFERROR(VALUE(F4),""))</f>
        <v/>
      </c>
      <c r="BQ4" s="4" t="n">
        <f aca="false">IF(R4="-",1,0)</f>
        <v>1</v>
      </c>
    </row>
    <row r="5" customFormat="false" ht="15" hidden="false" customHeight="false" outlineLevel="0" collapsed="false">
      <c r="A5" s="0" t="s">
        <v>68</v>
      </c>
      <c r="B5" s="0" t="s">
        <v>69</v>
      </c>
      <c r="C5" s="0" t="s">
        <v>70</v>
      </c>
      <c r="D5" s="0" t="s">
        <v>83</v>
      </c>
      <c r="E5" s="3" t="n">
        <v>46276</v>
      </c>
      <c r="F5" s="4" t="s">
        <v>86</v>
      </c>
      <c r="G5" s="5" t="n">
        <v>0.273402777777778</v>
      </c>
      <c r="H5" s="5" t="n">
        <v>0.268321759259259</v>
      </c>
      <c r="I5" s="5" t="n">
        <v>9.25925925925926E-005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5" t="n">
        <v>0</v>
      </c>
      <c r="P5" s="5" t="n">
        <v>0</v>
      </c>
      <c r="Q5" s="4" t="s">
        <v>73</v>
      </c>
      <c r="R5" s="4" t="s">
        <v>73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0" t="n">
        <v>0</v>
      </c>
      <c r="AA5" s="0" t="n">
        <v>0</v>
      </c>
      <c r="AB5" s="0" t="n">
        <v>0</v>
      </c>
      <c r="AC5" s="4" t="s">
        <v>74</v>
      </c>
      <c r="AD5" s="4" t="s">
        <v>75</v>
      </c>
      <c r="AE5" s="4" t="s">
        <v>85</v>
      </c>
      <c r="AF5" s="4" t="s">
        <v>87</v>
      </c>
      <c r="AG5" s="5" t="n">
        <v>0.214201388888889</v>
      </c>
      <c r="AH5" s="5" t="n">
        <v>0.118032407407407</v>
      </c>
      <c r="AI5" s="5" t="n">
        <v>0</v>
      </c>
      <c r="AJ5" s="5" t="n">
        <v>0</v>
      </c>
      <c r="AK5" s="5" t="n">
        <v>0</v>
      </c>
      <c r="AL5" s="5" t="n">
        <v>0</v>
      </c>
      <c r="AM5" s="4" t="s">
        <v>78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7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M5" s="6" t="n">
        <f aca="false">IFERROR(VALUE(F5),"")</f>
        <v>104.35</v>
      </c>
      <c r="BN5" s="6" t="str">
        <f aca="false">IF(R5="-","",IFERROR(VALUE(LEFT(Q5,LEN(Q5)-2)),""))</f>
        <v/>
      </c>
      <c r="BO5" s="6" t="str">
        <f aca="false">IF(R5="-","",IFERROR(VALUE(LEFT(R5,LEN(R5)-5)),""))</f>
        <v/>
      </c>
      <c r="BP5" s="6" t="str">
        <f aca="false">IF(R5="-","",IFERROR(VALUE(F5),""))</f>
        <v/>
      </c>
      <c r="BQ5" s="4" t="n">
        <f aca="false">IF(R5="-",1,0)</f>
        <v>1</v>
      </c>
    </row>
    <row r="6" customFormat="false" ht="15" hidden="false" customHeight="false" outlineLevel="0" collapsed="false">
      <c r="A6" s="0" t="s">
        <v>68</v>
      </c>
      <c r="B6" s="0" t="s">
        <v>69</v>
      </c>
      <c r="C6" s="0" t="s">
        <v>70</v>
      </c>
      <c r="D6" s="0" t="s">
        <v>88</v>
      </c>
      <c r="E6" s="3" t="n">
        <v>46277</v>
      </c>
      <c r="F6" s="4" t="s">
        <v>89</v>
      </c>
      <c r="G6" s="5" t="n">
        <v>0.22818287037037</v>
      </c>
      <c r="H6" s="5" t="n">
        <v>0.224375</v>
      </c>
      <c r="I6" s="5" t="n">
        <v>5.78703703703704E-005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5" t="n">
        <v>0</v>
      </c>
      <c r="P6" s="5" t="n">
        <v>0</v>
      </c>
      <c r="Q6" s="4" t="s">
        <v>73</v>
      </c>
      <c r="R6" s="4" t="s">
        <v>73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0" t="n">
        <v>0</v>
      </c>
      <c r="AA6" s="0" t="n">
        <v>0</v>
      </c>
      <c r="AB6" s="0" t="n">
        <v>0</v>
      </c>
      <c r="AC6" s="4" t="s">
        <v>74</v>
      </c>
      <c r="AD6" s="4" t="s">
        <v>75</v>
      </c>
      <c r="AE6" s="4" t="s">
        <v>87</v>
      </c>
      <c r="AF6" s="4" t="s">
        <v>90</v>
      </c>
      <c r="AG6" s="5" t="n">
        <v>0.183321759259259</v>
      </c>
      <c r="AH6" s="5" t="n">
        <v>0.0959837962962963</v>
      </c>
      <c r="AI6" s="5" t="n">
        <v>0</v>
      </c>
      <c r="AJ6" s="5" t="n">
        <v>0</v>
      </c>
      <c r="AK6" s="5" t="n">
        <v>0</v>
      </c>
      <c r="AL6" s="5" t="n">
        <v>0</v>
      </c>
      <c r="AM6" s="4" t="s">
        <v>78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2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M6" s="6" t="n">
        <f aca="false">IFERROR(VALUE(F6),"")</f>
        <v>81.95</v>
      </c>
      <c r="BN6" s="6" t="str">
        <f aca="false">IF(R6="-","",IFERROR(VALUE(LEFT(Q6,LEN(Q6)-2)),""))</f>
        <v/>
      </c>
      <c r="BO6" s="6" t="str">
        <f aca="false">IF(R6="-","",IFERROR(VALUE(LEFT(R6,LEN(R6)-5)),""))</f>
        <v/>
      </c>
      <c r="BP6" s="6" t="str">
        <f aca="false">IF(R6="-","",IFERROR(VALUE(F6),""))</f>
        <v/>
      </c>
      <c r="BQ6" s="4" t="n">
        <f aca="false">IF(R6="-",1,0)</f>
        <v>1</v>
      </c>
    </row>
    <row r="7" customFormat="false" ht="15" hidden="false" customHeight="false" outlineLevel="0" collapsed="false">
      <c r="A7" s="0" t="s">
        <v>68</v>
      </c>
      <c r="B7" s="0" t="s">
        <v>69</v>
      </c>
      <c r="C7" s="0" t="s">
        <v>70</v>
      </c>
      <c r="D7" s="0" t="s">
        <v>83</v>
      </c>
      <c r="E7" s="3" t="n">
        <v>46279</v>
      </c>
      <c r="F7" s="4" t="s">
        <v>91</v>
      </c>
      <c r="G7" s="5" t="n">
        <v>0.254930555555556</v>
      </c>
      <c r="H7" s="5" t="n">
        <v>0.254224537037037</v>
      </c>
      <c r="I7" s="5" t="n">
        <v>0.000173611111111111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5" t="n">
        <v>0</v>
      </c>
      <c r="P7" s="5" t="n">
        <v>0</v>
      </c>
      <c r="Q7" s="4" t="s">
        <v>73</v>
      </c>
      <c r="R7" s="4" t="s">
        <v>73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0" t="n">
        <v>0</v>
      </c>
      <c r="AA7" s="0" t="n">
        <v>0</v>
      </c>
      <c r="AB7" s="0" t="n">
        <v>0</v>
      </c>
      <c r="AC7" s="4" t="s">
        <v>75</v>
      </c>
      <c r="AD7" s="4" t="s">
        <v>75</v>
      </c>
      <c r="AE7" s="4" t="s">
        <v>90</v>
      </c>
      <c r="AF7" s="4" t="s">
        <v>92</v>
      </c>
      <c r="AG7" s="5" t="n">
        <v>0.21837962962963</v>
      </c>
      <c r="AH7" s="5" t="n">
        <v>0.0920949074074074</v>
      </c>
      <c r="AI7" s="5" t="n">
        <v>0</v>
      </c>
      <c r="AJ7" s="5" t="n">
        <v>0</v>
      </c>
      <c r="AK7" s="5" t="n">
        <v>0</v>
      </c>
      <c r="AL7" s="5" t="n">
        <v>0</v>
      </c>
      <c r="AM7" s="4" t="s">
        <v>78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1</v>
      </c>
      <c r="AT7" s="0" t="n">
        <v>0</v>
      </c>
      <c r="AU7" s="0" t="n">
        <v>9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M7" s="6" t="n">
        <f aca="false">IFERROR(VALUE(F7),"")</f>
        <v>105.31</v>
      </c>
      <c r="BN7" s="6" t="str">
        <f aca="false">IF(R7="-","",IFERROR(VALUE(LEFT(Q7,LEN(Q7)-2)),""))</f>
        <v/>
      </c>
      <c r="BO7" s="6" t="str">
        <f aca="false">IF(R7="-","",IFERROR(VALUE(LEFT(R7,LEN(R7)-5)),""))</f>
        <v/>
      </c>
      <c r="BP7" s="6" t="str">
        <f aca="false">IF(R7="-","",IFERROR(VALUE(F7),""))</f>
        <v/>
      </c>
      <c r="BQ7" s="4" t="n">
        <f aca="false">IF(R7="-",1,0)</f>
        <v>1</v>
      </c>
    </row>
    <row r="8" customFormat="false" ht="15" hidden="false" customHeight="false" outlineLevel="0" collapsed="false">
      <c r="A8" s="0" t="s">
        <v>93</v>
      </c>
      <c r="B8" s="0" t="s">
        <v>94</v>
      </c>
      <c r="C8" s="0" t="s">
        <v>70</v>
      </c>
      <c r="E8" s="3" t="n">
        <v>46273</v>
      </c>
      <c r="F8" s="4" t="s">
        <v>95</v>
      </c>
      <c r="G8" s="5" t="n">
        <v>0.0110185185185185</v>
      </c>
      <c r="H8" s="5" t="n">
        <v>0</v>
      </c>
      <c r="I8" s="5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5" t="n">
        <v>0</v>
      </c>
      <c r="P8" s="5" t="n">
        <v>0</v>
      </c>
      <c r="Q8" s="4" t="s">
        <v>73</v>
      </c>
      <c r="R8" s="4" t="s">
        <v>73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0" t="n">
        <v>0</v>
      </c>
      <c r="AA8" s="0" t="n">
        <v>0</v>
      </c>
      <c r="AB8" s="0" t="n">
        <v>0</v>
      </c>
      <c r="AC8" s="4" t="s">
        <v>75</v>
      </c>
      <c r="AD8" s="4" t="s">
        <v>74</v>
      </c>
      <c r="AE8" s="4" t="s">
        <v>96</v>
      </c>
      <c r="AF8" s="4" t="s">
        <v>96</v>
      </c>
      <c r="AG8" s="5" t="n">
        <v>0.00087962962962963</v>
      </c>
      <c r="AH8" s="5" t="n">
        <v>0.0111226851851852</v>
      </c>
      <c r="AI8" s="5" t="n">
        <v>0</v>
      </c>
      <c r="AJ8" s="5" t="n">
        <v>0</v>
      </c>
      <c r="AK8" s="5" t="n">
        <v>0</v>
      </c>
      <c r="AL8" s="5" t="n">
        <v>0</v>
      </c>
      <c r="AM8" s="4" t="s">
        <v>78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M8" s="6" t="n">
        <f aca="false">IFERROR(VALUE(F8),"")</f>
        <v>0</v>
      </c>
      <c r="BN8" s="6" t="str">
        <f aca="false">IF(R8="-","",IFERROR(VALUE(LEFT(Q8,LEN(Q8)-2)),""))</f>
        <v/>
      </c>
      <c r="BO8" s="6" t="str">
        <f aca="false">IF(R8="-","",IFERROR(VALUE(LEFT(R8,LEN(R8)-5)),""))</f>
        <v/>
      </c>
      <c r="BP8" s="6" t="str">
        <f aca="false">IF(R8="-","",IFERROR(VALUE(F8),""))</f>
        <v/>
      </c>
      <c r="BQ8" s="4" t="n">
        <f aca="false">IF(R8="-",1,0)</f>
        <v>1</v>
      </c>
    </row>
    <row r="9" customFormat="false" ht="15" hidden="false" customHeight="false" outlineLevel="0" collapsed="false">
      <c r="A9" s="0" t="s">
        <v>97</v>
      </c>
      <c r="B9" s="0" t="s">
        <v>98</v>
      </c>
      <c r="C9" s="0" t="s">
        <v>70</v>
      </c>
      <c r="D9" s="0" t="s">
        <v>99</v>
      </c>
      <c r="E9" s="3" t="n">
        <v>46273</v>
      </c>
      <c r="F9" s="4" t="s">
        <v>100</v>
      </c>
      <c r="G9" s="5" t="n">
        <v>0.323506944444444</v>
      </c>
      <c r="H9" s="5" t="n">
        <v>0.24025462962963</v>
      </c>
      <c r="I9" s="5" t="n">
        <v>0.000162037037037037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5" t="n">
        <v>0</v>
      </c>
      <c r="P9" s="5" t="n">
        <v>0</v>
      </c>
      <c r="Q9" s="4" t="s">
        <v>73</v>
      </c>
      <c r="R9" s="4" t="s">
        <v>73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0" t="n">
        <v>0</v>
      </c>
      <c r="AA9" s="0" t="n">
        <v>0</v>
      </c>
      <c r="AB9" s="0" t="n">
        <v>0</v>
      </c>
      <c r="AC9" s="4" t="s">
        <v>75</v>
      </c>
      <c r="AD9" s="4" t="s">
        <v>73</v>
      </c>
      <c r="AE9" s="4" t="s">
        <v>101</v>
      </c>
      <c r="AF9" s="4" t="s">
        <v>102</v>
      </c>
      <c r="AG9" s="5" t="n">
        <v>0.27494212962963</v>
      </c>
      <c r="AH9" s="5" t="n">
        <v>0.129791666666667</v>
      </c>
      <c r="AI9" s="5" t="n">
        <v>0</v>
      </c>
      <c r="AJ9" s="5" t="n">
        <v>0</v>
      </c>
      <c r="AK9" s="5" t="n">
        <v>0</v>
      </c>
      <c r="AL9" s="5" t="n">
        <v>0</v>
      </c>
      <c r="AM9" s="4" t="s">
        <v>78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M9" s="6" t="n">
        <f aca="false">IFERROR(VALUE(F9),"")</f>
        <v>128.72</v>
      </c>
      <c r="BN9" s="6" t="str">
        <f aca="false">IF(R9="-","",IFERROR(VALUE(LEFT(Q9,LEN(Q9)-2)),""))</f>
        <v/>
      </c>
      <c r="BO9" s="6" t="str">
        <f aca="false">IF(R9="-","",IFERROR(VALUE(LEFT(R9,LEN(R9)-5)),""))</f>
        <v/>
      </c>
      <c r="BP9" s="6" t="str">
        <f aca="false">IF(R9="-","",IFERROR(VALUE(F9),""))</f>
        <v/>
      </c>
      <c r="BQ9" s="4" t="n">
        <f aca="false">IF(R9="-",1,0)</f>
        <v>1</v>
      </c>
    </row>
    <row r="10" customFormat="false" ht="15" hidden="false" customHeight="false" outlineLevel="0" collapsed="false">
      <c r="A10" s="0" t="s">
        <v>97</v>
      </c>
      <c r="B10" s="0" t="s">
        <v>98</v>
      </c>
      <c r="C10" s="0" t="s">
        <v>70</v>
      </c>
      <c r="D10" s="0" t="s">
        <v>99</v>
      </c>
      <c r="E10" s="3" t="n">
        <v>46274</v>
      </c>
      <c r="F10" s="4" t="s">
        <v>103</v>
      </c>
      <c r="G10" s="5" t="n">
        <v>0.378819444444444</v>
      </c>
      <c r="H10" s="5" t="n">
        <v>0.288877314814815</v>
      </c>
      <c r="I10" s="5" t="n">
        <v>0.00025462962962963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1</v>
      </c>
      <c r="O10" s="5" t="n">
        <v>0</v>
      </c>
      <c r="P10" s="5" t="n">
        <v>0</v>
      </c>
      <c r="Q10" s="4" t="s">
        <v>73</v>
      </c>
      <c r="R10" s="4" t="s">
        <v>73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0" t="n">
        <v>0</v>
      </c>
      <c r="AA10" s="0" t="n">
        <v>0</v>
      </c>
      <c r="AB10" s="0" t="n">
        <v>0</v>
      </c>
      <c r="AC10" s="4" t="s">
        <v>73</v>
      </c>
      <c r="AD10" s="4" t="s">
        <v>75</v>
      </c>
      <c r="AE10" s="4" t="s">
        <v>104</v>
      </c>
      <c r="AF10" s="4" t="s">
        <v>105</v>
      </c>
      <c r="AG10" s="5" t="n">
        <v>0.305277777777778</v>
      </c>
      <c r="AH10" s="5" t="n">
        <v>0.198946759259259</v>
      </c>
      <c r="AI10" s="5" t="n">
        <v>0</v>
      </c>
      <c r="AJ10" s="5" t="n">
        <v>0</v>
      </c>
      <c r="AK10" s="5" t="n">
        <v>0</v>
      </c>
      <c r="AL10" s="5" t="n">
        <v>0</v>
      </c>
      <c r="AM10" s="4" t="s">
        <v>78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1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M10" s="6" t="n">
        <f aca="false">IFERROR(VALUE(F10),"")</f>
        <v>148.75</v>
      </c>
      <c r="BN10" s="6" t="str">
        <f aca="false">IF(R10="-","",IFERROR(VALUE(LEFT(Q10,LEN(Q10)-2)),""))</f>
        <v/>
      </c>
      <c r="BO10" s="6" t="str">
        <f aca="false">IF(R10="-","",IFERROR(VALUE(LEFT(R10,LEN(R10)-5)),""))</f>
        <v/>
      </c>
      <c r="BP10" s="6" t="str">
        <f aca="false">IF(R10="-","",IFERROR(VALUE(F10),""))</f>
        <v/>
      </c>
      <c r="BQ10" s="4" t="n">
        <f aca="false">IF(R10="-",1,0)</f>
        <v>1</v>
      </c>
    </row>
    <row r="11" customFormat="false" ht="15" hidden="false" customHeight="false" outlineLevel="0" collapsed="false">
      <c r="A11" s="0" t="s">
        <v>97</v>
      </c>
      <c r="B11" s="0" t="s">
        <v>98</v>
      </c>
      <c r="C11" s="0" t="s">
        <v>70</v>
      </c>
      <c r="D11" s="0" t="s">
        <v>106</v>
      </c>
      <c r="E11" s="3" t="n">
        <v>46275</v>
      </c>
      <c r="F11" s="4" t="s">
        <v>107</v>
      </c>
      <c r="G11" s="5" t="n">
        <v>0.291469907407407</v>
      </c>
      <c r="H11" s="5" t="n">
        <v>0.231759259259259</v>
      </c>
      <c r="I11" s="5" t="n">
        <v>0.00134259259259259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5" t="n">
        <v>0</v>
      </c>
      <c r="P11" s="5" t="n">
        <v>0</v>
      </c>
      <c r="Q11" s="4" t="s">
        <v>73</v>
      </c>
      <c r="R11" s="4" t="s">
        <v>73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0" t="n">
        <v>0</v>
      </c>
      <c r="AA11" s="0" t="n">
        <v>0</v>
      </c>
      <c r="AB11" s="0" t="n">
        <v>0</v>
      </c>
      <c r="AC11" s="4" t="s">
        <v>75</v>
      </c>
      <c r="AD11" s="4" t="s">
        <v>73</v>
      </c>
      <c r="AE11" s="4" t="s">
        <v>105</v>
      </c>
      <c r="AF11" s="4" t="s">
        <v>108</v>
      </c>
      <c r="AG11" s="5" t="n">
        <v>0.261990740740741</v>
      </c>
      <c r="AH11" s="5" t="n">
        <v>0.137164351851852</v>
      </c>
      <c r="AI11" s="5" t="n">
        <v>0</v>
      </c>
      <c r="AJ11" s="5" t="n">
        <v>0</v>
      </c>
      <c r="AK11" s="5" t="n">
        <v>0</v>
      </c>
      <c r="AL11" s="5" t="n">
        <v>0</v>
      </c>
      <c r="AM11" s="4" t="s">
        <v>78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2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M11" s="6" t="n">
        <f aca="false">IFERROR(VALUE(F11),"")</f>
        <v>127.59</v>
      </c>
      <c r="BN11" s="6" t="str">
        <f aca="false">IF(R11="-","",IFERROR(VALUE(LEFT(Q11,LEN(Q11)-2)),""))</f>
        <v/>
      </c>
      <c r="BO11" s="6" t="str">
        <f aca="false">IF(R11="-","",IFERROR(VALUE(LEFT(R11,LEN(R11)-5)),""))</f>
        <v/>
      </c>
      <c r="BP11" s="6" t="str">
        <f aca="false">IF(R11="-","",IFERROR(VALUE(F11),""))</f>
        <v/>
      </c>
      <c r="BQ11" s="4" t="n">
        <f aca="false">IF(R11="-",1,0)</f>
        <v>1</v>
      </c>
    </row>
    <row r="12" customFormat="false" ht="15" hidden="false" customHeight="false" outlineLevel="0" collapsed="false">
      <c r="A12" s="0" t="s">
        <v>97</v>
      </c>
      <c r="B12" s="0" t="s">
        <v>98</v>
      </c>
      <c r="C12" s="0" t="s">
        <v>70</v>
      </c>
      <c r="D12" s="0" t="s">
        <v>109</v>
      </c>
      <c r="E12" s="3" t="n">
        <v>46276</v>
      </c>
      <c r="F12" s="4" t="s">
        <v>110</v>
      </c>
      <c r="G12" s="5" t="n">
        <v>0.42375</v>
      </c>
      <c r="H12" s="5" t="n">
        <v>0.328356481481482</v>
      </c>
      <c r="I12" s="5" t="n">
        <v>0.000162037037037037</v>
      </c>
      <c r="J12" s="0" t="n">
        <v>0</v>
      </c>
      <c r="K12" s="0" t="n">
        <v>3</v>
      </c>
      <c r="L12" s="0" t="n">
        <v>0</v>
      </c>
      <c r="M12" s="0" t="n">
        <v>0</v>
      </c>
      <c r="N12" s="0" t="n">
        <v>1</v>
      </c>
      <c r="O12" s="5" t="n">
        <v>0</v>
      </c>
      <c r="P12" s="5" t="n">
        <v>0</v>
      </c>
      <c r="Q12" s="4" t="s">
        <v>73</v>
      </c>
      <c r="R12" s="4" t="s">
        <v>73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0" t="n">
        <v>0</v>
      </c>
      <c r="AA12" s="0" t="n">
        <v>0</v>
      </c>
      <c r="AB12" s="0" t="n">
        <v>0</v>
      </c>
      <c r="AC12" s="4" t="s">
        <v>73</v>
      </c>
      <c r="AD12" s="4" t="s">
        <v>111</v>
      </c>
      <c r="AE12" s="4" t="s">
        <v>112</v>
      </c>
      <c r="AF12" s="4" t="s">
        <v>113</v>
      </c>
      <c r="AG12" s="5" t="n">
        <v>0.368136574074074</v>
      </c>
      <c r="AH12" s="5" t="n">
        <v>0.169814814814815</v>
      </c>
      <c r="AI12" s="5" t="n">
        <v>0</v>
      </c>
      <c r="AJ12" s="5" t="n">
        <v>0</v>
      </c>
      <c r="AK12" s="5" t="n">
        <v>0</v>
      </c>
      <c r="AL12" s="5" t="n">
        <v>0</v>
      </c>
      <c r="AM12" s="4" t="s">
        <v>78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5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M12" s="6" t="n">
        <f aca="false">IFERROR(VALUE(F12),"")</f>
        <v>183.77</v>
      </c>
      <c r="BN12" s="6" t="str">
        <f aca="false">IF(R12="-","",IFERROR(VALUE(LEFT(Q12,LEN(Q12)-2)),""))</f>
        <v/>
      </c>
      <c r="BO12" s="6" t="str">
        <f aca="false">IF(R12="-","",IFERROR(VALUE(LEFT(R12,LEN(R12)-5)),""))</f>
        <v/>
      </c>
      <c r="BP12" s="6" t="str">
        <f aca="false">IF(R12="-","",IFERROR(VALUE(F12),""))</f>
        <v/>
      </c>
      <c r="BQ12" s="4" t="n">
        <f aca="false">IF(R12="-",1,0)</f>
        <v>1</v>
      </c>
    </row>
    <row r="13" customFormat="false" ht="15" hidden="false" customHeight="false" outlineLevel="0" collapsed="false">
      <c r="A13" s="0" t="s">
        <v>97</v>
      </c>
      <c r="B13" s="0" t="s">
        <v>98</v>
      </c>
      <c r="C13" s="0" t="s">
        <v>70</v>
      </c>
      <c r="D13" s="0" t="s">
        <v>114</v>
      </c>
      <c r="E13" s="3" t="n">
        <v>46277</v>
      </c>
      <c r="F13" s="4" t="s">
        <v>115</v>
      </c>
      <c r="G13" s="5" t="n">
        <v>0.130671296296296</v>
      </c>
      <c r="H13" s="5" t="n">
        <v>0.0295601851851852</v>
      </c>
      <c r="I13" s="5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5" t="n">
        <v>0</v>
      </c>
      <c r="P13" s="5" t="n">
        <v>0</v>
      </c>
      <c r="Q13" s="4" t="s">
        <v>73</v>
      </c>
      <c r="R13" s="4" t="s">
        <v>73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0" t="n">
        <v>0</v>
      </c>
      <c r="AA13" s="0" t="n">
        <v>0</v>
      </c>
      <c r="AB13" s="0" t="n">
        <v>0</v>
      </c>
      <c r="AC13" s="4" t="s">
        <v>111</v>
      </c>
      <c r="AD13" s="4" t="s">
        <v>75</v>
      </c>
      <c r="AE13" s="4" t="s">
        <v>116</v>
      </c>
      <c r="AF13" s="4" t="s">
        <v>117</v>
      </c>
      <c r="AG13" s="5" t="n">
        <v>0.0763194444444444</v>
      </c>
      <c r="AH13" s="5" t="n">
        <v>0.173784722222222</v>
      </c>
      <c r="AI13" s="5" t="n">
        <v>0</v>
      </c>
      <c r="AJ13" s="5" t="n">
        <v>0</v>
      </c>
      <c r="AK13" s="5" t="n">
        <v>0</v>
      </c>
      <c r="AL13" s="5" t="n">
        <v>0</v>
      </c>
      <c r="AM13" s="4" t="s">
        <v>78</v>
      </c>
      <c r="AN13" s="0" t="n">
        <v>0</v>
      </c>
      <c r="AO13" s="0" t="n">
        <v>1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M13" s="6" t="n">
        <f aca="false">IFERROR(VALUE(F13),"")</f>
        <v>38.64</v>
      </c>
      <c r="BN13" s="6" t="str">
        <f aca="false">IF(R13="-","",IFERROR(VALUE(LEFT(Q13,LEN(Q13)-2)),""))</f>
        <v/>
      </c>
      <c r="BO13" s="6" t="str">
        <f aca="false">IF(R13="-","",IFERROR(VALUE(LEFT(R13,LEN(R13)-5)),""))</f>
        <v/>
      </c>
      <c r="BP13" s="6" t="str">
        <f aca="false">IF(R13="-","",IFERROR(VALUE(F13),""))</f>
        <v/>
      </c>
      <c r="BQ13" s="4" t="n">
        <f aca="false">IF(R13="-",1,0)</f>
        <v>1</v>
      </c>
    </row>
    <row r="14" customFormat="false" ht="15" hidden="false" customHeight="false" outlineLevel="0" collapsed="false">
      <c r="A14" s="0" t="s">
        <v>97</v>
      </c>
      <c r="B14" s="0" t="s">
        <v>98</v>
      </c>
      <c r="C14" s="0" t="s">
        <v>70</v>
      </c>
      <c r="D14" s="0" t="s">
        <v>118</v>
      </c>
      <c r="E14" s="3" t="n">
        <v>46279</v>
      </c>
      <c r="F14" s="4" t="s">
        <v>119</v>
      </c>
      <c r="G14" s="5" t="n">
        <v>0.353946759259259</v>
      </c>
      <c r="H14" s="5" t="n">
        <v>0.15900462962963</v>
      </c>
      <c r="I14" s="5" t="n">
        <v>0.00170138888888889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5" t="n">
        <v>0</v>
      </c>
      <c r="P14" s="5" t="n">
        <v>0</v>
      </c>
      <c r="Q14" s="4" t="s">
        <v>73</v>
      </c>
      <c r="R14" s="4" t="s">
        <v>73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0" t="n">
        <v>0</v>
      </c>
      <c r="AA14" s="0" t="n">
        <v>0</v>
      </c>
      <c r="AB14" s="0" t="n">
        <v>0</v>
      </c>
      <c r="AC14" s="4" t="s">
        <v>74</v>
      </c>
      <c r="AD14" s="4" t="s">
        <v>75</v>
      </c>
      <c r="AE14" s="4" t="s">
        <v>117</v>
      </c>
      <c r="AF14" s="4" t="s">
        <v>120</v>
      </c>
      <c r="AG14" s="5" t="n">
        <v>0.321331018518519</v>
      </c>
      <c r="AH14" s="5" t="n">
        <v>0.127048611111111</v>
      </c>
      <c r="AI14" s="5" t="n">
        <v>0</v>
      </c>
      <c r="AJ14" s="5" t="n">
        <v>0</v>
      </c>
      <c r="AK14" s="5" t="n">
        <v>0</v>
      </c>
      <c r="AL14" s="5" t="n">
        <v>0</v>
      </c>
      <c r="AM14" s="4" t="s">
        <v>78</v>
      </c>
      <c r="AN14" s="0" t="n">
        <v>0</v>
      </c>
      <c r="AO14" s="0" t="n">
        <v>2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M14" s="6" t="n">
        <f aca="false">IFERROR(VALUE(F14),"")</f>
        <v>167.71</v>
      </c>
      <c r="BN14" s="6" t="str">
        <f aca="false">IF(R14="-","",IFERROR(VALUE(LEFT(Q14,LEN(Q14)-2)),""))</f>
        <v/>
      </c>
      <c r="BO14" s="6" t="str">
        <f aca="false">IF(R14="-","",IFERROR(VALUE(LEFT(R14,LEN(R14)-5)),""))</f>
        <v/>
      </c>
      <c r="BP14" s="6" t="str">
        <f aca="false">IF(R14="-","",IFERROR(VALUE(F14),""))</f>
        <v/>
      </c>
      <c r="BQ14" s="4" t="n">
        <f aca="false">IF(R14="-",1,0)</f>
        <v>1</v>
      </c>
    </row>
    <row r="15" customFormat="false" ht="15" hidden="false" customHeight="false" outlineLevel="0" collapsed="false">
      <c r="A15" s="0" t="s">
        <v>121</v>
      </c>
      <c r="B15" s="0" t="s">
        <v>122</v>
      </c>
      <c r="C15" s="0" t="s">
        <v>70</v>
      </c>
      <c r="E15" s="3" t="n">
        <v>46273</v>
      </c>
      <c r="F15" s="4" t="s">
        <v>123</v>
      </c>
      <c r="G15" s="5" t="n">
        <v>0.00594907407407408</v>
      </c>
      <c r="H15" s="5" t="n">
        <v>0</v>
      </c>
      <c r="I15" s="5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5" t="n">
        <v>0</v>
      </c>
      <c r="P15" s="5" t="n">
        <v>0</v>
      </c>
      <c r="Q15" s="4" t="s">
        <v>124</v>
      </c>
      <c r="R15" s="4" t="s">
        <v>125</v>
      </c>
      <c r="S15" s="5" t="n">
        <v>0</v>
      </c>
      <c r="T15" s="5" t="n">
        <v>0.0037037037037037</v>
      </c>
      <c r="U15" s="5" t="n">
        <v>0.00127314814814815</v>
      </c>
      <c r="V15" s="5" t="n">
        <v>0.000115740740740741</v>
      </c>
      <c r="W15" s="5" t="n">
        <v>0</v>
      </c>
      <c r="X15" s="5" t="n">
        <v>0</v>
      </c>
      <c r="Y15" s="5" t="n">
        <v>0</v>
      </c>
      <c r="Z15" s="0" t="n">
        <v>0</v>
      </c>
      <c r="AA15" s="0" t="n">
        <v>0</v>
      </c>
      <c r="AB15" s="0" t="n">
        <v>0</v>
      </c>
      <c r="AE15" s="4" t="s">
        <v>126</v>
      </c>
      <c r="AF15" s="4" t="s">
        <v>127</v>
      </c>
      <c r="AG15" s="5" t="n">
        <v>0.00415509259259259</v>
      </c>
      <c r="AH15" s="5" t="n">
        <v>0.0199421296296296</v>
      </c>
      <c r="AI15" s="5" t="n">
        <v>0</v>
      </c>
      <c r="AJ15" s="5" t="n">
        <v>0</v>
      </c>
      <c r="AK15" s="5" t="n">
        <v>0</v>
      </c>
      <c r="AL15" s="5" t="n">
        <v>0</v>
      </c>
      <c r="AM15" s="4" t="s">
        <v>78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M15" s="6" t="n">
        <f aca="false">IFERROR(VALUE(F15),"")</f>
        <v>0.34</v>
      </c>
      <c r="BN15" s="6" t="n">
        <f aca="false">IF(R15="-","",IFERROR(VALUE(LEFT(Q15,LEN(Q15)-2)),""))</f>
        <v>0.13</v>
      </c>
      <c r="BO15" s="6" t="n">
        <f aca="false">IF(R15="-","",IFERROR(VALUE(LEFT(R15,LEN(R15)-5)),""))</f>
        <v>2.56</v>
      </c>
      <c r="BP15" s="6" t="n">
        <f aca="false">IF(R15="-","",IFERROR(VALUE(F15),""))</f>
        <v>0.34</v>
      </c>
      <c r="BQ15" s="4" t="n">
        <f aca="false">IF(R15="-",1,0)</f>
        <v>0</v>
      </c>
    </row>
    <row r="16" customFormat="false" ht="15" hidden="false" customHeight="false" outlineLevel="0" collapsed="false">
      <c r="A16" s="0" t="s">
        <v>121</v>
      </c>
      <c r="B16" s="0" t="s">
        <v>122</v>
      </c>
      <c r="C16" s="0" t="s">
        <v>70</v>
      </c>
      <c r="E16" s="3" t="n">
        <v>46274</v>
      </c>
      <c r="F16" s="4" t="s">
        <v>95</v>
      </c>
      <c r="G16" s="5" t="n">
        <v>0</v>
      </c>
      <c r="H16" s="5" t="n">
        <v>0</v>
      </c>
      <c r="I16" s="5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5" t="n">
        <v>0</v>
      </c>
      <c r="P16" s="5" t="n">
        <v>0</v>
      </c>
      <c r="Q16" s="4" t="s">
        <v>73</v>
      </c>
      <c r="R16" s="4" t="s">
        <v>73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0" t="n">
        <v>0</v>
      </c>
      <c r="AA16" s="0" t="n">
        <v>0</v>
      </c>
      <c r="AB16" s="0" t="n">
        <v>0</v>
      </c>
      <c r="AE16" s="4" t="s">
        <v>127</v>
      </c>
      <c r="AF16" s="4" t="s">
        <v>127</v>
      </c>
      <c r="AG16" s="5" t="n">
        <v>0</v>
      </c>
      <c r="AH16" s="5" t="n">
        <v>0.0178240740740741</v>
      </c>
      <c r="AI16" s="5" t="n">
        <v>0</v>
      </c>
      <c r="AJ16" s="5" t="n">
        <v>0</v>
      </c>
      <c r="AK16" s="5" t="n">
        <v>0</v>
      </c>
      <c r="AL16" s="5" t="n">
        <v>0</v>
      </c>
      <c r="AM16" s="4" t="s">
        <v>78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M16" s="6" t="n">
        <f aca="false">IFERROR(VALUE(F16),"")</f>
        <v>0</v>
      </c>
      <c r="BN16" s="6" t="str">
        <f aca="false">IF(R16="-","",IFERROR(VALUE(LEFT(Q16,LEN(Q16)-2)),""))</f>
        <v/>
      </c>
      <c r="BO16" s="6" t="str">
        <f aca="false">IF(R16="-","",IFERROR(VALUE(LEFT(R16,LEN(R16)-5)),""))</f>
        <v/>
      </c>
      <c r="BP16" s="6" t="str">
        <f aca="false">IF(R16="-","",IFERROR(VALUE(F16),""))</f>
        <v/>
      </c>
      <c r="BQ16" s="4" t="n">
        <f aca="false">IF(R16="-",1,0)</f>
        <v>1</v>
      </c>
    </row>
    <row r="17" customFormat="false" ht="15" hidden="false" customHeight="false" outlineLevel="0" collapsed="false">
      <c r="A17" s="0" t="s">
        <v>121</v>
      </c>
      <c r="B17" s="0" t="s">
        <v>122</v>
      </c>
      <c r="C17" s="0" t="s">
        <v>70</v>
      </c>
      <c r="D17" s="0" t="s">
        <v>128</v>
      </c>
      <c r="E17" s="3" t="n">
        <v>46275</v>
      </c>
      <c r="F17" s="4" t="s">
        <v>129</v>
      </c>
      <c r="G17" s="5" t="n">
        <v>0.255949074074074</v>
      </c>
      <c r="H17" s="5" t="n">
        <v>0.135706018518519</v>
      </c>
      <c r="I17" s="5" t="n">
        <v>0.00226851851851852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5" t="n">
        <v>0</v>
      </c>
      <c r="P17" s="5" t="n">
        <v>0.0181828703703704</v>
      </c>
      <c r="Q17" s="4" t="s">
        <v>130</v>
      </c>
      <c r="R17" s="4" t="s">
        <v>131</v>
      </c>
      <c r="S17" s="5" t="n">
        <v>0</v>
      </c>
      <c r="T17" s="5" t="n">
        <v>0.0673611111111111</v>
      </c>
      <c r="U17" s="5" t="n">
        <v>0.0315972222222222</v>
      </c>
      <c r="V17" s="5" t="n">
        <v>0.0953703703703704</v>
      </c>
      <c r="W17" s="5" t="n">
        <v>0.000347222222222222</v>
      </c>
      <c r="X17" s="5" t="n">
        <v>0</v>
      </c>
      <c r="Y17" s="5" t="n">
        <v>0</v>
      </c>
      <c r="Z17" s="0" t="n">
        <v>0</v>
      </c>
      <c r="AA17" s="0" t="n">
        <v>0</v>
      </c>
      <c r="AB17" s="0" t="n">
        <v>0</v>
      </c>
      <c r="AE17" s="4" t="s">
        <v>127</v>
      </c>
      <c r="AF17" s="4" t="s">
        <v>132</v>
      </c>
      <c r="AG17" s="5" t="n">
        <v>0.15369212962963</v>
      </c>
      <c r="AH17" s="5" t="n">
        <v>0.19775462962963</v>
      </c>
      <c r="AI17" s="5" t="n">
        <v>0</v>
      </c>
      <c r="AJ17" s="5" t="n">
        <v>0</v>
      </c>
      <c r="AK17" s="5" t="n">
        <v>0</v>
      </c>
      <c r="AL17" s="5" t="n">
        <v>0</v>
      </c>
      <c r="AM17" s="4" t="s">
        <v>78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M17" s="6" t="n">
        <f aca="false">IFERROR(VALUE(F17),"")</f>
        <v>175.25</v>
      </c>
      <c r="BN17" s="6" t="n">
        <f aca="false">IF(R17="-","",IFERROR(VALUE(LEFT(Q17,LEN(Q17)-2)),""))</f>
        <v>24.98</v>
      </c>
      <c r="BO17" s="6" t="n">
        <f aca="false">IF(R17="-","",IFERROR(VALUE(LEFT(R17,LEN(R17)-5)),""))</f>
        <v>7.02</v>
      </c>
      <c r="BP17" s="6" t="n">
        <f aca="false">IF(R17="-","",IFERROR(VALUE(F17),""))</f>
        <v>175.25</v>
      </c>
      <c r="BQ17" s="4" t="n">
        <f aca="false">IF(R17="-",1,0)</f>
        <v>0</v>
      </c>
    </row>
    <row r="18" customFormat="false" ht="15" hidden="false" customHeight="false" outlineLevel="0" collapsed="false">
      <c r="A18" s="0" t="s">
        <v>121</v>
      </c>
      <c r="B18" s="0" t="s">
        <v>122</v>
      </c>
      <c r="C18" s="0" t="s">
        <v>70</v>
      </c>
      <c r="D18" s="0" t="s">
        <v>128</v>
      </c>
      <c r="E18" s="3" t="n">
        <v>46276</v>
      </c>
      <c r="F18" s="4" t="s">
        <v>133</v>
      </c>
      <c r="G18" s="5" t="n">
        <v>0.30369212962963</v>
      </c>
      <c r="H18" s="5" t="n">
        <v>0.210162037037037</v>
      </c>
      <c r="I18" s="5" t="n">
        <v>0.0046412037037037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5" t="n">
        <v>0</v>
      </c>
      <c r="P18" s="5" t="n">
        <v>0.0309606481481482</v>
      </c>
      <c r="Q18" s="4" t="s">
        <v>134</v>
      </c>
      <c r="R18" s="4" t="s">
        <v>135</v>
      </c>
      <c r="S18" s="5" t="n">
        <v>0</v>
      </c>
      <c r="T18" s="5" t="n">
        <v>0.0866898148148148</v>
      </c>
      <c r="U18" s="5" t="n">
        <v>0.0403125</v>
      </c>
      <c r="V18" s="5" t="n">
        <v>0.147164351851852</v>
      </c>
      <c r="W18" s="5" t="n">
        <v>0.000717592592592593</v>
      </c>
      <c r="X18" s="5" t="n">
        <v>0</v>
      </c>
      <c r="Y18" s="5" t="n">
        <v>5.78703703703704E-005</v>
      </c>
      <c r="Z18" s="0" t="n">
        <v>0</v>
      </c>
      <c r="AA18" s="0" t="n">
        <v>0</v>
      </c>
      <c r="AB18" s="0" t="n">
        <v>0</v>
      </c>
      <c r="AE18" s="4" t="s">
        <v>132</v>
      </c>
      <c r="AF18" s="4" t="s">
        <v>136</v>
      </c>
      <c r="AG18" s="5" t="n">
        <v>0.212511574074074</v>
      </c>
      <c r="AH18" s="5" t="n">
        <v>0.159884259259259</v>
      </c>
      <c r="AI18" s="5" t="n">
        <v>0</v>
      </c>
      <c r="AJ18" s="5" t="n">
        <v>0</v>
      </c>
      <c r="AK18" s="5" t="n">
        <v>0</v>
      </c>
      <c r="AL18" s="5" t="n">
        <v>0</v>
      </c>
      <c r="AM18" s="4" t="s">
        <v>78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1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M18" s="6" t="n">
        <f aca="false">IFERROR(VALUE(F18),"")</f>
        <v>242.45</v>
      </c>
      <c r="BN18" s="6" t="n">
        <f aca="false">IF(R18="-","",IFERROR(VALUE(LEFT(Q18,LEN(Q18)-2)),""))</f>
        <v>44.94</v>
      </c>
      <c r="BO18" s="6" t="n">
        <f aca="false">IF(R18="-","",IFERROR(VALUE(LEFT(R18,LEN(R18)-5)),""))</f>
        <v>5.39</v>
      </c>
      <c r="BP18" s="6" t="n">
        <f aca="false">IF(R18="-","",IFERROR(VALUE(F18),""))</f>
        <v>242.45</v>
      </c>
      <c r="BQ18" s="4" t="n">
        <f aca="false">IF(R18="-",1,0)</f>
        <v>0</v>
      </c>
    </row>
    <row r="19" customFormat="false" ht="15" hidden="false" customHeight="false" outlineLevel="0" collapsed="false">
      <c r="A19" s="0" t="s">
        <v>121</v>
      </c>
      <c r="B19" s="0" t="s">
        <v>122</v>
      </c>
      <c r="C19" s="0" t="s">
        <v>70</v>
      </c>
      <c r="E19" s="3" t="n">
        <v>46277</v>
      </c>
      <c r="F19" s="4" t="s">
        <v>137</v>
      </c>
      <c r="G19" s="5" t="n">
        <v>0.00300925925925926</v>
      </c>
      <c r="H19" s="5" t="n">
        <v>0</v>
      </c>
      <c r="I19" s="5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5" t="n">
        <v>0</v>
      </c>
      <c r="P19" s="5" t="n">
        <v>0</v>
      </c>
      <c r="Q19" s="4" t="s">
        <v>138</v>
      </c>
      <c r="R19" s="4" t="s">
        <v>139</v>
      </c>
      <c r="S19" s="5" t="n">
        <v>0</v>
      </c>
      <c r="T19" s="5" t="n">
        <v>0.00243055555555556</v>
      </c>
      <c r="U19" s="5" t="n">
        <v>0.000347222222222222</v>
      </c>
      <c r="V19" s="5" t="n">
        <v>0</v>
      </c>
      <c r="W19" s="5" t="n">
        <v>0</v>
      </c>
      <c r="X19" s="5" t="n">
        <v>0</v>
      </c>
      <c r="Y19" s="5" t="n">
        <v>0</v>
      </c>
      <c r="Z19" s="0" t="n">
        <v>0</v>
      </c>
      <c r="AA19" s="0" t="n">
        <v>0</v>
      </c>
      <c r="AB19" s="0" t="n">
        <v>0</v>
      </c>
      <c r="AE19" s="4" t="s">
        <v>136</v>
      </c>
      <c r="AF19" s="4" t="s">
        <v>140</v>
      </c>
      <c r="AG19" s="5" t="n">
        <v>0.00100694444444444</v>
      </c>
      <c r="AH19" s="5" t="n">
        <v>0.0213888888888889</v>
      </c>
      <c r="AI19" s="5" t="n">
        <v>0</v>
      </c>
      <c r="AJ19" s="5" t="n">
        <v>0</v>
      </c>
      <c r="AK19" s="5" t="n">
        <v>0</v>
      </c>
      <c r="AL19" s="5" t="n">
        <v>0</v>
      </c>
      <c r="AM19" s="4" t="s">
        <v>78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M19" s="6" t="n">
        <f aca="false">IFERROR(VALUE(F19),"")</f>
        <v>0.14</v>
      </c>
      <c r="BN19" s="6" t="n">
        <f aca="false">IF(R19="-","",IFERROR(VALUE(LEFT(Q19,LEN(Q19)-2)),""))</f>
        <v>0.06</v>
      </c>
      <c r="BO19" s="6" t="n">
        <f aca="false">IF(R19="-","",IFERROR(VALUE(LEFT(R19,LEN(R19)-5)),""))</f>
        <v>2.46</v>
      </c>
      <c r="BP19" s="6" t="n">
        <f aca="false">IF(R19="-","",IFERROR(VALUE(F19),""))</f>
        <v>0.14</v>
      </c>
      <c r="BQ19" s="4" t="n">
        <f aca="false">IF(R19="-",1,0)</f>
        <v>0</v>
      </c>
    </row>
    <row r="20" customFormat="false" ht="15" hidden="false" customHeight="false" outlineLevel="0" collapsed="false">
      <c r="A20" s="0" t="s">
        <v>121</v>
      </c>
      <c r="B20" s="0" t="s">
        <v>122</v>
      </c>
      <c r="C20" s="0" t="s">
        <v>70</v>
      </c>
      <c r="D20" s="0" t="s">
        <v>141</v>
      </c>
      <c r="E20" s="3" t="n">
        <v>46279</v>
      </c>
      <c r="F20" s="4" t="s">
        <v>142</v>
      </c>
      <c r="G20" s="5" t="n">
        <v>0.131967592592593</v>
      </c>
      <c r="H20" s="5" t="n">
        <v>0.128969907407407</v>
      </c>
      <c r="I20" s="5" t="n">
        <v>0.000243055555555556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5" t="n">
        <v>0</v>
      </c>
      <c r="P20" s="5" t="n">
        <v>0</v>
      </c>
      <c r="Q20" s="4" t="s">
        <v>143</v>
      </c>
      <c r="R20" s="4" t="s">
        <v>144</v>
      </c>
      <c r="S20" s="5" t="n">
        <v>0.000115740740740741</v>
      </c>
      <c r="T20" s="5" t="n">
        <v>0.0475694444444444</v>
      </c>
      <c r="U20" s="5" t="n">
        <v>0.0364583333333333</v>
      </c>
      <c r="V20" s="5" t="n">
        <v>0.0459490740740741</v>
      </c>
      <c r="W20" s="5" t="n">
        <v>0</v>
      </c>
      <c r="X20" s="5" t="n">
        <v>0</v>
      </c>
      <c r="Y20" s="5" t="n">
        <v>0</v>
      </c>
      <c r="Z20" s="0" t="n">
        <v>0</v>
      </c>
      <c r="AA20" s="0" t="n">
        <v>0</v>
      </c>
      <c r="AB20" s="0" t="n">
        <v>0</v>
      </c>
      <c r="AE20" s="4" t="s">
        <v>140</v>
      </c>
      <c r="AF20" s="4" t="s">
        <v>145</v>
      </c>
      <c r="AG20" s="5" t="n">
        <v>0.106574074074074</v>
      </c>
      <c r="AH20" s="5" t="n">
        <v>0.0648263888888889</v>
      </c>
      <c r="AI20" s="5" t="n">
        <v>0</v>
      </c>
      <c r="AJ20" s="5" t="n">
        <v>0</v>
      </c>
      <c r="AK20" s="5" t="n">
        <v>0</v>
      </c>
      <c r="AL20" s="5" t="n">
        <v>0</v>
      </c>
      <c r="AM20" s="4" t="s">
        <v>78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1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M20" s="6" t="n">
        <f aca="false">IFERROR(VALUE(F20),"")</f>
        <v>90.26</v>
      </c>
      <c r="BN20" s="6" t="n">
        <f aca="false">IF(R20="-","",IFERROR(VALUE(LEFT(Q20,LEN(Q20)-2)),""))</f>
        <v>15.81</v>
      </c>
      <c r="BO20" s="6" t="n">
        <f aca="false">IF(R20="-","",IFERROR(VALUE(LEFT(R20,LEN(R20)-5)),""))</f>
        <v>5.71</v>
      </c>
      <c r="BP20" s="6" t="n">
        <f aca="false">IF(R20="-","",IFERROR(VALUE(F20),""))</f>
        <v>90.26</v>
      </c>
      <c r="BQ20" s="4" t="n">
        <f aca="false">IF(R20="-",1,0)</f>
        <v>0</v>
      </c>
    </row>
    <row r="21" customFormat="false" ht="15" hidden="false" customHeight="false" outlineLevel="0" collapsed="false">
      <c r="A21" s="0" t="s">
        <v>146</v>
      </c>
      <c r="B21" s="0" t="s">
        <v>147</v>
      </c>
      <c r="C21" s="0" t="s">
        <v>70</v>
      </c>
      <c r="D21" s="0" t="s">
        <v>148</v>
      </c>
      <c r="E21" s="3" t="n">
        <v>46273</v>
      </c>
      <c r="F21" s="4" t="s">
        <v>149</v>
      </c>
      <c r="G21" s="5" t="n">
        <v>0.323738425925926</v>
      </c>
      <c r="H21" s="5" t="n">
        <v>0.320520833333333</v>
      </c>
      <c r="I21" s="5" t="n">
        <v>0.000243055555555556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5" t="n">
        <v>0</v>
      </c>
      <c r="P21" s="5" t="n">
        <v>0.00847222222222222</v>
      </c>
      <c r="Q21" s="4" t="s">
        <v>150</v>
      </c>
      <c r="R21" s="4" t="s">
        <v>151</v>
      </c>
      <c r="S21" s="5" t="n">
        <v>0</v>
      </c>
      <c r="T21" s="5" t="n">
        <v>0.0784722222222222</v>
      </c>
      <c r="U21" s="5" t="n">
        <v>0.0702546296296296</v>
      </c>
      <c r="V21" s="5" t="n">
        <v>0.169953703703704</v>
      </c>
      <c r="W21" s="5" t="n">
        <v>0.000185185185185185</v>
      </c>
      <c r="X21" s="5" t="n">
        <v>0</v>
      </c>
      <c r="Y21" s="5" t="n">
        <v>0</v>
      </c>
      <c r="Z21" s="0" t="n">
        <v>0</v>
      </c>
      <c r="AA21" s="0" t="n">
        <v>0</v>
      </c>
      <c r="AB21" s="0" t="n">
        <v>0</v>
      </c>
      <c r="AC21" s="4" t="s">
        <v>152</v>
      </c>
      <c r="AD21" s="4" t="s">
        <v>152</v>
      </c>
      <c r="AE21" s="4" t="s">
        <v>153</v>
      </c>
      <c r="AF21" s="4" t="s">
        <v>154</v>
      </c>
      <c r="AG21" s="5" t="n">
        <v>0.288993055555556</v>
      </c>
      <c r="AH21" s="5" t="n">
        <v>0.0728356481481482</v>
      </c>
      <c r="AI21" s="5" t="n">
        <v>0</v>
      </c>
      <c r="AJ21" s="5" t="n">
        <v>0</v>
      </c>
      <c r="AK21" s="5" t="n">
        <v>0</v>
      </c>
      <c r="AL21" s="5" t="n">
        <v>0</v>
      </c>
      <c r="AM21" s="4" t="s">
        <v>78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M21" s="6" t="n">
        <f aca="false">IFERROR(VALUE(F21),"")</f>
        <v>324.04</v>
      </c>
      <c r="BN21" s="6" t="n">
        <f aca="false">IF(R21="-","",IFERROR(VALUE(LEFT(Q21,LEN(Q21)-2)),""))</f>
        <v>57.56</v>
      </c>
      <c r="BO21" s="6" t="n">
        <f aca="false">IF(R21="-","",IFERROR(VALUE(LEFT(R21,LEN(R21)-5)),""))</f>
        <v>5.63</v>
      </c>
      <c r="BP21" s="6" t="n">
        <f aca="false">IF(R21="-","",IFERROR(VALUE(F21),""))</f>
        <v>324.04</v>
      </c>
      <c r="BQ21" s="4" t="n">
        <f aca="false">IF(R21="-",1,0)</f>
        <v>0</v>
      </c>
    </row>
    <row r="22" customFormat="false" ht="15" hidden="false" customHeight="false" outlineLevel="0" collapsed="false">
      <c r="A22" s="0" t="s">
        <v>146</v>
      </c>
      <c r="B22" s="0" t="s">
        <v>147</v>
      </c>
      <c r="C22" s="0" t="s">
        <v>70</v>
      </c>
      <c r="E22" s="3" t="n">
        <v>46274</v>
      </c>
      <c r="F22" s="4" t="s">
        <v>155</v>
      </c>
      <c r="G22" s="5" t="n">
        <v>0.023900462962963</v>
      </c>
      <c r="H22" s="5" t="n">
        <v>0</v>
      </c>
      <c r="I22" s="5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5" t="n">
        <v>0</v>
      </c>
      <c r="P22" s="5" t="n">
        <v>0.0145023148148148</v>
      </c>
      <c r="Q22" s="4" t="s">
        <v>156</v>
      </c>
      <c r="R22" s="4" t="s">
        <v>157</v>
      </c>
      <c r="S22" s="5" t="n">
        <v>0</v>
      </c>
      <c r="T22" s="5" t="n">
        <v>0.0202546296296296</v>
      </c>
      <c r="U22" s="5" t="n">
        <v>0.00231481481481482</v>
      </c>
      <c r="V22" s="5" t="n">
        <v>0.000578703703703704</v>
      </c>
      <c r="W22" s="5" t="n">
        <v>0</v>
      </c>
      <c r="X22" s="5" t="n">
        <v>0</v>
      </c>
      <c r="Y22" s="5" t="n">
        <v>0</v>
      </c>
      <c r="Z22" s="0" t="n">
        <v>0</v>
      </c>
      <c r="AA22" s="0" t="n">
        <v>0</v>
      </c>
      <c r="AB22" s="0" t="n">
        <v>0</v>
      </c>
      <c r="AC22" s="4" t="s">
        <v>158</v>
      </c>
      <c r="AD22" s="4" t="s">
        <v>159</v>
      </c>
      <c r="AE22" s="4" t="s">
        <v>154</v>
      </c>
      <c r="AF22" s="4" t="s">
        <v>160</v>
      </c>
      <c r="AG22" s="5" t="n">
        <v>0.00599537037037037</v>
      </c>
      <c r="AH22" s="5" t="n">
        <v>0.0222222222222222</v>
      </c>
      <c r="AI22" s="5" t="n">
        <v>0</v>
      </c>
      <c r="AJ22" s="5" t="n">
        <v>0</v>
      </c>
      <c r="AK22" s="5" t="n">
        <v>0</v>
      </c>
      <c r="AL22" s="5" t="n">
        <v>0</v>
      </c>
      <c r="AM22" s="4" t="s">
        <v>78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M22" s="6" t="n">
        <f aca="false">IFERROR(VALUE(F22),"")</f>
        <v>1.75</v>
      </c>
      <c r="BN22" s="6" t="n">
        <f aca="false">IF(R22="-","",IFERROR(VALUE(LEFT(Q22,LEN(Q22)-2)),""))</f>
        <v>1.65</v>
      </c>
      <c r="BO22" s="6" t="n">
        <f aca="false">IF(R22="-","",IFERROR(VALUE(LEFT(R22,LEN(R22)-5)),""))</f>
        <v>1.06</v>
      </c>
      <c r="BP22" s="6" t="n">
        <f aca="false">IF(R22="-","",IFERROR(VALUE(F22),""))</f>
        <v>1.75</v>
      </c>
      <c r="BQ22" s="4" t="n">
        <f aca="false">IF(R22="-",1,0)</f>
        <v>0</v>
      </c>
    </row>
    <row r="23" customFormat="false" ht="15" hidden="false" customHeight="false" outlineLevel="0" collapsed="false">
      <c r="A23" s="0" t="s">
        <v>146</v>
      </c>
      <c r="B23" s="0" t="s">
        <v>147</v>
      </c>
      <c r="C23" s="0" t="s">
        <v>70</v>
      </c>
      <c r="D23" s="0" t="s">
        <v>161</v>
      </c>
      <c r="E23" s="3" t="n">
        <v>46275</v>
      </c>
      <c r="F23" s="4" t="s">
        <v>162</v>
      </c>
      <c r="G23" s="5" t="n">
        <v>0.20525462962963</v>
      </c>
      <c r="H23" s="5" t="n">
        <v>0.0171875</v>
      </c>
      <c r="I23" s="5" t="n">
        <v>0.000659722222222222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5" t="n">
        <v>0</v>
      </c>
      <c r="P23" s="5" t="n">
        <v>0.027962962962963</v>
      </c>
      <c r="Q23" s="4" t="s">
        <v>163</v>
      </c>
      <c r="R23" s="4" t="s">
        <v>164</v>
      </c>
      <c r="S23" s="5" t="n">
        <v>0</v>
      </c>
      <c r="T23" s="5" t="n">
        <v>0.0844907407407407</v>
      </c>
      <c r="U23" s="5" t="n">
        <v>0.0820601851851852</v>
      </c>
      <c r="V23" s="5" t="n">
        <v>0.0304398148148148</v>
      </c>
      <c r="W23" s="5" t="n">
        <v>0.000115740740740741</v>
      </c>
      <c r="X23" s="5" t="n">
        <v>0</v>
      </c>
      <c r="Y23" s="5" t="n">
        <v>0</v>
      </c>
      <c r="Z23" s="0" t="n">
        <v>0</v>
      </c>
      <c r="AA23" s="0" t="n">
        <v>0</v>
      </c>
      <c r="AB23" s="0" t="n">
        <v>0</v>
      </c>
      <c r="AC23" s="4" t="s">
        <v>159</v>
      </c>
      <c r="AD23" s="4" t="s">
        <v>159</v>
      </c>
      <c r="AE23" s="4" t="s">
        <v>160</v>
      </c>
      <c r="AF23" s="4" t="s">
        <v>165</v>
      </c>
      <c r="AG23" s="5" t="n">
        <v>0.157280092592593</v>
      </c>
      <c r="AH23" s="5" t="n">
        <v>0.140416666666667</v>
      </c>
      <c r="AI23" s="5" t="n">
        <v>0</v>
      </c>
      <c r="AJ23" s="5" t="n">
        <v>0</v>
      </c>
      <c r="AK23" s="5" t="n">
        <v>0</v>
      </c>
      <c r="AL23" s="5" t="n">
        <v>0</v>
      </c>
      <c r="AM23" s="4" t="s">
        <v>78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M23" s="6" t="n">
        <f aca="false">IFERROR(VALUE(F23),"")</f>
        <v>109.12</v>
      </c>
      <c r="BN23" s="6" t="n">
        <f aca="false">IF(R23="-","",IFERROR(VALUE(LEFT(Q23,LEN(Q23)-2)),""))</f>
        <v>22.26</v>
      </c>
      <c r="BO23" s="6" t="n">
        <f aca="false">IF(R23="-","",IFERROR(VALUE(LEFT(R23,LEN(R23)-5)),""))</f>
        <v>4.9</v>
      </c>
      <c r="BP23" s="6" t="n">
        <f aca="false">IF(R23="-","",IFERROR(VALUE(F23),""))</f>
        <v>109.12</v>
      </c>
      <c r="BQ23" s="4" t="n">
        <f aca="false">IF(R23="-",1,0)</f>
        <v>0</v>
      </c>
    </row>
    <row r="24" customFormat="false" ht="15" hidden="false" customHeight="false" outlineLevel="0" collapsed="false">
      <c r="A24" s="0" t="s">
        <v>146</v>
      </c>
      <c r="B24" s="0" t="s">
        <v>147</v>
      </c>
      <c r="C24" s="0" t="s">
        <v>70</v>
      </c>
      <c r="E24" s="3" t="n">
        <v>46276</v>
      </c>
      <c r="F24" s="4" t="s">
        <v>166</v>
      </c>
      <c r="G24" s="5" t="n">
        <v>0.192037037037037</v>
      </c>
      <c r="H24" s="5" t="n">
        <v>0</v>
      </c>
      <c r="I24" s="5" t="n">
        <v>0.000381944444444445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5" t="n">
        <v>0</v>
      </c>
      <c r="P24" s="5" t="n">
        <v>0.0232291666666667</v>
      </c>
      <c r="Q24" s="4" t="s">
        <v>167</v>
      </c>
      <c r="R24" s="4" t="s">
        <v>168</v>
      </c>
      <c r="S24" s="5" t="n">
        <v>0</v>
      </c>
      <c r="T24" s="5" t="n">
        <v>0.0711805555555556</v>
      </c>
      <c r="U24" s="5" t="n">
        <v>0.0842592592592593</v>
      </c>
      <c r="V24" s="5" t="n">
        <v>0.0304398148148148</v>
      </c>
      <c r="W24" s="5" t="n">
        <v>0</v>
      </c>
      <c r="X24" s="5" t="n">
        <v>0</v>
      </c>
      <c r="Y24" s="5" t="n">
        <v>0</v>
      </c>
      <c r="Z24" s="0" t="n">
        <v>0</v>
      </c>
      <c r="AA24" s="0" t="n">
        <v>0</v>
      </c>
      <c r="AB24" s="0" t="n">
        <v>0</v>
      </c>
      <c r="AC24" s="4" t="s">
        <v>159</v>
      </c>
      <c r="AD24" s="4" t="s">
        <v>159</v>
      </c>
      <c r="AE24" s="4" t="s">
        <v>165</v>
      </c>
      <c r="AF24" s="4" t="s">
        <v>169</v>
      </c>
      <c r="AG24" s="5" t="n">
        <v>0.151435185185185</v>
      </c>
      <c r="AH24" s="5" t="n">
        <v>0.131608796296296</v>
      </c>
      <c r="AI24" s="5" t="n">
        <v>0</v>
      </c>
      <c r="AJ24" s="5" t="n">
        <v>0</v>
      </c>
      <c r="AK24" s="5" t="n">
        <v>0</v>
      </c>
      <c r="AL24" s="5" t="n">
        <v>0</v>
      </c>
      <c r="AM24" s="4" t="s">
        <v>78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M24" s="6" t="n">
        <f aca="false">IFERROR(VALUE(F24),"")</f>
        <v>107.82</v>
      </c>
      <c r="BN24" s="6" t="n">
        <f aca="false">IF(R24="-","",IFERROR(VALUE(LEFT(Q24,LEN(Q24)-2)),""))</f>
        <v>21.04</v>
      </c>
      <c r="BO24" s="6" t="n">
        <f aca="false">IF(R24="-","",IFERROR(VALUE(LEFT(R24,LEN(R24)-5)),""))</f>
        <v>5.12</v>
      </c>
      <c r="BP24" s="6" t="n">
        <f aca="false">IF(R24="-","",IFERROR(VALUE(F24),""))</f>
        <v>107.82</v>
      </c>
      <c r="BQ24" s="4" t="n">
        <f aca="false">IF(R24="-",1,0)</f>
        <v>0</v>
      </c>
    </row>
    <row r="25" customFormat="false" ht="15" hidden="false" customHeight="false" outlineLevel="0" collapsed="false">
      <c r="A25" s="0" t="s">
        <v>146</v>
      </c>
      <c r="B25" s="0" t="s">
        <v>147</v>
      </c>
      <c r="C25" s="0" t="s">
        <v>70</v>
      </c>
      <c r="E25" s="3" t="n">
        <v>46277</v>
      </c>
      <c r="F25" s="4" t="s">
        <v>137</v>
      </c>
      <c r="G25" s="5" t="n">
        <v>0.00422453703703704</v>
      </c>
      <c r="H25" s="5" t="n">
        <v>0</v>
      </c>
      <c r="I25" s="5" t="n">
        <v>5.78703703703704E-005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5" t="n">
        <v>0</v>
      </c>
      <c r="P25" s="5" t="n">
        <v>0</v>
      </c>
      <c r="Q25" s="4" t="s">
        <v>170</v>
      </c>
      <c r="R25" s="4" t="s">
        <v>171</v>
      </c>
      <c r="S25" s="5" t="n">
        <v>0</v>
      </c>
      <c r="T25" s="5" t="n">
        <v>0.00289351851851852</v>
      </c>
      <c r="U25" s="5" t="n">
        <v>0.000810185185185185</v>
      </c>
      <c r="V25" s="5" t="n">
        <v>0.000231481481481482</v>
      </c>
      <c r="W25" s="5" t="n">
        <v>0</v>
      </c>
      <c r="X25" s="5" t="n">
        <v>0</v>
      </c>
      <c r="Y25" s="5" t="n">
        <v>0</v>
      </c>
      <c r="Z25" s="0" t="n">
        <v>0</v>
      </c>
      <c r="AA25" s="0" t="n">
        <v>0</v>
      </c>
      <c r="AB25" s="0" t="n">
        <v>0</v>
      </c>
      <c r="AC25" s="4" t="s">
        <v>159</v>
      </c>
      <c r="AD25" s="4" t="s">
        <v>159</v>
      </c>
      <c r="AE25" s="4" t="s">
        <v>169</v>
      </c>
      <c r="AF25" s="4" t="s">
        <v>172</v>
      </c>
      <c r="AG25" s="5" t="n">
        <v>0.00118055555555556</v>
      </c>
      <c r="AH25" s="5" t="n">
        <v>0.0301851851851852</v>
      </c>
      <c r="AI25" s="5" t="n">
        <v>0</v>
      </c>
      <c r="AJ25" s="5" t="n">
        <v>0</v>
      </c>
      <c r="AK25" s="5" t="n">
        <v>0</v>
      </c>
      <c r="AL25" s="5" t="n">
        <v>0</v>
      </c>
      <c r="AM25" s="4" t="s">
        <v>78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M25" s="6" t="n">
        <f aca="false">IFERROR(VALUE(F25),"")</f>
        <v>0.14</v>
      </c>
      <c r="BN25" s="6" t="n">
        <f aca="false">IF(R25="-","",IFERROR(VALUE(LEFT(Q25,LEN(Q25)-2)),""))</f>
        <v>0.25</v>
      </c>
      <c r="BO25" s="6" t="n">
        <f aca="false">IF(R25="-","",IFERROR(VALUE(LEFT(R25,LEN(R25)-5)),""))</f>
        <v>0.55</v>
      </c>
      <c r="BP25" s="6" t="n">
        <f aca="false">IF(R25="-","",IFERROR(VALUE(F25),""))</f>
        <v>0.14</v>
      </c>
      <c r="BQ25" s="4" t="n">
        <f aca="false">IF(R25="-",1,0)</f>
        <v>0</v>
      </c>
    </row>
    <row r="26" customFormat="false" ht="15" hidden="false" customHeight="false" outlineLevel="0" collapsed="false">
      <c r="A26" s="0" t="s">
        <v>146</v>
      </c>
      <c r="B26" s="0" t="s">
        <v>147</v>
      </c>
      <c r="C26" s="0" t="s">
        <v>70</v>
      </c>
      <c r="D26" s="0" t="s">
        <v>173</v>
      </c>
      <c r="E26" s="3" t="n">
        <v>46279</v>
      </c>
      <c r="F26" s="4" t="s">
        <v>174</v>
      </c>
      <c r="G26" s="5" t="n">
        <v>0.191215277777778</v>
      </c>
      <c r="H26" s="5" t="n">
        <v>0.00361111111111111</v>
      </c>
      <c r="I26" s="5" t="n">
        <v>0.000520833333333333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5" t="n">
        <v>0</v>
      </c>
      <c r="P26" s="5" t="n">
        <v>0.0277893518518519</v>
      </c>
      <c r="Q26" s="4" t="s">
        <v>175</v>
      </c>
      <c r="R26" s="4" t="s">
        <v>176</v>
      </c>
      <c r="S26" s="5" t="n">
        <v>0</v>
      </c>
      <c r="T26" s="5" t="n">
        <v>0.0716435185185185</v>
      </c>
      <c r="U26" s="5" t="n">
        <v>0.0767476851851852</v>
      </c>
      <c r="V26" s="5" t="n">
        <v>0.0358796296296296</v>
      </c>
      <c r="W26" s="5" t="n">
        <v>0.00037037037037037</v>
      </c>
      <c r="X26" s="5" t="n">
        <v>0</v>
      </c>
      <c r="Y26" s="5" t="n">
        <v>6.94444444444444E-005</v>
      </c>
      <c r="Z26" s="0" t="n">
        <v>0</v>
      </c>
      <c r="AA26" s="0" t="n">
        <v>0</v>
      </c>
      <c r="AB26" s="0" t="n">
        <v>0</v>
      </c>
      <c r="AC26" s="4" t="s">
        <v>159</v>
      </c>
      <c r="AD26" s="4" t="s">
        <v>159</v>
      </c>
      <c r="AE26" s="4" t="s">
        <v>172</v>
      </c>
      <c r="AF26" s="4" t="s">
        <v>177</v>
      </c>
      <c r="AG26" s="5" t="n">
        <v>0.14619212962963</v>
      </c>
      <c r="AH26" s="5" t="n">
        <v>0.121099537037037</v>
      </c>
      <c r="AI26" s="5" t="n">
        <v>0</v>
      </c>
      <c r="AJ26" s="5" t="n">
        <v>0</v>
      </c>
      <c r="AK26" s="5" t="n">
        <v>0</v>
      </c>
      <c r="AL26" s="5" t="n">
        <v>0</v>
      </c>
      <c r="AM26" s="4" t="s">
        <v>78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M26" s="6" t="n">
        <f aca="false">IFERROR(VALUE(F26),"")</f>
        <v>107.89</v>
      </c>
      <c r="BN26" s="6" t="n">
        <f aca="false">IF(R26="-","",IFERROR(VALUE(LEFT(Q26,LEN(Q26)-2)),""))</f>
        <v>21.97</v>
      </c>
      <c r="BO26" s="6" t="n">
        <f aca="false">IF(R26="-","",IFERROR(VALUE(LEFT(R26,LEN(R26)-5)),""))</f>
        <v>4.91</v>
      </c>
      <c r="BP26" s="6" t="n">
        <f aca="false">IF(R26="-","",IFERROR(VALUE(F26),""))</f>
        <v>107.89</v>
      </c>
      <c r="BQ26" s="4" t="n">
        <f aca="false">IF(R26="-",1,0)</f>
        <v>0</v>
      </c>
    </row>
    <row r="27" customFormat="false" ht="15" hidden="false" customHeight="false" outlineLevel="0" collapsed="false">
      <c r="A27" s="0" t="s">
        <v>178</v>
      </c>
      <c r="B27" s="0" t="s">
        <v>179</v>
      </c>
      <c r="C27" s="0" t="s">
        <v>70</v>
      </c>
      <c r="E27" s="3" t="n">
        <v>46273</v>
      </c>
      <c r="F27" s="4" t="s">
        <v>180</v>
      </c>
      <c r="G27" s="5" t="n">
        <v>0.170231481481482</v>
      </c>
      <c r="H27" s="5" t="n">
        <v>0</v>
      </c>
      <c r="I27" s="5" t="n">
        <v>0.000138888888888889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5" t="n">
        <v>0</v>
      </c>
      <c r="P27" s="5" t="n">
        <v>0</v>
      </c>
      <c r="Q27" s="4" t="s">
        <v>181</v>
      </c>
      <c r="R27" s="4" t="s">
        <v>182</v>
      </c>
      <c r="S27" s="5" t="n">
        <v>0</v>
      </c>
      <c r="T27" s="5" t="n">
        <v>0.0384259259259259</v>
      </c>
      <c r="U27" s="5" t="n">
        <v>0.0357638888888889</v>
      </c>
      <c r="V27" s="5" t="n">
        <v>0.0930555555555556</v>
      </c>
      <c r="W27" s="5" t="n">
        <v>0</v>
      </c>
      <c r="X27" s="5" t="n">
        <v>0</v>
      </c>
      <c r="Y27" s="5" t="n">
        <v>0</v>
      </c>
      <c r="Z27" s="0" t="n">
        <v>0</v>
      </c>
      <c r="AA27" s="0" t="n">
        <v>0</v>
      </c>
      <c r="AB27" s="0" t="n">
        <v>0</v>
      </c>
      <c r="AC27" s="4" t="s">
        <v>81</v>
      </c>
      <c r="AD27" s="4" t="s">
        <v>183</v>
      </c>
      <c r="AE27" s="4" t="s">
        <v>184</v>
      </c>
      <c r="AF27" s="4" t="s">
        <v>185</v>
      </c>
      <c r="AG27" s="5" t="n">
        <v>0.155243055555556</v>
      </c>
      <c r="AH27" s="5" t="n">
        <v>0.0368402777777778</v>
      </c>
      <c r="AI27" s="5" t="n">
        <v>0</v>
      </c>
      <c r="AJ27" s="5" t="n">
        <v>0</v>
      </c>
      <c r="AK27" s="5" t="n">
        <v>0</v>
      </c>
      <c r="AL27" s="5" t="n">
        <v>0</v>
      </c>
      <c r="AM27" s="4" t="s">
        <v>78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1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M27" s="6" t="n">
        <f aca="false">IFERROR(VALUE(F27),"")</f>
        <v>175.73</v>
      </c>
      <c r="BN27" s="6" t="n">
        <f aca="false">IF(R27="-","",IFERROR(VALUE(LEFT(Q27,LEN(Q27)-2)),""))</f>
        <v>33.79</v>
      </c>
      <c r="BO27" s="6" t="n">
        <f aca="false">IF(R27="-","",IFERROR(VALUE(LEFT(R27,LEN(R27)-5)),""))</f>
        <v>5.2</v>
      </c>
      <c r="BP27" s="6" t="n">
        <f aca="false">IF(R27="-","",IFERROR(VALUE(F27),""))</f>
        <v>175.73</v>
      </c>
      <c r="BQ27" s="4" t="n">
        <f aca="false">IF(R27="-",1,0)</f>
        <v>0</v>
      </c>
    </row>
    <row r="28" customFormat="false" ht="15" hidden="false" customHeight="false" outlineLevel="0" collapsed="false">
      <c r="A28" s="0" t="s">
        <v>178</v>
      </c>
      <c r="B28" s="0" t="s">
        <v>179</v>
      </c>
      <c r="C28" s="0" t="s">
        <v>70</v>
      </c>
      <c r="E28" s="3" t="n">
        <v>46274</v>
      </c>
      <c r="F28" s="4" t="s">
        <v>186</v>
      </c>
      <c r="G28" s="5" t="n">
        <v>0.238020833333333</v>
      </c>
      <c r="H28" s="5" t="n">
        <v>0</v>
      </c>
      <c r="I28" s="5" t="n">
        <v>0.000115740740740741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1</v>
      </c>
      <c r="O28" s="5" t="n">
        <v>0</v>
      </c>
      <c r="P28" s="5" t="n">
        <v>0</v>
      </c>
      <c r="Q28" s="4" t="s">
        <v>187</v>
      </c>
      <c r="R28" s="4" t="s">
        <v>188</v>
      </c>
      <c r="S28" s="5" t="n">
        <v>0</v>
      </c>
      <c r="T28" s="5" t="n">
        <v>0.044212962962963</v>
      </c>
      <c r="U28" s="5" t="n">
        <v>0.0268518518518519</v>
      </c>
      <c r="V28" s="5" t="n">
        <v>0.158101851851852</v>
      </c>
      <c r="W28" s="5" t="n">
        <v>0.000115740740740741</v>
      </c>
      <c r="X28" s="5" t="n">
        <v>0</v>
      </c>
      <c r="Y28" s="5" t="n">
        <v>0</v>
      </c>
      <c r="Z28" s="0" t="n">
        <v>0</v>
      </c>
      <c r="AA28" s="0" t="n">
        <v>0</v>
      </c>
      <c r="AB28" s="0" t="n">
        <v>0</v>
      </c>
      <c r="AC28" s="4" t="s">
        <v>189</v>
      </c>
      <c r="AD28" s="4" t="s">
        <v>183</v>
      </c>
      <c r="AE28" s="4" t="s">
        <v>185</v>
      </c>
      <c r="AF28" s="4" t="s">
        <v>190</v>
      </c>
      <c r="AG28" s="5" t="n">
        <v>0.212418981481482</v>
      </c>
      <c r="AH28" s="5" t="n">
        <v>0.1184375</v>
      </c>
      <c r="AI28" s="5" t="n">
        <v>0</v>
      </c>
      <c r="AJ28" s="5" t="n">
        <v>0</v>
      </c>
      <c r="AK28" s="5" t="n">
        <v>0</v>
      </c>
      <c r="AL28" s="5" t="n">
        <v>0</v>
      </c>
      <c r="AM28" s="4" t="s">
        <v>78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1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M28" s="6" t="n">
        <f aca="false">IFERROR(VALUE(F28),"")</f>
        <v>296.22</v>
      </c>
      <c r="BN28" s="6" t="n">
        <f aca="false">IF(R28="-","",IFERROR(VALUE(LEFT(Q28,LEN(Q28)-2)),""))</f>
        <v>50.7</v>
      </c>
      <c r="BO28" s="6" t="n">
        <f aca="false">IF(R28="-","",IFERROR(VALUE(LEFT(R28,LEN(R28)-5)),""))</f>
        <v>5.84</v>
      </c>
      <c r="BP28" s="6" t="n">
        <f aca="false">IF(R28="-","",IFERROR(VALUE(F28),""))</f>
        <v>296.22</v>
      </c>
      <c r="BQ28" s="4" t="n">
        <f aca="false">IF(R28="-",1,0)</f>
        <v>0</v>
      </c>
    </row>
    <row r="29" customFormat="false" ht="15" hidden="false" customHeight="false" outlineLevel="0" collapsed="false">
      <c r="A29" s="0" t="s">
        <v>178</v>
      </c>
      <c r="B29" s="0" t="s">
        <v>179</v>
      </c>
      <c r="C29" s="0" t="s">
        <v>70</v>
      </c>
      <c r="D29" s="0" t="s">
        <v>191</v>
      </c>
      <c r="E29" s="3" t="n">
        <v>46275</v>
      </c>
      <c r="F29" s="4" t="s">
        <v>192</v>
      </c>
      <c r="G29" s="5" t="n">
        <v>0.257916666666667</v>
      </c>
      <c r="H29" s="5" t="n">
        <v>0.00563657407407407</v>
      </c>
      <c r="I29" s="5" t="n">
        <v>0.000243055555555556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5" t="n">
        <v>0</v>
      </c>
      <c r="P29" s="5" t="n">
        <v>0</v>
      </c>
      <c r="Q29" s="4" t="s">
        <v>193</v>
      </c>
      <c r="R29" s="4" t="s">
        <v>194</v>
      </c>
      <c r="S29" s="5" t="n">
        <v>0</v>
      </c>
      <c r="T29" s="5" t="n">
        <v>0.0615740740740741</v>
      </c>
      <c r="U29" s="5" t="n">
        <v>0.0292824074074074</v>
      </c>
      <c r="V29" s="5" t="n">
        <v>0.158564814814815</v>
      </c>
      <c r="W29" s="5" t="n">
        <v>0.000347222222222222</v>
      </c>
      <c r="X29" s="5" t="n">
        <v>0</v>
      </c>
      <c r="Y29" s="5" t="n">
        <v>0</v>
      </c>
      <c r="Z29" s="0" t="n">
        <v>0</v>
      </c>
      <c r="AA29" s="0" t="n">
        <v>0</v>
      </c>
      <c r="AB29" s="0" t="n">
        <v>0</v>
      </c>
      <c r="AC29" s="4" t="s">
        <v>189</v>
      </c>
      <c r="AD29" s="4" t="s">
        <v>183</v>
      </c>
      <c r="AE29" s="4" t="s">
        <v>190</v>
      </c>
      <c r="AF29" s="4" t="s">
        <v>195</v>
      </c>
      <c r="AG29" s="5" t="n">
        <v>0.220243055555556</v>
      </c>
      <c r="AH29" s="5" t="n">
        <v>0.0964467592592593</v>
      </c>
      <c r="AI29" s="5" t="n">
        <v>0</v>
      </c>
      <c r="AJ29" s="5" t="n">
        <v>0</v>
      </c>
      <c r="AK29" s="5" t="n">
        <v>0</v>
      </c>
      <c r="AL29" s="5" t="n">
        <v>0</v>
      </c>
      <c r="AM29" s="4" t="s">
        <v>78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M29" s="6" t="n">
        <f aca="false">IFERROR(VALUE(F29),"")</f>
        <v>297.74</v>
      </c>
      <c r="BN29" s="6" t="n">
        <f aca="false">IF(R29="-","",IFERROR(VALUE(LEFT(Q29,LEN(Q29)-2)),""))</f>
        <v>52.49</v>
      </c>
      <c r="BO29" s="6" t="n">
        <f aca="false">IF(R29="-","",IFERROR(VALUE(LEFT(R29,LEN(R29)-5)),""))</f>
        <v>5.67</v>
      </c>
      <c r="BP29" s="6" t="n">
        <f aca="false">IF(R29="-","",IFERROR(VALUE(F29),""))</f>
        <v>297.74</v>
      </c>
      <c r="BQ29" s="4" t="n">
        <f aca="false">IF(R29="-",1,0)</f>
        <v>0</v>
      </c>
    </row>
    <row r="30" customFormat="false" ht="15" hidden="false" customHeight="false" outlineLevel="0" collapsed="false">
      <c r="A30" s="0" t="s">
        <v>178</v>
      </c>
      <c r="B30" s="0" t="s">
        <v>179</v>
      </c>
      <c r="C30" s="0" t="s">
        <v>70</v>
      </c>
      <c r="E30" s="3" t="n">
        <v>46276</v>
      </c>
      <c r="F30" s="4" t="s">
        <v>196</v>
      </c>
      <c r="G30" s="5" t="n">
        <v>0.25681712962963</v>
      </c>
      <c r="H30" s="5" t="n">
        <v>0</v>
      </c>
      <c r="I30" s="5" t="n">
        <v>0.000231481481481482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5" t="n">
        <v>0</v>
      </c>
      <c r="P30" s="5" t="n">
        <v>0</v>
      </c>
      <c r="Q30" s="4" t="s">
        <v>197</v>
      </c>
      <c r="R30" s="4" t="s">
        <v>144</v>
      </c>
      <c r="S30" s="5" t="n">
        <v>0</v>
      </c>
      <c r="T30" s="5" t="n">
        <v>0.0552083333333333</v>
      </c>
      <c r="U30" s="5" t="n">
        <v>0.0386574074074074</v>
      </c>
      <c r="V30" s="5" t="n">
        <v>0.156018518518519</v>
      </c>
      <c r="W30" s="5" t="n">
        <v>0.000231481481481482</v>
      </c>
      <c r="X30" s="5" t="n">
        <v>0</v>
      </c>
      <c r="Y30" s="5" t="n">
        <v>0</v>
      </c>
      <c r="Z30" s="0" t="n">
        <v>0</v>
      </c>
      <c r="AA30" s="0" t="n">
        <v>0</v>
      </c>
      <c r="AB30" s="0" t="n">
        <v>0</v>
      </c>
      <c r="AC30" s="4" t="s">
        <v>183</v>
      </c>
      <c r="AD30" s="4" t="s">
        <v>183</v>
      </c>
      <c r="AE30" s="4" t="s">
        <v>195</v>
      </c>
      <c r="AF30" s="4" t="s">
        <v>198</v>
      </c>
      <c r="AG30" s="5" t="n">
        <v>0.231261574074074</v>
      </c>
      <c r="AH30" s="5" t="n">
        <v>0.106643518518519</v>
      </c>
      <c r="AI30" s="5" t="n">
        <v>0</v>
      </c>
      <c r="AJ30" s="5" t="n">
        <v>0</v>
      </c>
      <c r="AK30" s="5" t="n">
        <v>0</v>
      </c>
      <c r="AL30" s="5" t="n">
        <v>0</v>
      </c>
      <c r="AM30" s="4" t="s">
        <v>78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M30" s="6" t="n">
        <f aca="false">IFERROR(VALUE(F30),"")</f>
        <v>297.71</v>
      </c>
      <c r="BN30" s="6" t="n">
        <f aca="false">IF(R30="-","",IFERROR(VALUE(LEFT(Q30,LEN(Q30)-2)),""))</f>
        <v>52.18</v>
      </c>
      <c r="BO30" s="6" t="n">
        <f aca="false">IF(R30="-","",IFERROR(VALUE(LEFT(R30,LEN(R30)-5)),""))</f>
        <v>5.71</v>
      </c>
      <c r="BP30" s="6" t="n">
        <f aca="false">IF(R30="-","",IFERROR(VALUE(F30),""))</f>
        <v>297.71</v>
      </c>
      <c r="BQ30" s="4" t="n">
        <f aca="false">IF(R30="-",1,0)</f>
        <v>0</v>
      </c>
    </row>
    <row r="31" customFormat="false" ht="15" hidden="false" customHeight="false" outlineLevel="0" collapsed="false">
      <c r="A31" s="0" t="s">
        <v>178</v>
      </c>
      <c r="B31" s="0" t="s">
        <v>179</v>
      </c>
      <c r="C31" s="0" t="s">
        <v>70</v>
      </c>
      <c r="E31" s="3" t="n">
        <v>46279</v>
      </c>
      <c r="F31" s="4" t="s">
        <v>199</v>
      </c>
      <c r="G31" s="5" t="n">
        <v>0.252175925925926</v>
      </c>
      <c r="H31" s="5" t="n">
        <v>0</v>
      </c>
      <c r="I31" s="5" t="n">
        <v>0.00037037037037037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5" t="n">
        <v>0</v>
      </c>
      <c r="P31" s="5" t="n">
        <v>0</v>
      </c>
      <c r="Q31" s="4" t="s">
        <v>200</v>
      </c>
      <c r="R31" s="4" t="s">
        <v>201</v>
      </c>
      <c r="S31" s="5" t="n">
        <v>0</v>
      </c>
      <c r="T31" s="5" t="n">
        <v>0.0586805555555556</v>
      </c>
      <c r="U31" s="5" t="n">
        <v>0.0291666666666667</v>
      </c>
      <c r="V31" s="5" t="n">
        <v>0.156018518518519</v>
      </c>
      <c r="W31" s="5" t="n">
        <v>0.000231481481481482</v>
      </c>
      <c r="X31" s="5" t="n">
        <v>0</v>
      </c>
      <c r="Y31" s="5" t="n">
        <v>0</v>
      </c>
      <c r="Z31" s="0" t="n">
        <v>0</v>
      </c>
      <c r="AA31" s="0" t="n">
        <v>0</v>
      </c>
      <c r="AB31" s="0" t="n">
        <v>0</v>
      </c>
      <c r="AC31" s="4" t="s">
        <v>183</v>
      </c>
      <c r="AD31" s="4" t="s">
        <v>183</v>
      </c>
      <c r="AE31" s="4" t="s">
        <v>198</v>
      </c>
      <c r="AF31" s="4" t="s">
        <v>202</v>
      </c>
      <c r="AG31" s="5" t="n">
        <v>0.221469907407407</v>
      </c>
      <c r="AH31" s="5" t="n">
        <v>0.0998842592592593</v>
      </c>
      <c r="AI31" s="5" t="n">
        <v>0</v>
      </c>
      <c r="AJ31" s="5" t="n">
        <v>0</v>
      </c>
      <c r="AK31" s="5" t="n">
        <v>0</v>
      </c>
      <c r="AL31" s="5" t="n">
        <v>0</v>
      </c>
      <c r="AM31" s="4" t="s">
        <v>78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2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M31" s="6" t="n">
        <f aca="false">IFERROR(VALUE(F31),"")</f>
        <v>297.83</v>
      </c>
      <c r="BN31" s="6" t="n">
        <f aca="false">IF(R31="-","",IFERROR(VALUE(LEFT(Q31,LEN(Q31)-2)),""))</f>
        <v>53.17</v>
      </c>
      <c r="BO31" s="6" t="n">
        <f aca="false">IF(R31="-","",IFERROR(VALUE(LEFT(R31,LEN(R31)-5)),""))</f>
        <v>5.6</v>
      </c>
      <c r="BP31" s="6" t="n">
        <f aca="false">IF(R31="-","",IFERROR(VALUE(F31),""))</f>
        <v>297.83</v>
      </c>
      <c r="BQ31" s="4" t="n">
        <f aca="false">IF(R31="-",1,0)</f>
        <v>0</v>
      </c>
    </row>
    <row r="32" customFormat="false" ht="15" hidden="false" customHeight="false" outlineLevel="0" collapsed="false">
      <c r="A32" s="0" t="s">
        <v>203</v>
      </c>
      <c r="B32" s="0" t="s">
        <v>204</v>
      </c>
      <c r="C32" s="0" t="s">
        <v>70</v>
      </c>
      <c r="E32" s="3" t="n">
        <v>46274</v>
      </c>
      <c r="F32" s="4" t="s">
        <v>205</v>
      </c>
      <c r="G32" s="5" t="n">
        <v>0.00256944444444445</v>
      </c>
      <c r="H32" s="5" t="n">
        <v>0</v>
      </c>
      <c r="I32" s="5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5" t="n">
        <v>0</v>
      </c>
      <c r="P32" s="5" t="n">
        <v>0</v>
      </c>
      <c r="Q32" s="4" t="s">
        <v>206</v>
      </c>
      <c r="R32" s="4" t="s">
        <v>207</v>
      </c>
      <c r="S32" s="5" t="n">
        <v>0</v>
      </c>
      <c r="T32" s="5" t="n">
        <v>0.00150462962962963</v>
      </c>
      <c r="U32" s="5" t="n">
        <v>0.000347222222222222</v>
      </c>
      <c r="V32" s="5" t="n">
        <v>0.000347222222222222</v>
      </c>
      <c r="W32" s="5" t="n">
        <v>0.000115740740740741</v>
      </c>
      <c r="X32" s="5" t="n">
        <v>0</v>
      </c>
      <c r="Y32" s="5" t="n">
        <v>0</v>
      </c>
      <c r="Z32" s="0" t="n">
        <v>0</v>
      </c>
      <c r="AA32" s="0" t="n">
        <v>0</v>
      </c>
      <c r="AB32" s="0" t="n">
        <v>0</v>
      </c>
      <c r="AC32" s="4" t="s">
        <v>208</v>
      </c>
      <c r="AD32" s="4" t="s">
        <v>208</v>
      </c>
      <c r="AE32" s="4" t="s">
        <v>209</v>
      </c>
      <c r="AF32" s="4" t="s">
        <v>210</v>
      </c>
      <c r="AG32" s="5" t="n">
        <v>0.00115740740740741</v>
      </c>
      <c r="AH32" s="5" t="n">
        <v>0.00337962962962963</v>
      </c>
      <c r="AI32" s="5" t="n">
        <v>0</v>
      </c>
      <c r="AJ32" s="5" t="n">
        <v>0</v>
      </c>
      <c r="AK32" s="5" t="n">
        <v>0</v>
      </c>
      <c r="AL32" s="5" t="n">
        <v>0</v>
      </c>
      <c r="AM32" s="4" t="s">
        <v>78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M32" s="6" t="n">
        <f aca="false">IFERROR(VALUE(F32),"")</f>
        <v>0.23</v>
      </c>
      <c r="BN32" s="6" t="n">
        <f aca="false">IF(R32="-","",IFERROR(VALUE(LEFT(Q32,LEN(Q32)-2)),""))</f>
        <v>0.17</v>
      </c>
      <c r="BO32" s="6" t="n">
        <f aca="false">IF(R32="-","",IFERROR(VALUE(LEFT(R32,LEN(R32)-5)),""))</f>
        <v>1.35</v>
      </c>
      <c r="BP32" s="6" t="n">
        <f aca="false">IF(R32="-","",IFERROR(VALUE(F32),""))</f>
        <v>0.23</v>
      </c>
      <c r="BQ32" s="4" t="n">
        <f aca="false">IF(R32="-",1,0)</f>
        <v>0</v>
      </c>
    </row>
    <row r="33" customFormat="false" ht="15" hidden="false" customHeight="false" outlineLevel="0" collapsed="false">
      <c r="A33" s="0" t="s">
        <v>203</v>
      </c>
      <c r="B33" s="0" t="s">
        <v>204</v>
      </c>
      <c r="C33" s="0" t="s">
        <v>70</v>
      </c>
      <c r="D33" s="0" t="s">
        <v>211</v>
      </c>
      <c r="E33" s="3" t="n">
        <v>46276</v>
      </c>
      <c r="F33" s="4" t="s">
        <v>212</v>
      </c>
      <c r="G33" s="5" t="n">
        <v>0.0141203703703704</v>
      </c>
      <c r="H33" s="5" t="n">
        <v>0.0141203703703704</v>
      </c>
      <c r="I33" s="5" t="n">
        <v>0.000104166666666667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5" t="n">
        <v>0</v>
      </c>
      <c r="P33" s="5" t="n">
        <v>0</v>
      </c>
      <c r="Q33" s="4" t="s">
        <v>213</v>
      </c>
      <c r="R33" s="4" t="s">
        <v>214</v>
      </c>
      <c r="S33" s="5" t="n">
        <v>0</v>
      </c>
      <c r="T33" s="5" t="n">
        <v>0.00462962962962963</v>
      </c>
      <c r="U33" s="5" t="n">
        <v>0.00601851851851852</v>
      </c>
      <c r="V33" s="5" t="n">
        <v>0.00324074074074074</v>
      </c>
      <c r="W33" s="5" t="n">
        <v>0</v>
      </c>
      <c r="X33" s="5" t="n">
        <v>0</v>
      </c>
      <c r="Y33" s="5" t="n">
        <v>0</v>
      </c>
      <c r="Z33" s="0" t="n">
        <v>0</v>
      </c>
      <c r="AA33" s="0" t="n">
        <v>0</v>
      </c>
      <c r="AB33" s="0" t="n">
        <v>0</v>
      </c>
      <c r="AC33" s="4" t="s">
        <v>208</v>
      </c>
      <c r="AD33" s="4" t="s">
        <v>208</v>
      </c>
      <c r="AE33" s="4" t="s">
        <v>210</v>
      </c>
      <c r="AF33" s="4" t="s">
        <v>215</v>
      </c>
      <c r="AG33" s="5" t="n">
        <v>0.0128935185185185</v>
      </c>
      <c r="AH33" s="5" t="n">
        <v>0.0154282407407407</v>
      </c>
      <c r="AI33" s="5" t="n">
        <v>0</v>
      </c>
      <c r="AJ33" s="5" t="n">
        <v>0</v>
      </c>
      <c r="AK33" s="5" t="n">
        <v>0</v>
      </c>
      <c r="AL33" s="5" t="n">
        <v>0</v>
      </c>
      <c r="AM33" s="4" t="s">
        <v>78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M33" s="6" t="n">
        <f aca="false">IFERROR(VALUE(F33),"")</f>
        <v>6.34</v>
      </c>
      <c r="BN33" s="6" t="n">
        <f aca="false">IF(R33="-","",IFERROR(VALUE(LEFT(Q33,LEN(Q33)-2)),""))</f>
        <v>1.57</v>
      </c>
      <c r="BO33" s="6" t="n">
        <f aca="false">IF(R33="-","",IFERROR(VALUE(LEFT(R33,LEN(R33)-5)),""))</f>
        <v>4.04</v>
      </c>
      <c r="BP33" s="6" t="n">
        <f aca="false">IF(R33="-","",IFERROR(VALUE(F33),""))</f>
        <v>6.34</v>
      </c>
      <c r="BQ33" s="4" t="n">
        <f aca="false">IF(R33="-",1,0)</f>
        <v>0</v>
      </c>
    </row>
    <row r="34" customFormat="false" ht="15" hidden="false" customHeight="false" outlineLevel="0" collapsed="false">
      <c r="A34" s="0" t="s">
        <v>203</v>
      </c>
      <c r="B34" s="0" t="s">
        <v>204</v>
      </c>
      <c r="C34" s="0" t="s">
        <v>70</v>
      </c>
      <c r="E34" s="3" t="n">
        <v>46277</v>
      </c>
      <c r="F34" s="4" t="s">
        <v>216</v>
      </c>
      <c r="G34" s="5" t="n">
        <v>0.0028125</v>
      </c>
      <c r="H34" s="5" t="n">
        <v>0</v>
      </c>
      <c r="I34" s="5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5" t="n">
        <v>0</v>
      </c>
      <c r="P34" s="5" t="n">
        <v>0</v>
      </c>
      <c r="Q34" s="4" t="s">
        <v>217</v>
      </c>
      <c r="R34" s="4" t="s">
        <v>218</v>
      </c>
      <c r="S34" s="5" t="n">
        <v>0</v>
      </c>
      <c r="T34" s="5" t="n">
        <v>0.00115740740740741</v>
      </c>
      <c r="U34" s="5" t="n">
        <v>0.000925925925925926</v>
      </c>
      <c r="V34" s="5" t="n">
        <v>0.000462962962962963</v>
      </c>
      <c r="W34" s="5" t="n">
        <v>0</v>
      </c>
      <c r="X34" s="5" t="n">
        <v>0</v>
      </c>
      <c r="Y34" s="5" t="n">
        <v>0</v>
      </c>
      <c r="Z34" s="0" t="n">
        <v>0</v>
      </c>
      <c r="AA34" s="0" t="n">
        <v>0</v>
      </c>
      <c r="AB34" s="0" t="n">
        <v>0</v>
      </c>
      <c r="AC34" s="4" t="s">
        <v>208</v>
      </c>
      <c r="AD34" s="4" t="s">
        <v>208</v>
      </c>
      <c r="AE34" s="4" t="s">
        <v>215</v>
      </c>
      <c r="AF34" s="4" t="s">
        <v>219</v>
      </c>
      <c r="AG34" s="5" t="n">
        <v>0.00206018518518519</v>
      </c>
      <c r="AH34" s="5" t="n">
        <v>0.0146180555555556</v>
      </c>
      <c r="AI34" s="5" t="n">
        <v>0</v>
      </c>
      <c r="AJ34" s="5" t="n">
        <v>0</v>
      </c>
      <c r="AK34" s="5" t="n">
        <v>0</v>
      </c>
      <c r="AL34" s="5" t="n">
        <v>0</v>
      </c>
      <c r="AM34" s="4" t="s">
        <v>78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M34" s="6" t="n">
        <f aca="false">IFERROR(VALUE(F34),"")</f>
        <v>0.19</v>
      </c>
      <c r="BN34" s="6" t="n">
        <f aca="false">IF(R34="-","",IFERROR(VALUE(LEFT(Q34,LEN(Q34)-2)),""))</f>
        <v>0.2</v>
      </c>
      <c r="BO34" s="6" t="n">
        <f aca="false">IF(R34="-","",IFERROR(VALUE(LEFT(R34,LEN(R34)-5)),""))</f>
        <v>0.93</v>
      </c>
      <c r="BP34" s="6" t="n">
        <f aca="false">IF(R34="-","",IFERROR(VALUE(F34),""))</f>
        <v>0.19</v>
      </c>
      <c r="BQ34" s="4" t="n">
        <f aca="false">IF(R34="-",1,0)</f>
        <v>0</v>
      </c>
    </row>
    <row r="35" customFormat="false" ht="15" hidden="false" customHeight="false" outlineLevel="0" collapsed="false">
      <c r="A35" s="0" t="s">
        <v>220</v>
      </c>
      <c r="B35" s="0" t="s">
        <v>221</v>
      </c>
      <c r="C35" s="0" t="s">
        <v>70</v>
      </c>
      <c r="D35" s="0" t="s">
        <v>222</v>
      </c>
      <c r="E35" s="3" t="n">
        <v>46273</v>
      </c>
      <c r="F35" s="4" t="s">
        <v>223</v>
      </c>
      <c r="G35" s="5" t="n">
        <v>0.590439814814815</v>
      </c>
      <c r="H35" s="5" t="n">
        <v>0.584861111111111</v>
      </c>
      <c r="I35" s="5" t="n">
        <v>0.000775462962962963</v>
      </c>
      <c r="J35" s="0" t="n">
        <v>1</v>
      </c>
      <c r="K35" s="0" t="n">
        <v>4</v>
      </c>
      <c r="L35" s="0" t="n">
        <v>0</v>
      </c>
      <c r="M35" s="0" t="n">
        <v>0</v>
      </c>
      <c r="N35" s="0" t="n">
        <v>8</v>
      </c>
      <c r="O35" s="5" t="n">
        <v>0</v>
      </c>
      <c r="P35" s="5" t="n">
        <v>0</v>
      </c>
      <c r="Q35" s="4" t="s">
        <v>73</v>
      </c>
      <c r="R35" s="4" t="s">
        <v>73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0" t="n">
        <v>0</v>
      </c>
      <c r="AA35" s="0" t="n">
        <v>0</v>
      </c>
      <c r="AB35" s="0" t="n">
        <v>0</v>
      </c>
      <c r="AC35" s="4" t="s">
        <v>75</v>
      </c>
      <c r="AD35" s="4" t="s">
        <v>75</v>
      </c>
      <c r="AE35" s="4" t="s">
        <v>224</v>
      </c>
      <c r="AF35" s="4" t="s">
        <v>225</v>
      </c>
      <c r="AG35" s="5" t="n">
        <v>0.501400462962963</v>
      </c>
      <c r="AH35" s="5" t="n">
        <v>0.189131944444444</v>
      </c>
      <c r="AI35" s="5" t="n">
        <v>1.15740740740741E-005</v>
      </c>
      <c r="AJ35" s="5" t="n">
        <v>0</v>
      </c>
      <c r="AK35" s="5" t="n">
        <v>0</v>
      </c>
      <c r="AL35" s="5" t="n">
        <v>0</v>
      </c>
      <c r="AM35" s="4" t="s">
        <v>78</v>
      </c>
      <c r="AN35" s="0" t="n">
        <v>0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3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M35" s="6" t="n">
        <f aca="false">IFERROR(VALUE(F35),"")</f>
        <v>340.86</v>
      </c>
      <c r="BN35" s="6" t="str">
        <f aca="false">IF(R35="-","",IFERROR(VALUE(LEFT(Q35,LEN(Q35)-2)),""))</f>
        <v/>
      </c>
      <c r="BO35" s="6" t="str">
        <f aca="false">IF(R35="-","",IFERROR(VALUE(LEFT(R35,LEN(R35)-5)),""))</f>
        <v/>
      </c>
      <c r="BP35" s="6" t="str">
        <f aca="false">IF(R35="-","",IFERROR(VALUE(F35),""))</f>
        <v/>
      </c>
      <c r="BQ35" s="4" t="n">
        <f aca="false">IF(R35="-",1,0)</f>
        <v>1</v>
      </c>
    </row>
    <row r="36" customFormat="false" ht="15" hidden="false" customHeight="false" outlineLevel="0" collapsed="false">
      <c r="A36" s="0" t="s">
        <v>220</v>
      </c>
      <c r="B36" s="0" t="s">
        <v>221</v>
      </c>
      <c r="C36" s="0" t="s">
        <v>70</v>
      </c>
      <c r="D36" s="0" t="s">
        <v>226</v>
      </c>
      <c r="E36" s="3" t="n">
        <v>46274</v>
      </c>
      <c r="F36" s="4" t="s">
        <v>227</v>
      </c>
      <c r="G36" s="5" t="n">
        <v>0.0843865740740741</v>
      </c>
      <c r="H36" s="5" t="n">
        <v>0.0784027777777778</v>
      </c>
      <c r="I36" s="5" t="n">
        <v>4.62962962962963E-005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5" t="n">
        <v>0</v>
      </c>
      <c r="P36" s="5" t="n">
        <v>0</v>
      </c>
      <c r="Q36" s="4" t="s">
        <v>73</v>
      </c>
      <c r="R36" s="4" t="s">
        <v>73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0" t="n">
        <v>0</v>
      </c>
      <c r="AA36" s="0" t="n">
        <v>0</v>
      </c>
      <c r="AB36" s="0" t="n">
        <v>0</v>
      </c>
      <c r="AC36" s="4" t="s">
        <v>75</v>
      </c>
      <c r="AD36" s="4" t="s">
        <v>228</v>
      </c>
      <c r="AE36" s="4" t="s">
        <v>225</v>
      </c>
      <c r="AF36" s="4" t="s">
        <v>229</v>
      </c>
      <c r="AG36" s="5" t="n">
        <v>0.0578935185185185</v>
      </c>
      <c r="AH36" s="5" t="n">
        <v>0.0467708333333333</v>
      </c>
      <c r="AI36" s="5" t="n">
        <v>0</v>
      </c>
      <c r="AJ36" s="5" t="n">
        <v>0</v>
      </c>
      <c r="AK36" s="5" t="n">
        <v>0</v>
      </c>
      <c r="AL36" s="5" t="n">
        <v>0</v>
      </c>
      <c r="AM36" s="4" t="s">
        <v>78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3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M36" s="6" t="n">
        <f aca="false">IFERROR(VALUE(F36),"")</f>
        <v>31.5</v>
      </c>
      <c r="BN36" s="6" t="str">
        <f aca="false">IF(R36="-","",IFERROR(VALUE(LEFT(Q36,LEN(Q36)-2)),""))</f>
        <v/>
      </c>
      <c r="BO36" s="6" t="str">
        <f aca="false">IF(R36="-","",IFERROR(VALUE(LEFT(R36,LEN(R36)-5)),""))</f>
        <v/>
      </c>
      <c r="BP36" s="6" t="str">
        <f aca="false">IF(R36="-","",IFERROR(VALUE(F36),""))</f>
        <v/>
      </c>
      <c r="BQ36" s="4" t="n">
        <f aca="false">IF(R36="-",1,0)</f>
        <v>1</v>
      </c>
    </row>
    <row r="37" customFormat="false" ht="15" hidden="false" customHeight="false" outlineLevel="0" collapsed="false">
      <c r="A37" s="0" t="s">
        <v>220</v>
      </c>
      <c r="B37" s="0" t="s">
        <v>221</v>
      </c>
      <c r="C37" s="0" t="s">
        <v>70</v>
      </c>
      <c r="D37" s="0" t="s">
        <v>230</v>
      </c>
      <c r="E37" s="3" t="n">
        <v>46275</v>
      </c>
      <c r="F37" s="4" t="s">
        <v>231</v>
      </c>
      <c r="G37" s="5" t="n">
        <v>0.420740740740741</v>
      </c>
      <c r="H37" s="5" t="n">
        <v>0.374826388888889</v>
      </c>
      <c r="I37" s="5" t="n">
        <v>0.0003125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5" t="n">
        <v>0</v>
      </c>
      <c r="P37" s="5" t="n">
        <v>0</v>
      </c>
      <c r="Q37" s="4" t="s">
        <v>73</v>
      </c>
      <c r="R37" s="4" t="s">
        <v>73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0" t="n">
        <v>0</v>
      </c>
      <c r="AA37" s="0" t="n">
        <v>0</v>
      </c>
      <c r="AB37" s="0" t="n">
        <v>0</v>
      </c>
      <c r="AC37" s="4" t="s">
        <v>81</v>
      </c>
      <c r="AD37" s="4" t="s">
        <v>74</v>
      </c>
      <c r="AE37" s="4" t="s">
        <v>229</v>
      </c>
      <c r="AF37" s="4" t="s">
        <v>232</v>
      </c>
      <c r="AG37" s="5" t="n">
        <v>0.317835648148148</v>
      </c>
      <c r="AH37" s="5" t="n">
        <v>0.191354166666667</v>
      </c>
      <c r="AI37" s="5" t="n">
        <v>0</v>
      </c>
      <c r="AJ37" s="5" t="n">
        <v>0</v>
      </c>
      <c r="AK37" s="5" t="n">
        <v>0</v>
      </c>
      <c r="AL37" s="5" t="n">
        <v>0</v>
      </c>
      <c r="AM37" s="4" t="s">
        <v>78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7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M37" s="6" t="n">
        <f aca="false">IFERROR(VALUE(F37),"")</f>
        <v>181.93</v>
      </c>
      <c r="BN37" s="6" t="str">
        <f aca="false">IF(R37="-","",IFERROR(VALUE(LEFT(Q37,LEN(Q37)-2)),""))</f>
        <v/>
      </c>
      <c r="BO37" s="6" t="str">
        <f aca="false">IF(R37="-","",IFERROR(VALUE(LEFT(R37,LEN(R37)-5)),""))</f>
        <v/>
      </c>
      <c r="BP37" s="6" t="str">
        <f aca="false">IF(R37="-","",IFERROR(VALUE(F37),""))</f>
        <v/>
      </c>
      <c r="BQ37" s="4" t="n">
        <f aca="false">IF(R37="-",1,0)</f>
        <v>1</v>
      </c>
    </row>
    <row r="38" customFormat="false" ht="15" hidden="false" customHeight="false" outlineLevel="0" collapsed="false">
      <c r="A38" s="0" t="s">
        <v>220</v>
      </c>
      <c r="B38" s="0" t="s">
        <v>221</v>
      </c>
      <c r="C38" s="0" t="s">
        <v>70</v>
      </c>
      <c r="D38" s="0" t="s">
        <v>233</v>
      </c>
      <c r="E38" s="3" t="n">
        <v>46276</v>
      </c>
      <c r="F38" s="4" t="s">
        <v>234</v>
      </c>
      <c r="G38" s="5" t="n">
        <v>0.312638888888889</v>
      </c>
      <c r="H38" s="5" t="n">
        <v>0.299270833333333</v>
      </c>
      <c r="I38" s="5" t="n">
        <v>0.000902777777777778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4</v>
      </c>
      <c r="O38" s="5" t="n">
        <v>0</v>
      </c>
      <c r="P38" s="5" t="n">
        <v>0</v>
      </c>
      <c r="Q38" s="4" t="s">
        <v>73</v>
      </c>
      <c r="R38" s="4" t="s">
        <v>73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0" t="n">
        <v>0</v>
      </c>
      <c r="AA38" s="0" t="n">
        <v>0</v>
      </c>
      <c r="AB38" s="0" t="n">
        <v>0</v>
      </c>
      <c r="AC38" s="4" t="s">
        <v>228</v>
      </c>
      <c r="AD38" s="4" t="s">
        <v>74</v>
      </c>
      <c r="AE38" s="4" t="s">
        <v>232</v>
      </c>
      <c r="AF38" s="4" t="s">
        <v>235</v>
      </c>
      <c r="AG38" s="5" t="n">
        <v>0.2565625</v>
      </c>
      <c r="AH38" s="5" t="n">
        <v>0.147835648148148</v>
      </c>
      <c r="AI38" s="5" t="n">
        <v>0</v>
      </c>
      <c r="AJ38" s="5" t="n">
        <v>0</v>
      </c>
      <c r="AK38" s="5" t="n">
        <v>0</v>
      </c>
      <c r="AL38" s="5" t="n">
        <v>0</v>
      </c>
      <c r="AM38" s="4" t="s">
        <v>78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3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M38" s="6" t="n">
        <f aca="false">IFERROR(VALUE(F38),"")</f>
        <v>167.34</v>
      </c>
      <c r="BN38" s="6" t="str">
        <f aca="false">IF(R38="-","",IFERROR(VALUE(LEFT(Q38,LEN(Q38)-2)),""))</f>
        <v/>
      </c>
      <c r="BO38" s="6" t="str">
        <f aca="false">IF(R38="-","",IFERROR(VALUE(LEFT(R38,LEN(R38)-5)),""))</f>
        <v/>
      </c>
      <c r="BP38" s="6" t="str">
        <f aca="false">IF(R38="-","",IFERROR(VALUE(F38),""))</f>
        <v/>
      </c>
      <c r="BQ38" s="4" t="n">
        <f aca="false">IF(R38="-",1,0)</f>
        <v>1</v>
      </c>
    </row>
    <row r="39" customFormat="false" ht="15" hidden="false" customHeight="false" outlineLevel="0" collapsed="false">
      <c r="A39" s="0" t="s">
        <v>220</v>
      </c>
      <c r="B39" s="0" t="s">
        <v>221</v>
      </c>
      <c r="C39" s="0" t="s">
        <v>70</v>
      </c>
      <c r="D39" s="0" t="s">
        <v>236</v>
      </c>
      <c r="E39" s="3" t="n">
        <v>46279</v>
      </c>
      <c r="F39" s="4" t="s">
        <v>237</v>
      </c>
      <c r="G39" s="5" t="n">
        <v>0.508194444444444</v>
      </c>
      <c r="H39" s="5" t="n">
        <v>0.456539351851852</v>
      </c>
      <c r="I39" s="5" t="n">
        <v>0.00199074074074074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5" t="n">
        <v>0</v>
      </c>
      <c r="P39" s="5" t="n">
        <v>0</v>
      </c>
      <c r="Q39" s="4" t="s">
        <v>73</v>
      </c>
      <c r="R39" s="4" t="s">
        <v>73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0" t="n">
        <v>0</v>
      </c>
      <c r="AA39" s="0" t="n">
        <v>0</v>
      </c>
      <c r="AB39" s="0" t="n">
        <v>0</v>
      </c>
      <c r="AC39" s="4" t="s">
        <v>75</v>
      </c>
      <c r="AD39" s="4" t="s">
        <v>74</v>
      </c>
      <c r="AE39" s="4" t="s">
        <v>235</v>
      </c>
      <c r="AF39" s="4" t="s">
        <v>238</v>
      </c>
      <c r="AG39" s="5" t="n">
        <v>0.335787037037037</v>
      </c>
      <c r="AH39" s="5" t="n">
        <v>0.252488425925926</v>
      </c>
      <c r="AI39" s="5" t="n">
        <v>0</v>
      </c>
      <c r="AJ39" s="5" t="n">
        <v>0</v>
      </c>
      <c r="AK39" s="5" t="n">
        <v>0</v>
      </c>
      <c r="AL39" s="5" t="n">
        <v>0</v>
      </c>
      <c r="AM39" s="4" t="s">
        <v>78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9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M39" s="6" t="n">
        <f aca="false">IFERROR(VALUE(F39),"")</f>
        <v>265.67</v>
      </c>
      <c r="BN39" s="6" t="str">
        <f aca="false">IF(R39="-","",IFERROR(VALUE(LEFT(Q39,LEN(Q39)-2)),""))</f>
        <v/>
      </c>
      <c r="BO39" s="6" t="str">
        <f aca="false">IF(R39="-","",IFERROR(VALUE(LEFT(R39,LEN(R39)-5)),""))</f>
        <v/>
      </c>
      <c r="BP39" s="6" t="str">
        <f aca="false">IF(R39="-","",IFERROR(VALUE(F39),""))</f>
        <v/>
      </c>
      <c r="BQ39" s="4" t="n">
        <f aca="false">IF(R39="-",1,0)</f>
        <v>1</v>
      </c>
    </row>
    <row r="40" customFormat="false" ht="15" hidden="false" customHeight="false" outlineLevel="0" collapsed="false">
      <c r="A40" s="0" t="s">
        <v>239</v>
      </c>
      <c r="B40" s="0" t="s">
        <v>240</v>
      </c>
      <c r="C40" s="0" t="s">
        <v>70</v>
      </c>
      <c r="E40" s="3" t="n">
        <v>46273</v>
      </c>
      <c r="F40" s="4" t="s">
        <v>95</v>
      </c>
      <c r="G40" s="5" t="n">
        <v>0.953773148148148</v>
      </c>
      <c r="H40" s="5" t="n">
        <v>0</v>
      </c>
      <c r="I40" s="5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5" t="n">
        <v>0</v>
      </c>
      <c r="P40" s="5" t="n">
        <v>0</v>
      </c>
      <c r="Q40" s="4" t="s">
        <v>73</v>
      </c>
      <c r="R40" s="4" t="s">
        <v>73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0" t="n">
        <v>0</v>
      </c>
      <c r="AA40" s="0" t="n">
        <v>0</v>
      </c>
      <c r="AB40" s="0" t="n">
        <v>0</v>
      </c>
      <c r="AC40" s="4" t="s">
        <v>74</v>
      </c>
      <c r="AD40" s="4" t="s">
        <v>74</v>
      </c>
      <c r="AE40" s="4" t="s">
        <v>241</v>
      </c>
      <c r="AF40" s="4" t="s">
        <v>241</v>
      </c>
      <c r="AG40" s="5" t="n">
        <v>0</v>
      </c>
      <c r="AH40" s="5" t="n">
        <v>0.0267476851851852</v>
      </c>
      <c r="AI40" s="5" t="n">
        <v>0</v>
      </c>
      <c r="AJ40" s="5" t="n">
        <v>0</v>
      </c>
      <c r="AK40" s="5" t="n">
        <v>0</v>
      </c>
      <c r="AL40" s="5" t="n">
        <v>0</v>
      </c>
      <c r="AM40" s="4" t="s">
        <v>78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M40" s="6" t="n">
        <f aca="false">IFERROR(VALUE(F40),"")</f>
        <v>0</v>
      </c>
      <c r="BN40" s="6" t="str">
        <f aca="false">IF(R40="-","",IFERROR(VALUE(LEFT(Q40,LEN(Q40)-2)),""))</f>
        <v/>
      </c>
      <c r="BO40" s="6" t="str">
        <f aca="false">IF(R40="-","",IFERROR(VALUE(LEFT(R40,LEN(R40)-5)),""))</f>
        <v/>
      </c>
      <c r="BP40" s="6" t="str">
        <f aca="false">IF(R40="-","",IFERROR(VALUE(F40),""))</f>
        <v/>
      </c>
      <c r="BQ40" s="4" t="n">
        <f aca="false">IF(R40="-",1,0)</f>
        <v>1</v>
      </c>
    </row>
    <row r="41" customFormat="false" ht="15" hidden="false" customHeight="false" outlineLevel="0" collapsed="false">
      <c r="A41" s="0" t="s">
        <v>239</v>
      </c>
      <c r="B41" s="0" t="s">
        <v>240</v>
      </c>
      <c r="C41" s="0" t="s">
        <v>70</v>
      </c>
      <c r="E41" s="3" t="n">
        <v>46274</v>
      </c>
      <c r="F41" s="4" t="s">
        <v>242</v>
      </c>
      <c r="G41" s="5" t="n">
        <v>0.35806712962963</v>
      </c>
      <c r="H41" s="5" t="n">
        <v>0</v>
      </c>
      <c r="I41" s="5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5" t="n">
        <v>0</v>
      </c>
      <c r="P41" s="5" t="n">
        <v>0</v>
      </c>
      <c r="Q41" s="4" t="s">
        <v>73</v>
      </c>
      <c r="R41" s="4" t="s">
        <v>73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0" t="n">
        <v>0</v>
      </c>
      <c r="AA41" s="0" t="n">
        <v>0</v>
      </c>
      <c r="AB41" s="0" t="n">
        <v>0</v>
      </c>
      <c r="AC41" s="4" t="s">
        <v>74</v>
      </c>
      <c r="AD41" s="4" t="s">
        <v>74</v>
      </c>
      <c r="AE41" s="4" t="s">
        <v>241</v>
      </c>
      <c r="AF41" s="4" t="s">
        <v>243</v>
      </c>
      <c r="AG41" s="5" t="n">
        <v>0.0106018518518519</v>
      </c>
      <c r="AH41" s="5" t="n">
        <v>0.0369444444444445</v>
      </c>
      <c r="AI41" s="5" t="n">
        <v>0</v>
      </c>
      <c r="AJ41" s="5" t="n">
        <v>0</v>
      </c>
      <c r="AK41" s="5" t="n">
        <v>0</v>
      </c>
      <c r="AL41" s="5" t="n">
        <v>0</v>
      </c>
      <c r="AM41" s="4" t="s">
        <v>78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M41" s="6" t="n">
        <f aca="false">IFERROR(VALUE(F41),"")</f>
        <v>0.82</v>
      </c>
      <c r="BN41" s="6" t="str">
        <f aca="false">IF(R41="-","",IFERROR(VALUE(LEFT(Q41,LEN(Q41)-2)),""))</f>
        <v/>
      </c>
      <c r="BO41" s="6" t="str">
        <f aca="false">IF(R41="-","",IFERROR(VALUE(LEFT(R41,LEN(R41)-5)),""))</f>
        <v/>
      </c>
      <c r="BP41" s="6" t="str">
        <f aca="false">IF(R41="-","",IFERROR(VALUE(F41),""))</f>
        <v/>
      </c>
      <c r="BQ41" s="4" t="n">
        <f aca="false">IF(R41="-",1,0)</f>
        <v>1</v>
      </c>
    </row>
    <row r="42" customFormat="false" ht="15" hidden="false" customHeight="false" outlineLevel="0" collapsed="false">
      <c r="A42" s="0" t="s">
        <v>239</v>
      </c>
      <c r="B42" s="0" t="s">
        <v>240</v>
      </c>
      <c r="C42" s="0" t="s">
        <v>70</v>
      </c>
      <c r="E42" s="3" t="n">
        <v>46275</v>
      </c>
      <c r="F42" s="4" t="s">
        <v>244</v>
      </c>
      <c r="G42" s="5" t="n">
        <v>0.377534722222222</v>
      </c>
      <c r="H42" s="5" t="n">
        <v>0</v>
      </c>
      <c r="I42" s="5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5" t="n">
        <v>0</v>
      </c>
      <c r="P42" s="5" t="n">
        <v>0</v>
      </c>
      <c r="Q42" s="4" t="s">
        <v>73</v>
      </c>
      <c r="R42" s="4" t="s">
        <v>73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0" t="n">
        <v>0</v>
      </c>
      <c r="AA42" s="0" t="n">
        <v>0</v>
      </c>
      <c r="AB42" s="0" t="n">
        <v>0</v>
      </c>
      <c r="AC42" s="4" t="s">
        <v>74</v>
      </c>
      <c r="AD42" s="4" t="s">
        <v>228</v>
      </c>
      <c r="AE42" s="4" t="s">
        <v>243</v>
      </c>
      <c r="AF42" s="4" t="s">
        <v>245</v>
      </c>
      <c r="AG42" s="5" t="n">
        <v>0.00972222222222222</v>
      </c>
      <c r="AH42" s="5" t="n">
        <v>0.0625231481481482</v>
      </c>
      <c r="AI42" s="5" t="n">
        <v>0</v>
      </c>
      <c r="AJ42" s="5" t="n">
        <v>0</v>
      </c>
      <c r="AK42" s="5" t="n">
        <v>0</v>
      </c>
      <c r="AL42" s="5" t="n">
        <v>0</v>
      </c>
      <c r="AM42" s="4" t="s">
        <v>78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M42" s="6" t="n">
        <f aca="false">IFERROR(VALUE(F42),"")</f>
        <v>0.9</v>
      </c>
      <c r="BN42" s="6" t="str">
        <f aca="false">IF(R42="-","",IFERROR(VALUE(LEFT(Q42,LEN(Q42)-2)),""))</f>
        <v/>
      </c>
      <c r="BO42" s="6" t="str">
        <f aca="false">IF(R42="-","",IFERROR(VALUE(LEFT(R42,LEN(R42)-5)),""))</f>
        <v/>
      </c>
      <c r="BP42" s="6" t="str">
        <f aca="false">IF(R42="-","",IFERROR(VALUE(F42),""))</f>
        <v/>
      </c>
      <c r="BQ42" s="4" t="n">
        <f aca="false">IF(R42="-",1,0)</f>
        <v>1</v>
      </c>
    </row>
    <row r="43" customFormat="false" ht="15" hidden="false" customHeight="false" outlineLevel="0" collapsed="false">
      <c r="A43" s="0" t="s">
        <v>239</v>
      </c>
      <c r="B43" s="0" t="s">
        <v>240</v>
      </c>
      <c r="C43" s="0" t="s">
        <v>70</v>
      </c>
      <c r="E43" s="3" t="n">
        <v>46276</v>
      </c>
      <c r="F43" s="4" t="s">
        <v>246</v>
      </c>
      <c r="G43" s="5" t="n">
        <v>0.410543981481482</v>
      </c>
      <c r="H43" s="5" t="n">
        <v>0</v>
      </c>
      <c r="I43" s="5" t="n">
        <v>0.00121527777777778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5" t="n">
        <v>0</v>
      </c>
      <c r="P43" s="5" t="n">
        <v>0</v>
      </c>
      <c r="Q43" s="4" t="s">
        <v>73</v>
      </c>
      <c r="R43" s="4" t="s">
        <v>73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0" t="n">
        <v>0</v>
      </c>
      <c r="AA43" s="0" t="n">
        <v>0</v>
      </c>
      <c r="AB43" s="0" t="n">
        <v>0</v>
      </c>
      <c r="AC43" s="4" t="s">
        <v>74</v>
      </c>
      <c r="AD43" s="4" t="s">
        <v>74</v>
      </c>
      <c r="AE43" s="4" t="s">
        <v>245</v>
      </c>
      <c r="AF43" s="4" t="s">
        <v>247</v>
      </c>
      <c r="AG43" s="5" t="n">
        <v>0.142800925925926</v>
      </c>
      <c r="AH43" s="5" t="n">
        <v>0.129398148148148</v>
      </c>
      <c r="AI43" s="5" t="n">
        <v>0</v>
      </c>
      <c r="AJ43" s="5" t="n">
        <v>0</v>
      </c>
      <c r="AK43" s="5" t="n">
        <v>0</v>
      </c>
      <c r="AL43" s="5" t="n">
        <v>0</v>
      </c>
      <c r="AM43" s="4" t="s">
        <v>78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M43" s="6" t="n">
        <f aca="false">IFERROR(VALUE(F43),"")</f>
        <v>83.69</v>
      </c>
      <c r="BN43" s="6" t="str">
        <f aca="false">IF(R43="-","",IFERROR(VALUE(LEFT(Q43,LEN(Q43)-2)),""))</f>
        <v/>
      </c>
      <c r="BO43" s="6" t="str">
        <f aca="false">IF(R43="-","",IFERROR(VALUE(LEFT(R43,LEN(R43)-5)),""))</f>
        <v/>
      </c>
      <c r="BP43" s="6" t="str">
        <f aca="false">IF(R43="-","",IFERROR(VALUE(F43),""))</f>
        <v/>
      </c>
      <c r="BQ43" s="4" t="n">
        <f aca="false">IF(R43="-",1,0)</f>
        <v>1</v>
      </c>
    </row>
    <row r="44" customFormat="false" ht="15" hidden="false" customHeight="false" outlineLevel="0" collapsed="false">
      <c r="A44" s="0" t="s">
        <v>239</v>
      </c>
      <c r="B44" s="0" t="s">
        <v>240</v>
      </c>
      <c r="C44" s="0" t="s">
        <v>70</v>
      </c>
      <c r="E44" s="3" t="n">
        <v>46277</v>
      </c>
      <c r="F44" s="4" t="s">
        <v>248</v>
      </c>
      <c r="G44" s="5" t="n">
        <v>0.381643518518519</v>
      </c>
      <c r="H44" s="5" t="n">
        <v>0</v>
      </c>
      <c r="I44" s="5" t="n">
        <v>0.00148148148148148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5" t="n">
        <v>0</v>
      </c>
      <c r="P44" s="5" t="n">
        <v>0</v>
      </c>
      <c r="Q44" s="4" t="s">
        <v>73</v>
      </c>
      <c r="R44" s="4" t="s">
        <v>73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0" t="n">
        <v>0</v>
      </c>
      <c r="AA44" s="0" t="n">
        <v>0</v>
      </c>
      <c r="AB44" s="0" t="n">
        <v>0</v>
      </c>
      <c r="AC44" s="4" t="s">
        <v>228</v>
      </c>
      <c r="AD44" s="4" t="s">
        <v>74</v>
      </c>
      <c r="AE44" s="4" t="s">
        <v>247</v>
      </c>
      <c r="AF44" s="4" t="s">
        <v>249</v>
      </c>
      <c r="AG44" s="5" t="n">
        <v>0.0904976851851852</v>
      </c>
      <c r="AH44" s="5" t="n">
        <v>0.031875</v>
      </c>
      <c r="AI44" s="5" t="n">
        <v>0</v>
      </c>
      <c r="AJ44" s="5" t="n">
        <v>0</v>
      </c>
      <c r="AK44" s="5" t="n">
        <v>0</v>
      </c>
      <c r="AL44" s="5" t="n">
        <v>0</v>
      </c>
      <c r="AM44" s="4" t="s">
        <v>78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M44" s="6" t="n">
        <f aca="false">IFERROR(VALUE(F44),"")</f>
        <v>60.04</v>
      </c>
      <c r="BN44" s="6" t="str">
        <f aca="false">IF(R44="-","",IFERROR(VALUE(LEFT(Q44,LEN(Q44)-2)),""))</f>
        <v/>
      </c>
      <c r="BO44" s="6" t="str">
        <f aca="false">IF(R44="-","",IFERROR(VALUE(LEFT(R44,LEN(R44)-5)),""))</f>
        <v/>
      </c>
      <c r="BP44" s="6" t="str">
        <f aca="false">IF(R44="-","",IFERROR(VALUE(F44),""))</f>
        <v/>
      </c>
      <c r="BQ44" s="4" t="n">
        <f aca="false">IF(R44="-",1,0)</f>
        <v>1</v>
      </c>
    </row>
    <row r="45" customFormat="false" ht="15" hidden="false" customHeight="false" outlineLevel="0" collapsed="false">
      <c r="A45" s="0" t="s">
        <v>239</v>
      </c>
      <c r="B45" s="0" t="s">
        <v>240</v>
      </c>
      <c r="C45" s="0" t="s">
        <v>70</v>
      </c>
      <c r="E45" s="3" t="n">
        <v>46279</v>
      </c>
      <c r="F45" s="4" t="s">
        <v>250</v>
      </c>
      <c r="G45" s="5" t="n">
        <v>0.630590277777778</v>
      </c>
      <c r="H45" s="5" t="n">
        <v>0</v>
      </c>
      <c r="I45" s="5" t="n">
        <v>0.0111111111111111</v>
      </c>
      <c r="J45" s="0" t="n">
        <v>0</v>
      </c>
      <c r="K45" s="0" t="n">
        <v>3</v>
      </c>
      <c r="L45" s="0" t="n">
        <v>0</v>
      </c>
      <c r="M45" s="0" t="n">
        <v>0</v>
      </c>
      <c r="N45" s="0" t="n">
        <v>0</v>
      </c>
      <c r="O45" s="5" t="n">
        <v>0</v>
      </c>
      <c r="P45" s="5" t="n">
        <v>0</v>
      </c>
      <c r="Q45" s="4" t="s">
        <v>73</v>
      </c>
      <c r="R45" s="4" t="s">
        <v>73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0" t="n">
        <v>0</v>
      </c>
      <c r="AA45" s="0" t="n">
        <v>0</v>
      </c>
      <c r="AB45" s="0" t="n">
        <v>0</v>
      </c>
      <c r="AC45" s="4" t="s">
        <v>75</v>
      </c>
      <c r="AD45" s="4" t="s">
        <v>74</v>
      </c>
      <c r="AE45" s="4" t="s">
        <v>249</v>
      </c>
      <c r="AF45" s="4" t="s">
        <v>251</v>
      </c>
      <c r="AG45" s="5" t="n">
        <v>0.274537037037037</v>
      </c>
      <c r="AH45" s="5" t="n">
        <v>0.198506944444444</v>
      </c>
      <c r="AI45" s="5" t="n">
        <v>0</v>
      </c>
      <c r="AJ45" s="5" t="n">
        <v>0</v>
      </c>
      <c r="AK45" s="5" t="n">
        <v>0</v>
      </c>
      <c r="AL45" s="5" t="n">
        <v>0</v>
      </c>
      <c r="AM45" s="4" t="s">
        <v>78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M45" s="6" t="n">
        <f aca="false">IFERROR(VALUE(F45),"")</f>
        <v>209.66</v>
      </c>
      <c r="BN45" s="6" t="str">
        <f aca="false">IF(R45="-","",IFERROR(VALUE(LEFT(Q45,LEN(Q45)-2)),""))</f>
        <v/>
      </c>
      <c r="BO45" s="6" t="str">
        <f aca="false">IF(R45="-","",IFERROR(VALUE(LEFT(R45,LEN(R45)-5)),""))</f>
        <v/>
      </c>
      <c r="BP45" s="6" t="str">
        <f aca="false">IF(R45="-","",IFERROR(VALUE(F45),""))</f>
        <v/>
      </c>
      <c r="BQ45" s="4" t="n">
        <f aca="false">IF(R45="-",1,0)</f>
        <v>1</v>
      </c>
    </row>
    <row r="46" customFormat="false" ht="15" hidden="false" customHeight="false" outlineLevel="0" collapsed="false">
      <c r="A46" s="0" t="s">
        <v>252</v>
      </c>
      <c r="B46" s="0" t="s">
        <v>253</v>
      </c>
      <c r="C46" s="0" t="s">
        <v>70</v>
      </c>
      <c r="E46" s="3" t="n">
        <v>46273</v>
      </c>
      <c r="F46" s="4" t="s">
        <v>95</v>
      </c>
      <c r="G46" s="5" t="n">
        <v>0</v>
      </c>
      <c r="H46" s="5" t="n">
        <v>0</v>
      </c>
      <c r="I46" s="5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5" t="n">
        <v>0</v>
      </c>
      <c r="P46" s="5" t="n">
        <v>0</v>
      </c>
      <c r="Q46" s="4" t="s">
        <v>73</v>
      </c>
      <c r="R46" s="4" t="s">
        <v>73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0" t="n">
        <v>0</v>
      </c>
      <c r="AA46" s="0" t="n">
        <v>0</v>
      </c>
      <c r="AB46" s="0" t="n">
        <v>0</v>
      </c>
      <c r="AE46" s="4" t="s">
        <v>73</v>
      </c>
      <c r="AF46" s="4" t="s">
        <v>73</v>
      </c>
      <c r="AG46" s="5" t="n">
        <v>0</v>
      </c>
      <c r="AH46" s="5" t="n">
        <v>0</v>
      </c>
      <c r="AI46" s="5" t="n">
        <v>0</v>
      </c>
      <c r="AJ46" s="7" t="n">
        <v>1</v>
      </c>
      <c r="AK46" s="5" t="n">
        <v>0</v>
      </c>
      <c r="AL46" s="5" t="n">
        <v>0</v>
      </c>
      <c r="AM46" s="4" t="s">
        <v>78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M46" s="6" t="n">
        <f aca="false">IFERROR(VALUE(F46),"")</f>
        <v>0</v>
      </c>
      <c r="BN46" s="6" t="str">
        <f aca="false">IF(R46="-","",IFERROR(VALUE(LEFT(Q46,LEN(Q46)-2)),""))</f>
        <v/>
      </c>
      <c r="BO46" s="6" t="str">
        <f aca="false">IF(R46="-","",IFERROR(VALUE(LEFT(R46,LEN(R46)-5)),""))</f>
        <v/>
      </c>
      <c r="BP46" s="6" t="str">
        <f aca="false">IF(R46="-","",IFERROR(VALUE(F46),""))</f>
        <v/>
      </c>
      <c r="BQ46" s="4" t="n">
        <f aca="false">IF(R46="-",1,0)</f>
        <v>1</v>
      </c>
    </row>
    <row r="47" customFormat="false" ht="15" hidden="false" customHeight="false" outlineLevel="0" collapsed="false">
      <c r="A47" s="0" t="s">
        <v>252</v>
      </c>
      <c r="B47" s="0" t="s">
        <v>253</v>
      </c>
      <c r="C47" s="0" t="s">
        <v>70</v>
      </c>
      <c r="E47" s="3" t="n">
        <v>46274</v>
      </c>
      <c r="F47" s="4" t="s">
        <v>95</v>
      </c>
      <c r="G47" s="5" t="n">
        <v>0</v>
      </c>
      <c r="H47" s="5" t="n">
        <v>0</v>
      </c>
      <c r="I47" s="5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5" t="n">
        <v>0</v>
      </c>
      <c r="P47" s="5" t="n">
        <v>0</v>
      </c>
      <c r="Q47" s="4" t="s">
        <v>73</v>
      </c>
      <c r="R47" s="4" t="s">
        <v>73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0" t="n">
        <v>0</v>
      </c>
      <c r="AA47" s="0" t="n">
        <v>0</v>
      </c>
      <c r="AB47" s="0" t="n">
        <v>0</v>
      </c>
      <c r="AE47" s="4" t="s">
        <v>73</v>
      </c>
      <c r="AF47" s="4" t="s">
        <v>73</v>
      </c>
      <c r="AG47" s="5" t="n">
        <v>0</v>
      </c>
      <c r="AH47" s="5" t="n">
        <v>0</v>
      </c>
      <c r="AI47" s="5" t="n">
        <v>0</v>
      </c>
      <c r="AJ47" s="7" t="n">
        <v>1</v>
      </c>
      <c r="AK47" s="5" t="n">
        <v>0</v>
      </c>
      <c r="AL47" s="5" t="n">
        <v>0</v>
      </c>
      <c r="AM47" s="4" t="s">
        <v>78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M47" s="6" t="n">
        <f aca="false">IFERROR(VALUE(F47),"")</f>
        <v>0</v>
      </c>
      <c r="BN47" s="6" t="str">
        <f aca="false">IF(R47="-","",IFERROR(VALUE(LEFT(Q47,LEN(Q47)-2)),""))</f>
        <v/>
      </c>
      <c r="BO47" s="6" t="str">
        <f aca="false">IF(R47="-","",IFERROR(VALUE(LEFT(R47,LEN(R47)-5)),""))</f>
        <v/>
      </c>
      <c r="BP47" s="6" t="str">
        <f aca="false">IF(R47="-","",IFERROR(VALUE(F47),""))</f>
        <v/>
      </c>
      <c r="BQ47" s="4" t="n">
        <f aca="false">IF(R47="-",1,0)</f>
        <v>1</v>
      </c>
    </row>
    <row r="48" customFormat="false" ht="15" hidden="false" customHeight="false" outlineLevel="0" collapsed="false">
      <c r="A48" s="0" t="s">
        <v>252</v>
      </c>
      <c r="B48" s="0" t="s">
        <v>253</v>
      </c>
      <c r="C48" s="0" t="s">
        <v>70</v>
      </c>
      <c r="E48" s="3" t="n">
        <v>46275</v>
      </c>
      <c r="F48" s="4" t="s">
        <v>95</v>
      </c>
      <c r="G48" s="5" t="n">
        <v>0</v>
      </c>
      <c r="H48" s="5" t="n">
        <v>0</v>
      </c>
      <c r="I48" s="5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5" t="n">
        <v>0</v>
      </c>
      <c r="P48" s="5" t="n">
        <v>0</v>
      </c>
      <c r="Q48" s="4" t="s">
        <v>73</v>
      </c>
      <c r="R48" s="4" t="s">
        <v>73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0" t="n">
        <v>0</v>
      </c>
      <c r="AA48" s="0" t="n">
        <v>0</v>
      </c>
      <c r="AB48" s="0" t="n">
        <v>0</v>
      </c>
      <c r="AE48" s="4" t="s">
        <v>73</v>
      </c>
      <c r="AF48" s="4" t="s">
        <v>73</v>
      </c>
      <c r="AG48" s="5" t="n">
        <v>0</v>
      </c>
      <c r="AH48" s="5" t="n">
        <v>0</v>
      </c>
      <c r="AI48" s="5" t="n">
        <v>0</v>
      </c>
      <c r="AJ48" s="7" t="n">
        <v>1</v>
      </c>
      <c r="AK48" s="5" t="n">
        <v>0</v>
      </c>
      <c r="AL48" s="5" t="n">
        <v>0</v>
      </c>
      <c r="AM48" s="4" t="s">
        <v>78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M48" s="6" t="n">
        <f aca="false">IFERROR(VALUE(F48),"")</f>
        <v>0</v>
      </c>
      <c r="BN48" s="6" t="str">
        <f aca="false">IF(R48="-","",IFERROR(VALUE(LEFT(Q48,LEN(Q48)-2)),""))</f>
        <v/>
      </c>
      <c r="BO48" s="6" t="str">
        <f aca="false">IF(R48="-","",IFERROR(VALUE(LEFT(R48,LEN(R48)-5)),""))</f>
        <v/>
      </c>
      <c r="BP48" s="6" t="str">
        <f aca="false">IF(R48="-","",IFERROR(VALUE(F48),""))</f>
        <v/>
      </c>
      <c r="BQ48" s="4" t="n">
        <f aca="false">IF(R48="-",1,0)</f>
        <v>1</v>
      </c>
    </row>
    <row r="49" customFormat="false" ht="15" hidden="false" customHeight="false" outlineLevel="0" collapsed="false">
      <c r="A49" s="0" t="s">
        <v>252</v>
      </c>
      <c r="B49" s="0" t="s">
        <v>253</v>
      </c>
      <c r="C49" s="0" t="s">
        <v>70</v>
      </c>
      <c r="E49" s="3" t="n">
        <v>46276</v>
      </c>
      <c r="F49" s="4" t="s">
        <v>95</v>
      </c>
      <c r="G49" s="5" t="n">
        <v>0</v>
      </c>
      <c r="H49" s="5" t="n">
        <v>0</v>
      </c>
      <c r="I49" s="5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5" t="n">
        <v>0</v>
      </c>
      <c r="P49" s="5" t="n">
        <v>0</v>
      </c>
      <c r="Q49" s="4" t="s">
        <v>73</v>
      </c>
      <c r="R49" s="4" t="s">
        <v>73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0" t="n">
        <v>0</v>
      </c>
      <c r="AA49" s="0" t="n">
        <v>0</v>
      </c>
      <c r="AB49" s="0" t="n">
        <v>0</v>
      </c>
      <c r="AE49" s="4" t="s">
        <v>73</v>
      </c>
      <c r="AF49" s="4" t="s">
        <v>73</v>
      </c>
      <c r="AG49" s="5" t="n">
        <v>0</v>
      </c>
      <c r="AH49" s="5" t="n">
        <v>0</v>
      </c>
      <c r="AI49" s="5" t="n">
        <v>0</v>
      </c>
      <c r="AJ49" s="7" t="n">
        <v>1</v>
      </c>
      <c r="AK49" s="5" t="n">
        <v>0</v>
      </c>
      <c r="AL49" s="5" t="n">
        <v>0</v>
      </c>
      <c r="AM49" s="4" t="s">
        <v>78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M49" s="6" t="n">
        <f aca="false">IFERROR(VALUE(F49),"")</f>
        <v>0</v>
      </c>
      <c r="BN49" s="6" t="str">
        <f aca="false">IF(R49="-","",IFERROR(VALUE(LEFT(Q49,LEN(Q49)-2)),""))</f>
        <v/>
      </c>
      <c r="BO49" s="6" t="str">
        <f aca="false">IF(R49="-","",IFERROR(VALUE(LEFT(R49,LEN(R49)-5)),""))</f>
        <v/>
      </c>
      <c r="BP49" s="6" t="str">
        <f aca="false">IF(R49="-","",IFERROR(VALUE(F49),""))</f>
        <v/>
      </c>
      <c r="BQ49" s="4" t="n">
        <f aca="false">IF(R49="-",1,0)</f>
        <v>1</v>
      </c>
    </row>
    <row r="50" customFormat="false" ht="15" hidden="false" customHeight="false" outlineLevel="0" collapsed="false">
      <c r="A50" s="0" t="s">
        <v>252</v>
      </c>
      <c r="B50" s="0" t="s">
        <v>253</v>
      </c>
      <c r="C50" s="0" t="s">
        <v>70</v>
      </c>
      <c r="E50" s="3" t="n">
        <v>46277</v>
      </c>
      <c r="F50" s="4" t="s">
        <v>95</v>
      </c>
      <c r="G50" s="5" t="n">
        <v>0</v>
      </c>
      <c r="H50" s="5" t="n">
        <v>0</v>
      </c>
      <c r="I50" s="5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5" t="n">
        <v>0</v>
      </c>
      <c r="P50" s="5" t="n">
        <v>0</v>
      </c>
      <c r="Q50" s="4" t="s">
        <v>73</v>
      </c>
      <c r="R50" s="4" t="s">
        <v>73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0" t="n">
        <v>0</v>
      </c>
      <c r="AA50" s="0" t="n">
        <v>0</v>
      </c>
      <c r="AB50" s="0" t="n">
        <v>0</v>
      </c>
      <c r="AE50" s="4" t="s">
        <v>73</v>
      </c>
      <c r="AF50" s="4" t="s">
        <v>73</v>
      </c>
      <c r="AG50" s="5" t="n">
        <v>0</v>
      </c>
      <c r="AH50" s="5" t="n">
        <v>0</v>
      </c>
      <c r="AI50" s="5" t="n">
        <v>0</v>
      </c>
      <c r="AJ50" s="7" t="n">
        <v>1</v>
      </c>
      <c r="AK50" s="5" t="n">
        <v>0</v>
      </c>
      <c r="AL50" s="5" t="n">
        <v>0</v>
      </c>
      <c r="AM50" s="4" t="s">
        <v>78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M50" s="6" t="n">
        <f aca="false">IFERROR(VALUE(F50),"")</f>
        <v>0</v>
      </c>
      <c r="BN50" s="6" t="str">
        <f aca="false">IF(R50="-","",IFERROR(VALUE(LEFT(Q50,LEN(Q50)-2)),""))</f>
        <v/>
      </c>
      <c r="BO50" s="6" t="str">
        <f aca="false">IF(R50="-","",IFERROR(VALUE(LEFT(R50,LEN(R50)-5)),""))</f>
        <v/>
      </c>
      <c r="BP50" s="6" t="str">
        <f aca="false">IF(R50="-","",IFERROR(VALUE(F50),""))</f>
        <v/>
      </c>
      <c r="BQ50" s="4" t="n">
        <f aca="false">IF(R50="-",1,0)</f>
        <v>1</v>
      </c>
    </row>
    <row r="51" customFormat="false" ht="15" hidden="false" customHeight="false" outlineLevel="0" collapsed="false">
      <c r="A51" s="0" t="s">
        <v>252</v>
      </c>
      <c r="B51" s="0" t="s">
        <v>253</v>
      </c>
      <c r="C51" s="0" t="s">
        <v>70</v>
      </c>
      <c r="E51" s="3" t="n">
        <v>46278</v>
      </c>
      <c r="F51" s="4" t="s">
        <v>95</v>
      </c>
      <c r="G51" s="5" t="n">
        <v>0</v>
      </c>
      <c r="H51" s="5" t="n">
        <v>0</v>
      </c>
      <c r="I51" s="5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5" t="n">
        <v>0</v>
      </c>
      <c r="P51" s="5" t="n">
        <v>0</v>
      </c>
      <c r="Q51" s="4" t="s">
        <v>73</v>
      </c>
      <c r="R51" s="4" t="s">
        <v>73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0" t="n">
        <v>0</v>
      </c>
      <c r="AA51" s="0" t="n">
        <v>0</v>
      </c>
      <c r="AB51" s="0" t="n">
        <v>0</v>
      </c>
      <c r="AE51" s="4" t="s">
        <v>73</v>
      </c>
      <c r="AF51" s="4" t="s">
        <v>73</v>
      </c>
      <c r="AG51" s="5" t="n">
        <v>0</v>
      </c>
      <c r="AH51" s="5" t="n">
        <v>0</v>
      </c>
      <c r="AI51" s="5" t="n">
        <v>0</v>
      </c>
      <c r="AJ51" s="7" t="n">
        <v>1</v>
      </c>
      <c r="AK51" s="5" t="n">
        <v>0</v>
      </c>
      <c r="AL51" s="5" t="n">
        <v>0</v>
      </c>
      <c r="AM51" s="4" t="s">
        <v>78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M51" s="6" t="n">
        <f aca="false">IFERROR(VALUE(F51),"")</f>
        <v>0</v>
      </c>
      <c r="BN51" s="6" t="str">
        <f aca="false">IF(R51="-","",IFERROR(VALUE(LEFT(Q51,LEN(Q51)-2)),""))</f>
        <v/>
      </c>
      <c r="BO51" s="6" t="str">
        <f aca="false">IF(R51="-","",IFERROR(VALUE(LEFT(R51,LEN(R51)-5)),""))</f>
        <v/>
      </c>
      <c r="BP51" s="6" t="str">
        <f aca="false">IF(R51="-","",IFERROR(VALUE(F51),""))</f>
        <v/>
      </c>
      <c r="BQ51" s="4" t="n">
        <f aca="false">IF(R51="-",1,0)</f>
        <v>1</v>
      </c>
    </row>
    <row r="52" customFormat="false" ht="15" hidden="false" customHeight="false" outlineLevel="0" collapsed="false">
      <c r="A52" s="0" t="s">
        <v>252</v>
      </c>
      <c r="B52" s="0" t="s">
        <v>253</v>
      </c>
      <c r="C52" s="0" t="s">
        <v>70</v>
      </c>
      <c r="E52" s="3" t="n">
        <v>46279</v>
      </c>
      <c r="F52" s="4" t="s">
        <v>95</v>
      </c>
      <c r="G52" s="5" t="n">
        <v>0</v>
      </c>
      <c r="H52" s="5" t="n">
        <v>0</v>
      </c>
      <c r="I52" s="5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5" t="n">
        <v>0</v>
      </c>
      <c r="P52" s="5" t="n">
        <v>0</v>
      </c>
      <c r="Q52" s="4" t="s">
        <v>73</v>
      </c>
      <c r="R52" s="4" t="s">
        <v>73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0" t="n">
        <v>0</v>
      </c>
      <c r="AA52" s="0" t="n">
        <v>0</v>
      </c>
      <c r="AB52" s="0" t="n">
        <v>0</v>
      </c>
      <c r="AE52" s="4" t="s">
        <v>73</v>
      </c>
      <c r="AF52" s="4" t="s">
        <v>73</v>
      </c>
      <c r="AG52" s="5" t="n">
        <v>0</v>
      </c>
      <c r="AH52" s="5" t="n">
        <v>0</v>
      </c>
      <c r="AI52" s="5" t="n">
        <v>0</v>
      </c>
      <c r="AJ52" s="7" t="n">
        <v>1</v>
      </c>
      <c r="AK52" s="5" t="n">
        <v>0</v>
      </c>
      <c r="AL52" s="5" t="n">
        <v>0</v>
      </c>
      <c r="AM52" s="4" t="s">
        <v>78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M52" s="6" t="n">
        <f aca="false">IFERROR(VALUE(F52),"")</f>
        <v>0</v>
      </c>
      <c r="BN52" s="6" t="str">
        <f aca="false">IF(R52="-","",IFERROR(VALUE(LEFT(Q52,LEN(Q52)-2)),""))</f>
        <v/>
      </c>
      <c r="BO52" s="6" t="str">
        <f aca="false">IF(R52="-","",IFERROR(VALUE(LEFT(R52,LEN(R52)-5)),""))</f>
        <v/>
      </c>
      <c r="BP52" s="6" t="str">
        <f aca="false">IF(R52="-","",IFERROR(VALUE(F52),""))</f>
        <v/>
      </c>
      <c r="BQ52" s="4" t="n">
        <f aca="false">IF(R52="-",1,0)</f>
        <v>1</v>
      </c>
    </row>
    <row r="53" customFormat="false" ht="15" hidden="false" customHeight="false" outlineLevel="0" collapsed="false">
      <c r="A53" s="0" t="s">
        <v>254</v>
      </c>
      <c r="B53" s="0" t="s">
        <v>255</v>
      </c>
      <c r="C53" s="0" t="s">
        <v>70</v>
      </c>
      <c r="D53" s="0" t="s">
        <v>256</v>
      </c>
      <c r="E53" s="3" t="n">
        <v>46273</v>
      </c>
      <c r="F53" s="4" t="s">
        <v>257</v>
      </c>
      <c r="G53" s="5" t="n">
        <v>0.311030092592593</v>
      </c>
      <c r="H53" s="5" t="n">
        <v>0.282835648148148</v>
      </c>
      <c r="I53" s="5" t="n">
        <v>0.000775462962962963</v>
      </c>
      <c r="J53" s="0" t="n">
        <v>1</v>
      </c>
      <c r="K53" s="0" t="n">
        <v>5</v>
      </c>
      <c r="L53" s="0" t="n">
        <v>0</v>
      </c>
      <c r="M53" s="0" t="n">
        <v>0</v>
      </c>
      <c r="N53" s="0" t="n">
        <v>0</v>
      </c>
      <c r="O53" s="5" t="n">
        <v>0</v>
      </c>
      <c r="P53" s="5" t="n">
        <v>0</v>
      </c>
      <c r="Q53" s="4" t="s">
        <v>73</v>
      </c>
      <c r="R53" s="4" t="s">
        <v>73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0" t="n">
        <v>0</v>
      </c>
      <c r="AA53" s="0" t="n">
        <v>0</v>
      </c>
      <c r="AB53" s="0" t="n">
        <v>0</v>
      </c>
      <c r="AC53" s="4" t="s">
        <v>75</v>
      </c>
      <c r="AD53" s="4" t="s">
        <v>81</v>
      </c>
      <c r="AE53" s="4" t="s">
        <v>258</v>
      </c>
      <c r="AF53" s="4" t="s">
        <v>259</v>
      </c>
      <c r="AG53" s="5" t="n">
        <v>0.245347222222222</v>
      </c>
      <c r="AH53" s="5" t="n">
        <v>0.101990740740741</v>
      </c>
      <c r="AI53" s="5" t="n">
        <v>0</v>
      </c>
      <c r="AJ53" s="5" t="n">
        <v>0</v>
      </c>
      <c r="AK53" s="5" t="n">
        <v>0</v>
      </c>
      <c r="AL53" s="5" t="n">
        <v>0</v>
      </c>
      <c r="AM53" s="4" t="s">
        <v>78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6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M53" s="6" t="n">
        <f aca="false">IFERROR(VALUE(F53),"")</f>
        <v>157.61</v>
      </c>
      <c r="BN53" s="6" t="str">
        <f aca="false">IF(R53="-","",IFERROR(VALUE(LEFT(Q53,LEN(Q53)-2)),""))</f>
        <v/>
      </c>
      <c r="BO53" s="6" t="str">
        <f aca="false">IF(R53="-","",IFERROR(VALUE(LEFT(R53,LEN(R53)-5)),""))</f>
        <v/>
      </c>
      <c r="BP53" s="6" t="str">
        <f aca="false">IF(R53="-","",IFERROR(VALUE(F53),""))</f>
        <v/>
      </c>
      <c r="BQ53" s="4" t="n">
        <f aca="false">IF(R53="-",1,0)</f>
        <v>1</v>
      </c>
    </row>
    <row r="54" customFormat="false" ht="15" hidden="false" customHeight="false" outlineLevel="0" collapsed="false">
      <c r="A54" s="0" t="s">
        <v>254</v>
      </c>
      <c r="B54" s="0" t="s">
        <v>255</v>
      </c>
      <c r="C54" s="0" t="s">
        <v>70</v>
      </c>
      <c r="D54" s="0" t="s">
        <v>260</v>
      </c>
      <c r="E54" s="3" t="n">
        <v>46274</v>
      </c>
      <c r="F54" s="4" t="s">
        <v>261</v>
      </c>
      <c r="G54" s="5" t="n">
        <v>0.505347222222222</v>
      </c>
      <c r="H54" s="5" t="n">
        <v>0.498622685185185</v>
      </c>
      <c r="I54" s="5" t="n">
        <v>0.000451388888888889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5" t="n">
        <v>0</v>
      </c>
      <c r="P54" s="5" t="n">
        <v>0</v>
      </c>
      <c r="Q54" s="4" t="s">
        <v>73</v>
      </c>
      <c r="R54" s="4" t="s">
        <v>73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0" t="n">
        <v>0</v>
      </c>
      <c r="AA54" s="0" t="n">
        <v>0</v>
      </c>
      <c r="AB54" s="0" t="n">
        <v>0</v>
      </c>
      <c r="AC54" s="4" t="s">
        <v>74</v>
      </c>
      <c r="AD54" s="4" t="s">
        <v>75</v>
      </c>
      <c r="AE54" s="4" t="s">
        <v>259</v>
      </c>
      <c r="AF54" s="4" t="s">
        <v>262</v>
      </c>
      <c r="AG54" s="5" t="n">
        <v>0.424027777777778</v>
      </c>
      <c r="AH54" s="5" t="n">
        <v>0.118541666666667</v>
      </c>
      <c r="AI54" s="5" t="n">
        <v>1.15740740740741E-005</v>
      </c>
      <c r="AJ54" s="5" t="n">
        <v>0</v>
      </c>
      <c r="AK54" s="5" t="n">
        <v>0</v>
      </c>
      <c r="AL54" s="5" t="n">
        <v>0</v>
      </c>
      <c r="AM54" s="4" t="s">
        <v>78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15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M54" s="6" t="n">
        <f aca="false">IFERROR(VALUE(F54),"")</f>
        <v>271.38</v>
      </c>
      <c r="BN54" s="6" t="str">
        <f aca="false">IF(R54="-","",IFERROR(VALUE(LEFT(Q54,LEN(Q54)-2)),""))</f>
        <v/>
      </c>
      <c r="BO54" s="6" t="str">
        <f aca="false">IF(R54="-","",IFERROR(VALUE(LEFT(R54,LEN(R54)-5)),""))</f>
        <v/>
      </c>
      <c r="BP54" s="6" t="str">
        <f aca="false">IF(R54="-","",IFERROR(VALUE(F54),""))</f>
        <v/>
      </c>
      <c r="BQ54" s="4" t="n">
        <f aca="false">IF(R54="-",1,0)</f>
        <v>1</v>
      </c>
    </row>
    <row r="55" customFormat="false" ht="15" hidden="false" customHeight="false" outlineLevel="0" collapsed="false">
      <c r="A55" s="0" t="s">
        <v>254</v>
      </c>
      <c r="B55" s="0" t="s">
        <v>255</v>
      </c>
      <c r="C55" s="0" t="s">
        <v>70</v>
      </c>
      <c r="D55" s="0" t="s">
        <v>263</v>
      </c>
      <c r="E55" s="3" t="n">
        <v>46275</v>
      </c>
      <c r="F55" s="4" t="s">
        <v>264</v>
      </c>
      <c r="G55" s="5" t="n">
        <v>0.264548611111111</v>
      </c>
      <c r="H55" s="5" t="n">
        <v>0.10994212962963</v>
      </c>
      <c r="I55" s="5" t="n">
        <v>0.000243055555555556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5" t="n">
        <v>0</v>
      </c>
      <c r="P55" s="5" t="n">
        <v>0</v>
      </c>
      <c r="Q55" s="4" t="s">
        <v>73</v>
      </c>
      <c r="R55" s="4" t="s">
        <v>73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0" t="n">
        <v>0</v>
      </c>
      <c r="AA55" s="0" t="n">
        <v>0</v>
      </c>
      <c r="AB55" s="0" t="n">
        <v>0</v>
      </c>
      <c r="AC55" s="4" t="s">
        <v>75</v>
      </c>
      <c r="AD55" s="4" t="s">
        <v>228</v>
      </c>
      <c r="AE55" s="4" t="s">
        <v>262</v>
      </c>
      <c r="AF55" s="4" t="s">
        <v>265</v>
      </c>
      <c r="AG55" s="5" t="n">
        <v>0.100625</v>
      </c>
      <c r="AH55" s="5" t="n">
        <v>0.303553240740741</v>
      </c>
      <c r="AI55" s="5" t="n">
        <v>2.31481481481482E-005</v>
      </c>
      <c r="AJ55" s="5" t="n">
        <v>0</v>
      </c>
      <c r="AK55" s="5" t="n">
        <v>0</v>
      </c>
      <c r="AL55" s="5" t="n">
        <v>0</v>
      </c>
      <c r="AM55" s="4" t="s">
        <v>78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M55" s="6" t="n">
        <f aca="false">IFERROR(VALUE(F55),"")</f>
        <v>67.09</v>
      </c>
      <c r="BN55" s="6" t="str">
        <f aca="false">IF(R55="-","",IFERROR(VALUE(LEFT(Q55,LEN(Q55)-2)),""))</f>
        <v/>
      </c>
      <c r="BO55" s="6" t="str">
        <f aca="false">IF(R55="-","",IFERROR(VALUE(LEFT(R55,LEN(R55)-5)),""))</f>
        <v/>
      </c>
      <c r="BP55" s="6" t="str">
        <f aca="false">IF(R55="-","",IFERROR(VALUE(F55),""))</f>
        <v/>
      </c>
      <c r="BQ55" s="4" t="n">
        <f aca="false">IF(R55="-",1,0)</f>
        <v>1</v>
      </c>
    </row>
    <row r="56" customFormat="false" ht="15" hidden="false" customHeight="false" outlineLevel="0" collapsed="false">
      <c r="A56" s="0" t="s">
        <v>254</v>
      </c>
      <c r="B56" s="0" t="s">
        <v>255</v>
      </c>
      <c r="C56" s="0" t="s">
        <v>70</v>
      </c>
      <c r="D56" s="0" t="s">
        <v>266</v>
      </c>
      <c r="E56" s="3" t="n">
        <v>46276</v>
      </c>
      <c r="F56" s="4" t="s">
        <v>267</v>
      </c>
      <c r="G56" s="5" t="n">
        <v>0.505578703703704</v>
      </c>
      <c r="H56" s="5" t="n">
        <v>0.465081018518519</v>
      </c>
      <c r="I56" s="5" t="n">
        <v>0.0009375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0</v>
      </c>
      <c r="O56" s="5" t="n">
        <v>0</v>
      </c>
      <c r="P56" s="5" t="n">
        <v>0</v>
      </c>
      <c r="Q56" s="4" t="s">
        <v>73</v>
      </c>
      <c r="R56" s="4" t="s">
        <v>73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0" t="n">
        <v>0</v>
      </c>
      <c r="AA56" s="0" t="n">
        <v>0</v>
      </c>
      <c r="AB56" s="0" t="n">
        <v>0</v>
      </c>
      <c r="AC56" s="4" t="s">
        <v>74</v>
      </c>
      <c r="AD56" s="4" t="s">
        <v>74</v>
      </c>
      <c r="AE56" s="4" t="s">
        <v>265</v>
      </c>
      <c r="AF56" s="4" t="s">
        <v>268</v>
      </c>
      <c r="AG56" s="5" t="n">
        <v>0.393344907407407</v>
      </c>
      <c r="AH56" s="5" t="n">
        <v>0.197893518518519</v>
      </c>
      <c r="AI56" s="5" t="n">
        <v>1.15740740740741E-005</v>
      </c>
      <c r="AJ56" s="5" t="n">
        <v>0</v>
      </c>
      <c r="AK56" s="5" t="n">
        <v>0</v>
      </c>
      <c r="AL56" s="5" t="n">
        <v>0</v>
      </c>
      <c r="AM56" s="4" t="s">
        <v>78</v>
      </c>
      <c r="AN56" s="0" t="n">
        <v>0</v>
      </c>
      <c r="AO56" s="0" t="n">
        <v>1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  <c r="AU56" s="0" t="n">
        <v>13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M56" s="6" t="n">
        <f aca="false">IFERROR(VALUE(F56),"")</f>
        <v>261.94</v>
      </c>
      <c r="BN56" s="6" t="str">
        <f aca="false">IF(R56="-","",IFERROR(VALUE(LEFT(Q56,LEN(Q56)-2)),""))</f>
        <v/>
      </c>
      <c r="BO56" s="6" t="str">
        <f aca="false">IF(R56="-","",IFERROR(VALUE(LEFT(R56,LEN(R56)-5)),""))</f>
        <v/>
      </c>
      <c r="BP56" s="6" t="str">
        <f aca="false">IF(R56="-","",IFERROR(VALUE(F56),""))</f>
        <v/>
      </c>
      <c r="BQ56" s="4" t="n">
        <f aca="false">IF(R56="-",1,0)</f>
        <v>1</v>
      </c>
    </row>
    <row r="57" customFormat="false" ht="15" hidden="false" customHeight="false" outlineLevel="0" collapsed="false">
      <c r="A57" s="0" t="s">
        <v>254</v>
      </c>
      <c r="B57" s="0" t="s">
        <v>255</v>
      </c>
      <c r="C57" s="0" t="s">
        <v>70</v>
      </c>
      <c r="D57" s="0" t="s">
        <v>269</v>
      </c>
      <c r="E57" s="3" t="n">
        <v>46277</v>
      </c>
      <c r="F57" s="4" t="s">
        <v>270</v>
      </c>
      <c r="G57" s="5" t="n">
        <v>0.0973032407407408</v>
      </c>
      <c r="H57" s="5" t="n">
        <v>0.0702546296296296</v>
      </c>
      <c r="I57" s="5" t="n">
        <v>0.000127314814814815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5" t="n">
        <v>0</v>
      </c>
      <c r="P57" s="5" t="n">
        <v>0</v>
      </c>
      <c r="Q57" s="4" t="s">
        <v>73</v>
      </c>
      <c r="R57" s="4" t="s">
        <v>73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0" t="n">
        <v>0</v>
      </c>
      <c r="AA57" s="0" t="n">
        <v>0</v>
      </c>
      <c r="AB57" s="0" t="n">
        <v>0</v>
      </c>
      <c r="AC57" s="4" t="s">
        <v>228</v>
      </c>
      <c r="AD57" s="4" t="s">
        <v>75</v>
      </c>
      <c r="AE57" s="4" t="s">
        <v>268</v>
      </c>
      <c r="AF57" s="4" t="s">
        <v>271</v>
      </c>
      <c r="AG57" s="5" t="n">
        <v>0.0591203703703704</v>
      </c>
      <c r="AH57" s="5" t="n">
        <v>0.0581712962962963</v>
      </c>
      <c r="AI57" s="5" t="n">
        <v>1.15740740740741E-005</v>
      </c>
      <c r="AJ57" s="5" t="n">
        <v>0</v>
      </c>
      <c r="AK57" s="5" t="n">
        <v>0</v>
      </c>
      <c r="AL57" s="5" t="n">
        <v>0</v>
      </c>
      <c r="AM57" s="4" t="s">
        <v>78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3</v>
      </c>
      <c r="AV57" s="0" t="n">
        <v>0</v>
      </c>
      <c r="AW57" s="0" t="n">
        <v>1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M57" s="6" t="n">
        <f aca="false">IFERROR(VALUE(F57),"")</f>
        <v>31.4</v>
      </c>
      <c r="BN57" s="6" t="str">
        <f aca="false">IF(R57="-","",IFERROR(VALUE(LEFT(Q57,LEN(Q57)-2)),""))</f>
        <v/>
      </c>
      <c r="BO57" s="6" t="str">
        <f aca="false">IF(R57="-","",IFERROR(VALUE(LEFT(R57,LEN(R57)-5)),""))</f>
        <v/>
      </c>
      <c r="BP57" s="6" t="str">
        <f aca="false">IF(R57="-","",IFERROR(VALUE(F57),""))</f>
        <v/>
      </c>
      <c r="BQ57" s="4" t="n">
        <f aca="false">IF(R57="-",1,0)</f>
        <v>1</v>
      </c>
    </row>
    <row r="58" customFormat="false" ht="15" hidden="false" customHeight="false" outlineLevel="0" collapsed="false">
      <c r="A58" s="0" t="s">
        <v>254</v>
      </c>
      <c r="B58" s="0" t="s">
        <v>255</v>
      </c>
      <c r="C58" s="0" t="s">
        <v>70</v>
      </c>
      <c r="D58" s="0" t="s">
        <v>272</v>
      </c>
      <c r="E58" s="3" t="n">
        <v>46278</v>
      </c>
      <c r="F58" s="4" t="s">
        <v>273</v>
      </c>
      <c r="G58" s="5" t="n">
        <v>0.263171296296296</v>
      </c>
      <c r="H58" s="5" t="n">
        <v>0.253043981481482</v>
      </c>
      <c r="I58" s="5" t="n">
        <v>0.000543981481481481</v>
      </c>
      <c r="J58" s="0" t="n">
        <v>0</v>
      </c>
      <c r="K58" s="0" t="n">
        <v>5</v>
      </c>
      <c r="L58" s="0" t="n">
        <v>0</v>
      </c>
      <c r="M58" s="0" t="n">
        <v>0</v>
      </c>
      <c r="N58" s="0" t="n">
        <v>2</v>
      </c>
      <c r="O58" s="5" t="n">
        <v>0</v>
      </c>
      <c r="P58" s="5" t="n">
        <v>0</v>
      </c>
      <c r="Q58" s="4" t="s">
        <v>73</v>
      </c>
      <c r="R58" s="4" t="s">
        <v>73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0" t="n">
        <v>0</v>
      </c>
      <c r="AA58" s="0" t="n">
        <v>0</v>
      </c>
      <c r="AB58" s="0" t="n">
        <v>0</v>
      </c>
      <c r="AC58" s="4" t="s">
        <v>75</v>
      </c>
      <c r="AD58" s="4" t="s">
        <v>75</v>
      </c>
      <c r="AE58" s="4" t="s">
        <v>271</v>
      </c>
      <c r="AF58" s="4" t="s">
        <v>274</v>
      </c>
      <c r="AG58" s="5" t="n">
        <v>0.2278125</v>
      </c>
      <c r="AH58" s="5" t="n">
        <v>0.0763888888888889</v>
      </c>
      <c r="AI58" s="5" t="n">
        <v>0</v>
      </c>
      <c r="AJ58" s="5" t="n">
        <v>0</v>
      </c>
      <c r="AK58" s="5" t="n">
        <v>0</v>
      </c>
      <c r="AL58" s="5" t="n">
        <v>0</v>
      </c>
      <c r="AM58" s="4" t="s">
        <v>78</v>
      </c>
      <c r="AN58" s="0" t="n">
        <v>0</v>
      </c>
      <c r="AO58" s="0" t="n">
        <v>1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3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M58" s="6" t="n">
        <f aca="false">IFERROR(VALUE(F58),"")</f>
        <v>156.92</v>
      </c>
      <c r="BN58" s="6" t="str">
        <f aca="false">IF(R58="-","",IFERROR(VALUE(LEFT(Q58,LEN(Q58)-2)),""))</f>
        <v/>
      </c>
      <c r="BO58" s="6" t="str">
        <f aca="false">IF(R58="-","",IFERROR(VALUE(LEFT(R58,LEN(R58)-5)),""))</f>
        <v/>
      </c>
      <c r="BP58" s="6" t="str">
        <f aca="false">IF(R58="-","",IFERROR(VALUE(F58),""))</f>
        <v/>
      </c>
      <c r="BQ58" s="4" t="n">
        <f aca="false">IF(R58="-",1,0)</f>
        <v>1</v>
      </c>
    </row>
    <row r="59" customFormat="false" ht="15" hidden="false" customHeight="false" outlineLevel="0" collapsed="false">
      <c r="A59" s="0" t="s">
        <v>254</v>
      </c>
      <c r="B59" s="0" t="s">
        <v>255</v>
      </c>
      <c r="C59" s="0" t="s">
        <v>70</v>
      </c>
      <c r="D59" s="0" t="s">
        <v>275</v>
      </c>
      <c r="E59" s="3" t="n">
        <v>46279</v>
      </c>
      <c r="F59" s="4" t="s">
        <v>276</v>
      </c>
      <c r="G59" s="5" t="n">
        <v>0.44337962962963</v>
      </c>
      <c r="H59" s="5" t="n">
        <v>0.267048611111111</v>
      </c>
      <c r="I59" s="5" t="n">
        <v>0.000763888888888889</v>
      </c>
      <c r="J59" s="0" t="n">
        <v>0</v>
      </c>
      <c r="K59" s="0" t="n">
        <v>3</v>
      </c>
      <c r="L59" s="0" t="n">
        <v>0</v>
      </c>
      <c r="M59" s="0" t="n">
        <v>0</v>
      </c>
      <c r="N59" s="0" t="n">
        <v>0</v>
      </c>
      <c r="O59" s="5" t="n">
        <v>0</v>
      </c>
      <c r="P59" s="5" t="n">
        <v>0</v>
      </c>
      <c r="Q59" s="4" t="s">
        <v>73</v>
      </c>
      <c r="R59" s="4" t="s">
        <v>73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0" t="n">
        <v>0</v>
      </c>
      <c r="AA59" s="0" t="n">
        <v>0</v>
      </c>
      <c r="AB59" s="0" t="n">
        <v>0</v>
      </c>
      <c r="AC59" s="4" t="s">
        <v>81</v>
      </c>
      <c r="AD59" s="4" t="s">
        <v>81</v>
      </c>
      <c r="AE59" s="4" t="s">
        <v>274</v>
      </c>
      <c r="AF59" s="4" t="s">
        <v>277</v>
      </c>
      <c r="AG59" s="5" t="n">
        <v>0.350717592592593</v>
      </c>
      <c r="AH59" s="5" t="n">
        <v>0.242175925925926</v>
      </c>
      <c r="AI59" s="5" t="n">
        <v>1.15740740740741E-005</v>
      </c>
      <c r="AJ59" s="5" t="n">
        <v>0</v>
      </c>
      <c r="AK59" s="5" t="n">
        <v>0</v>
      </c>
      <c r="AL59" s="5" t="n">
        <v>0</v>
      </c>
      <c r="AM59" s="4" t="s">
        <v>78</v>
      </c>
      <c r="AN59" s="0" t="n">
        <v>0</v>
      </c>
      <c r="AO59" s="0" t="n">
        <v>1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6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M59" s="6" t="n">
        <f aca="false">IFERROR(VALUE(F59),"")</f>
        <v>246.62</v>
      </c>
      <c r="BN59" s="6" t="str">
        <f aca="false">IF(R59="-","",IFERROR(VALUE(LEFT(Q59,LEN(Q59)-2)),""))</f>
        <v/>
      </c>
      <c r="BO59" s="6" t="str">
        <f aca="false">IF(R59="-","",IFERROR(VALUE(LEFT(R59,LEN(R59)-5)),""))</f>
        <v/>
      </c>
      <c r="BP59" s="6" t="str">
        <f aca="false">IF(R59="-","",IFERROR(VALUE(F59),""))</f>
        <v/>
      </c>
      <c r="BQ59" s="4" t="n">
        <f aca="false">IF(R59="-",1,0)</f>
        <v>1</v>
      </c>
    </row>
    <row r="60" customFormat="false" ht="15" hidden="false" customHeight="false" outlineLevel="0" collapsed="false">
      <c r="A60" s="0" t="s">
        <v>278</v>
      </c>
      <c r="B60" s="0" t="s">
        <v>279</v>
      </c>
      <c r="C60" s="0" t="s">
        <v>70</v>
      </c>
      <c r="D60" s="0" t="s">
        <v>280</v>
      </c>
      <c r="E60" s="3" t="n">
        <v>46273</v>
      </c>
      <c r="F60" s="4" t="s">
        <v>281</v>
      </c>
      <c r="G60" s="5" t="n">
        <v>0.589560185185185</v>
      </c>
      <c r="H60" s="5" t="n">
        <v>0.553796296296296</v>
      </c>
      <c r="I60" s="5" t="n">
        <v>0.000196759259259259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5" t="n">
        <v>0</v>
      </c>
      <c r="P60" s="5" t="n">
        <v>0.0142708333333333</v>
      </c>
      <c r="Q60" s="4" t="s">
        <v>282</v>
      </c>
      <c r="R60" s="4" t="s">
        <v>283</v>
      </c>
      <c r="S60" s="5" t="n">
        <v>0.000231481481481482</v>
      </c>
      <c r="T60" s="5" t="n">
        <v>0.300231481481482</v>
      </c>
      <c r="U60" s="5" t="n">
        <v>0.243402777777778</v>
      </c>
      <c r="V60" s="5" t="n">
        <v>0.0189814814814815</v>
      </c>
      <c r="W60" s="5" t="n">
        <v>0</v>
      </c>
      <c r="X60" s="5" t="n">
        <v>0</v>
      </c>
      <c r="Y60" s="5" t="n">
        <v>0</v>
      </c>
      <c r="Z60" s="0" t="n">
        <v>0</v>
      </c>
      <c r="AA60" s="0" t="n">
        <v>0</v>
      </c>
      <c r="AB60" s="0" t="n">
        <v>0</v>
      </c>
      <c r="AC60" s="4" t="s">
        <v>75</v>
      </c>
      <c r="AD60" s="4" t="s">
        <v>74</v>
      </c>
      <c r="AE60" s="4" t="s">
        <v>284</v>
      </c>
      <c r="AF60" s="4" t="s">
        <v>285</v>
      </c>
      <c r="AG60" s="5" t="n">
        <v>0.476261574074074</v>
      </c>
      <c r="AH60" s="5" t="n">
        <v>0.174340277777778</v>
      </c>
      <c r="AI60" s="5" t="n">
        <v>0</v>
      </c>
      <c r="AJ60" s="5" t="n">
        <v>0</v>
      </c>
      <c r="AK60" s="5" t="n">
        <v>0</v>
      </c>
      <c r="AL60" s="5" t="n">
        <v>0</v>
      </c>
      <c r="AM60" s="4" t="s">
        <v>78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20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M60" s="6" t="n">
        <f aca="false">IFERROR(VALUE(F60),"")</f>
        <v>320.69</v>
      </c>
      <c r="BN60" s="6" t="n">
        <f aca="false">IF(R60="-","",IFERROR(VALUE(LEFT(Q60,LEN(Q60)-2)),""))</f>
        <v>130.65</v>
      </c>
      <c r="BO60" s="6" t="n">
        <f aca="false">IF(R60="-","",IFERROR(VALUE(LEFT(R60,LEN(R60)-5)),""))</f>
        <v>2.45</v>
      </c>
      <c r="BP60" s="6" t="n">
        <f aca="false">IF(R60="-","",IFERROR(VALUE(F60),""))</f>
        <v>320.69</v>
      </c>
      <c r="BQ60" s="4" t="n">
        <f aca="false">IF(R60="-",1,0)</f>
        <v>0</v>
      </c>
    </row>
    <row r="61" customFormat="false" ht="15" hidden="false" customHeight="false" outlineLevel="0" collapsed="false">
      <c r="A61" s="0" t="s">
        <v>278</v>
      </c>
      <c r="B61" s="0" t="s">
        <v>279</v>
      </c>
      <c r="C61" s="0" t="s">
        <v>70</v>
      </c>
      <c r="D61" s="0" t="s">
        <v>286</v>
      </c>
      <c r="E61" s="3" t="n">
        <v>46274</v>
      </c>
      <c r="F61" s="4" t="s">
        <v>287</v>
      </c>
      <c r="G61" s="5" t="n">
        <v>0.560543981481481</v>
      </c>
      <c r="H61" s="5" t="n">
        <v>0.531736111111111</v>
      </c>
      <c r="I61" s="5" t="n">
        <v>0.000231481481481482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5" t="n">
        <v>0</v>
      </c>
      <c r="P61" s="5" t="n">
        <v>0</v>
      </c>
      <c r="Q61" s="4" t="s">
        <v>288</v>
      </c>
      <c r="R61" s="4" t="s">
        <v>289</v>
      </c>
      <c r="S61" s="5" t="n">
        <v>0.000347222222222222</v>
      </c>
      <c r="T61" s="5" t="n">
        <v>0.273032407407407</v>
      </c>
      <c r="U61" s="5" t="n">
        <v>0.238078703703704</v>
      </c>
      <c r="V61" s="5" t="n">
        <v>0.0216435185185185</v>
      </c>
      <c r="W61" s="5" t="n">
        <v>0</v>
      </c>
      <c r="X61" s="5" t="n">
        <v>0</v>
      </c>
      <c r="Y61" s="5" t="n">
        <v>0</v>
      </c>
      <c r="Z61" s="0" t="n">
        <v>0</v>
      </c>
      <c r="AA61" s="0" t="n">
        <v>0</v>
      </c>
      <c r="AB61" s="0" t="n">
        <v>0</v>
      </c>
      <c r="AC61" s="4" t="s">
        <v>81</v>
      </c>
      <c r="AD61" s="4" t="s">
        <v>74</v>
      </c>
      <c r="AE61" s="4" t="s">
        <v>285</v>
      </c>
      <c r="AF61" s="4" t="s">
        <v>290</v>
      </c>
      <c r="AG61" s="5" t="n">
        <v>0.471157407407407</v>
      </c>
      <c r="AH61" s="5" t="n">
        <v>0.177581018518519</v>
      </c>
      <c r="AI61" s="5" t="n">
        <v>0</v>
      </c>
      <c r="AJ61" s="5" t="n">
        <v>0</v>
      </c>
      <c r="AK61" s="5" t="n">
        <v>0</v>
      </c>
      <c r="AL61" s="5" t="n">
        <v>0</v>
      </c>
      <c r="AM61" s="4" t="s">
        <v>78</v>
      </c>
      <c r="AN61" s="0" t="n">
        <v>0</v>
      </c>
      <c r="AO61" s="0" t="n">
        <v>1</v>
      </c>
      <c r="AP61" s="0" t="n">
        <v>0</v>
      </c>
      <c r="AQ61" s="0" t="n">
        <v>0</v>
      </c>
      <c r="AR61" s="0" t="n">
        <v>0</v>
      </c>
      <c r="AS61" s="0" t="n">
        <v>2</v>
      </c>
      <c r="AT61" s="0" t="n">
        <v>0</v>
      </c>
      <c r="AU61" s="0" t="n">
        <v>14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M61" s="6" t="n">
        <f aca="false">IFERROR(VALUE(F61),"")</f>
        <v>321.54</v>
      </c>
      <c r="BN61" s="6" t="n">
        <f aca="false">IF(R61="-","",IFERROR(VALUE(LEFT(Q61,LEN(Q61)-2)),""))</f>
        <v>128.62</v>
      </c>
      <c r="BO61" s="6" t="n">
        <f aca="false">IF(R61="-","",IFERROR(VALUE(LEFT(R61,LEN(R61)-5)),""))</f>
        <v>2.5</v>
      </c>
      <c r="BP61" s="6" t="n">
        <f aca="false">IF(R61="-","",IFERROR(VALUE(F61),""))</f>
        <v>321.54</v>
      </c>
      <c r="BQ61" s="4" t="n">
        <f aca="false">IF(R61="-",1,0)</f>
        <v>0</v>
      </c>
    </row>
    <row r="62" customFormat="false" ht="15" hidden="false" customHeight="false" outlineLevel="0" collapsed="false">
      <c r="A62" s="0" t="s">
        <v>278</v>
      </c>
      <c r="B62" s="0" t="s">
        <v>279</v>
      </c>
      <c r="C62" s="0" t="s">
        <v>70</v>
      </c>
      <c r="D62" s="0" t="s">
        <v>291</v>
      </c>
      <c r="E62" s="3" t="n">
        <v>46275</v>
      </c>
      <c r="F62" s="4" t="s">
        <v>292</v>
      </c>
      <c r="G62" s="5" t="n">
        <v>0.604664351851852</v>
      </c>
      <c r="H62" s="5" t="n">
        <v>0.521238425925926</v>
      </c>
      <c r="I62" s="5" t="n">
        <v>0.000555555555555556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5" t="n">
        <v>0</v>
      </c>
      <c r="P62" s="5" t="n">
        <v>0.075</v>
      </c>
      <c r="Q62" s="4" t="s">
        <v>293</v>
      </c>
      <c r="R62" s="4" t="s">
        <v>294</v>
      </c>
      <c r="S62" s="5" t="n">
        <v>0.000347222222222222</v>
      </c>
      <c r="T62" s="5" t="n">
        <v>0.336226851851852</v>
      </c>
      <c r="U62" s="5" t="n">
        <v>0.239351851851852</v>
      </c>
      <c r="V62" s="5" t="n">
        <v>0.0206018518518519</v>
      </c>
      <c r="W62" s="5" t="n">
        <v>0</v>
      </c>
      <c r="X62" s="5" t="n">
        <v>0</v>
      </c>
      <c r="Y62" s="5" t="n">
        <v>0</v>
      </c>
      <c r="Z62" s="0" t="n">
        <v>0</v>
      </c>
      <c r="AA62" s="0" t="n">
        <v>0</v>
      </c>
      <c r="AB62" s="0" t="n">
        <v>0</v>
      </c>
      <c r="AC62" s="4" t="s">
        <v>74</v>
      </c>
      <c r="AD62" s="4" t="s">
        <v>74</v>
      </c>
      <c r="AE62" s="4" t="s">
        <v>290</v>
      </c>
      <c r="AF62" s="4" t="s">
        <v>295</v>
      </c>
      <c r="AG62" s="5" t="n">
        <v>0.45431712962963</v>
      </c>
      <c r="AH62" s="5" t="n">
        <v>0.217696759259259</v>
      </c>
      <c r="AI62" s="5" t="n">
        <v>0</v>
      </c>
      <c r="AJ62" s="5" t="n">
        <v>0</v>
      </c>
      <c r="AK62" s="5" t="n">
        <v>0</v>
      </c>
      <c r="AL62" s="5" t="n">
        <v>0</v>
      </c>
      <c r="AM62" s="4" t="s">
        <v>78</v>
      </c>
      <c r="AN62" s="0" t="n">
        <v>0</v>
      </c>
      <c r="AO62" s="0" t="n">
        <v>2</v>
      </c>
      <c r="AP62" s="0" t="n">
        <v>0</v>
      </c>
      <c r="AQ62" s="0" t="n">
        <v>0</v>
      </c>
      <c r="AR62" s="0" t="n">
        <v>1</v>
      </c>
      <c r="AS62" s="0" t="n">
        <v>0</v>
      </c>
      <c r="AT62" s="0" t="n">
        <v>0</v>
      </c>
      <c r="AU62" s="0" t="n">
        <v>10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M62" s="6" t="n">
        <f aca="false">IFERROR(VALUE(F62),"")</f>
        <v>321.04</v>
      </c>
      <c r="BN62" s="6" t="n">
        <f aca="false">IF(R62="-","",IFERROR(VALUE(LEFT(Q62,LEN(Q62)-2)),""))</f>
        <v>134.91</v>
      </c>
      <c r="BO62" s="6" t="n">
        <f aca="false">IF(R62="-","",IFERROR(VALUE(LEFT(R62,LEN(R62)-5)),""))</f>
        <v>2.38</v>
      </c>
      <c r="BP62" s="6" t="n">
        <f aca="false">IF(R62="-","",IFERROR(VALUE(F62),""))</f>
        <v>321.04</v>
      </c>
      <c r="BQ62" s="4" t="n">
        <f aca="false">IF(R62="-",1,0)</f>
        <v>0</v>
      </c>
    </row>
    <row r="63" customFormat="false" ht="15" hidden="false" customHeight="false" outlineLevel="0" collapsed="false">
      <c r="A63" s="0" t="s">
        <v>278</v>
      </c>
      <c r="B63" s="0" t="s">
        <v>279</v>
      </c>
      <c r="C63" s="0" t="s">
        <v>70</v>
      </c>
      <c r="D63" s="0" t="s">
        <v>296</v>
      </c>
      <c r="E63" s="3" t="n">
        <v>46276</v>
      </c>
      <c r="F63" s="4" t="s">
        <v>297</v>
      </c>
      <c r="G63" s="5" t="n">
        <v>0.461979166666667</v>
      </c>
      <c r="H63" s="5" t="n">
        <v>0.435335648148148</v>
      </c>
      <c r="I63" s="5" t="n">
        <v>0.000532407407407407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5" t="n">
        <v>0</v>
      </c>
      <c r="P63" s="5" t="n">
        <v>0.00734953703703704</v>
      </c>
      <c r="Q63" s="4" t="s">
        <v>298</v>
      </c>
      <c r="R63" s="4" t="s">
        <v>299</v>
      </c>
      <c r="S63" s="5" t="n">
        <v>0.000462962962962963</v>
      </c>
      <c r="T63" s="5" t="n">
        <v>0.230324074074074</v>
      </c>
      <c r="U63" s="5" t="n">
        <v>0.20162037037037</v>
      </c>
      <c r="V63" s="5" t="n">
        <v>0.0127314814814815</v>
      </c>
      <c r="W63" s="5" t="n">
        <v>0</v>
      </c>
      <c r="X63" s="5" t="n">
        <v>0</v>
      </c>
      <c r="Y63" s="5" t="n">
        <v>0</v>
      </c>
      <c r="Z63" s="0" t="n">
        <v>0</v>
      </c>
      <c r="AA63" s="0" t="n">
        <v>0</v>
      </c>
      <c r="AB63" s="0" t="n">
        <v>0</v>
      </c>
      <c r="AC63" s="4" t="s">
        <v>75</v>
      </c>
      <c r="AD63" s="4" t="s">
        <v>75</v>
      </c>
      <c r="AE63" s="4" t="s">
        <v>295</v>
      </c>
      <c r="AF63" s="4" t="s">
        <v>300</v>
      </c>
      <c r="AG63" s="5" t="n">
        <v>0.387627314814815</v>
      </c>
      <c r="AH63" s="5" t="n">
        <v>0.175266203703704</v>
      </c>
      <c r="AI63" s="5" t="n">
        <v>0</v>
      </c>
      <c r="AJ63" s="5" t="n">
        <v>0</v>
      </c>
      <c r="AK63" s="5" t="n">
        <v>0</v>
      </c>
      <c r="AL63" s="5" t="n">
        <v>0</v>
      </c>
      <c r="AM63" s="4" t="s">
        <v>78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1</v>
      </c>
      <c r="AS63" s="0" t="n">
        <v>0</v>
      </c>
      <c r="AT63" s="0" t="n">
        <v>0</v>
      </c>
      <c r="AU63" s="0" t="n">
        <v>9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M63" s="6" t="n">
        <f aca="false">IFERROR(VALUE(F63),"")</f>
        <v>321.26</v>
      </c>
      <c r="BN63" s="6" t="n">
        <f aca="false">IF(R63="-","",IFERROR(VALUE(LEFT(Q63,LEN(Q63)-2)),""))</f>
        <v>107.47</v>
      </c>
      <c r="BO63" s="6" t="n">
        <f aca="false">IF(R63="-","",IFERROR(VALUE(LEFT(R63,LEN(R63)-5)),""))</f>
        <v>2.99</v>
      </c>
      <c r="BP63" s="6" t="n">
        <f aca="false">IF(R63="-","",IFERROR(VALUE(F63),""))</f>
        <v>321.26</v>
      </c>
      <c r="BQ63" s="4" t="n">
        <f aca="false">IF(R63="-",1,0)</f>
        <v>0</v>
      </c>
    </row>
    <row r="64" customFormat="false" ht="15" hidden="false" customHeight="false" outlineLevel="0" collapsed="false">
      <c r="A64" s="0" t="s">
        <v>278</v>
      </c>
      <c r="B64" s="0" t="s">
        <v>279</v>
      </c>
      <c r="C64" s="0" t="s">
        <v>70</v>
      </c>
      <c r="D64" s="0" t="s">
        <v>301</v>
      </c>
      <c r="E64" s="3" t="n">
        <v>46277</v>
      </c>
      <c r="F64" s="4" t="s">
        <v>302</v>
      </c>
      <c r="G64" s="5" t="n">
        <v>0.581180555555556</v>
      </c>
      <c r="H64" s="5" t="n">
        <v>0.577013888888889</v>
      </c>
      <c r="I64" s="5" t="n">
        <v>0.000243055555555556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5" t="n">
        <v>0</v>
      </c>
      <c r="P64" s="5" t="n">
        <v>0.0106712962962963</v>
      </c>
      <c r="Q64" s="4" t="s">
        <v>303</v>
      </c>
      <c r="R64" s="4" t="s">
        <v>304</v>
      </c>
      <c r="S64" s="5" t="n">
        <v>0.000231481481481482</v>
      </c>
      <c r="T64" s="5" t="n">
        <v>0.296296296296296</v>
      </c>
      <c r="U64" s="5" t="n">
        <v>0.255324074074074</v>
      </c>
      <c r="V64" s="5" t="n">
        <v>0.00787037037037037</v>
      </c>
      <c r="W64" s="5" t="n">
        <v>0</v>
      </c>
      <c r="X64" s="5" t="n">
        <v>0</v>
      </c>
      <c r="Y64" s="5" t="n">
        <v>0</v>
      </c>
      <c r="Z64" s="0" t="n">
        <v>0</v>
      </c>
      <c r="AA64" s="0" t="n">
        <v>0</v>
      </c>
      <c r="AB64" s="0" t="n">
        <v>0</v>
      </c>
      <c r="AC64" s="4" t="s">
        <v>74</v>
      </c>
      <c r="AD64" s="4" t="s">
        <v>75</v>
      </c>
      <c r="AE64" s="4" t="s">
        <v>300</v>
      </c>
      <c r="AF64" s="4" t="s">
        <v>305</v>
      </c>
      <c r="AG64" s="5" t="n">
        <v>0.465520833333333</v>
      </c>
      <c r="AH64" s="5" t="n">
        <v>0.210150462962963</v>
      </c>
      <c r="AI64" s="5" t="n">
        <v>0</v>
      </c>
      <c r="AJ64" s="5" t="n">
        <v>0</v>
      </c>
      <c r="AK64" s="5" t="n">
        <v>0</v>
      </c>
      <c r="AL64" s="5" t="n">
        <v>0</v>
      </c>
      <c r="AM64" s="4" t="s">
        <v>78</v>
      </c>
      <c r="AN64" s="0" t="n">
        <v>0</v>
      </c>
      <c r="AO64" s="0" t="n">
        <v>1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27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M64" s="6" t="n">
        <f aca="false">IFERROR(VALUE(F64),"")</f>
        <v>321.81</v>
      </c>
      <c r="BN64" s="6" t="n">
        <f aca="false">IF(R64="-","",IFERROR(VALUE(LEFT(Q64,LEN(Q64)-2)),""))</f>
        <v>128.29</v>
      </c>
      <c r="BO64" s="6" t="n">
        <f aca="false">IF(R64="-","",IFERROR(VALUE(LEFT(R64,LEN(R64)-5)),""))</f>
        <v>2.51</v>
      </c>
      <c r="BP64" s="6" t="n">
        <f aca="false">IF(R64="-","",IFERROR(VALUE(F64),""))</f>
        <v>321.81</v>
      </c>
      <c r="BQ64" s="4" t="n">
        <f aca="false">IF(R64="-",1,0)</f>
        <v>0</v>
      </c>
    </row>
    <row r="65" customFormat="false" ht="15" hidden="false" customHeight="false" outlineLevel="0" collapsed="false">
      <c r="A65" s="0" t="s">
        <v>278</v>
      </c>
      <c r="B65" s="0" t="s">
        <v>279</v>
      </c>
      <c r="C65" s="0" t="s">
        <v>70</v>
      </c>
      <c r="D65" s="0" t="s">
        <v>306</v>
      </c>
      <c r="E65" s="3" t="n">
        <v>46278</v>
      </c>
      <c r="F65" s="4" t="s">
        <v>307</v>
      </c>
      <c r="G65" s="5" t="n">
        <v>0.537939814814815</v>
      </c>
      <c r="H65" s="5" t="n">
        <v>0.156296296296296</v>
      </c>
      <c r="I65" s="5" t="n">
        <v>0.000659722222222222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5" t="n">
        <v>0</v>
      </c>
      <c r="P65" s="5" t="n">
        <v>0.0866087962962963</v>
      </c>
      <c r="Q65" s="4" t="s">
        <v>308</v>
      </c>
      <c r="R65" s="4" t="s">
        <v>309</v>
      </c>
      <c r="S65" s="5" t="n">
        <v>0.000462962962962963</v>
      </c>
      <c r="T65" s="5" t="n">
        <v>0.243055555555556</v>
      </c>
      <c r="U65" s="5" t="n">
        <v>0.166087962962963</v>
      </c>
      <c r="V65" s="5" t="n">
        <v>0.00324074074074074</v>
      </c>
      <c r="W65" s="5" t="n">
        <v>0</v>
      </c>
      <c r="X65" s="5" t="n">
        <v>0</v>
      </c>
      <c r="Y65" s="5" t="n">
        <v>0</v>
      </c>
      <c r="Z65" s="0" t="n">
        <v>0</v>
      </c>
      <c r="AA65" s="0" t="n">
        <v>0</v>
      </c>
      <c r="AB65" s="0" t="n">
        <v>0</v>
      </c>
      <c r="AC65" s="4" t="s">
        <v>75</v>
      </c>
      <c r="AD65" s="4" t="s">
        <v>74</v>
      </c>
      <c r="AE65" s="4" t="s">
        <v>305</v>
      </c>
      <c r="AF65" s="4" t="s">
        <v>310</v>
      </c>
      <c r="AG65" s="5" t="n">
        <v>0.277905092592593</v>
      </c>
      <c r="AH65" s="5" t="n">
        <v>0.279236111111111</v>
      </c>
      <c r="AI65" s="5" t="n">
        <v>0</v>
      </c>
      <c r="AJ65" s="5" t="n">
        <v>0</v>
      </c>
      <c r="AK65" s="5" t="n">
        <v>0</v>
      </c>
      <c r="AL65" s="5" t="n">
        <v>0</v>
      </c>
      <c r="AM65" s="4" t="s">
        <v>78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10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M65" s="6" t="n">
        <f aca="false">IFERROR(VALUE(F65),"")</f>
        <v>213.97</v>
      </c>
      <c r="BN65" s="6" t="n">
        <f aca="false">IF(R65="-","",IFERROR(VALUE(LEFT(Q65,LEN(Q65)-2)),""))</f>
        <v>86.41</v>
      </c>
      <c r="BO65" s="6" t="n">
        <f aca="false">IF(R65="-","",IFERROR(VALUE(LEFT(R65,LEN(R65)-5)),""))</f>
        <v>2.48</v>
      </c>
      <c r="BP65" s="6" t="n">
        <f aca="false">IF(R65="-","",IFERROR(VALUE(F65),""))</f>
        <v>213.97</v>
      </c>
      <c r="BQ65" s="4" t="n">
        <f aca="false">IF(R65="-",1,0)</f>
        <v>0</v>
      </c>
    </row>
    <row r="66" customFormat="false" ht="15" hidden="false" customHeight="false" outlineLevel="0" collapsed="false">
      <c r="A66" s="0" t="s">
        <v>278</v>
      </c>
      <c r="B66" s="0" t="s">
        <v>279</v>
      </c>
      <c r="C66" s="0" t="s">
        <v>70</v>
      </c>
      <c r="D66" s="0" t="s">
        <v>296</v>
      </c>
      <c r="E66" s="3" t="n">
        <v>46279</v>
      </c>
      <c r="F66" s="4" t="s">
        <v>311</v>
      </c>
      <c r="G66" s="5" t="n">
        <v>0.570706018518519</v>
      </c>
      <c r="H66" s="5" t="n">
        <v>0.526481481481481</v>
      </c>
      <c r="I66" s="5" t="n">
        <v>0.000543981481481481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5" t="n">
        <v>0</v>
      </c>
      <c r="P66" s="5" t="n">
        <v>0</v>
      </c>
      <c r="Q66" s="4" t="s">
        <v>312</v>
      </c>
      <c r="R66" s="4" t="s">
        <v>294</v>
      </c>
      <c r="S66" s="5" t="n">
        <v>0.000578703703703704</v>
      </c>
      <c r="T66" s="5" t="n">
        <v>0.27337962962963</v>
      </c>
      <c r="U66" s="5" t="n">
        <v>0.237037037037037</v>
      </c>
      <c r="V66" s="5" t="n">
        <v>0.0240740740740741</v>
      </c>
      <c r="W66" s="5" t="n">
        <v>0</v>
      </c>
      <c r="X66" s="5" t="n">
        <v>0</v>
      </c>
      <c r="Y66" s="5" t="n">
        <v>0</v>
      </c>
      <c r="Z66" s="0" t="n">
        <v>0</v>
      </c>
      <c r="AA66" s="0" t="n">
        <v>0</v>
      </c>
      <c r="AB66" s="0" t="n">
        <v>0</v>
      </c>
      <c r="AC66" s="4" t="s">
        <v>75</v>
      </c>
      <c r="AD66" s="4" t="s">
        <v>75</v>
      </c>
      <c r="AE66" s="4" t="s">
        <v>310</v>
      </c>
      <c r="AF66" s="4" t="s">
        <v>313</v>
      </c>
      <c r="AG66" s="5" t="n">
        <v>0.459085648148148</v>
      </c>
      <c r="AH66" s="5" t="n">
        <v>0.19037037037037</v>
      </c>
      <c r="AI66" s="5" t="n">
        <v>0</v>
      </c>
      <c r="AJ66" s="5" t="n">
        <v>0</v>
      </c>
      <c r="AK66" s="5" t="n">
        <v>0</v>
      </c>
      <c r="AL66" s="5" t="n">
        <v>0</v>
      </c>
      <c r="AM66" s="4" t="s">
        <v>78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1</v>
      </c>
      <c r="AT66" s="0" t="n">
        <v>0</v>
      </c>
      <c r="AU66" s="0" t="n">
        <v>19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M66" s="6" t="n">
        <f aca="false">IFERROR(VALUE(F66),"")</f>
        <v>320.89</v>
      </c>
      <c r="BN66" s="6" t="n">
        <f aca="false">IF(R66="-","",IFERROR(VALUE(LEFT(Q66,LEN(Q66)-2)),""))</f>
        <v>134.85</v>
      </c>
      <c r="BO66" s="6" t="n">
        <f aca="false">IF(R66="-","",IFERROR(VALUE(LEFT(R66,LEN(R66)-5)),""))</f>
        <v>2.38</v>
      </c>
      <c r="BP66" s="6" t="n">
        <f aca="false">IF(R66="-","",IFERROR(VALUE(F66),""))</f>
        <v>320.89</v>
      </c>
      <c r="BQ66" s="4" t="n">
        <f aca="false">IF(R66="-",1,0)</f>
        <v>0</v>
      </c>
    </row>
    <row r="67" customFormat="false" ht="15" hidden="false" customHeight="false" outlineLevel="0" collapsed="false">
      <c r="A67" s="0" t="s">
        <v>314</v>
      </c>
      <c r="B67" s="0" t="s">
        <v>315</v>
      </c>
      <c r="C67" s="0" t="s">
        <v>70</v>
      </c>
      <c r="D67" s="0" t="s">
        <v>316</v>
      </c>
      <c r="E67" s="3" t="n">
        <v>46273</v>
      </c>
      <c r="F67" s="4" t="s">
        <v>317</v>
      </c>
      <c r="G67" s="5" t="n">
        <v>0.432592592592593</v>
      </c>
      <c r="H67" s="5" t="n">
        <v>0.420949074074074</v>
      </c>
      <c r="I67" s="5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5" t="n">
        <v>0</v>
      </c>
      <c r="P67" s="5" t="n">
        <v>0</v>
      </c>
      <c r="Q67" s="4" t="s">
        <v>318</v>
      </c>
      <c r="R67" s="4" t="s">
        <v>319</v>
      </c>
      <c r="S67" s="5" t="n">
        <v>0.000115740740740741</v>
      </c>
      <c r="T67" s="5" t="n">
        <v>0.204282407407407</v>
      </c>
      <c r="U67" s="5" t="n">
        <v>0.2</v>
      </c>
      <c r="V67" s="5" t="n">
        <v>0.0162037037037037</v>
      </c>
      <c r="W67" s="5" t="n">
        <v>0</v>
      </c>
      <c r="X67" s="5" t="n">
        <v>0</v>
      </c>
      <c r="Y67" s="5" t="n">
        <v>0</v>
      </c>
      <c r="Z67" s="0" t="n">
        <v>0</v>
      </c>
      <c r="AA67" s="0" t="n">
        <v>0</v>
      </c>
      <c r="AB67" s="0" t="n">
        <v>0</v>
      </c>
      <c r="AC67" s="4" t="s">
        <v>320</v>
      </c>
      <c r="AD67" s="4" t="s">
        <v>320</v>
      </c>
      <c r="AE67" s="4" t="s">
        <v>321</v>
      </c>
      <c r="AF67" s="4" t="s">
        <v>322</v>
      </c>
      <c r="AG67" s="5" t="n">
        <v>0.356215277777778</v>
      </c>
      <c r="AH67" s="5" t="n">
        <v>0.139351851851852</v>
      </c>
      <c r="AI67" s="5" t="n">
        <v>0</v>
      </c>
      <c r="AJ67" s="5" t="n">
        <v>0</v>
      </c>
      <c r="AK67" s="5" t="n">
        <v>0</v>
      </c>
      <c r="AL67" s="5" t="n">
        <v>0</v>
      </c>
      <c r="AM67" s="4" t="s">
        <v>78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5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M67" s="6" t="n">
        <f aca="false">IFERROR(VALUE(F67),"")</f>
        <v>307</v>
      </c>
      <c r="BN67" s="6" t="n">
        <f aca="false">IF(R67="-","",IFERROR(VALUE(LEFT(Q67,LEN(Q67)-2)),""))</f>
        <v>108.71</v>
      </c>
      <c r="BO67" s="6" t="n">
        <f aca="false">IF(R67="-","",IFERROR(VALUE(LEFT(R67,LEN(R67)-5)),""))</f>
        <v>2.82</v>
      </c>
      <c r="BP67" s="6" t="n">
        <f aca="false">IF(R67="-","",IFERROR(VALUE(F67),""))</f>
        <v>307</v>
      </c>
      <c r="BQ67" s="4" t="n">
        <f aca="false">IF(R67="-",1,0)</f>
        <v>0</v>
      </c>
    </row>
    <row r="68" customFormat="false" ht="15" hidden="false" customHeight="false" outlineLevel="0" collapsed="false">
      <c r="A68" s="0" t="s">
        <v>314</v>
      </c>
      <c r="B68" s="0" t="s">
        <v>315</v>
      </c>
      <c r="C68" s="0" t="s">
        <v>70</v>
      </c>
      <c r="D68" s="0" t="s">
        <v>316</v>
      </c>
      <c r="E68" s="3" t="n">
        <v>46274</v>
      </c>
      <c r="F68" s="4" t="s">
        <v>323</v>
      </c>
      <c r="G68" s="5" t="n">
        <v>0.455625</v>
      </c>
      <c r="H68" s="5" t="n">
        <v>0.396539351851852</v>
      </c>
      <c r="I68" s="5" t="n">
        <v>0.000127314814814815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5" t="n">
        <v>0</v>
      </c>
      <c r="P68" s="5" t="n">
        <v>0.0218402777777778</v>
      </c>
      <c r="Q68" s="4" t="s">
        <v>324</v>
      </c>
      <c r="R68" s="4" t="s">
        <v>325</v>
      </c>
      <c r="S68" s="5" t="n">
        <v>0.000231481481481482</v>
      </c>
      <c r="T68" s="5" t="n">
        <v>0.217939814814815</v>
      </c>
      <c r="U68" s="5" t="n">
        <v>0.204513888888889</v>
      </c>
      <c r="V68" s="5" t="n">
        <v>0.0146990740740741</v>
      </c>
      <c r="W68" s="5" t="n">
        <v>0</v>
      </c>
      <c r="X68" s="5" t="n">
        <v>0</v>
      </c>
      <c r="Y68" s="5" t="n">
        <v>0</v>
      </c>
      <c r="Z68" s="0" t="n">
        <v>0</v>
      </c>
      <c r="AA68" s="0" t="n">
        <v>0</v>
      </c>
      <c r="AB68" s="0" t="n">
        <v>0</v>
      </c>
      <c r="AC68" s="4" t="s">
        <v>320</v>
      </c>
      <c r="AD68" s="4" t="s">
        <v>320</v>
      </c>
      <c r="AE68" s="4" t="s">
        <v>322</v>
      </c>
      <c r="AF68" s="4" t="s">
        <v>326</v>
      </c>
      <c r="AG68" s="5" t="n">
        <v>0.357152777777778</v>
      </c>
      <c r="AH68" s="5" t="n">
        <v>0.1728125</v>
      </c>
      <c r="AI68" s="5" t="n">
        <v>0</v>
      </c>
      <c r="AJ68" s="5" t="n">
        <v>0</v>
      </c>
      <c r="AK68" s="5" t="n">
        <v>0</v>
      </c>
      <c r="AL68" s="5" t="n">
        <v>0</v>
      </c>
      <c r="AM68" s="4" t="s">
        <v>78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4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M68" s="6" t="n">
        <f aca="false">IFERROR(VALUE(F68),"")</f>
        <v>307.46</v>
      </c>
      <c r="BN68" s="6" t="n">
        <f aca="false">IF(R68="-","",IFERROR(VALUE(LEFT(Q68,LEN(Q68)-2)),""))</f>
        <v>107.27</v>
      </c>
      <c r="BO68" s="6" t="n">
        <f aca="false">IF(R68="-","",IFERROR(VALUE(LEFT(R68,LEN(R68)-5)),""))</f>
        <v>2.87</v>
      </c>
      <c r="BP68" s="6" t="n">
        <f aca="false">IF(R68="-","",IFERROR(VALUE(F68),""))</f>
        <v>307.46</v>
      </c>
      <c r="BQ68" s="4" t="n">
        <f aca="false">IF(R68="-",1,0)</f>
        <v>0</v>
      </c>
    </row>
    <row r="69" customFormat="false" ht="15" hidden="false" customHeight="false" outlineLevel="0" collapsed="false">
      <c r="A69" s="0" t="s">
        <v>314</v>
      </c>
      <c r="B69" s="0" t="s">
        <v>315</v>
      </c>
      <c r="C69" s="0" t="s">
        <v>70</v>
      </c>
      <c r="D69" s="0" t="s">
        <v>316</v>
      </c>
      <c r="E69" s="3" t="n">
        <v>46275</v>
      </c>
      <c r="F69" s="4" t="s">
        <v>327</v>
      </c>
      <c r="G69" s="5" t="n">
        <v>0.422835648148148</v>
      </c>
      <c r="H69" s="5" t="n">
        <v>0.395046296296296</v>
      </c>
      <c r="I69" s="5" t="n">
        <v>0.000115740740740741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5" t="n">
        <v>0</v>
      </c>
      <c r="P69" s="5" t="n">
        <v>0</v>
      </c>
      <c r="Q69" s="4" t="s">
        <v>328</v>
      </c>
      <c r="R69" s="4" t="s">
        <v>325</v>
      </c>
      <c r="S69" s="5" t="n">
        <v>0.000231481481481482</v>
      </c>
      <c r="T69" s="5" t="n">
        <v>0.197453703703704</v>
      </c>
      <c r="U69" s="5" t="n">
        <v>0.19525462962963</v>
      </c>
      <c r="V69" s="5" t="n">
        <v>0.0203703703703704</v>
      </c>
      <c r="W69" s="5" t="n">
        <v>0</v>
      </c>
      <c r="X69" s="5" t="n">
        <v>0</v>
      </c>
      <c r="Y69" s="5" t="n">
        <v>0</v>
      </c>
      <c r="Z69" s="0" t="n">
        <v>0</v>
      </c>
      <c r="AA69" s="0" t="n">
        <v>0</v>
      </c>
      <c r="AB69" s="0" t="n">
        <v>0</v>
      </c>
      <c r="AC69" s="4" t="s">
        <v>320</v>
      </c>
      <c r="AD69" s="4" t="s">
        <v>320</v>
      </c>
      <c r="AE69" s="4" t="s">
        <v>326</v>
      </c>
      <c r="AF69" s="4" t="s">
        <v>329</v>
      </c>
      <c r="AG69" s="5" t="n">
        <v>0.35625</v>
      </c>
      <c r="AH69" s="5" t="n">
        <v>0.121782407407407</v>
      </c>
      <c r="AI69" s="5" t="n">
        <v>0</v>
      </c>
      <c r="AJ69" s="5" t="n">
        <v>0</v>
      </c>
      <c r="AK69" s="5" t="n">
        <v>0</v>
      </c>
      <c r="AL69" s="5" t="n">
        <v>0</v>
      </c>
      <c r="AM69" s="4" t="s">
        <v>78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7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M69" s="6" t="n">
        <f aca="false">IFERROR(VALUE(F69),"")</f>
        <v>307.8</v>
      </c>
      <c r="BN69" s="6" t="n">
        <f aca="false">IF(R69="-","",IFERROR(VALUE(LEFT(Q69,LEN(Q69)-2)),""))</f>
        <v>107.07</v>
      </c>
      <c r="BO69" s="6" t="n">
        <f aca="false">IF(R69="-","",IFERROR(VALUE(LEFT(R69,LEN(R69)-5)),""))</f>
        <v>2.87</v>
      </c>
      <c r="BP69" s="6" t="n">
        <f aca="false">IF(R69="-","",IFERROR(VALUE(F69),""))</f>
        <v>307.8</v>
      </c>
      <c r="BQ69" s="4" t="n">
        <f aca="false">IF(R69="-",1,0)</f>
        <v>0</v>
      </c>
    </row>
    <row r="70" customFormat="false" ht="15" hidden="false" customHeight="false" outlineLevel="0" collapsed="false">
      <c r="A70" s="0" t="s">
        <v>314</v>
      </c>
      <c r="B70" s="0" t="s">
        <v>315</v>
      </c>
      <c r="C70" s="0" t="s">
        <v>70</v>
      </c>
      <c r="D70" s="0" t="s">
        <v>316</v>
      </c>
      <c r="E70" s="3" t="n">
        <v>46276</v>
      </c>
      <c r="F70" s="4" t="s">
        <v>330</v>
      </c>
      <c r="G70" s="5" t="n">
        <v>0.423912037037037</v>
      </c>
      <c r="H70" s="5" t="n">
        <v>0.397175925925926</v>
      </c>
      <c r="I70" s="5" t="n">
        <v>4.62962962962963E-005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5</v>
      </c>
      <c r="O70" s="5" t="n">
        <v>0</v>
      </c>
      <c r="P70" s="5" t="n">
        <v>0.0156134259259259</v>
      </c>
      <c r="Q70" s="4" t="s">
        <v>331</v>
      </c>
      <c r="R70" s="4" t="s">
        <v>332</v>
      </c>
      <c r="S70" s="5" t="n">
        <v>0.000115740740740741</v>
      </c>
      <c r="T70" s="5" t="n">
        <v>0.195833333333333</v>
      </c>
      <c r="U70" s="5" t="n">
        <v>0.194675925925926</v>
      </c>
      <c r="V70" s="5" t="n">
        <v>0.0195601851851852</v>
      </c>
      <c r="W70" s="5" t="n">
        <v>0</v>
      </c>
      <c r="X70" s="5" t="n">
        <v>0</v>
      </c>
      <c r="Y70" s="5" t="n">
        <v>0</v>
      </c>
      <c r="Z70" s="0" t="n">
        <v>0</v>
      </c>
      <c r="AA70" s="0" t="n">
        <v>0</v>
      </c>
      <c r="AB70" s="0" t="n">
        <v>0</v>
      </c>
      <c r="AC70" s="4" t="s">
        <v>320</v>
      </c>
      <c r="AD70" s="4" t="s">
        <v>320</v>
      </c>
      <c r="AE70" s="4" t="s">
        <v>329</v>
      </c>
      <c r="AF70" s="4" t="s">
        <v>333</v>
      </c>
      <c r="AG70" s="5" t="n">
        <v>0.349363425925926</v>
      </c>
      <c r="AH70" s="5" t="n">
        <v>0.121770833333333</v>
      </c>
      <c r="AI70" s="5" t="n">
        <v>0</v>
      </c>
      <c r="AJ70" s="5" t="n">
        <v>0</v>
      </c>
      <c r="AK70" s="5" t="n">
        <v>0</v>
      </c>
      <c r="AL70" s="5" t="n">
        <v>0</v>
      </c>
      <c r="AM70" s="4" t="s">
        <v>78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3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M70" s="6" t="n">
        <f aca="false">IFERROR(VALUE(F70),"")</f>
        <v>307.86</v>
      </c>
      <c r="BN70" s="6" t="n">
        <f aca="false">IF(R70="-","",IFERROR(VALUE(LEFT(Q70,LEN(Q70)-2)),""))</f>
        <v>108.59</v>
      </c>
      <c r="BO70" s="6" t="n">
        <f aca="false">IF(R70="-","",IFERROR(VALUE(LEFT(R70,LEN(R70)-5)),""))</f>
        <v>2.84</v>
      </c>
      <c r="BP70" s="6" t="n">
        <f aca="false">IF(R70="-","",IFERROR(VALUE(F70),""))</f>
        <v>307.86</v>
      </c>
      <c r="BQ70" s="4" t="n">
        <f aca="false">IF(R70="-",1,0)</f>
        <v>0</v>
      </c>
    </row>
    <row r="71" customFormat="false" ht="15" hidden="false" customHeight="false" outlineLevel="0" collapsed="false">
      <c r="A71" s="0" t="s">
        <v>314</v>
      </c>
      <c r="B71" s="0" t="s">
        <v>315</v>
      </c>
      <c r="C71" s="0" t="s">
        <v>70</v>
      </c>
      <c r="D71" s="0" t="s">
        <v>316</v>
      </c>
      <c r="E71" s="3" t="n">
        <v>46277</v>
      </c>
      <c r="F71" s="4" t="s">
        <v>334</v>
      </c>
      <c r="G71" s="5" t="n">
        <v>0.391145833333333</v>
      </c>
      <c r="H71" s="5" t="n">
        <v>0.390347222222222</v>
      </c>
      <c r="I71" s="5" t="n">
        <v>9.25925925925926E-005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4</v>
      </c>
      <c r="O71" s="5" t="n">
        <v>0</v>
      </c>
      <c r="P71" s="5" t="n">
        <v>0</v>
      </c>
      <c r="Q71" s="4" t="s">
        <v>335</v>
      </c>
      <c r="R71" s="4" t="s">
        <v>336</v>
      </c>
      <c r="S71" s="5" t="n">
        <v>0.000115740740740741</v>
      </c>
      <c r="T71" s="5" t="n">
        <v>0.178935185185185</v>
      </c>
      <c r="U71" s="5" t="n">
        <v>0.181481481481482</v>
      </c>
      <c r="V71" s="5" t="n">
        <v>0.0247685185185185</v>
      </c>
      <c r="W71" s="5" t="n">
        <v>0</v>
      </c>
      <c r="X71" s="5" t="n">
        <v>0</v>
      </c>
      <c r="Y71" s="5" t="n">
        <v>0</v>
      </c>
      <c r="Z71" s="0" t="n">
        <v>0</v>
      </c>
      <c r="AA71" s="0" t="n">
        <v>0</v>
      </c>
      <c r="AB71" s="0" t="n">
        <v>0</v>
      </c>
      <c r="AC71" s="4" t="s">
        <v>320</v>
      </c>
      <c r="AD71" s="4" t="s">
        <v>320</v>
      </c>
      <c r="AE71" s="4" t="s">
        <v>333</v>
      </c>
      <c r="AF71" s="4" t="s">
        <v>337</v>
      </c>
      <c r="AG71" s="5" t="n">
        <v>0.332858796296296</v>
      </c>
      <c r="AH71" s="5" t="n">
        <v>0.0951041666666667</v>
      </c>
      <c r="AI71" s="5" t="n">
        <v>0</v>
      </c>
      <c r="AJ71" s="5" t="n">
        <v>0</v>
      </c>
      <c r="AK71" s="5" t="n">
        <v>0</v>
      </c>
      <c r="AL71" s="5" t="n">
        <v>0</v>
      </c>
      <c r="AM71" s="4" t="s">
        <v>78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8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M71" s="6" t="n">
        <f aca="false">IFERROR(VALUE(F71),"")</f>
        <v>304.85</v>
      </c>
      <c r="BN71" s="6" t="n">
        <f aca="false">IF(R71="-","",IFERROR(VALUE(LEFT(Q71,LEN(Q71)-2)),""))</f>
        <v>107.68</v>
      </c>
      <c r="BO71" s="6" t="n">
        <f aca="false">IF(R71="-","",IFERROR(VALUE(LEFT(R71,LEN(R71)-5)),""))</f>
        <v>2.83</v>
      </c>
      <c r="BP71" s="6" t="n">
        <f aca="false">IF(R71="-","",IFERROR(VALUE(F71),""))</f>
        <v>304.85</v>
      </c>
      <c r="BQ71" s="4" t="n">
        <f aca="false">IF(R71="-",1,0)</f>
        <v>0</v>
      </c>
    </row>
    <row r="72" customFormat="false" ht="15" hidden="false" customHeight="false" outlineLevel="0" collapsed="false">
      <c r="A72" s="0" t="s">
        <v>314</v>
      </c>
      <c r="B72" s="0" t="s">
        <v>315</v>
      </c>
      <c r="C72" s="0" t="s">
        <v>70</v>
      </c>
      <c r="D72" s="0" t="s">
        <v>316</v>
      </c>
      <c r="E72" s="3" t="n">
        <v>46279</v>
      </c>
      <c r="F72" s="4" t="s">
        <v>338</v>
      </c>
      <c r="G72" s="5" t="n">
        <v>0.430775462962963</v>
      </c>
      <c r="H72" s="5" t="n">
        <v>0.406157407407407</v>
      </c>
      <c r="I72" s="5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5" t="n">
        <v>0</v>
      </c>
      <c r="P72" s="5" t="n">
        <v>0.00717592592592593</v>
      </c>
      <c r="Q72" s="4" t="s">
        <v>339</v>
      </c>
      <c r="R72" s="4" t="s">
        <v>340</v>
      </c>
      <c r="S72" s="5" t="n">
        <v>0.000115740740740741</v>
      </c>
      <c r="T72" s="5" t="n">
        <v>0.196527777777778</v>
      </c>
      <c r="U72" s="5" t="n">
        <v>0.205208333333333</v>
      </c>
      <c r="V72" s="5" t="n">
        <v>0.0150462962962963</v>
      </c>
      <c r="W72" s="5" t="n">
        <v>0</v>
      </c>
      <c r="X72" s="5" t="n">
        <v>0</v>
      </c>
      <c r="Y72" s="5" t="n">
        <v>0</v>
      </c>
      <c r="Z72" s="0" t="n">
        <v>0</v>
      </c>
      <c r="AA72" s="0" t="n">
        <v>0</v>
      </c>
      <c r="AB72" s="0" t="n">
        <v>0</v>
      </c>
      <c r="AC72" s="4" t="s">
        <v>320</v>
      </c>
      <c r="AD72" s="4" t="s">
        <v>320</v>
      </c>
      <c r="AE72" s="4" t="s">
        <v>337</v>
      </c>
      <c r="AF72" s="4" t="s">
        <v>341</v>
      </c>
      <c r="AG72" s="5" t="n">
        <v>0.363333333333333</v>
      </c>
      <c r="AH72" s="5" t="n">
        <v>0.105127314814815</v>
      </c>
      <c r="AI72" s="5" t="n">
        <v>0</v>
      </c>
      <c r="AJ72" s="5" t="n">
        <v>0</v>
      </c>
      <c r="AK72" s="5" t="n">
        <v>0</v>
      </c>
      <c r="AL72" s="5" t="n">
        <v>0</v>
      </c>
      <c r="AM72" s="4" t="s">
        <v>78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6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M72" s="6" t="n">
        <f aca="false">IFERROR(VALUE(F72),"")</f>
        <v>307.92</v>
      </c>
      <c r="BN72" s="6" t="n">
        <f aca="false">IF(R72="-","",IFERROR(VALUE(LEFT(Q72,LEN(Q72)-2)),""))</f>
        <v>107.04</v>
      </c>
      <c r="BO72" s="6" t="n">
        <f aca="false">IF(R72="-","",IFERROR(VALUE(LEFT(R72,LEN(R72)-5)),""))</f>
        <v>2.88</v>
      </c>
      <c r="BP72" s="6" t="n">
        <f aca="false">IF(R72="-","",IFERROR(VALUE(F72),""))</f>
        <v>307.92</v>
      </c>
      <c r="BQ72" s="4" t="n">
        <f aca="false">IF(R72="-",1,0)</f>
        <v>0</v>
      </c>
    </row>
    <row r="73" customFormat="false" ht="15" hidden="false" customHeight="false" outlineLevel="0" collapsed="false">
      <c r="A73" s="0" t="s">
        <v>342</v>
      </c>
      <c r="B73" s="0" t="s">
        <v>343</v>
      </c>
      <c r="C73" s="0" t="s">
        <v>70</v>
      </c>
      <c r="E73" s="3" t="n">
        <v>46273</v>
      </c>
      <c r="F73" s="4" t="s">
        <v>344</v>
      </c>
      <c r="G73" s="5" t="n">
        <v>0.490208333333333</v>
      </c>
      <c r="H73" s="5" t="n">
        <v>0</v>
      </c>
      <c r="I73" s="5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5" t="n">
        <v>0</v>
      </c>
      <c r="P73" s="5" t="n">
        <v>0.011712962962963</v>
      </c>
      <c r="Q73" s="4" t="s">
        <v>345</v>
      </c>
      <c r="R73" s="4" t="s">
        <v>346</v>
      </c>
      <c r="S73" s="5" t="n">
        <v>0.000115740740740741</v>
      </c>
      <c r="T73" s="5" t="n">
        <v>0.264351851851852</v>
      </c>
      <c r="U73" s="5" t="n">
        <v>0.211574074074074</v>
      </c>
      <c r="V73" s="5" t="n">
        <v>0.0068287037037037</v>
      </c>
      <c r="W73" s="5" t="n">
        <v>0</v>
      </c>
      <c r="X73" s="5" t="n">
        <v>0</v>
      </c>
      <c r="Y73" s="5" t="n">
        <v>0</v>
      </c>
      <c r="Z73" s="0" t="n">
        <v>0</v>
      </c>
      <c r="AA73" s="0" t="n">
        <v>0</v>
      </c>
      <c r="AB73" s="0" t="n">
        <v>0</v>
      </c>
      <c r="AC73" s="4" t="s">
        <v>347</v>
      </c>
      <c r="AD73" s="4" t="s">
        <v>347</v>
      </c>
      <c r="AE73" s="4" t="s">
        <v>348</v>
      </c>
      <c r="AF73" s="4" t="s">
        <v>349</v>
      </c>
      <c r="AG73" s="5" t="n">
        <v>0.382696759259259</v>
      </c>
      <c r="AH73" s="5" t="n">
        <v>0.15556712962963</v>
      </c>
      <c r="AI73" s="5" t="n">
        <v>0</v>
      </c>
      <c r="AJ73" s="5" t="n">
        <v>0</v>
      </c>
      <c r="AK73" s="5" t="n">
        <v>0</v>
      </c>
      <c r="AL73" s="5" t="n">
        <v>0</v>
      </c>
      <c r="AM73" s="4" t="s">
        <v>78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2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M73" s="6" t="n">
        <f aca="false">IFERROR(VALUE(F73),"")</f>
        <v>301.27</v>
      </c>
      <c r="BN73" s="6" t="n">
        <f aca="false">IF(R73="-","",IFERROR(VALUE(LEFT(Q73,LEN(Q73)-2)),""))</f>
        <v>101.64</v>
      </c>
      <c r="BO73" s="6" t="n">
        <f aca="false">IF(R73="-","",IFERROR(VALUE(LEFT(R73,LEN(R73)-5)),""))</f>
        <v>2.96</v>
      </c>
      <c r="BP73" s="6" t="n">
        <f aca="false">IF(R73="-","",IFERROR(VALUE(F73),""))</f>
        <v>301.27</v>
      </c>
      <c r="BQ73" s="4" t="n">
        <f aca="false">IF(R73="-",1,0)</f>
        <v>0</v>
      </c>
    </row>
    <row r="74" customFormat="false" ht="15" hidden="false" customHeight="false" outlineLevel="0" collapsed="false">
      <c r="A74" s="0" t="s">
        <v>342</v>
      </c>
      <c r="B74" s="0" t="s">
        <v>343</v>
      </c>
      <c r="C74" s="0" t="s">
        <v>70</v>
      </c>
      <c r="E74" s="3" t="n">
        <v>46274</v>
      </c>
      <c r="F74" s="4" t="s">
        <v>350</v>
      </c>
      <c r="G74" s="5" t="n">
        <v>0.452511574074074</v>
      </c>
      <c r="H74" s="5" t="n">
        <v>0</v>
      </c>
      <c r="I74" s="5" t="n">
        <v>1.15740740740741E-005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5" t="n">
        <v>0</v>
      </c>
      <c r="P74" s="5" t="n">
        <v>0</v>
      </c>
      <c r="Q74" s="4" t="s">
        <v>351</v>
      </c>
      <c r="R74" s="4" t="s">
        <v>352</v>
      </c>
      <c r="S74" s="5" t="n">
        <v>0.000231481481481482</v>
      </c>
      <c r="T74" s="5" t="n">
        <v>0.232523148148148</v>
      </c>
      <c r="U74" s="5" t="n">
        <v>0.208333333333333</v>
      </c>
      <c r="V74" s="5" t="n">
        <v>0.0056712962962963</v>
      </c>
      <c r="W74" s="5" t="n">
        <v>0</v>
      </c>
      <c r="X74" s="5" t="n">
        <v>0</v>
      </c>
      <c r="Y74" s="5" t="n">
        <v>0</v>
      </c>
      <c r="Z74" s="0" t="n">
        <v>0</v>
      </c>
      <c r="AA74" s="0" t="n">
        <v>0</v>
      </c>
      <c r="AB74" s="0" t="n">
        <v>0</v>
      </c>
      <c r="AC74" s="4" t="s">
        <v>347</v>
      </c>
      <c r="AD74" s="4" t="s">
        <v>347</v>
      </c>
      <c r="AE74" s="4" t="s">
        <v>349</v>
      </c>
      <c r="AF74" s="4" t="s">
        <v>353</v>
      </c>
      <c r="AG74" s="5" t="n">
        <v>0.380173611111111</v>
      </c>
      <c r="AH74" s="5" t="n">
        <v>0.135208333333333</v>
      </c>
      <c r="AI74" s="5" t="n">
        <v>0</v>
      </c>
      <c r="AJ74" s="5" t="n">
        <v>0</v>
      </c>
      <c r="AK74" s="5" t="n">
        <v>0</v>
      </c>
      <c r="AL74" s="5" t="n">
        <v>0</v>
      </c>
      <c r="AM74" s="4" t="s">
        <v>78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3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M74" s="6" t="n">
        <f aca="false">IFERROR(VALUE(F74),"")</f>
        <v>301.52</v>
      </c>
      <c r="BN74" s="6" t="n">
        <f aca="false">IF(R74="-","",IFERROR(VALUE(LEFT(Q74,LEN(Q74)-2)),""))</f>
        <v>95.91</v>
      </c>
      <c r="BO74" s="6" t="n">
        <f aca="false">IF(R74="-","",IFERROR(VALUE(LEFT(R74,LEN(R74)-5)),""))</f>
        <v>3.14</v>
      </c>
      <c r="BP74" s="6" t="n">
        <f aca="false">IF(R74="-","",IFERROR(VALUE(F74),""))</f>
        <v>301.52</v>
      </c>
      <c r="BQ74" s="4" t="n">
        <f aca="false">IF(R74="-",1,0)</f>
        <v>0</v>
      </c>
    </row>
    <row r="75" customFormat="false" ht="15" hidden="false" customHeight="false" outlineLevel="0" collapsed="false">
      <c r="A75" s="0" t="s">
        <v>342</v>
      </c>
      <c r="B75" s="0" t="s">
        <v>343</v>
      </c>
      <c r="C75" s="0" t="s">
        <v>70</v>
      </c>
      <c r="E75" s="3" t="n">
        <v>46275</v>
      </c>
      <c r="F75" s="4" t="s">
        <v>354</v>
      </c>
      <c r="G75" s="5" t="n">
        <v>0.44505787037037</v>
      </c>
      <c r="H75" s="5" t="n">
        <v>0</v>
      </c>
      <c r="I75" s="5" t="n">
        <v>1.15740740740741E-005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5" t="n">
        <v>0</v>
      </c>
      <c r="P75" s="5" t="n">
        <v>0</v>
      </c>
      <c r="Q75" s="4" t="s">
        <v>355</v>
      </c>
      <c r="R75" s="4" t="s">
        <v>356</v>
      </c>
      <c r="S75" s="5" t="n">
        <v>0.000115740740740741</v>
      </c>
      <c r="T75" s="5" t="n">
        <v>0.228587962962963</v>
      </c>
      <c r="U75" s="5" t="n">
        <v>0.198726851851852</v>
      </c>
      <c r="V75" s="5" t="n">
        <v>0.00821759259259259</v>
      </c>
      <c r="W75" s="5" t="n">
        <v>0</v>
      </c>
      <c r="X75" s="5" t="n">
        <v>0</v>
      </c>
      <c r="Y75" s="5" t="n">
        <v>0</v>
      </c>
      <c r="Z75" s="0" t="n">
        <v>0</v>
      </c>
      <c r="AA75" s="0" t="n">
        <v>0</v>
      </c>
      <c r="AB75" s="0" t="n">
        <v>0</v>
      </c>
      <c r="AC75" s="4" t="s">
        <v>347</v>
      </c>
      <c r="AD75" s="4" t="s">
        <v>347</v>
      </c>
      <c r="AE75" s="4" t="s">
        <v>353</v>
      </c>
      <c r="AF75" s="4" t="s">
        <v>357</v>
      </c>
      <c r="AG75" s="5" t="n">
        <v>0.364097222222222</v>
      </c>
      <c r="AH75" s="5" t="n">
        <v>0.144131944444444</v>
      </c>
      <c r="AI75" s="5" t="n">
        <v>0</v>
      </c>
      <c r="AJ75" s="5" t="n">
        <v>0</v>
      </c>
      <c r="AK75" s="5" t="n">
        <v>0</v>
      </c>
      <c r="AL75" s="5" t="n">
        <v>0</v>
      </c>
      <c r="AM75" s="4" t="s">
        <v>78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M75" s="6" t="n">
        <f aca="false">IFERROR(VALUE(F75),"")</f>
        <v>302.01</v>
      </c>
      <c r="BN75" s="6" t="n">
        <f aca="false">IF(R75="-","",IFERROR(VALUE(LEFT(Q75,LEN(Q75)-2)),""))</f>
        <v>94.77</v>
      </c>
      <c r="BO75" s="6" t="n">
        <f aca="false">IF(R75="-","",IFERROR(VALUE(LEFT(R75,LEN(R75)-5)),""))</f>
        <v>3.19</v>
      </c>
      <c r="BP75" s="6" t="n">
        <f aca="false">IF(R75="-","",IFERROR(VALUE(F75),""))</f>
        <v>302.01</v>
      </c>
      <c r="BQ75" s="4" t="n">
        <f aca="false">IF(R75="-",1,0)</f>
        <v>0</v>
      </c>
    </row>
    <row r="76" customFormat="false" ht="15" hidden="false" customHeight="false" outlineLevel="0" collapsed="false">
      <c r="A76" s="0" t="s">
        <v>342</v>
      </c>
      <c r="B76" s="0" t="s">
        <v>343</v>
      </c>
      <c r="C76" s="0" t="s">
        <v>70</v>
      </c>
      <c r="D76" s="0" t="s">
        <v>358</v>
      </c>
      <c r="E76" s="3" t="n">
        <v>46276</v>
      </c>
      <c r="F76" s="4" t="s">
        <v>359</v>
      </c>
      <c r="G76" s="5" t="n">
        <v>0.443912037037037</v>
      </c>
      <c r="H76" s="5" t="n">
        <v>0.389976851851852</v>
      </c>
      <c r="I76" s="5" t="n">
        <v>6.94444444444444E-005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5" t="n">
        <v>0</v>
      </c>
      <c r="P76" s="5" t="n">
        <v>0.00869212962962963</v>
      </c>
      <c r="Q76" s="4" t="s">
        <v>360</v>
      </c>
      <c r="R76" s="4" t="s">
        <v>361</v>
      </c>
      <c r="S76" s="5" t="n">
        <v>0.000231481481481482</v>
      </c>
      <c r="T76" s="5" t="n">
        <v>0.228240740740741</v>
      </c>
      <c r="U76" s="5" t="n">
        <v>0.187847222222222</v>
      </c>
      <c r="V76" s="5" t="n">
        <v>0.0111111111111111</v>
      </c>
      <c r="W76" s="5" t="n">
        <v>0</v>
      </c>
      <c r="X76" s="5" t="n">
        <v>0</v>
      </c>
      <c r="Y76" s="5" t="n">
        <v>0</v>
      </c>
      <c r="Z76" s="0" t="n">
        <v>0</v>
      </c>
      <c r="AA76" s="0" t="n">
        <v>0</v>
      </c>
      <c r="AB76" s="0" t="n">
        <v>0</v>
      </c>
      <c r="AC76" s="4" t="s">
        <v>347</v>
      </c>
      <c r="AD76" s="4" t="s">
        <v>347</v>
      </c>
      <c r="AE76" s="4" t="s">
        <v>357</v>
      </c>
      <c r="AF76" s="4" t="s">
        <v>362</v>
      </c>
      <c r="AG76" s="5" t="n">
        <v>0.37287037037037</v>
      </c>
      <c r="AH76" s="5" t="n">
        <v>0.137141203703704</v>
      </c>
      <c r="AI76" s="5" t="n">
        <v>0</v>
      </c>
      <c r="AJ76" s="5" t="n">
        <v>0</v>
      </c>
      <c r="AK76" s="5" t="n">
        <v>0</v>
      </c>
      <c r="AL76" s="5" t="n">
        <v>0</v>
      </c>
      <c r="AM76" s="4" t="s">
        <v>78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1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M76" s="6" t="n">
        <f aca="false">IFERROR(VALUE(F76),"")</f>
        <v>301.47</v>
      </c>
      <c r="BN76" s="6" t="n">
        <f aca="false">IF(R76="-","",IFERROR(VALUE(LEFT(Q76,LEN(Q76)-2)),""))</f>
        <v>96.49</v>
      </c>
      <c r="BO76" s="6" t="n">
        <f aca="false">IF(R76="-","",IFERROR(VALUE(LEFT(R76,LEN(R76)-5)),""))</f>
        <v>3.12</v>
      </c>
      <c r="BP76" s="6" t="n">
        <f aca="false">IF(R76="-","",IFERROR(VALUE(F76),""))</f>
        <v>301.47</v>
      </c>
      <c r="BQ76" s="4" t="n">
        <f aca="false">IF(R76="-",1,0)</f>
        <v>0</v>
      </c>
    </row>
    <row r="77" customFormat="false" ht="15" hidden="false" customHeight="false" outlineLevel="0" collapsed="false">
      <c r="A77" s="0" t="s">
        <v>342</v>
      </c>
      <c r="B77" s="0" t="s">
        <v>343</v>
      </c>
      <c r="C77" s="0" t="s">
        <v>70</v>
      </c>
      <c r="D77" s="0" t="s">
        <v>358</v>
      </c>
      <c r="E77" s="3" t="n">
        <v>46277</v>
      </c>
      <c r="F77" s="4" t="s">
        <v>363</v>
      </c>
      <c r="G77" s="5" t="n">
        <v>0.428472222222222</v>
      </c>
      <c r="H77" s="5" t="n">
        <v>0.414618055555556</v>
      </c>
      <c r="I77" s="5" t="n">
        <v>9.25925925925926E-005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5" t="n">
        <v>0</v>
      </c>
      <c r="P77" s="5" t="n">
        <v>0.00725694444444444</v>
      </c>
      <c r="Q77" s="4" t="s">
        <v>364</v>
      </c>
      <c r="R77" s="4" t="s">
        <v>365</v>
      </c>
      <c r="S77" s="5" t="n">
        <v>0.000347222222222222</v>
      </c>
      <c r="T77" s="5" t="n">
        <v>0.215393518518519</v>
      </c>
      <c r="U77" s="5" t="n">
        <v>0.184490740740741</v>
      </c>
      <c r="V77" s="5" t="n">
        <v>0.0130787037037037</v>
      </c>
      <c r="W77" s="5" t="n">
        <v>0</v>
      </c>
      <c r="X77" s="5" t="n">
        <v>0</v>
      </c>
      <c r="Y77" s="5" t="n">
        <v>0</v>
      </c>
      <c r="Z77" s="0" t="n">
        <v>0</v>
      </c>
      <c r="AA77" s="0" t="n">
        <v>0</v>
      </c>
      <c r="AB77" s="0" t="n">
        <v>0</v>
      </c>
      <c r="AC77" s="4" t="s">
        <v>347</v>
      </c>
      <c r="AD77" s="4" t="s">
        <v>347</v>
      </c>
      <c r="AE77" s="4" t="s">
        <v>362</v>
      </c>
      <c r="AF77" s="4" t="s">
        <v>366</v>
      </c>
      <c r="AG77" s="5" t="n">
        <v>0.354976851851852</v>
      </c>
      <c r="AH77" s="5" t="n">
        <v>0.111087962962963</v>
      </c>
      <c r="AI77" s="5" t="n">
        <v>0</v>
      </c>
      <c r="AJ77" s="5" t="n">
        <v>0</v>
      </c>
      <c r="AK77" s="5" t="n">
        <v>0</v>
      </c>
      <c r="AL77" s="5" t="n">
        <v>0</v>
      </c>
      <c r="AM77" s="4" t="s">
        <v>78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2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M77" s="6" t="n">
        <f aca="false">IFERROR(VALUE(F77),"")</f>
        <v>301.99</v>
      </c>
      <c r="BN77" s="6" t="n">
        <f aca="false">IF(R77="-","",IFERROR(VALUE(LEFT(Q77,LEN(Q77)-2)),""))</f>
        <v>94.45</v>
      </c>
      <c r="BO77" s="6" t="n">
        <f aca="false">IF(R77="-","",IFERROR(VALUE(LEFT(R77,LEN(R77)-5)),""))</f>
        <v>3.2</v>
      </c>
      <c r="BP77" s="6" t="n">
        <f aca="false">IF(R77="-","",IFERROR(VALUE(F77),""))</f>
        <v>301.99</v>
      </c>
      <c r="BQ77" s="4" t="n">
        <f aca="false">IF(R77="-",1,0)</f>
        <v>0</v>
      </c>
    </row>
    <row r="78" customFormat="false" ht="15" hidden="false" customHeight="false" outlineLevel="0" collapsed="false">
      <c r="A78" s="0" t="s">
        <v>342</v>
      </c>
      <c r="B78" s="0" t="s">
        <v>343</v>
      </c>
      <c r="C78" s="0" t="s">
        <v>70</v>
      </c>
      <c r="E78" s="3" t="n">
        <v>46278</v>
      </c>
      <c r="F78" s="4" t="s">
        <v>367</v>
      </c>
      <c r="G78" s="5" t="n">
        <v>0.420474537037037</v>
      </c>
      <c r="H78" s="5" t="n">
        <v>0</v>
      </c>
      <c r="I78" s="5" t="n">
        <v>5.78703703703704E-005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5" t="n">
        <v>0</v>
      </c>
      <c r="P78" s="5" t="n">
        <v>0</v>
      </c>
      <c r="Q78" s="4" t="s">
        <v>368</v>
      </c>
      <c r="R78" s="4" t="s">
        <v>369</v>
      </c>
      <c r="S78" s="5" t="n">
        <v>0.000694444444444445</v>
      </c>
      <c r="T78" s="5" t="n">
        <v>0.205671296296296</v>
      </c>
      <c r="U78" s="5" t="n">
        <v>0.194212962962963</v>
      </c>
      <c r="V78" s="5" t="n">
        <v>0.0134259259259259</v>
      </c>
      <c r="W78" s="5" t="n">
        <v>0</v>
      </c>
      <c r="X78" s="5" t="n">
        <v>0</v>
      </c>
      <c r="Y78" s="5" t="n">
        <v>0</v>
      </c>
      <c r="Z78" s="0" t="n">
        <v>0</v>
      </c>
      <c r="AA78" s="0" t="n">
        <v>0</v>
      </c>
      <c r="AB78" s="0" t="n">
        <v>0</v>
      </c>
      <c r="AC78" s="4" t="s">
        <v>347</v>
      </c>
      <c r="AD78" s="4" t="s">
        <v>347</v>
      </c>
      <c r="AE78" s="4" t="s">
        <v>366</v>
      </c>
      <c r="AF78" s="4" t="s">
        <v>370</v>
      </c>
      <c r="AG78" s="5" t="n">
        <v>0.348668981481482</v>
      </c>
      <c r="AH78" s="5" t="n">
        <v>0.137291666666667</v>
      </c>
      <c r="AI78" s="5" t="n">
        <v>0</v>
      </c>
      <c r="AJ78" s="5" t="n">
        <v>0</v>
      </c>
      <c r="AK78" s="5" t="n">
        <v>0</v>
      </c>
      <c r="AL78" s="5" t="n">
        <v>0</v>
      </c>
      <c r="AM78" s="4" t="s">
        <v>78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M78" s="6" t="n">
        <f aca="false">IFERROR(VALUE(F78),"")</f>
        <v>299.02</v>
      </c>
      <c r="BN78" s="6" t="n">
        <f aca="false">IF(R78="-","",IFERROR(VALUE(LEFT(Q78,LEN(Q78)-2)),""))</f>
        <v>96.78</v>
      </c>
      <c r="BO78" s="6" t="n">
        <f aca="false">IF(R78="-","",IFERROR(VALUE(LEFT(R78,LEN(R78)-5)),""))</f>
        <v>3.09</v>
      </c>
      <c r="BP78" s="6" t="n">
        <f aca="false">IF(R78="-","",IFERROR(VALUE(F78),""))</f>
        <v>299.02</v>
      </c>
      <c r="BQ78" s="4" t="n">
        <f aca="false">IF(R78="-",1,0)</f>
        <v>0</v>
      </c>
    </row>
    <row r="79" customFormat="false" ht="15" hidden="false" customHeight="false" outlineLevel="0" collapsed="false">
      <c r="A79" s="0" t="s">
        <v>342</v>
      </c>
      <c r="B79" s="0" t="s">
        <v>343</v>
      </c>
      <c r="C79" s="0" t="s">
        <v>70</v>
      </c>
      <c r="E79" s="3" t="n">
        <v>46279</v>
      </c>
      <c r="F79" s="4" t="s">
        <v>371</v>
      </c>
      <c r="G79" s="5" t="n">
        <v>0.446365740740741</v>
      </c>
      <c r="H79" s="5" t="n">
        <v>0</v>
      </c>
      <c r="I79" s="5" t="n">
        <v>9.25925925925926E-005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5" t="n">
        <v>0</v>
      </c>
      <c r="P79" s="5" t="n">
        <v>0</v>
      </c>
      <c r="Q79" s="4" t="s">
        <v>372</v>
      </c>
      <c r="R79" s="4" t="s">
        <v>361</v>
      </c>
      <c r="S79" s="5" t="n">
        <v>0.000347222222222222</v>
      </c>
      <c r="T79" s="5" t="n">
        <v>0.228935185185185</v>
      </c>
      <c r="U79" s="5" t="n">
        <v>0.199652777777778</v>
      </c>
      <c r="V79" s="5" t="n">
        <v>0.00949074074074074</v>
      </c>
      <c r="W79" s="5" t="n">
        <v>0</v>
      </c>
      <c r="X79" s="5" t="n">
        <v>0</v>
      </c>
      <c r="Y79" s="5" t="n">
        <v>0</v>
      </c>
      <c r="Z79" s="0" t="n">
        <v>0</v>
      </c>
      <c r="AA79" s="0" t="n">
        <v>0</v>
      </c>
      <c r="AB79" s="0" t="n">
        <v>0</v>
      </c>
      <c r="AC79" s="4" t="s">
        <v>347</v>
      </c>
      <c r="AD79" s="4" t="s">
        <v>347</v>
      </c>
      <c r="AE79" s="4" t="s">
        <v>370</v>
      </c>
      <c r="AF79" s="4" t="s">
        <v>373</v>
      </c>
      <c r="AG79" s="5" t="n">
        <v>0.367916666666667</v>
      </c>
      <c r="AH79" s="5" t="n">
        <v>0.147615740740741</v>
      </c>
      <c r="AI79" s="5" t="n">
        <v>0</v>
      </c>
      <c r="AJ79" s="5" t="n">
        <v>0</v>
      </c>
      <c r="AK79" s="5" t="n">
        <v>0</v>
      </c>
      <c r="AL79" s="5" t="n">
        <v>0</v>
      </c>
      <c r="AM79" s="4" t="s">
        <v>78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M79" s="6" t="n">
        <f aca="false">IFERROR(VALUE(F79),"")</f>
        <v>301.3</v>
      </c>
      <c r="BN79" s="6" t="n">
        <f aca="false">IF(R79="-","",IFERROR(VALUE(LEFT(Q79,LEN(Q79)-2)),""))</f>
        <v>96.72</v>
      </c>
      <c r="BO79" s="6" t="n">
        <f aca="false">IF(R79="-","",IFERROR(VALUE(LEFT(R79,LEN(R79)-5)),""))</f>
        <v>3.12</v>
      </c>
      <c r="BP79" s="6" t="n">
        <f aca="false">IF(R79="-","",IFERROR(VALUE(F79),""))</f>
        <v>301.3</v>
      </c>
      <c r="BQ79" s="4" t="n">
        <f aca="false">IF(R79="-",1,0)</f>
        <v>0</v>
      </c>
    </row>
    <row r="80" customFormat="false" ht="15" hidden="false" customHeight="false" outlineLevel="0" collapsed="false">
      <c r="A80" s="0" t="s">
        <v>374</v>
      </c>
      <c r="B80" s="0" t="s">
        <v>375</v>
      </c>
      <c r="C80" s="0" t="s">
        <v>70</v>
      </c>
      <c r="D80" s="0" t="s">
        <v>358</v>
      </c>
      <c r="E80" s="3" t="n">
        <v>46273</v>
      </c>
      <c r="F80" s="4" t="s">
        <v>376</v>
      </c>
      <c r="G80" s="5" t="n">
        <v>0.436400462962963</v>
      </c>
      <c r="H80" s="5" t="n">
        <v>0.425243055555556</v>
      </c>
      <c r="I80" s="5" t="n">
        <v>5.78703703703704E-005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5" t="n">
        <v>0</v>
      </c>
      <c r="P80" s="5" t="n">
        <v>0</v>
      </c>
      <c r="Q80" s="4" t="s">
        <v>377</v>
      </c>
      <c r="R80" s="4" t="s">
        <v>378</v>
      </c>
      <c r="S80" s="5" t="n">
        <v>0</v>
      </c>
      <c r="T80" s="5" t="n">
        <v>0.202430555555556</v>
      </c>
      <c r="U80" s="5" t="n">
        <v>0.188194444444444</v>
      </c>
      <c r="V80" s="5" t="n">
        <v>0.0320601851851852</v>
      </c>
      <c r="W80" s="5" t="n">
        <v>0</v>
      </c>
      <c r="X80" s="5" t="n">
        <v>0</v>
      </c>
      <c r="Y80" s="5" t="n">
        <v>0</v>
      </c>
      <c r="Z80" s="0" t="n">
        <v>0</v>
      </c>
      <c r="AA80" s="0" t="n">
        <v>0</v>
      </c>
      <c r="AB80" s="0" t="n">
        <v>0</v>
      </c>
      <c r="AC80" s="4" t="s">
        <v>379</v>
      </c>
      <c r="AD80" s="4" t="s">
        <v>379</v>
      </c>
      <c r="AE80" s="4" t="s">
        <v>380</v>
      </c>
      <c r="AF80" s="4" t="s">
        <v>381</v>
      </c>
      <c r="AG80" s="5" t="n">
        <v>0.377685185185185</v>
      </c>
      <c r="AH80" s="5" t="n">
        <v>0.148958333333333</v>
      </c>
      <c r="AI80" s="5" t="n">
        <v>0</v>
      </c>
      <c r="AJ80" s="5" t="n">
        <v>0</v>
      </c>
      <c r="AK80" s="5" t="n">
        <v>0</v>
      </c>
      <c r="AL80" s="5" t="n">
        <v>0</v>
      </c>
      <c r="AM80" s="4" t="s">
        <v>78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3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M80" s="6" t="n">
        <f aca="false">IFERROR(VALUE(F80),"")</f>
        <v>317.7</v>
      </c>
      <c r="BN80" s="6" t="n">
        <f aca="false">IF(R80="-","",IFERROR(VALUE(LEFT(Q80,LEN(Q80)-2)),""))</f>
        <v>117.33</v>
      </c>
      <c r="BO80" s="6" t="n">
        <f aca="false">IF(R80="-","",IFERROR(VALUE(LEFT(R80,LEN(R80)-5)),""))</f>
        <v>2.71</v>
      </c>
      <c r="BP80" s="6" t="n">
        <f aca="false">IF(R80="-","",IFERROR(VALUE(F80),""))</f>
        <v>317.7</v>
      </c>
      <c r="BQ80" s="4" t="n">
        <f aca="false">IF(R80="-",1,0)</f>
        <v>0</v>
      </c>
    </row>
    <row r="81" customFormat="false" ht="15" hidden="false" customHeight="false" outlineLevel="0" collapsed="false">
      <c r="A81" s="0" t="s">
        <v>374</v>
      </c>
      <c r="B81" s="0" t="s">
        <v>375</v>
      </c>
      <c r="C81" s="0" t="s">
        <v>70</v>
      </c>
      <c r="D81" s="0" t="s">
        <v>382</v>
      </c>
      <c r="E81" s="3" t="n">
        <v>46274</v>
      </c>
      <c r="F81" s="4" t="s">
        <v>383</v>
      </c>
      <c r="G81" s="5" t="n">
        <v>0.438206018518519</v>
      </c>
      <c r="H81" s="5" t="n">
        <v>0.432071759259259</v>
      </c>
      <c r="I81" s="5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5" t="n">
        <v>0</v>
      </c>
      <c r="P81" s="5" t="n">
        <v>0</v>
      </c>
      <c r="Q81" s="4" t="s">
        <v>384</v>
      </c>
      <c r="R81" s="4" t="s">
        <v>385</v>
      </c>
      <c r="S81" s="5" t="n">
        <v>0</v>
      </c>
      <c r="T81" s="5" t="n">
        <v>0.185763888888889</v>
      </c>
      <c r="U81" s="5" t="n">
        <v>0.196875</v>
      </c>
      <c r="V81" s="5" t="n">
        <v>0.024537037037037</v>
      </c>
      <c r="W81" s="5" t="n">
        <v>0</v>
      </c>
      <c r="X81" s="5" t="n">
        <v>0</v>
      </c>
      <c r="Y81" s="5" t="n">
        <v>0</v>
      </c>
      <c r="Z81" s="0" t="n">
        <v>0</v>
      </c>
      <c r="AA81" s="0" t="n">
        <v>0</v>
      </c>
      <c r="AB81" s="0" t="n">
        <v>0</v>
      </c>
      <c r="AC81" s="4" t="s">
        <v>379</v>
      </c>
      <c r="AD81" s="4" t="s">
        <v>386</v>
      </c>
      <c r="AE81" s="4" t="s">
        <v>381</v>
      </c>
      <c r="AF81" s="4" t="s">
        <v>387</v>
      </c>
      <c r="AG81" s="5" t="n">
        <v>0.370740740740741</v>
      </c>
      <c r="AH81" s="5" t="n">
        <v>0.136180555555556</v>
      </c>
      <c r="AI81" s="5" t="n">
        <v>0</v>
      </c>
      <c r="AJ81" s="5" t="n">
        <v>0</v>
      </c>
      <c r="AK81" s="5" t="n">
        <v>0</v>
      </c>
      <c r="AL81" s="5" t="n">
        <v>0</v>
      </c>
      <c r="AM81" s="4" t="s">
        <v>78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5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M81" s="6" t="n">
        <f aca="false">IFERROR(VALUE(F81),"")</f>
        <v>316.37</v>
      </c>
      <c r="BN81" s="6" t="n">
        <f aca="false">IF(R81="-","",IFERROR(VALUE(LEFT(Q81,LEN(Q81)-2)),""))</f>
        <v>108.65</v>
      </c>
      <c r="BO81" s="6" t="n">
        <f aca="false">IF(R81="-","",IFERROR(VALUE(LEFT(R81,LEN(R81)-5)),""))</f>
        <v>2.91</v>
      </c>
      <c r="BP81" s="6" t="n">
        <f aca="false">IF(R81="-","",IFERROR(VALUE(F81),""))</f>
        <v>316.37</v>
      </c>
      <c r="BQ81" s="4" t="n">
        <f aca="false">IF(R81="-",1,0)</f>
        <v>0</v>
      </c>
    </row>
    <row r="82" customFormat="false" ht="15" hidden="false" customHeight="false" outlineLevel="0" collapsed="false">
      <c r="A82" s="0" t="s">
        <v>374</v>
      </c>
      <c r="B82" s="0" t="s">
        <v>375</v>
      </c>
      <c r="C82" s="0" t="s">
        <v>70</v>
      </c>
      <c r="D82" s="0" t="s">
        <v>388</v>
      </c>
      <c r="E82" s="3" t="n">
        <v>46275</v>
      </c>
      <c r="F82" s="4" t="s">
        <v>389</v>
      </c>
      <c r="G82" s="5" t="n">
        <v>0.42712962962963</v>
      </c>
      <c r="H82" s="5" t="n">
        <v>0.420300925925926</v>
      </c>
      <c r="I82" s="5" t="n">
        <v>0.000115740740740741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5" t="n">
        <v>0</v>
      </c>
      <c r="P82" s="5" t="n">
        <v>0</v>
      </c>
      <c r="Q82" s="4" t="s">
        <v>390</v>
      </c>
      <c r="R82" s="4" t="s">
        <v>391</v>
      </c>
      <c r="S82" s="5" t="n">
        <v>0.000115740740740741</v>
      </c>
      <c r="T82" s="5" t="n">
        <v>0.204282407407407</v>
      </c>
      <c r="U82" s="5" t="n">
        <v>0.193171296296296</v>
      </c>
      <c r="V82" s="5" t="n">
        <v>0.0232638888888889</v>
      </c>
      <c r="W82" s="5" t="n">
        <v>0</v>
      </c>
      <c r="X82" s="5" t="n">
        <v>0</v>
      </c>
      <c r="Y82" s="5" t="n">
        <v>0</v>
      </c>
      <c r="Z82" s="0" t="n">
        <v>0</v>
      </c>
      <c r="AA82" s="0" t="n">
        <v>0</v>
      </c>
      <c r="AB82" s="0" t="n">
        <v>0</v>
      </c>
      <c r="AC82" s="4" t="s">
        <v>386</v>
      </c>
      <c r="AD82" s="4" t="s">
        <v>386</v>
      </c>
      <c r="AE82" s="4" t="s">
        <v>387</v>
      </c>
      <c r="AF82" s="4" t="s">
        <v>392</v>
      </c>
      <c r="AG82" s="5" t="n">
        <v>0.37900462962963</v>
      </c>
      <c r="AH82" s="5" t="n">
        <v>0.114849537037037</v>
      </c>
      <c r="AI82" s="5" t="n">
        <v>0</v>
      </c>
      <c r="AJ82" s="5" t="n">
        <v>0</v>
      </c>
      <c r="AK82" s="5" t="n">
        <v>0</v>
      </c>
      <c r="AL82" s="5" t="n">
        <v>0</v>
      </c>
      <c r="AM82" s="4" t="s">
        <v>78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1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M82" s="6" t="n">
        <f aca="false">IFERROR(VALUE(F82),"")</f>
        <v>317.86</v>
      </c>
      <c r="BN82" s="6" t="n">
        <f aca="false">IF(R82="-","",IFERROR(VALUE(LEFT(Q82,LEN(Q82)-2)),""))</f>
        <v>105.71</v>
      </c>
      <c r="BO82" s="6" t="n">
        <f aca="false">IF(R82="-","",IFERROR(VALUE(LEFT(R82,LEN(R82)-5)),""))</f>
        <v>3.01</v>
      </c>
      <c r="BP82" s="6" t="n">
        <f aca="false">IF(R82="-","",IFERROR(VALUE(F82),""))</f>
        <v>317.86</v>
      </c>
      <c r="BQ82" s="4" t="n">
        <f aca="false">IF(R82="-",1,0)</f>
        <v>0</v>
      </c>
    </row>
    <row r="83" customFormat="false" ht="15" hidden="false" customHeight="false" outlineLevel="0" collapsed="false">
      <c r="A83" s="0" t="s">
        <v>374</v>
      </c>
      <c r="B83" s="0" t="s">
        <v>375</v>
      </c>
      <c r="C83" s="0" t="s">
        <v>70</v>
      </c>
      <c r="D83" s="0" t="s">
        <v>388</v>
      </c>
      <c r="E83" s="3" t="n">
        <v>46276</v>
      </c>
      <c r="F83" s="4" t="s">
        <v>393</v>
      </c>
      <c r="G83" s="5" t="n">
        <v>0.423043981481482</v>
      </c>
      <c r="H83" s="5" t="n">
        <v>0.41681712962963</v>
      </c>
      <c r="I83" s="5" t="n">
        <v>9.25925925925926E-005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5" t="n">
        <v>0</v>
      </c>
      <c r="P83" s="5" t="n">
        <v>0</v>
      </c>
      <c r="Q83" s="4" t="s">
        <v>394</v>
      </c>
      <c r="R83" s="4" t="s">
        <v>395</v>
      </c>
      <c r="S83" s="5" t="n">
        <v>0.000115740740740741</v>
      </c>
      <c r="T83" s="5" t="n">
        <v>0.197569444444444</v>
      </c>
      <c r="U83" s="5" t="n">
        <v>0.187962962962963</v>
      </c>
      <c r="V83" s="5" t="n">
        <v>0.0271990740740741</v>
      </c>
      <c r="W83" s="5" t="n">
        <v>0</v>
      </c>
      <c r="X83" s="5" t="n">
        <v>0</v>
      </c>
      <c r="Y83" s="5" t="n">
        <v>0</v>
      </c>
      <c r="Z83" s="0" t="n">
        <v>0</v>
      </c>
      <c r="AA83" s="0" t="n">
        <v>0</v>
      </c>
      <c r="AB83" s="0" t="n">
        <v>0</v>
      </c>
      <c r="AC83" s="4" t="s">
        <v>386</v>
      </c>
      <c r="AD83" s="4" t="s">
        <v>396</v>
      </c>
      <c r="AE83" s="4" t="s">
        <v>392</v>
      </c>
      <c r="AF83" s="4" t="s">
        <v>397</v>
      </c>
      <c r="AG83" s="5" t="n">
        <v>0.368009259259259</v>
      </c>
      <c r="AH83" s="5" t="n">
        <v>0.0767939814814815</v>
      </c>
      <c r="AI83" s="5" t="n">
        <v>0</v>
      </c>
      <c r="AJ83" s="5" t="n">
        <v>0</v>
      </c>
      <c r="AK83" s="5" t="n">
        <v>0</v>
      </c>
      <c r="AL83" s="5" t="n">
        <v>0</v>
      </c>
      <c r="AM83" s="4" t="s">
        <v>78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4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M83" s="6" t="n">
        <f aca="false">IFERROR(VALUE(F83),"")</f>
        <v>315.97</v>
      </c>
      <c r="BN83" s="6" t="n">
        <f aca="false">IF(R83="-","",IFERROR(VALUE(LEFT(Q83,LEN(Q83)-2)),""))</f>
        <v>107.31</v>
      </c>
      <c r="BO83" s="6" t="n">
        <f aca="false">IF(R83="-","",IFERROR(VALUE(LEFT(R83,LEN(R83)-5)),""))</f>
        <v>2.94</v>
      </c>
      <c r="BP83" s="6" t="n">
        <f aca="false">IF(R83="-","",IFERROR(VALUE(F83),""))</f>
        <v>315.97</v>
      </c>
      <c r="BQ83" s="4" t="n">
        <f aca="false">IF(R83="-",1,0)</f>
        <v>0</v>
      </c>
    </row>
    <row r="84" customFormat="false" ht="15" hidden="false" customHeight="false" outlineLevel="0" collapsed="false">
      <c r="A84" s="0" t="s">
        <v>374</v>
      </c>
      <c r="B84" s="0" t="s">
        <v>375</v>
      </c>
      <c r="C84" s="0" t="s">
        <v>70</v>
      </c>
      <c r="D84" s="0" t="s">
        <v>398</v>
      </c>
      <c r="E84" s="3" t="n">
        <v>46277</v>
      </c>
      <c r="F84" s="4" t="s">
        <v>399</v>
      </c>
      <c r="G84" s="5" t="n">
        <v>0.430844907407407</v>
      </c>
      <c r="H84" s="5" t="n">
        <v>0.423773148148148</v>
      </c>
      <c r="I84" s="5" t="n">
        <v>0.000115740740740741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5" t="n">
        <v>0</v>
      </c>
      <c r="P84" s="5" t="n">
        <v>0.00936342592592593</v>
      </c>
      <c r="Q84" s="4" t="s">
        <v>400</v>
      </c>
      <c r="R84" s="4" t="s">
        <v>401</v>
      </c>
      <c r="S84" s="5" t="n">
        <v>0</v>
      </c>
      <c r="T84" s="5" t="n">
        <v>0.208101851851852</v>
      </c>
      <c r="U84" s="5" t="n">
        <v>0.186342592592593</v>
      </c>
      <c r="V84" s="5" t="n">
        <v>0.0309027777777778</v>
      </c>
      <c r="W84" s="5" t="n">
        <v>0</v>
      </c>
      <c r="X84" s="5" t="n">
        <v>0</v>
      </c>
      <c r="Y84" s="5" t="n">
        <v>0</v>
      </c>
      <c r="Z84" s="0" t="n">
        <v>0</v>
      </c>
      <c r="AA84" s="0" t="n">
        <v>0</v>
      </c>
      <c r="AB84" s="0" t="n">
        <v>0</v>
      </c>
      <c r="AC84" s="4" t="s">
        <v>396</v>
      </c>
      <c r="AD84" s="4" t="s">
        <v>396</v>
      </c>
      <c r="AE84" s="4" t="s">
        <v>397</v>
      </c>
      <c r="AF84" s="4" t="s">
        <v>402</v>
      </c>
      <c r="AG84" s="5" t="n">
        <v>0.369618055555556</v>
      </c>
      <c r="AH84" s="5" t="n">
        <v>0.107824074074074</v>
      </c>
      <c r="AI84" s="5" t="n">
        <v>0</v>
      </c>
      <c r="AJ84" s="5" t="n">
        <v>0</v>
      </c>
      <c r="AK84" s="5" t="n">
        <v>0</v>
      </c>
      <c r="AL84" s="5" t="n">
        <v>0</v>
      </c>
      <c r="AM84" s="4" t="s">
        <v>78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1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M84" s="6" t="n">
        <f aca="false">IFERROR(VALUE(F84),"")</f>
        <v>314.48</v>
      </c>
      <c r="BN84" s="6" t="n">
        <f aca="false">IF(R84="-","",IFERROR(VALUE(LEFT(Q84,LEN(Q84)-2)),""))</f>
        <v>109.93</v>
      </c>
      <c r="BO84" s="6" t="n">
        <f aca="false">IF(R84="-","",IFERROR(VALUE(LEFT(R84,LEN(R84)-5)),""))</f>
        <v>2.86</v>
      </c>
      <c r="BP84" s="6" t="n">
        <f aca="false">IF(R84="-","",IFERROR(VALUE(F84),""))</f>
        <v>314.48</v>
      </c>
      <c r="BQ84" s="4" t="n">
        <f aca="false">IF(R84="-",1,0)</f>
        <v>0</v>
      </c>
    </row>
    <row r="85" customFormat="false" ht="15" hidden="false" customHeight="false" outlineLevel="0" collapsed="false">
      <c r="A85" s="0" t="s">
        <v>374</v>
      </c>
      <c r="B85" s="0" t="s">
        <v>375</v>
      </c>
      <c r="C85" s="0" t="s">
        <v>70</v>
      </c>
      <c r="D85" s="0" t="s">
        <v>382</v>
      </c>
      <c r="E85" s="3" t="n">
        <v>46278</v>
      </c>
      <c r="F85" s="4" t="s">
        <v>403</v>
      </c>
      <c r="G85" s="5" t="n">
        <v>0.42306712962963</v>
      </c>
      <c r="H85" s="5" t="n">
        <v>0.407997685185185</v>
      </c>
      <c r="I85" s="5" t="n">
        <v>0.000115740740740741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5" t="n">
        <v>0</v>
      </c>
      <c r="P85" s="5" t="n">
        <v>0.00756944444444445</v>
      </c>
      <c r="Q85" s="4" t="s">
        <v>404</v>
      </c>
      <c r="R85" s="4" t="s">
        <v>336</v>
      </c>
      <c r="S85" s="5" t="n">
        <v>0</v>
      </c>
      <c r="T85" s="5" t="n">
        <v>0.192708333333333</v>
      </c>
      <c r="U85" s="5" t="n">
        <v>0.190393518518519</v>
      </c>
      <c r="V85" s="5" t="n">
        <v>0.0265046296296296</v>
      </c>
      <c r="W85" s="5" t="n">
        <v>0</v>
      </c>
      <c r="X85" s="5" t="n">
        <v>0</v>
      </c>
      <c r="Y85" s="5" t="n">
        <v>0</v>
      </c>
      <c r="Z85" s="0" t="n">
        <v>0</v>
      </c>
      <c r="AA85" s="0" t="n">
        <v>0</v>
      </c>
      <c r="AB85" s="0" t="n">
        <v>0</v>
      </c>
      <c r="AC85" s="4" t="s">
        <v>396</v>
      </c>
      <c r="AD85" s="4" t="s">
        <v>379</v>
      </c>
      <c r="AE85" s="4" t="s">
        <v>402</v>
      </c>
      <c r="AF85" s="4" t="s">
        <v>405</v>
      </c>
      <c r="AG85" s="5" t="n">
        <v>0.361597222222222</v>
      </c>
      <c r="AH85" s="5" t="n">
        <v>0.187581018518519</v>
      </c>
      <c r="AI85" s="5" t="n">
        <v>0</v>
      </c>
      <c r="AJ85" s="5" t="n">
        <v>0</v>
      </c>
      <c r="AK85" s="5" t="n">
        <v>0</v>
      </c>
      <c r="AL85" s="5" t="n">
        <v>0</v>
      </c>
      <c r="AM85" s="4" t="s">
        <v>78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1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M85" s="6" t="n">
        <f aca="false">IFERROR(VALUE(F85),"")</f>
        <v>317.49</v>
      </c>
      <c r="BN85" s="6" t="n">
        <f aca="false">IF(R85="-","",IFERROR(VALUE(LEFT(Q85,LEN(Q85)-2)),""))</f>
        <v>112.18</v>
      </c>
      <c r="BO85" s="6" t="n">
        <f aca="false">IF(R85="-","",IFERROR(VALUE(LEFT(R85,LEN(R85)-5)),""))</f>
        <v>2.83</v>
      </c>
      <c r="BP85" s="6" t="n">
        <f aca="false">IF(R85="-","",IFERROR(VALUE(F85),""))</f>
        <v>317.49</v>
      </c>
      <c r="BQ85" s="4" t="n">
        <f aca="false">IF(R85="-",1,0)</f>
        <v>0</v>
      </c>
    </row>
    <row r="86" customFormat="false" ht="15" hidden="false" customHeight="false" outlineLevel="0" collapsed="false">
      <c r="A86" s="0" t="s">
        <v>374</v>
      </c>
      <c r="B86" s="0" t="s">
        <v>375</v>
      </c>
      <c r="C86" s="0" t="s">
        <v>70</v>
      </c>
      <c r="D86" s="0" t="s">
        <v>358</v>
      </c>
      <c r="E86" s="3" t="n">
        <v>46279</v>
      </c>
      <c r="F86" s="4" t="s">
        <v>406</v>
      </c>
      <c r="G86" s="5" t="n">
        <v>0.411469907407407</v>
      </c>
      <c r="H86" s="5" t="n">
        <v>0.397118055555556</v>
      </c>
      <c r="I86" s="5" t="n">
        <v>0.000104166666666667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5" t="n">
        <v>0</v>
      </c>
      <c r="P86" s="5" t="n">
        <v>0</v>
      </c>
      <c r="Q86" s="4" t="s">
        <v>407</v>
      </c>
      <c r="R86" s="4" t="s">
        <v>336</v>
      </c>
      <c r="S86" s="5" t="n">
        <v>0</v>
      </c>
      <c r="T86" s="5" t="n">
        <v>0.175925925925926</v>
      </c>
      <c r="U86" s="5" t="n">
        <v>0.192592592592593</v>
      </c>
      <c r="V86" s="5" t="n">
        <v>0.0262731481481482</v>
      </c>
      <c r="W86" s="5" t="n">
        <v>0</v>
      </c>
      <c r="X86" s="5" t="n">
        <v>0</v>
      </c>
      <c r="Y86" s="5" t="n">
        <v>0</v>
      </c>
      <c r="Z86" s="0" t="n">
        <v>0</v>
      </c>
      <c r="AA86" s="0" t="n">
        <v>0</v>
      </c>
      <c r="AB86" s="0" t="n">
        <v>0</v>
      </c>
      <c r="AC86" s="4" t="s">
        <v>379</v>
      </c>
      <c r="AD86" s="4" t="s">
        <v>379</v>
      </c>
      <c r="AE86" s="4" t="s">
        <v>405</v>
      </c>
      <c r="AF86" s="4" t="s">
        <v>408</v>
      </c>
      <c r="AG86" s="5" t="n">
        <v>0.357453703703704</v>
      </c>
      <c r="AH86" s="5" t="n">
        <v>0.138958333333333</v>
      </c>
      <c r="AI86" s="5" t="n">
        <v>0</v>
      </c>
      <c r="AJ86" s="5" t="n">
        <v>0</v>
      </c>
      <c r="AK86" s="5" t="n">
        <v>0</v>
      </c>
      <c r="AL86" s="5" t="n">
        <v>0</v>
      </c>
      <c r="AM86" s="4" t="s">
        <v>78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M86" s="6" t="n">
        <f aca="false">IFERROR(VALUE(F86),"")</f>
        <v>316.26</v>
      </c>
      <c r="BN86" s="6" t="n">
        <f aca="false">IF(R86="-","",IFERROR(VALUE(LEFT(Q86,LEN(Q86)-2)),""))</f>
        <v>111.85</v>
      </c>
      <c r="BO86" s="6" t="n">
        <f aca="false">IF(R86="-","",IFERROR(VALUE(LEFT(R86,LEN(R86)-5)),""))</f>
        <v>2.83</v>
      </c>
      <c r="BP86" s="6" t="n">
        <f aca="false">IF(R86="-","",IFERROR(VALUE(F86),""))</f>
        <v>316.26</v>
      </c>
      <c r="BQ86" s="4" t="n">
        <f aca="false">IF(R86="-",1,0)</f>
        <v>0</v>
      </c>
    </row>
    <row r="87" customFormat="false" ht="15" hidden="false" customHeight="false" outlineLevel="0" collapsed="false">
      <c r="A87" s="0" t="s">
        <v>409</v>
      </c>
      <c r="B87" s="0" t="s">
        <v>410</v>
      </c>
      <c r="C87" s="0" t="s">
        <v>70</v>
      </c>
      <c r="D87" s="0" t="s">
        <v>411</v>
      </c>
      <c r="E87" s="3" t="n">
        <v>46273</v>
      </c>
      <c r="F87" s="4" t="s">
        <v>412</v>
      </c>
      <c r="G87" s="5" t="n">
        <v>0.157048611111111</v>
      </c>
      <c r="H87" s="5" t="n">
        <v>0.0857175925925926</v>
      </c>
      <c r="I87" s="5" t="n">
        <v>0.000451388888888889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5" t="n">
        <v>0</v>
      </c>
      <c r="P87" s="5" t="n">
        <v>0.0290046296296296</v>
      </c>
      <c r="Q87" s="4" t="s">
        <v>413</v>
      </c>
      <c r="R87" s="4" t="s">
        <v>414</v>
      </c>
      <c r="S87" s="5" t="n">
        <v>0</v>
      </c>
      <c r="T87" s="5" t="n">
        <v>0.0811342592592593</v>
      </c>
      <c r="U87" s="5" t="n">
        <v>0.0636574074074074</v>
      </c>
      <c r="V87" s="5" t="n">
        <v>0.00740740740740741</v>
      </c>
      <c r="W87" s="5" t="n">
        <v>0</v>
      </c>
      <c r="X87" s="5" t="n">
        <v>0</v>
      </c>
      <c r="Y87" s="5" t="n">
        <v>0</v>
      </c>
      <c r="Z87" s="0" t="n">
        <v>0</v>
      </c>
      <c r="AA87" s="0" t="n">
        <v>0</v>
      </c>
      <c r="AB87" s="0" t="n">
        <v>0</v>
      </c>
      <c r="AC87" s="4" t="s">
        <v>75</v>
      </c>
      <c r="AD87" s="4" t="s">
        <v>74</v>
      </c>
      <c r="AE87" s="4" t="s">
        <v>415</v>
      </c>
      <c r="AF87" s="4" t="s">
        <v>416</v>
      </c>
      <c r="AG87" s="5" t="n">
        <v>0.0839236111111111</v>
      </c>
      <c r="AH87" s="5" t="n">
        <v>0.14587962962963</v>
      </c>
      <c r="AI87" s="5" t="n">
        <v>0</v>
      </c>
      <c r="AJ87" s="5" t="n">
        <v>0</v>
      </c>
      <c r="AK87" s="5" t="n">
        <v>0</v>
      </c>
      <c r="AL87" s="5" t="n">
        <v>0</v>
      </c>
      <c r="AM87" s="4" t="s">
        <v>78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M87" s="6" t="n">
        <f aca="false">IFERROR(VALUE(F87),"")</f>
        <v>70.59</v>
      </c>
      <c r="BN87" s="6" t="n">
        <f aca="false">IF(R87="-","",IFERROR(VALUE(LEFT(Q87,LEN(Q87)-2)),""))</f>
        <v>30.09</v>
      </c>
      <c r="BO87" s="6" t="n">
        <f aca="false">IF(R87="-","",IFERROR(VALUE(LEFT(R87,LEN(R87)-5)),""))</f>
        <v>2.35</v>
      </c>
      <c r="BP87" s="6" t="n">
        <f aca="false">IF(R87="-","",IFERROR(VALUE(F87),""))</f>
        <v>70.59</v>
      </c>
      <c r="BQ87" s="4" t="n">
        <f aca="false">IF(R87="-",1,0)</f>
        <v>0</v>
      </c>
    </row>
    <row r="88" customFormat="false" ht="15" hidden="false" customHeight="false" outlineLevel="0" collapsed="false">
      <c r="A88" s="0" t="s">
        <v>409</v>
      </c>
      <c r="B88" s="0" t="s">
        <v>410</v>
      </c>
      <c r="C88" s="0" t="s">
        <v>70</v>
      </c>
      <c r="D88" s="0" t="s">
        <v>417</v>
      </c>
      <c r="E88" s="3" t="n">
        <v>46274</v>
      </c>
      <c r="F88" s="4" t="s">
        <v>418</v>
      </c>
      <c r="G88" s="5" t="n">
        <v>0.51</v>
      </c>
      <c r="H88" s="5" t="n">
        <v>0.32875</v>
      </c>
      <c r="I88" s="5" t="n">
        <v>0.000381944444444445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5" t="n">
        <v>0</v>
      </c>
      <c r="P88" s="5" t="n">
        <v>0.00721064814814815</v>
      </c>
      <c r="Q88" s="4" t="s">
        <v>419</v>
      </c>
      <c r="R88" s="4" t="s">
        <v>420</v>
      </c>
      <c r="S88" s="5" t="n">
        <v>0.000578703703703704</v>
      </c>
      <c r="T88" s="5" t="n">
        <v>0.175231481481482</v>
      </c>
      <c r="U88" s="5" t="n">
        <v>0.253703703703704</v>
      </c>
      <c r="V88" s="5" t="n">
        <v>0.0418981481481482</v>
      </c>
      <c r="W88" s="5" t="n">
        <v>0</v>
      </c>
      <c r="X88" s="5" t="n">
        <v>0</v>
      </c>
      <c r="Y88" s="5" t="n">
        <v>0</v>
      </c>
      <c r="Z88" s="0" t="n">
        <v>0</v>
      </c>
      <c r="AA88" s="0" t="n">
        <v>0</v>
      </c>
      <c r="AB88" s="0" t="n">
        <v>0</v>
      </c>
      <c r="AC88" s="4" t="s">
        <v>75</v>
      </c>
      <c r="AD88" s="4" t="s">
        <v>421</v>
      </c>
      <c r="AE88" s="4" t="s">
        <v>416</v>
      </c>
      <c r="AF88" s="4" t="s">
        <v>422</v>
      </c>
      <c r="AG88" s="5" t="n">
        <v>0.420798611111111</v>
      </c>
      <c r="AH88" s="5" t="n">
        <v>0.251689814814815</v>
      </c>
      <c r="AI88" s="5" t="n">
        <v>0</v>
      </c>
      <c r="AJ88" s="5" t="n">
        <v>0</v>
      </c>
      <c r="AK88" s="5" t="n">
        <v>0</v>
      </c>
      <c r="AL88" s="5" t="n">
        <v>0</v>
      </c>
      <c r="AM88" s="4" t="s">
        <v>78</v>
      </c>
      <c r="AN88" s="0" t="n">
        <v>0</v>
      </c>
      <c r="AO88" s="0" t="n">
        <v>1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1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M88" s="6" t="n">
        <f aca="false">IFERROR(VALUE(F88),"")</f>
        <v>447.7</v>
      </c>
      <c r="BN88" s="6" t="n">
        <f aca="false">IF(R88="-","",IFERROR(VALUE(LEFT(Q88,LEN(Q88)-2)),""))</f>
        <v>137.18</v>
      </c>
      <c r="BO88" s="6" t="n">
        <f aca="false">IF(R88="-","",IFERROR(VALUE(LEFT(R88,LEN(R88)-5)),""))</f>
        <v>3.26</v>
      </c>
      <c r="BP88" s="6" t="n">
        <f aca="false">IF(R88="-","",IFERROR(VALUE(F88),""))</f>
        <v>447.7</v>
      </c>
      <c r="BQ88" s="4" t="n">
        <f aca="false">IF(R88="-",1,0)</f>
        <v>0</v>
      </c>
    </row>
    <row r="89" customFormat="false" ht="15" hidden="false" customHeight="false" outlineLevel="0" collapsed="false">
      <c r="A89" s="0" t="s">
        <v>409</v>
      </c>
      <c r="B89" s="0" t="s">
        <v>410</v>
      </c>
      <c r="C89" s="0" t="s">
        <v>70</v>
      </c>
      <c r="D89" s="0" t="s">
        <v>423</v>
      </c>
      <c r="E89" s="3" t="n">
        <v>46275</v>
      </c>
      <c r="F89" s="4" t="s">
        <v>424</v>
      </c>
      <c r="G89" s="5" t="n">
        <v>0.453194444444445</v>
      </c>
      <c r="H89" s="5" t="n">
        <v>0.444305555555556</v>
      </c>
      <c r="I89" s="5" t="n">
        <v>4.62962962962963E-005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5" t="n">
        <v>0</v>
      </c>
      <c r="P89" s="5" t="n">
        <v>0</v>
      </c>
      <c r="Q89" s="4" t="s">
        <v>425</v>
      </c>
      <c r="R89" s="4" t="s">
        <v>426</v>
      </c>
      <c r="S89" s="5" t="n">
        <v>0</v>
      </c>
      <c r="T89" s="5" t="n">
        <v>0.175694444444444</v>
      </c>
      <c r="U89" s="5" t="n">
        <v>0.231597222222222</v>
      </c>
      <c r="V89" s="5" t="n">
        <v>0.0207175925925926</v>
      </c>
      <c r="W89" s="5" t="n">
        <v>0</v>
      </c>
      <c r="X89" s="5" t="n">
        <v>0</v>
      </c>
      <c r="Y89" s="5" t="n">
        <v>0</v>
      </c>
      <c r="Z89" s="0" t="n">
        <v>0</v>
      </c>
      <c r="AA89" s="0" t="n">
        <v>0</v>
      </c>
      <c r="AB89" s="0" t="n">
        <v>0</v>
      </c>
      <c r="AC89" s="4" t="s">
        <v>421</v>
      </c>
      <c r="AD89" s="4" t="s">
        <v>74</v>
      </c>
      <c r="AE89" s="4" t="s">
        <v>422</v>
      </c>
      <c r="AF89" s="4" t="s">
        <v>427</v>
      </c>
      <c r="AG89" s="5" t="n">
        <v>0.377407407407407</v>
      </c>
      <c r="AH89" s="5" t="n">
        <v>0.158645833333333</v>
      </c>
      <c r="AI89" s="5" t="n">
        <v>0</v>
      </c>
      <c r="AJ89" s="5" t="n">
        <v>0</v>
      </c>
      <c r="AK89" s="5" t="n">
        <v>0</v>
      </c>
      <c r="AL89" s="5" t="n">
        <v>0</v>
      </c>
      <c r="AM89" s="4" t="s">
        <v>78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2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1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M89" s="6" t="n">
        <f aca="false">IFERROR(VALUE(F89),"")</f>
        <v>306.02</v>
      </c>
      <c r="BN89" s="6" t="n">
        <f aca="false">IF(R89="-","",IFERROR(VALUE(LEFT(Q89,LEN(Q89)-2)),""))</f>
        <v>108.98</v>
      </c>
      <c r="BO89" s="6" t="n">
        <f aca="false">IF(R89="-","",IFERROR(VALUE(LEFT(R89,LEN(R89)-5)),""))</f>
        <v>2.81</v>
      </c>
      <c r="BP89" s="6" t="n">
        <f aca="false">IF(R89="-","",IFERROR(VALUE(F89),""))</f>
        <v>306.02</v>
      </c>
      <c r="BQ89" s="4" t="n">
        <f aca="false">IF(R89="-",1,0)</f>
        <v>0</v>
      </c>
    </row>
    <row r="90" customFormat="false" ht="15" hidden="false" customHeight="false" outlineLevel="0" collapsed="false">
      <c r="A90" s="0" t="s">
        <v>409</v>
      </c>
      <c r="B90" s="0" t="s">
        <v>410</v>
      </c>
      <c r="C90" s="0" t="s">
        <v>70</v>
      </c>
      <c r="D90" s="0" t="s">
        <v>428</v>
      </c>
      <c r="E90" s="3" t="n">
        <v>46276</v>
      </c>
      <c r="F90" s="4" t="s">
        <v>429</v>
      </c>
      <c r="G90" s="5" t="n">
        <v>0.573541666666667</v>
      </c>
      <c r="H90" s="5" t="n">
        <v>0.49744212962963</v>
      </c>
      <c r="I90" s="5" t="n">
        <v>0.00563657407407407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5" t="n">
        <v>0</v>
      </c>
      <c r="P90" s="5" t="n">
        <v>0.00840277777777778</v>
      </c>
      <c r="Q90" s="4" t="s">
        <v>430</v>
      </c>
      <c r="R90" s="4" t="s">
        <v>431</v>
      </c>
      <c r="S90" s="5" t="n">
        <v>0.000347222222222222</v>
      </c>
      <c r="T90" s="5" t="n">
        <v>0.178009259259259</v>
      </c>
      <c r="U90" s="5" t="n">
        <v>0.26099537037037</v>
      </c>
      <c r="V90" s="5" t="n">
        <v>0.11400462962963</v>
      </c>
      <c r="W90" s="5" t="n">
        <v>0</v>
      </c>
      <c r="X90" s="5" t="n">
        <v>0</v>
      </c>
      <c r="Y90" s="5" t="n">
        <v>0</v>
      </c>
      <c r="Z90" s="0" t="n">
        <v>0</v>
      </c>
      <c r="AA90" s="0" t="n">
        <v>0</v>
      </c>
      <c r="AB90" s="0" t="n">
        <v>0</v>
      </c>
      <c r="AC90" s="4" t="s">
        <v>228</v>
      </c>
      <c r="AD90" s="4" t="s">
        <v>432</v>
      </c>
      <c r="AE90" s="4" t="s">
        <v>427</v>
      </c>
      <c r="AF90" s="4" t="s">
        <v>433</v>
      </c>
      <c r="AG90" s="5" t="n">
        <v>0.488993055555556</v>
      </c>
      <c r="AH90" s="5" t="n">
        <v>0.193587962962963</v>
      </c>
      <c r="AI90" s="5" t="n">
        <v>0</v>
      </c>
      <c r="AJ90" s="5" t="n">
        <v>0</v>
      </c>
      <c r="AK90" s="5" t="n">
        <v>0</v>
      </c>
      <c r="AL90" s="5" t="n">
        <v>0</v>
      </c>
      <c r="AM90" s="4" t="s">
        <v>78</v>
      </c>
      <c r="AN90" s="0" t="n">
        <v>0</v>
      </c>
      <c r="AO90" s="0" t="n">
        <v>9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6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M90" s="6" t="n">
        <f aca="false">IFERROR(VALUE(F90),"")</f>
        <v>629.86</v>
      </c>
      <c r="BN90" s="6" t="n">
        <f aca="false">IF(R90="-","",IFERROR(VALUE(LEFT(Q90,LEN(Q90)-2)),""))</f>
        <v>188.77</v>
      </c>
      <c r="BO90" s="6" t="n">
        <f aca="false">IF(R90="-","",IFERROR(VALUE(LEFT(R90,LEN(R90)-5)),""))</f>
        <v>3.34</v>
      </c>
      <c r="BP90" s="6" t="n">
        <f aca="false">IF(R90="-","",IFERROR(VALUE(F90),""))</f>
        <v>629.86</v>
      </c>
      <c r="BQ90" s="4" t="n">
        <f aca="false">IF(R90="-",1,0)</f>
        <v>0</v>
      </c>
    </row>
    <row r="91" customFormat="false" ht="15" hidden="false" customHeight="false" outlineLevel="0" collapsed="false">
      <c r="A91" s="0" t="s">
        <v>409</v>
      </c>
      <c r="B91" s="0" t="s">
        <v>410</v>
      </c>
      <c r="C91" s="0" t="s">
        <v>70</v>
      </c>
      <c r="D91" s="0" t="s">
        <v>434</v>
      </c>
      <c r="E91" s="3" t="n">
        <v>46277</v>
      </c>
      <c r="F91" s="4" t="s">
        <v>435</v>
      </c>
      <c r="G91" s="5" t="n">
        <v>0.4103125</v>
      </c>
      <c r="H91" s="5" t="n">
        <v>0.365162037037037</v>
      </c>
      <c r="I91" s="5" t="n">
        <v>0.00752314814814815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5" t="n">
        <v>0</v>
      </c>
      <c r="P91" s="5" t="n">
        <v>0</v>
      </c>
      <c r="Q91" s="4" t="s">
        <v>436</v>
      </c>
      <c r="R91" s="4" t="s">
        <v>437</v>
      </c>
      <c r="S91" s="5" t="n">
        <v>0.000231481481481482</v>
      </c>
      <c r="T91" s="5" t="n">
        <v>0.120717592592593</v>
      </c>
      <c r="U91" s="5" t="n">
        <v>0.162615740740741</v>
      </c>
      <c r="V91" s="5" t="n">
        <v>0.0891203703703704</v>
      </c>
      <c r="W91" s="5" t="n">
        <v>0</v>
      </c>
      <c r="X91" s="5" t="n">
        <v>0</v>
      </c>
      <c r="Y91" s="5" t="n">
        <v>0</v>
      </c>
      <c r="Z91" s="0" t="n">
        <v>0</v>
      </c>
      <c r="AA91" s="0" t="n">
        <v>0</v>
      </c>
      <c r="AB91" s="0" t="n">
        <v>0</v>
      </c>
      <c r="AC91" s="4" t="s">
        <v>432</v>
      </c>
      <c r="AD91" s="4" t="s">
        <v>421</v>
      </c>
      <c r="AE91" s="4" t="s">
        <v>438</v>
      </c>
      <c r="AF91" s="4" t="s">
        <v>439</v>
      </c>
      <c r="AG91" s="5" t="n">
        <v>0.319224537037037</v>
      </c>
      <c r="AH91" s="5" t="n">
        <v>0.198865740740741</v>
      </c>
      <c r="AI91" s="5" t="n">
        <v>0</v>
      </c>
      <c r="AJ91" s="5" t="n">
        <v>0</v>
      </c>
      <c r="AK91" s="5" t="n">
        <v>0</v>
      </c>
      <c r="AL91" s="5" t="n">
        <v>0</v>
      </c>
      <c r="AM91" s="4" t="s">
        <v>78</v>
      </c>
      <c r="AN91" s="0" t="n">
        <v>0</v>
      </c>
      <c r="AO91" s="0" t="n">
        <v>7</v>
      </c>
      <c r="AP91" s="0" t="n">
        <v>0</v>
      </c>
      <c r="AQ91" s="0" t="n">
        <v>0</v>
      </c>
      <c r="AR91" s="0" t="n">
        <v>1</v>
      </c>
      <c r="AS91" s="0" t="n">
        <v>0</v>
      </c>
      <c r="AT91" s="0" t="n">
        <v>0</v>
      </c>
      <c r="AU91" s="0" t="n">
        <v>5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M91" s="6" t="n">
        <f aca="false">IFERROR(VALUE(F91),"")</f>
        <v>399.09</v>
      </c>
      <c r="BN91" s="6" t="n">
        <f aca="false">IF(R91="-","",IFERROR(VALUE(LEFT(Q91,LEN(Q91)-2)),""))</f>
        <v>135.15</v>
      </c>
      <c r="BO91" s="6" t="n">
        <f aca="false">IF(R91="-","",IFERROR(VALUE(LEFT(R91,LEN(R91)-5)),""))</f>
        <v>2.95</v>
      </c>
      <c r="BP91" s="6" t="n">
        <f aca="false">IF(R91="-","",IFERROR(VALUE(F91),""))</f>
        <v>399.09</v>
      </c>
      <c r="BQ91" s="4" t="n">
        <f aca="false">IF(R91="-",1,0)</f>
        <v>0</v>
      </c>
    </row>
    <row r="92" customFormat="false" ht="15" hidden="false" customHeight="false" outlineLevel="0" collapsed="false">
      <c r="A92" s="0" t="s">
        <v>409</v>
      </c>
      <c r="B92" s="0" t="s">
        <v>410</v>
      </c>
      <c r="C92" s="0" t="s">
        <v>70</v>
      </c>
      <c r="D92" s="0" t="s">
        <v>440</v>
      </c>
      <c r="E92" s="3" t="n">
        <v>46278</v>
      </c>
      <c r="F92" s="4" t="s">
        <v>441</v>
      </c>
      <c r="G92" s="5" t="n">
        <v>0.596354166666667</v>
      </c>
      <c r="H92" s="5" t="n">
        <v>0.579236111111111</v>
      </c>
      <c r="I92" s="5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5" t="n">
        <v>0</v>
      </c>
      <c r="P92" s="5" t="n">
        <v>0.0158796296296296</v>
      </c>
      <c r="Q92" s="4" t="s">
        <v>442</v>
      </c>
      <c r="R92" s="4" t="s">
        <v>443</v>
      </c>
      <c r="S92" s="5" t="n">
        <v>0.000115740740740741</v>
      </c>
      <c r="T92" s="5" t="n">
        <v>0.265856481481482</v>
      </c>
      <c r="U92" s="5" t="n">
        <v>0.287268518518519</v>
      </c>
      <c r="V92" s="5" t="n">
        <v>0.019212962962963</v>
      </c>
      <c r="W92" s="5" t="n">
        <v>0</v>
      </c>
      <c r="X92" s="5" t="n">
        <v>0</v>
      </c>
      <c r="Y92" s="5" t="n">
        <v>0</v>
      </c>
      <c r="Z92" s="0" t="n">
        <v>0</v>
      </c>
      <c r="AA92" s="0" t="n">
        <v>0</v>
      </c>
      <c r="AB92" s="0" t="n">
        <v>0</v>
      </c>
      <c r="AC92" s="4" t="s">
        <v>421</v>
      </c>
      <c r="AD92" s="4" t="s">
        <v>421</v>
      </c>
      <c r="AE92" s="4" t="s">
        <v>439</v>
      </c>
      <c r="AF92" s="4" t="s">
        <v>444</v>
      </c>
      <c r="AG92" s="5" t="n">
        <v>0.493715277777778</v>
      </c>
      <c r="AH92" s="5" t="n">
        <v>0.198831018518519</v>
      </c>
      <c r="AI92" s="5" t="n">
        <v>0</v>
      </c>
      <c r="AJ92" s="5" t="n">
        <v>0</v>
      </c>
      <c r="AK92" s="5" t="n">
        <v>0</v>
      </c>
      <c r="AL92" s="5" t="n">
        <v>0</v>
      </c>
      <c r="AM92" s="4" t="s">
        <v>78</v>
      </c>
      <c r="AN92" s="0" t="n">
        <v>0</v>
      </c>
      <c r="AO92" s="0" t="n">
        <v>1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1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M92" s="6" t="n">
        <f aca="false">IFERROR(VALUE(F92),"")</f>
        <v>413.26</v>
      </c>
      <c r="BN92" s="6" t="n">
        <f aca="false">IF(R92="-","",IFERROR(VALUE(LEFT(Q92,LEN(Q92)-2)),""))</f>
        <v>150.1</v>
      </c>
      <c r="BO92" s="6" t="n">
        <f aca="false">IF(R92="-","",IFERROR(VALUE(LEFT(R92,LEN(R92)-5)),""))</f>
        <v>2.75</v>
      </c>
      <c r="BP92" s="6" t="n">
        <f aca="false">IF(R92="-","",IFERROR(VALUE(F92),""))</f>
        <v>413.26</v>
      </c>
      <c r="BQ92" s="4" t="n">
        <f aca="false">IF(R92="-",1,0)</f>
        <v>0</v>
      </c>
    </row>
    <row r="93" customFormat="false" ht="15" hidden="false" customHeight="false" outlineLevel="0" collapsed="false">
      <c r="A93" s="0" t="s">
        <v>409</v>
      </c>
      <c r="B93" s="0" t="s">
        <v>410</v>
      </c>
      <c r="C93" s="0" t="s">
        <v>70</v>
      </c>
      <c r="D93" s="0" t="s">
        <v>445</v>
      </c>
      <c r="E93" s="3" t="n">
        <v>46279</v>
      </c>
      <c r="F93" s="4" t="s">
        <v>446</v>
      </c>
      <c r="G93" s="5" t="n">
        <v>0.401238425925926</v>
      </c>
      <c r="H93" s="5" t="n">
        <v>0.3559375</v>
      </c>
      <c r="I93" s="5" t="n">
        <v>0.000509259259259259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5" t="n">
        <v>0</v>
      </c>
      <c r="P93" s="5" t="n">
        <v>0.0348263888888889</v>
      </c>
      <c r="Q93" s="4" t="s">
        <v>447</v>
      </c>
      <c r="R93" s="4" t="s">
        <v>448</v>
      </c>
      <c r="S93" s="5" t="n">
        <v>0.000231481481481482</v>
      </c>
      <c r="T93" s="5" t="n">
        <v>0.184259259259259</v>
      </c>
      <c r="U93" s="5" t="n">
        <v>0.171875</v>
      </c>
      <c r="V93" s="5" t="n">
        <v>0.0259259259259259</v>
      </c>
      <c r="W93" s="5" t="n">
        <v>0</v>
      </c>
      <c r="X93" s="5" t="n">
        <v>0</v>
      </c>
      <c r="Y93" s="5" t="n">
        <v>0</v>
      </c>
      <c r="Z93" s="0" t="n">
        <v>0</v>
      </c>
      <c r="AA93" s="0" t="n">
        <v>0</v>
      </c>
      <c r="AB93" s="0" t="n">
        <v>0</v>
      </c>
      <c r="AC93" s="4" t="s">
        <v>421</v>
      </c>
      <c r="AD93" s="4" t="s">
        <v>75</v>
      </c>
      <c r="AE93" s="4" t="s">
        <v>444</v>
      </c>
      <c r="AF93" s="4" t="s">
        <v>449</v>
      </c>
      <c r="AG93" s="5" t="n">
        <v>0.298009259259259</v>
      </c>
      <c r="AH93" s="5" t="n">
        <v>0.178888888888889</v>
      </c>
      <c r="AI93" s="5" t="n">
        <v>0</v>
      </c>
      <c r="AJ93" s="5" t="n">
        <v>0</v>
      </c>
      <c r="AK93" s="5" t="n">
        <v>0</v>
      </c>
      <c r="AL93" s="5" t="n">
        <v>0</v>
      </c>
      <c r="AM93" s="4" t="s">
        <v>78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6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M93" s="6" t="n">
        <f aca="false">IFERROR(VALUE(F93),"")</f>
        <v>267.17</v>
      </c>
      <c r="BN93" s="6" t="n">
        <f aca="false">IF(R93="-","",IFERROR(VALUE(LEFT(Q93,LEN(Q93)-2)),""))</f>
        <v>100.82</v>
      </c>
      <c r="BO93" s="6" t="n">
        <f aca="false">IF(R93="-","",IFERROR(VALUE(LEFT(R93,LEN(R93)-5)),""))</f>
        <v>2.65</v>
      </c>
      <c r="BP93" s="6" t="n">
        <f aca="false">IF(R93="-","",IFERROR(VALUE(F93),""))</f>
        <v>267.17</v>
      </c>
      <c r="BQ93" s="4" t="n">
        <f aca="false">IF(R93="-",1,0)</f>
        <v>0</v>
      </c>
    </row>
    <row r="94" customFormat="false" ht="15" hidden="false" customHeight="false" outlineLevel="0" collapsed="false">
      <c r="A94" s="0" t="s">
        <v>450</v>
      </c>
      <c r="B94" s="0" t="s">
        <v>451</v>
      </c>
      <c r="C94" s="0" t="s">
        <v>70</v>
      </c>
      <c r="D94" s="0" t="s">
        <v>452</v>
      </c>
      <c r="E94" s="3" t="n">
        <v>46273</v>
      </c>
      <c r="F94" s="4" t="s">
        <v>95</v>
      </c>
      <c r="G94" s="5" t="n">
        <v>0.502326388888889</v>
      </c>
      <c r="H94" s="5" t="n">
        <v>0.466180555555556</v>
      </c>
      <c r="I94" s="5" t="n">
        <v>0.000335648148148148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5" t="n">
        <v>0</v>
      </c>
      <c r="P94" s="5" t="n">
        <v>0</v>
      </c>
      <c r="Q94" s="4" t="s">
        <v>453</v>
      </c>
      <c r="R94" s="4" t="s">
        <v>454</v>
      </c>
      <c r="S94" s="5" t="n">
        <v>0</v>
      </c>
      <c r="T94" s="5" t="n">
        <v>0.212847222222222</v>
      </c>
      <c r="U94" s="5" t="n">
        <v>0.196759259259259</v>
      </c>
      <c r="V94" s="5" t="n">
        <v>0.0863425925925926</v>
      </c>
      <c r="W94" s="5" t="n">
        <v>0</v>
      </c>
      <c r="X94" s="5" t="n">
        <v>0</v>
      </c>
      <c r="Y94" s="5" t="n">
        <v>0</v>
      </c>
      <c r="Z94" s="0" t="n">
        <v>0</v>
      </c>
      <c r="AA94" s="0" t="n">
        <v>0</v>
      </c>
      <c r="AB94" s="0" t="n">
        <v>0</v>
      </c>
      <c r="AC94" s="4" t="s">
        <v>208</v>
      </c>
      <c r="AD94" s="4" t="s">
        <v>208</v>
      </c>
      <c r="AE94" s="4" t="s">
        <v>455</v>
      </c>
      <c r="AF94" s="4" t="s">
        <v>455</v>
      </c>
      <c r="AG94" s="5" t="n">
        <v>0.44837962962963</v>
      </c>
      <c r="AH94" s="5" t="n">
        <v>0.0846759259259259</v>
      </c>
      <c r="AI94" s="5" t="n">
        <v>0</v>
      </c>
      <c r="AJ94" s="5" t="n">
        <v>0</v>
      </c>
      <c r="AK94" s="5" t="n">
        <v>0</v>
      </c>
      <c r="AL94" s="5" t="n">
        <v>0</v>
      </c>
      <c r="AM94" s="4" t="s">
        <v>78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13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M94" s="6" t="n">
        <f aca="false">IFERROR(VALUE(F94),"")</f>
        <v>0</v>
      </c>
      <c r="BN94" s="6" t="n">
        <f aca="false">IF(R94="-","",IFERROR(VALUE(LEFT(Q94,LEN(Q94)-2)),""))</f>
        <v>111.46</v>
      </c>
      <c r="BO94" s="6" t="n">
        <f aca="false">IF(R94="-","",IFERROR(VALUE(LEFT(R94,LEN(R94)-5)),""))</f>
        <v>0</v>
      </c>
      <c r="BP94" s="6" t="n">
        <f aca="false">IF(R94="-","",IFERROR(VALUE(F94),""))</f>
        <v>0</v>
      </c>
      <c r="BQ94" s="4" t="n">
        <f aca="false">IF(R94="-",1,0)</f>
        <v>0</v>
      </c>
    </row>
    <row r="95" customFormat="false" ht="15" hidden="false" customHeight="false" outlineLevel="0" collapsed="false">
      <c r="A95" s="0" t="s">
        <v>450</v>
      </c>
      <c r="B95" s="0" t="s">
        <v>451</v>
      </c>
      <c r="C95" s="0" t="s">
        <v>70</v>
      </c>
      <c r="D95" s="0" t="s">
        <v>456</v>
      </c>
      <c r="E95" s="3" t="n">
        <v>46274</v>
      </c>
      <c r="F95" s="4" t="s">
        <v>457</v>
      </c>
      <c r="G95" s="5" t="n">
        <v>0.600659722222222</v>
      </c>
      <c r="H95" s="5" t="n">
        <v>0.545335648148148</v>
      </c>
      <c r="I95" s="5" t="n">
        <v>0.000729166666666667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5" t="n">
        <v>0</v>
      </c>
      <c r="P95" s="5" t="n">
        <v>0</v>
      </c>
      <c r="Q95" s="4" t="s">
        <v>458</v>
      </c>
      <c r="R95" s="4" t="s">
        <v>454</v>
      </c>
      <c r="S95" s="5" t="n">
        <v>0</v>
      </c>
      <c r="T95" s="5" t="n">
        <v>0.249884259259259</v>
      </c>
      <c r="U95" s="5" t="n">
        <v>0.238935185185185</v>
      </c>
      <c r="V95" s="5" t="n">
        <v>0.10244212962963</v>
      </c>
      <c r="W95" s="5" t="n">
        <v>0.000949074074074074</v>
      </c>
      <c r="X95" s="5" t="n">
        <v>0</v>
      </c>
      <c r="Y95" s="5" t="n">
        <v>0.000474537037037037</v>
      </c>
      <c r="Z95" s="0" t="n">
        <v>0</v>
      </c>
      <c r="AA95" s="0" t="n">
        <v>0</v>
      </c>
      <c r="AB95" s="0" t="n">
        <v>0</v>
      </c>
      <c r="AC95" s="4" t="s">
        <v>208</v>
      </c>
      <c r="AD95" s="4" t="s">
        <v>208</v>
      </c>
      <c r="AE95" s="4" t="s">
        <v>455</v>
      </c>
      <c r="AF95" s="4" t="s">
        <v>459</v>
      </c>
      <c r="AG95" s="5" t="n">
        <v>0.515914351851852</v>
      </c>
      <c r="AH95" s="5" t="n">
        <v>0.15568287037037</v>
      </c>
      <c r="AI95" s="5" t="n">
        <v>0</v>
      </c>
      <c r="AJ95" s="5" t="n">
        <v>0</v>
      </c>
      <c r="AK95" s="5" t="n">
        <v>0</v>
      </c>
      <c r="AL95" s="5" t="n">
        <v>0</v>
      </c>
      <c r="AM95" s="4" t="s">
        <v>78</v>
      </c>
      <c r="AN95" s="0" t="n">
        <v>0</v>
      </c>
      <c r="AO95" s="0" t="n">
        <v>1</v>
      </c>
      <c r="AP95" s="0" t="n">
        <v>0</v>
      </c>
      <c r="AQ95" s="0" t="n">
        <v>0</v>
      </c>
      <c r="AR95" s="0" t="n">
        <v>0</v>
      </c>
      <c r="AS95" s="0" t="n">
        <v>1</v>
      </c>
      <c r="AT95" s="0" t="n">
        <v>0</v>
      </c>
      <c r="AU95" s="0" t="n">
        <v>13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M95" s="6" t="n">
        <f aca="false">IFERROR(VALUE(F95),"")</f>
        <v>0.01</v>
      </c>
      <c r="BN95" s="6" t="n">
        <f aca="false">IF(R95="-","",IFERROR(VALUE(LEFT(Q95,LEN(Q95)-2)),""))</f>
        <v>134.35</v>
      </c>
      <c r="BO95" s="6" t="n">
        <f aca="false">IF(R95="-","",IFERROR(VALUE(LEFT(R95,LEN(R95)-5)),""))</f>
        <v>0</v>
      </c>
      <c r="BP95" s="6" t="n">
        <f aca="false">IF(R95="-","",IFERROR(VALUE(F95),""))</f>
        <v>0.01</v>
      </c>
      <c r="BQ95" s="4" t="n">
        <f aca="false">IF(R95="-",1,0)</f>
        <v>0</v>
      </c>
    </row>
    <row r="96" customFormat="false" ht="15" hidden="false" customHeight="false" outlineLevel="0" collapsed="false">
      <c r="A96" s="0" t="s">
        <v>450</v>
      </c>
      <c r="B96" s="0" t="s">
        <v>451</v>
      </c>
      <c r="C96" s="0" t="s">
        <v>70</v>
      </c>
      <c r="D96" s="0" t="s">
        <v>460</v>
      </c>
      <c r="E96" s="3" t="n">
        <v>46275</v>
      </c>
      <c r="F96" s="4" t="s">
        <v>457</v>
      </c>
      <c r="G96" s="5" t="n">
        <v>0.138703703703704</v>
      </c>
      <c r="H96" s="5" t="n">
        <v>0.136712962962963</v>
      </c>
      <c r="I96" s="5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5" t="n">
        <v>0</v>
      </c>
      <c r="P96" s="5" t="n">
        <v>0</v>
      </c>
      <c r="Q96" s="4" t="s">
        <v>461</v>
      </c>
      <c r="R96" s="4" t="s">
        <v>454</v>
      </c>
      <c r="S96" s="5" t="n">
        <v>0</v>
      </c>
      <c r="T96" s="5" t="n">
        <v>0.0605324074074074</v>
      </c>
      <c r="U96" s="5" t="n">
        <v>0.0668981481481482</v>
      </c>
      <c r="V96" s="5" t="n">
        <v>0.012037037037037</v>
      </c>
      <c r="W96" s="5" t="n">
        <v>0</v>
      </c>
      <c r="X96" s="5" t="n">
        <v>0</v>
      </c>
      <c r="Y96" s="5" t="n">
        <v>0</v>
      </c>
      <c r="Z96" s="0" t="n">
        <v>0</v>
      </c>
      <c r="AA96" s="0" t="n">
        <v>0</v>
      </c>
      <c r="AB96" s="0" t="n">
        <v>0</v>
      </c>
      <c r="AC96" s="4" t="s">
        <v>208</v>
      </c>
      <c r="AD96" s="4" t="s">
        <v>208</v>
      </c>
      <c r="AE96" s="4" t="s">
        <v>459</v>
      </c>
      <c r="AF96" s="4" t="s">
        <v>462</v>
      </c>
      <c r="AG96" s="5" t="n">
        <v>0.125902777777778</v>
      </c>
      <c r="AH96" s="5" t="n">
        <v>0.0433217592592593</v>
      </c>
      <c r="AI96" s="5" t="n">
        <v>0</v>
      </c>
      <c r="AJ96" s="5" t="n">
        <v>0</v>
      </c>
      <c r="AK96" s="5" t="n">
        <v>0</v>
      </c>
      <c r="AL96" s="5" t="n">
        <v>0</v>
      </c>
      <c r="AM96" s="4" t="s">
        <v>78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5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M96" s="6" t="n">
        <f aca="false">IFERROR(VALUE(F96),"")</f>
        <v>0.01</v>
      </c>
      <c r="BN96" s="6" t="n">
        <f aca="false">IF(R96="-","",IFERROR(VALUE(LEFT(Q96,LEN(Q96)-2)),""))</f>
        <v>30.45</v>
      </c>
      <c r="BO96" s="6" t="n">
        <f aca="false">IF(R96="-","",IFERROR(VALUE(LEFT(R96,LEN(R96)-5)),""))</f>
        <v>0</v>
      </c>
      <c r="BP96" s="6" t="n">
        <f aca="false">IF(R96="-","",IFERROR(VALUE(F96),""))</f>
        <v>0.01</v>
      </c>
      <c r="BQ96" s="4" t="n">
        <f aca="false">IF(R96="-",1,0)</f>
        <v>0</v>
      </c>
    </row>
    <row r="97" customFormat="false" ht="15" hidden="false" customHeight="false" outlineLevel="0" collapsed="false">
      <c r="A97" s="0" t="s">
        <v>450</v>
      </c>
      <c r="B97" s="0" t="s">
        <v>451</v>
      </c>
      <c r="C97" s="0" t="s">
        <v>70</v>
      </c>
      <c r="D97" s="0" t="s">
        <v>452</v>
      </c>
      <c r="E97" s="3" t="n">
        <v>46276</v>
      </c>
      <c r="F97" s="4" t="s">
        <v>95</v>
      </c>
      <c r="G97" s="5" t="n">
        <v>0.506909722222222</v>
      </c>
      <c r="H97" s="5" t="n">
        <v>0.469583333333333</v>
      </c>
      <c r="I97" s="5" t="n">
        <v>0.000729166666666667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5" t="n">
        <v>0</v>
      </c>
      <c r="P97" s="5" t="n">
        <v>0</v>
      </c>
      <c r="Q97" s="4" t="s">
        <v>463</v>
      </c>
      <c r="R97" s="4" t="s">
        <v>454</v>
      </c>
      <c r="S97" s="5" t="n">
        <v>0</v>
      </c>
      <c r="T97" s="5" t="n">
        <v>0.215625</v>
      </c>
      <c r="U97" s="5" t="n">
        <v>0.196331018518519</v>
      </c>
      <c r="V97" s="5" t="n">
        <v>0.0882060185185185</v>
      </c>
      <c r="W97" s="5" t="n">
        <v>0.000231481481481482</v>
      </c>
      <c r="X97" s="5" t="n">
        <v>0</v>
      </c>
      <c r="Y97" s="5" t="n">
        <v>0.000115740740740741</v>
      </c>
      <c r="Z97" s="0" t="n">
        <v>0</v>
      </c>
      <c r="AA97" s="0" t="n">
        <v>0</v>
      </c>
      <c r="AB97" s="0" t="n">
        <v>0</v>
      </c>
      <c r="AC97" s="4" t="s">
        <v>208</v>
      </c>
      <c r="AD97" s="4" t="s">
        <v>208</v>
      </c>
      <c r="AE97" s="4" t="s">
        <v>462</v>
      </c>
      <c r="AF97" s="4" t="s">
        <v>462</v>
      </c>
      <c r="AG97" s="5" t="n">
        <v>0.431678240740741</v>
      </c>
      <c r="AH97" s="5" t="n">
        <v>0.112303240740741</v>
      </c>
      <c r="AI97" s="5" t="n">
        <v>0</v>
      </c>
      <c r="AJ97" s="5" t="n">
        <v>0</v>
      </c>
      <c r="AK97" s="5" t="n">
        <v>0</v>
      </c>
      <c r="AL97" s="5" t="n">
        <v>0</v>
      </c>
      <c r="AM97" s="4" t="s">
        <v>78</v>
      </c>
      <c r="AN97" s="0" t="n">
        <v>0</v>
      </c>
      <c r="AO97" s="0" t="n">
        <v>2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7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M97" s="6" t="n">
        <f aca="false">IFERROR(VALUE(F97),"")</f>
        <v>0</v>
      </c>
      <c r="BN97" s="6" t="n">
        <f aca="false">IF(R97="-","",IFERROR(VALUE(LEFT(Q97,LEN(Q97)-2)),""))</f>
        <v>112.92</v>
      </c>
      <c r="BO97" s="6" t="n">
        <f aca="false">IF(R97="-","",IFERROR(VALUE(LEFT(R97,LEN(R97)-5)),""))</f>
        <v>0</v>
      </c>
      <c r="BP97" s="6" t="n">
        <f aca="false">IF(R97="-","",IFERROR(VALUE(F97),""))</f>
        <v>0</v>
      </c>
      <c r="BQ97" s="4" t="n">
        <f aca="false">IF(R97="-",1,0)</f>
        <v>0</v>
      </c>
    </row>
    <row r="98" customFormat="false" ht="15" hidden="false" customHeight="false" outlineLevel="0" collapsed="false">
      <c r="A98" s="0" t="s">
        <v>450</v>
      </c>
      <c r="B98" s="0" t="s">
        <v>451</v>
      </c>
      <c r="C98" s="0" t="s">
        <v>70</v>
      </c>
      <c r="D98" s="0" t="s">
        <v>464</v>
      </c>
      <c r="E98" s="3" t="n">
        <v>46277</v>
      </c>
      <c r="F98" s="4" t="s">
        <v>95</v>
      </c>
      <c r="G98" s="5" t="n">
        <v>0.521608796296296</v>
      </c>
      <c r="H98" s="5" t="n">
        <v>0.495486111111111</v>
      </c>
      <c r="I98" s="5" t="n">
        <v>0.00025462962962963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4</v>
      </c>
      <c r="O98" s="5" t="n">
        <v>0</v>
      </c>
      <c r="P98" s="5" t="n">
        <v>0.00707175925925926</v>
      </c>
      <c r="Q98" s="4" t="s">
        <v>465</v>
      </c>
      <c r="R98" s="4" t="s">
        <v>454</v>
      </c>
      <c r="S98" s="5" t="n">
        <v>0.00115740740740741</v>
      </c>
      <c r="T98" s="5" t="n">
        <v>0.212384259259259</v>
      </c>
      <c r="U98" s="5" t="n">
        <v>0.225694444444444</v>
      </c>
      <c r="V98" s="5" t="n">
        <v>0.0716898148148148</v>
      </c>
      <c r="W98" s="5" t="n">
        <v>9.25925925925926E-005</v>
      </c>
      <c r="X98" s="5" t="n">
        <v>0</v>
      </c>
      <c r="Y98" s="5" t="n">
        <v>8.10185185185185E-005</v>
      </c>
      <c r="Z98" s="0" t="n">
        <v>0</v>
      </c>
      <c r="AA98" s="0" t="n">
        <v>0</v>
      </c>
      <c r="AB98" s="0" t="n">
        <v>0</v>
      </c>
      <c r="AC98" s="4" t="s">
        <v>208</v>
      </c>
      <c r="AD98" s="4" t="s">
        <v>208</v>
      </c>
      <c r="AE98" s="4" t="s">
        <v>462</v>
      </c>
      <c r="AF98" s="4" t="s">
        <v>462</v>
      </c>
      <c r="AG98" s="5" t="n">
        <v>0.43619212962963</v>
      </c>
      <c r="AH98" s="5" t="n">
        <v>0.175034722222222</v>
      </c>
      <c r="AI98" s="5" t="n">
        <v>0</v>
      </c>
      <c r="AJ98" s="5" t="n">
        <v>0</v>
      </c>
      <c r="AK98" s="5" t="n">
        <v>0</v>
      </c>
      <c r="AL98" s="5" t="n">
        <v>0</v>
      </c>
      <c r="AM98" s="4" t="s">
        <v>78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6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M98" s="6" t="n">
        <f aca="false">IFERROR(VALUE(F98),"")</f>
        <v>0</v>
      </c>
      <c r="BN98" s="6" t="n">
        <f aca="false">IF(R98="-","",IFERROR(VALUE(LEFT(Q98,LEN(Q98)-2)),""))</f>
        <v>109.86</v>
      </c>
      <c r="BO98" s="6" t="n">
        <f aca="false">IF(R98="-","",IFERROR(VALUE(LEFT(R98,LEN(R98)-5)),""))</f>
        <v>0</v>
      </c>
      <c r="BP98" s="6" t="n">
        <f aca="false">IF(R98="-","",IFERROR(VALUE(F98),""))</f>
        <v>0</v>
      </c>
      <c r="BQ98" s="4" t="n">
        <f aca="false">IF(R98="-",1,0)</f>
        <v>0</v>
      </c>
    </row>
    <row r="99" customFormat="false" ht="15" hidden="false" customHeight="false" outlineLevel="0" collapsed="false">
      <c r="A99" s="0" t="s">
        <v>450</v>
      </c>
      <c r="B99" s="0" t="s">
        <v>451</v>
      </c>
      <c r="C99" s="0" t="s">
        <v>70</v>
      </c>
      <c r="D99" s="0" t="s">
        <v>466</v>
      </c>
      <c r="E99" s="3" t="n">
        <v>46279</v>
      </c>
      <c r="F99" s="4" t="s">
        <v>457</v>
      </c>
      <c r="G99" s="5" t="n">
        <v>0.282106481481482</v>
      </c>
      <c r="H99" s="5" t="n">
        <v>0.269375</v>
      </c>
      <c r="I99" s="5" t="n">
        <v>8.10185185185185E-005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5" t="n">
        <v>0</v>
      </c>
      <c r="P99" s="5" t="n">
        <v>0.00836805555555556</v>
      </c>
      <c r="Q99" s="4" t="s">
        <v>467</v>
      </c>
      <c r="R99" s="4" t="s">
        <v>454</v>
      </c>
      <c r="S99" s="5" t="n">
        <v>0</v>
      </c>
      <c r="T99" s="5" t="n">
        <v>0.116921296296296</v>
      </c>
      <c r="U99" s="5" t="n">
        <v>0.1196875</v>
      </c>
      <c r="V99" s="5" t="n">
        <v>0.0335763888888889</v>
      </c>
      <c r="W99" s="5" t="n">
        <v>0.000127314814814815</v>
      </c>
      <c r="X99" s="5" t="n">
        <v>0</v>
      </c>
      <c r="Y99" s="5" t="n">
        <v>0.000127314814814815</v>
      </c>
      <c r="Z99" s="0" t="n">
        <v>0</v>
      </c>
      <c r="AA99" s="0" t="n">
        <v>0</v>
      </c>
      <c r="AB99" s="0" t="n">
        <v>0</v>
      </c>
      <c r="AC99" s="4" t="s">
        <v>208</v>
      </c>
      <c r="AD99" s="4" t="s">
        <v>208</v>
      </c>
      <c r="AE99" s="4" t="s">
        <v>462</v>
      </c>
      <c r="AF99" s="4" t="s">
        <v>462</v>
      </c>
      <c r="AG99" s="5" t="n">
        <v>0.240486111111111</v>
      </c>
      <c r="AH99" s="5" t="n">
        <v>0.0926736111111111</v>
      </c>
      <c r="AI99" s="5" t="n">
        <v>0</v>
      </c>
      <c r="AJ99" s="5" t="n">
        <v>0</v>
      </c>
      <c r="AK99" s="5" t="n">
        <v>0</v>
      </c>
      <c r="AL99" s="5" t="n">
        <v>0</v>
      </c>
      <c r="AM99" s="4" t="s">
        <v>78</v>
      </c>
      <c r="AN99" s="0" t="n">
        <v>0</v>
      </c>
      <c r="AO99" s="0" t="n">
        <v>1</v>
      </c>
      <c r="AP99" s="0" t="n">
        <v>0</v>
      </c>
      <c r="AQ99" s="0" t="n">
        <v>0</v>
      </c>
      <c r="AR99" s="0" t="n">
        <v>0</v>
      </c>
      <c r="AS99" s="0" t="n">
        <v>1</v>
      </c>
      <c r="AT99" s="0" t="n">
        <v>0</v>
      </c>
      <c r="AU99" s="0" t="n">
        <v>3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M99" s="6" t="n">
        <f aca="false">IFERROR(VALUE(F99),"")</f>
        <v>0.01</v>
      </c>
      <c r="BN99" s="6" t="n">
        <f aca="false">IF(R99="-","",IFERROR(VALUE(LEFT(Q99,LEN(Q99)-2)),""))</f>
        <v>61.77</v>
      </c>
      <c r="BO99" s="6" t="n">
        <f aca="false">IF(R99="-","",IFERROR(VALUE(LEFT(R99,LEN(R99)-5)),""))</f>
        <v>0</v>
      </c>
      <c r="BP99" s="6" t="n">
        <f aca="false">IF(R99="-","",IFERROR(VALUE(F99),""))</f>
        <v>0.01</v>
      </c>
      <c r="BQ99" s="4" t="n">
        <f aca="false">IF(R99="-",1,0)</f>
        <v>0</v>
      </c>
    </row>
    <row r="100" customFormat="false" ht="15" hidden="false" customHeight="false" outlineLevel="0" collapsed="false">
      <c r="A100" s="0" t="s">
        <v>468</v>
      </c>
      <c r="B100" s="0" t="s">
        <v>469</v>
      </c>
      <c r="C100" s="0" t="s">
        <v>70</v>
      </c>
      <c r="D100" s="0" t="s">
        <v>470</v>
      </c>
      <c r="E100" s="3" t="n">
        <v>46273</v>
      </c>
      <c r="F100" s="4" t="s">
        <v>471</v>
      </c>
      <c r="G100" s="5" t="n">
        <v>0.532743055555556</v>
      </c>
      <c r="H100" s="5" t="n">
        <v>0.492743055555556</v>
      </c>
      <c r="I100" s="5" t="n">
        <v>0.000486111111111111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5" t="n">
        <v>0</v>
      </c>
      <c r="P100" s="5" t="n">
        <v>0.0158449074074074</v>
      </c>
      <c r="Q100" s="4" t="s">
        <v>472</v>
      </c>
      <c r="R100" s="4" t="s">
        <v>473</v>
      </c>
      <c r="S100" s="5" t="n">
        <v>0.000462962962962963</v>
      </c>
      <c r="T100" s="5" t="n">
        <v>0.243865740740741</v>
      </c>
      <c r="U100" s="5" t="n">
        <v>0.186712962962963</v>
      </c>
      <c r="V100" s="5" t="n">
        <v>0.0658796296296296</v>
      </c>
      <c r="W100" s="5" t="n">
        <v>0.000358796296296296</v>
      </c>
      <c r="X100" s="5" t="n">
        <v>0</v>
      </c>
      <c r="Y100" s="5" t="n">
        <v>0.000127314814814815</v>
      </c>
      <c r="Z100" s="0" t="n">
        <v>0</v>
      </c>
      <c r="AA100" s="0" t="n">
        <v>0</v>
      </c>
      <c r="AB100" s="0" t="n">
        <v>0</v>
      </c>
      <c r="AC100" s="4" t="s">
        <v>75</v>
      </c>
      <c r="AD100" s="4" t="s">
        <v>74</v>
      </c>
      <c r="AE100" s="4" t="s">
        <v>474</v>
      </c>
      <c r="AF100" s="4" t="s">
        <v>475</v>
      </c>
      <c r="AG100" s="5" t="n">
        <v>0.431261574074074</v>
      </c>
      <c r="AH100" s="5" t="n">
        <v>0.167962962962963</v>
      </c>
      <c r="AI100" s="5" t="n">
        <v>0</v>
      </c>
      <c r="AJ100" s="5" t="n">
        <v>0</v>
      </c>
      <c r="AK100" s="5" t="n">
        <v>0</v>
      </c>
      <c r="AL100" s="5" t="n">
        <v>0</v>
      </c>
      <c r="AM100" s="4" t="s">
        <v>78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M100" s="6" t="n">
        <f aca="false">IFERROR(VALUE(F100),"")</f>
        <v>254.79</v>
      </c>
      <c r="BN100" s="6" t="n">
        <f aca="false">IF(R100="-","",IFERROR(VALUE(LEFT(Q100,LEN(Q100)-2)),""))</f>
        <v>91.83</v>
      </c>
      <c r="BO100" s="6" t="n">
        <f aca="false">IF(R100="-","",IFERROR(VALUE(LEFT(R100,LEN(R100)-5)),""))</f>
        <v>2.77</v>
      </c>
      <c r="BP100" s="6" t="n">
        <f aca="false">IF(R100="-","",IFERROR(VALUE(F100),""))</f>
        <v>254.79</v>
      </c>
      <c r="BQ100" s="4" t="n">
        <f aca="false">IF(R100="-",1,0)</f>
        <v>0</v>
      </c>
    </row>
    <row r="101" customFormat="false" ht="15" hidden="false" customHeight="false" outlineLevel="0" collapsed="false">
      <c r="A101" s="0" t="s">
        <v>468</v>
      </c>
      <c r="B101" s="0" t="s">
        <v>469</v>
      </c>
      <c r="C101" s="0" t="s">
        <v>70</v>
      </c>
      <c r="D101" s="0" t="s">
        <v>476</v>
      </c>
      <c r="E101" s="3" t="n">
        <v>46274</v>
      </c>
      <c r="F101" s="4" t="s">
        <v>477</v>
      </c>
      <c r="G101" s="5" t="n">
        <v>0.58212962962963</v>
      </c>
      <c r="H101" s="5" t="n">
        <v>0.554074074074074</v>
      </c>
      <c r="I101" s="5" t="n">
        <v>0.00037037037037037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5" t="n">
        <v>0</v>
      </c>
      <c r="P101" s="5" t="n">
        <v>0.00719907407407407</v>
      </c>
      <c r="Q101" s="4" t="s">
        <v>478</v>
      </c>
      <c r="R101" s="4" t="s">
        <v>385</v>
      </c>
      <c r="S101" s="5" t="n">
        <v>0</v>
      </c>
      <c r="T101" s="5" t="n">
        <v>0.21400462962963</v>
      </c>
      <c r="U101" s="5" t="n">
        <v>0.267361111111111</v>
      </c>
      <c r="V101" s="5" t="n">
        <v>0.0740046296296296</v>
      </c>
      <c r="W101" s="5" t="n">
        <v>0.000671296296296296</v>
      </c>
      <c r="X101" s="5" t="n">
        <v>0</v>
      </c>
      <c r="Y101" s="5" t="n">
        <v>8.10185185185185E-005</v>
      </c>
      <c r="Z101" s="0" t="n">
        <v>0</v>
      </c>
      <c r="AA101" s="0" t="n">
        <v>0</v>
      </c>
      <c r="AB101" s="0" t="n">
        <v>0</v>
      </c>
      <c r="AC101" s="4" t="s">
        <v>75</v>
      </c>
      <c r="AD101" s="4" t="s">
        <v>74</v>
      </c>
      <c r="AE101" s="4" t="s">
        <v>475</v>
      </c>
      <c r="AF101" s="4" t="s">
        <v>479</v>
      </c>
      <c r="AG101" s="5" t="n">
        <v>0.496643518518519</v>
      </c>
      <c r="AH101" s="5" t="n">
        <v>0.200208333333333</v>
      </c>
      <c r="AI101" s="5" t="n">
        <v>0</v>
      </c>
      <c r="AJ101" s="5" t="n">
        <v>0</v>
      </c>
      <c r="AK101" s="5" t="n">
        <v>0</v>
      </c>
      <c r="AL101" s="5" t="n">
        <v>0</v>
      </c>
      <c r="AM101" s="4" t="s">
        <v>78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2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M101" s="6" t="n">
        <f aca="false">IFERROR(VALUE(F101),"")</f>
        <v>342.33</v>
      </c>
      <c r="BN101" s="6" t="n">
        <f aca="false">IF(R101="-","",IFERROR(VALUE(LEFT(Q101,LEN(Q101)-2)),""))</f>
        <v>117.44</v>
      </c>
      <c r="BO101" s="6" t="n">
        <f aca="false">IF(R101="-","",IFERROR(VALUE(LEFT(R101,LEN(R101)-5)),""))</f>
        <v>2.91</v>
      </c>
      <c r="BP101" s="6" t="n">
        <f aca="false">IF(R101="-","",IFERROR(VALUE(F101),""))</f>
        <v>342.33</v>
      </c>
      <c r="BQ101" s="4" t="n">
        <f aca="false">IF(R101="-",1,0)</f>
        <v>0</v>
      </c>
    </row>
    <row r="102" customFormat="false" ht="15" hidden="false" customHeight="false" outlineLevel="0" collapsed="false">
      <c r="A102" s="0" t="s">
        <v>468</v>
      </c>
      <c r="B102" s="0" t="s">
        <v>469</v>
      </c>
      <c r="C102" s="0" t="s">
        <v>70</v>
      </c>
      <c r="D102" s="0" t="s">
        <v>476</v>
      </c>
      <c r="E102" s="3" t="n">
        <v>46275</v>
      </c>
      <c r="F102" s="4" t="s">
        <v>480</v>
      </c>
      <c r="G102" s="5" t="n">
        <v>0.668055555555556</v>
      </c>
      <c r="H102" s="5" t="n">
        <v>0.578055555555556</v>
      </c>
      <c r="I102" s="5" t="n">
        <v>0.00310185185185185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4</v>
      </c>
      <c r="O102" s="5" t="n">
        <v>0</v>
      </c>
      <c r="P102" s="5" t="n">
        <v>0.0415277777777778</v>
      </c>
      <c r="Q102" s="4" t="s">
        <v>481</v>
      </c>
      <c r="R102" s="4" t="s">
        <v>482</v>
      </c>
      <c r="S102" s="5" t="n">
        <v>0</v>
      </c>
      <c r="T102" s="5" t="n">
        <v>0.246759259259259</v>
      </c>
      <c r="U102" s="5" t="n">
        <v>0.234386574074074</v>
      </c>
      <c r="V102" s="5" t="n">
        <v>0.101608796296296</v>
      </c>
      <c r="W102" s="5" t="n">
        <v>0.000810185185185185</v>
      </c>
      <c r="X102" s="5" t="n">
        <v>0</v>
      </c>
      <c r="Y102" s="5" t="n">
        <v>0.000347222222222222</v>
      </c>
      <c r="Z102" s="0" t="n">
        <v>0</v>
      </c>
      <c r="AA102" s="0" t="n">
        <v>0</v>
      </c>
      <c r="AB102" s="0" t="n">
        <v>0</v>
      </c>
      <c r="AC102" s="4" t="s">
        <v>81</v>
      </c>
      <c r="AD102" s="4" t="s">
        <v>75</v>
      </c>
      <c r="AE102" s="4" t="s">
        <v>479</v>
      </c>
      <c r="AF102" s="4" t="s">
        <v>483</v>
      </c>
      <c r="AG102" s="5" t="n">
        <v>0.485023148148148</v>
      </c>
      <c r="AH102" s="5" t="n">
        <v>0.288518518518519</v>
      </c>
      <c r="AI102" s="5" t="n">
        <v>0</v>
      </c>
      <c r="AJ102" s="5" t="n">
        <v>0</v>
      </c>
      <c r="AK102" s="5" t="n">
        <v>0</v>
      </c>
      <c r="AL102" s="5" t="n">
        <v>0</v>
      </c>
      <c r="AM102" s="4" t="s">
        <v>78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2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M102" s="6" t="n">
        <f aca="false">IFERROR(VALUE(F102),"")</f>
        <v>334.87</v>
      </c>
      <c r="BN102" s="6" t="n">
        <f aca="false">IF(R102="-","",IFERROR(VALUE(LEFT(Q102,LEN(Q102)-2)),""))</f>
        <v>122.82</v>
      </c>
      <c r="BO102" s="6" t="n">
        <f aca="false">IF(R102="-","",IFERROR(VALUE(LEFT(R102,LEN(R102)-5)),""))</f>
        <v>2.73</v>
      </c>
      <c r="BP102" s="6" t="n">
        <f aca="false">IF(R102="-","",IFERROR(VALUE(F102),""))</f>
        <v>334.87</v>
      </c>
      <c r="BQ102" s="4" t="n">
        <f aca="false">IF(R102="-",1,0)</f>
        <v>0</v>
      </c>
    </row>
    <row r="103" customFormat="false" ht="15" hidden="false" customHeight="false" outlineLevel="0" collapsed="false">
      <c r="A103" s="0" t="s">
        <v>468</v>
      </c>
      <c r="B103" s="0" t="s">
        <v>469</v>
      </c>
      <c r="C103" s="0" t="s">
        <v>70</v>
      </c>
      <c r="D103" s="0" t="s">
        <v>484</v>
      </c>
      <c r="E103" s="3" t="n">
        <v>46276</v>
      </c>
      <c r="F103" s="4" t="s">
        <v>485</v>
      </c>
      <c r="G103" s="5" t="n">
        <v>0.383391203703704</v>
      </c>
      <c r="H103" s="5" t="n">
        <v>0.331516203703704</v>
      </c>
      <c r="I103" s="5" t="n">
        <v>0.000231481481481482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5" t="n">
        <v>0</v>
      </c>
      <c r="P103" s="5" t="n">
        <v>0.0407523148148148</v>
      </c>
      <c r="Q103" s="4" t="s">
        <v>486</v>
      </c>
      <c r="R103" s="4" t="s">
        <v>487</v>
      </c>
      <c r="S103" s="5" t="n">
        <v>0</v>
      </c>
      <c r="T103" s="5" t="n">
        <v>0.161805555555556</v>
      </c>
      <c r="U103" s="5" t="n">
        <v>0.151851851851852</v>
      </c>
      <c r="V103" s="5" t="n">
        <v>0.0387731481481482</v>
      </c>
      <c r="W103" s="5" t="n">
        <v>0</v>
      </c>
      <c r="X103" s="5" t="n">
        <v>0</v>
      </c>
      <c r="Y103" s="5" t="n">
        <v>0</v>
      </c>
      <c r="Z103" s="0" t="n">
        <v>0</v>
      </c>
      <c r="AA103" s="0" t="n">
        <v>0</v>
      </c>
      <c r="AB103" s="0" t="n">
        <v>0</v>
      </c>
      <c r="AC103" s="4" t="s">
        <v>75</v>
      </c>
      <c r="AD103" s="4" t="s">
        <v>208</v>
      </c>
      <c r="AE103" s="4" t="s">
        <v>483</v>
      </c>
      <c r="AF103" s="4" t="s">
        <v>488</v>
      </c>
      <c r="AG103" s="5" t="n">
        <v>0.274409722222222</v>
      </c>
      <c r="AH103" s="5" t="n">
        <v>0.209641203703704</v>
      </c>
      <c r="AI103" s="5" t="n">
        <v>0</v>
      </c>
      <c r="AJ103" s="5" t="n">
        <v>0</v>
      </c>
      <c r="AK103" s="5" t="n">
        <v>0</v>
      </c>
      <c r="AL103" s="5" t="n">
        <v>0</v>
      </c>
      <c r="AM103" s="4" t="s">
        <v>78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4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M103" s="6" t="n">
        <f aca="false">IFERROR(VALUE(F103),"")</f>
        <v>181.53</v>
      </c>
      <c r="BN103" s="6" t="n">
        <f aca="false">IF(R103="-","",IFERROR(VALUE(LEFT(Q103,LEN(Q103)-2)),""))</f>
        <v>66.64</v>
      </c>
      <c r="BO103" s="6" t="n">
        <f aca="false">IF(R103="-","",IFERROR(VALUE(LEFT(R103,LEN(R103)-5)),""))</f>
        <v>2.72</v>
      </c>
      <c r="BP103" s="6" t="n">
        <f aca="false">IF(R103="-","",IFERROR(VALUE(F103),""))</f>
        <v>181.53</v>
      </c>
      <c r="BQ103" s="4" t="n">
        <f aca="false">IF(R103="-",1,0)</f>
        <v>0</v>
      </c>
    </row>
    <row r="104" customFormat="false" ht="15" hidden="false" customHeight="false" outlineLevel="0" collapsed="false">
      <c r="A104" s="0" t="s">
        <v>468</v>
      </c>
      <c r="B104" s="0" t="s">
        <v>469</v>
      </c>
      <c r="C104" s="0" t="s">
        <v>70</v>
      </c>
      <c r="D104" s="0" t="s">
        <v>489</v>
      </c>
      <c r="E104" s="3" t="n">
        <v>46277</v>
      </c>
      <c r="F104" s="4" t="s">
        <v>490</v>
      </c>
      <c r="G104" s="5" t="n">
        <v>0.576087962962963</v>
      </c>
      <c r="H104" s="5" t="n">
        <v>0.569965277777778</v>
      </c>
      <c r="I104" s="5" t="n">
        <v>0.000381944444444445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5" t="n">
        <v>0</v>
      </c>
      <c r="P104" s="5" t="n">
        <v>0</v>
      </c>
      <c r="Q104" s="4" t="s">
        <v>491</v>
      </c>
      <c r="R104" s="4" t="s">
        <v>492</v>
      </c>
      <c r="S104" s="5" t="n">
        <v>0.000115740740740741</v>
      </c>
      <c r="T104" s="5" t="n">
        <v>0.228240740740741</v>
      </c>
      <c r="U104" s="5" t="n">
        <v>0.235104166666667</v>
      </c>
      <c r="V104" s="5" t="n">
        <v>0.0861226851851852</v>
      </c>
      <c r="W104" s="5" t="n">
        <v>5.78703703703704E-005</v>
      </c>
      <c r="X104" s="5" t="n">
        <v>0</v>
      </c>
      <c r="Y104" s="5" t="n">
        <v>5.78703703703704E-005</v>
      </c>
      <c r="Z104" s="0" t="n">
        <v>0</v>
      </c>
      <c r="AA104" s="0" t="n">
        <v>0</v>
      </c>
      <c r="AB104" s="0" t="n">
        <v>0</v>
      </c>
      <c r="AC104" s="4" t="s">
        <v>208</v>
      </c>
      <c r="AD104" s="4" t="s">
        <v>208</v>
      </c>
      <c r="AE104" s="4" t="s">
        <v>488</v>
      </c>
      <c r="AF104" s="4" t="s">
        <v>493</v>
      </c>
      <c r="AG104" s="5" t="n">
        <v>0.478611111111111</v>
      </c>
      <c r="AH104" s="5" t="n">
        <v>0.17400462962963</v>
      </c>
      <c r="AI104" s="5" t="n">
        <v>0</v>
      </c>
      <c r="AJ104" s="5" t="n">
        <v>0</v>
      </c>
      <c r="AK104" s="5" t="n">
        <v>0</v>
      </c>
      <c r="AL104" s="5" t="n">
        <v>0</v>
      </c>
      <c r="AM104" s="4" t="s">
        <v>78</v>
      </c>
      <c r="AN104" s="0" t="n">
        <v>0</v>
      </c>
      <c r="AO104" s="0" t="n">
        <v>3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2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M104" s="6" t="n">
        <f aca="false">IFERROR(VALUE(F104),"")</f>
        <v>345.11</v>
      </c>
      <c r="BN104" s="6" t="n">
        <f aca="false">IF(R104="-","",IFERROR(VALUE(LEFT(Q104,LEN(Q104)-2)),""))</f>
        <v>121.1</v>
      </c>
      <c r="BO104" s="6" t="n">
        <f aca="false">IF(R104="-","",IFERROR(VALUE(LEFT(R104,LEN(R104)-5)),""))</f>
        <v>2.85</v>
      </c>
      <c r="BP104" s="6" t="n">
        <f aca="false">IF(R104="-","",IFERROR(VALUE(F104),""))</f>
        <v>345.11</v>
      </c>
      <c r="BQ104" s="4" t="n">
        <f aca="false">IF(R104="-",1,0)</f>
        <v>0</v>
      </c>
    </row>
    <row r="105" customFormat="false" ht="15" hidden="false" customHeight="false" outlineLevel="0" collapsed="false">
      <c r="A105" s="0" t="s">
        <v>468</v>
      </c>
      <c r="B105" s="0" t="s">
        <v>469</v>
      </c>
      <c r="C105" s="0" t="s">
        <v>70</v>
      </c>
      <c r="E105" s="3" t="n">
        <v>46278</v>
      </c>
      <c r="F105" s="4" t="s">
        <v>95</v>
      </c>
      <c r="G105" s="5" t="n">
        <v>0</v>
      </c>
      <c r="H105" s="5" t="n">
        <v>0</v>
      </c>
      <c r="I105" s="5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5" t="n">
        <v>0</v>
      </c>
      <c r="P105" s="5" t="n">
        <v>0</v>
      </c>
      <c r="Q105" s="4" t="s">
        <v>73</v>
      </c>
      <c r="R105" s="4" t="s">
        <v>73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0" t="n">
        <v>0</v>
      </c>
      <c r="AA105" s="0" t="n">
        <v>0</v>
      </c>
      <c r="AB105" s="0" t="n">
        <v>0</v>
      </c>
      <c r="AE105" s="4" t="s">
        <v>493</v>
      </c>
      <c r="AF105" s="4" t="s">
        <v>493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4" t="s">
        <v>78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M105" s="6" t="n">
        <f aca="false">IFERROR(VALUE(F105),"")</f>
        <v>0</v>
      </c>
      <c r="BN105" s="6" t="str">
        <f aca="false">IF(R105="-","",IFERROR(VALUE(LEFT(Q105,LEN(Q105)-2)),""))</f>
        <v/>
      </c>
      <c r="BO105" s="6" t="str">
        <f aca="false">IF(R105="-","",IFERROR(VALUE(LEFT(R105,LEN(R105)-5)),""))</f>
        <v/>
      </c>
      <c r="BP105" s="6" t="str">
        <f aca="false">IF(R105="-","",IFERROR(VALUE(F105),""))</f>
        <v/>
      </c>
      <c r="BQ105" s="4" t="n">
        <f aca="false">IF(R105="-",1,0)</f>
        <v>1</v>
      </c>
    </row>
    <row r="106" customFormat="false" ht="15" hidden="false" customHeight="false" outlineLevel="0" collapsed="false">
      <c r="A106" s="0" t="s">
        <v>468</v>
      </c>
      <c r="B106" s="0" t="s">
        <v>469</v>
      </c>
      <c r="C106" s="0" t="s">
        <v>70</v>
      </c>
      <c r="D106" s="0" t="s">
        <v>494</v>
      </c>
      <c r="E106" s="3" t="n">
        <v>46279</v>
      </c>
      <c r="F106" s="4" t="s">
        <v>495</v>
      </c>
      <c r="G106" s="5" t="n">
        <v>0.591944444444445</v>
      </c>
      <c r="H106" s="5" t="n">
        <v>0.498240740740741</v>
      </c>
      <c r="I106" s="5" t="n">
        <v>0.000590277777777778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5" t="n">
        <v>0</v>
      </c>
      <c r="P106" s="5" t="n">
        <v>0</v>
      </c>
      <c r="Q106" s="4" t="s">
        <v>496</v>
      </c>
      <c r="R106" s="4" t="s">
        <v>497</v>
      </c>
      <c r="S106" s="5" t="n">
        <v>0</v>
      </c>
      <c r="T106" s="5" t="n">
        <v>0.242824074074074</v>
      </c>
      <c r="U106" s="5" t="n">
        <v>0.246759259259259</v>
      </c>
      <c r="V106" s="5" t="n">
        <v>0.0922453703703704</v>
      </c>
      <c r="W106" s="5" t="n">
        <v>0</v>
      </c>
      <c r="X106" s="5" t="n">
        <v>0</v>
      </c>
      <c r="Y106" s="5" t="n">
        <v>0</v>
      </c>
      <c r="Z106" s="0" t="n">
        <v>0</v>
      </c>
      <c r="AA106" s="0" t="n">
        <v>0</v>
      </c>
      <c r="AB106" s="0" t="n">
        <v>0</v>
      </c>
      <c r="AC106" s="4" t="s">
        <v>208</v>
      </c>
      <c r="AD106" s="4" t="s">
        <v>208</v>
      </c>
      <c r="AE106" s="4" t="s">
        <v>493</v>
      </c>
      <c r="AF106" s="4" t="s">
        <v>498</v>
      </c>
      <c r="AG106" s="5" t="n">
        <v>0.506238425925926</v>
      </c>
      <c r="AH106" s="5" t="n">
        <v>0.171354166666667</v>
      </c>
      <c r="AI106" s="5" t="n">
        <v>0</v>
      </c>
      <c r="AJ106" s="5" t="n">
        <v>0</v>
      </c>
      <c r="AK106" s="5" t="n">
        <v>0</v>
      </c>
      <c r="AL106" s="5" t="n">
        <v>0</v>
      </c>
      <c r="AM106" s="4" t="s">
        <v>78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6</v>
      </c>
      <c r="AT106" s="0" t="n">
        <v>1</v>
      </c>
      <c r="AU106" s="0" t="n">
        <v>6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M106" s="6" t="n">
        <f aca="false">IFERROR(VALUE(F106),"")</f>
        <v>351.16</v>
      </c>
      <c r="BN106" s="6" t="n">
        <f aca="false">IF(R106="-","",IFERROR(VALUE(LEFT(Q106,LEN(Q106)-2)),""))</f>
        <v>118.04</v>
      </c>
      <c r="BO106" s="6" t="n">
        <f aca="false">IF(R106="-","",IFERROR(VALUE(LEFT(R106,LEN(R106)-5)),""))</f>
        <v>2.98</v>
      </c>
      <c r="BP106" s="6" t="n">
        <f aca="false">IF(R106="-","",IFERROR(VALUE(F106),""))</f>
        <v>351.16</v>
      </c>
      <c r="BQ106" s="4" t="n">
        <f aca="false">IF(R106="-",1,0)</f>
        <v>0</v>
      </c>
    </row>
    <row r="107" customFormat="false" ht="15" hidden="false" customHeight="false" outlineLevel="0" collapsed="false">
      <c r="A107" s="8" t="n">
        <v>115326</v>
      </c>
      <c r="B107" s="4" t="s">
        <v>499</v>
      </c>
      <c r="C107" s="4" t="s">
        <v>70</v>
      </c>
      <c r="D107" s="4" t="s">
        <v>500</v>
      </c>
      <c r="E107" s="3" t="n">
        <v>46273</v>
      </c>
      <c r="F107" s="4" t="s">
        <v>501</v>
      </c>
      <c r="G107" s="5" t="n">
        <v>0.350648148148148</v>
      </c>
      <c r="H107" s="5" t="n">
        <v>0.344456018518519</v>
      </c>
      <c r="I107" s="5" t="n">
        <v>0.000740740740740741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5" t="n">
        <v>0</v>
      </c>
      <c r="P107" s="5" t="n">
        <v>0</v>
      </c>
      <c r="Q107" s="4" t="s">
        <v>502</v>
      </c>
      <c r="R107" s="4" t="s">
        <v>487</v>
      </c>
      <c r="S107" s="5" t="n">
        <v>0</v>
      </c>
      <c r="T107" s="5" t="n">
        <v>0.147685185185185</v>
      </c>
      <c r="U107" s="5" t="n">
        <v>0.153009259259259</v>
      </c>
      <c r="V107" s="5" t="n">
        <v>0.0458333333333333</v>
      </c>
      <c r="W107" s="5" t="n">
        <v>0</v>
      </c>
      <c r="X107" s="5" t="n">
        <v>0</v>
      </c>
      <c r="Y107" s="5" t="n">
        <v>0</v>
      </c>
      <c r="Z107" s="0" t="n">
        <v>0</v>
      </c>
      <c r="AA107" s="0" t="n">
        <v>0</v>
      </c>
      <c r="AB107" s="0" t="n">
        <v>0</v>
      </c>
      <c r="AC107" s="4" t="s">
        <v>81</v>
      </c>
      <c r="AD107" s="4" t="s">
        <v>75</v>
      </c>
      <c r="AE107" s="4" t="s">
        <v>503</v>
      </c>
      <c r="AF107" s="4" t="s">
        <v>504</v>
      </c>
      <c r="AG107" s="5" t="n">
        <v>0.305127314814815</v>
      </c>
      <c r="AH107" s="5" t="n">
        <v>0.103229166666667</v>
      </c>
      <c r="AI107" s="5" t="n">
        <v>0.000266203703703704</v>
      </c>
      <c r="AJ107" s="5" t="n">
        <v>0</v>
      </c>
      <c r="AK107" s="5" t="n">
        <v>0</v>
      </c>
      <c r="AL107" s="5" t="n">
        <v>0</v>
      </c>
      <c r="AM107" s="4" t="s">
        <v>78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3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M107" s="6" t="n">
        <f aca="false">IFERROR(VALUE(F107),"")</f>
        <v>204.7</v>
      </c>
      <c r="BN107" s="6" t="n">
        <f aca="false">IF(R107="-","",IFERROR(VALUE(LEFT(Q107,LEN(Q107)-2)),""))</f>
        <v>75.19</v>
      </c>
      <c r="BO107" s="6" t="n">
        <f aca="false">IF(R107="-","",IFERROR(VALUE(LEFT(R107,LEN(R107)-5)),""))</f>
        <v>2.72</v>
      </c>
      <c r="BP107" s="6" t="n">
        <f aca="false">IF(R107="-","",IFERROR(VALUE(F107),""))</f>
        <v>204.7</v>
      </c>
      <c r="BQ107" s="4" t="n">
        <f aca="false">IF(R107="-",1,0)</f>
        <v>0</v>
      </c>
    </row>
    <row r="108" customFormat="false" ht="15" hidden="false" customHeight="false" outlineLevel="0" collapsed="false">
      <c r="A108" s="8" t="n">
        <v>115326</v>
      </c>
      <c r="B108" s="4" t="s">
        <v>499</v>
      </c>
      <c r="C108" s="4" t="s">
        <v>70</v>
      </c>
      <c r="D108" s="4" t="s">
        <v>505</v>
      </c>
      <c r="E108" s="3" t="n">
        <v>46274</v>
      </c>
      <c r="F108" s="4" t="s">
        <v>506</v>
      </c>
      <c r="G108" s="5" t="n">
        <v>0.652199074074074</v>
      </c>
      <c r="H108" s="5" t="n">
        <v>0.646481481481481</v>
      </c>
      <c r="I108" s="5" t="n">
        <v>0.00302083333333333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5" t="n">
        <v>0</v>
      </c>
      <c r="P108" s="5" t="n">
        <v>0.00746527777777778</v>
      </c>
      <c r="Q108" s="4" t="s">
        <v>507</v>
      </c>
      <c r="R108" s="4" t="s">
        <v>443</v>
      </c>
      <c r="S108" s="5" t="n">
        <v>0.000231481481481482</v>
      </c>
      <c r="T108" s="5" t="n">
        <v>0.27962962962963</v>
      </c>
      <c r="U108" s="5" t="n">
        <v>0.264699074074074</v>
      </c>
      <c r="V108" s="5" t="n">
        <v>0.1</v>
      </c>
      <c r="W108" s="5" t="n">
        <v>0.000115740740740741</v>
      </c>
      <c r="X108" s="5" t="n">
        <v>0</v>
      </c>
      <c r="Y108" s="5" t="n">
        <v>0</v>
      </c>
      <c r="Z108" s="0" t="n">
        <v>0</v>
      </c>
      <c r="AA108" s="0" t="n">
        <v>0</v>
      </c>
      <c r="AB108" s="0" t="n">
        <v>0</v>
      </c>
      <c r="AC108" s="4" t="s">
        <v>75</v>
      </c>
      <c r="AD108" s="4" t="s">
        <v>75</v>
      </c>
      <c r="AE108" s="4" t="s">
        <v>504</v>
      </c>
      <c r="AF108" s="4" t="s">
        <v>508</v>
      </c>
      <c r="AG108" s="5" t="n">
        <v>0.562488425925926</v>
      </c>
      <c r="AH108" s="5" t="n">
        <v>0.183217592592593</v>
      </c>
      <c r="AI108" s="5" t="n">
        <v>0</v>
      </c>
      <c r="AJ108" s="5" t="n">
        <v>0</v>
      </c>
      <c r="AK108" s="5" t="n">
        <v>0</v>
      </c>
      <c r="AL108" s="5" t="n">
        <v>0</v>
      </c>
      <c r="AM108" s="4" t="s">
        <v>78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5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M108" s="6" t="n">
        <f aca="false">IFERROR(VALUE(F108),"")</f>
        <v>408.65</v>
      </c>
      <c r="BN108" s="6" t="n">
        <f aca="false">IF(R108="-","",IFERROR(VALUE(LEFT(Q108,LEN(Q108)-2)),""))</f>
        <v>148.46</v>
      </c>
      <c r="BO108" s="6" t="n">
        <f aca="false">IF(R108="-","",IFERROR(VALUE(LEFT(R108,LEN(R108)-5)),""))</f>
        <v>2.75</v>
      </c>
      <c r="BP108" s="6" t="n">
        <f aca="false">IF(R108="-","",IFERROR(VALUE(F108),""))</f>
        <v>408.65</v>
      </c>
      <c r="BQ108" s="4" t="n">
        <f aca="false">IF(R108="-",1,0)</f>
        <v>0</v>
      </c>
    </row>
    <row r="109" customFormat="false" ht="15" hidden="false" customHeight="false" outlineLevel="0" collapsed="false">
      <c r="A109" s="8" t="n">
        <v>115326</v>
      </c>
      <c r="B109" s="4" t="s">
        <v>499</v>
      </c>
      <c r="C109" s="4" t="s">
        <v>70</v>
      </c>
      <c r="D109" s="4" t="s">
        <v>505</v>
      </c>
      <c r="E109" s="3" t="n">
        <v>46275</v>
      </c>
      <c r="F109" s="4" t="s">
        <v>509</v>
      </c>
      <c r="G109" s="5" t="n">
        <v>0.666319444444445</v>
      </c>
      <c r="H109" s="5" t="n">
        <v>0.643668981481481</v>
      </c>
      <c r="I109" s="5" t="n">
        <v>0.00246527777777778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5" t="n">
        <v>0</v>
      </c>
      <c r="P109" s="5" t="n">
        <v>0.0225115740740741</v>
      </c>
      <c r="Q109" s="4" t="s">
        <v>510</v>
      </c>
      <c r="R109" s="4" t="s">
        <v>443</v>
      </c>
      <c r="S109" s="5" t="n">
        <v>0.000347222222222222</v>
      </c>
      <c r="T109" s="5" t="n">
        <v>0.285763888888889</v>
      </c>
      <c r="U109" s="5" t="n">
        <v>0.259953703703704</v>
      </c>
      <c r="V109" s="5" t="n">
        <v>0.10150462962963</v>
      </c>
      <c r="W109" s="5" t="n">
        <v>0</v>
      </c>
      <c r="X109" s="5" t="n">
        <v>0</v>
      </c>
      <c r="Y109" s="5" t="n">
        <v>0</v>
      </c>
      <c r="Z109" s="0" t="n">
        <v>0</v>
      </c>
      <c r="AA109" s="0" t="n">
        <v>0</v>
      </c>
      <c r="AB109" s="0" t="n">
        <v>0</v>
      </c>
      <c r="AC109" s="4" t="s">
        <v>75</v>
      </c>
      <c r="AD109" s="4" t="s">
        <v>228</v>
      </c>
      <c r="AE109" s="4" t="s">
        <v>508</v>
      </c>
      <c r="AF109" s="4" t="s">
        <v>511</v>
      </c>
      <c r="AG109" s="5" t="n">
        <v>0.563912037037037</v>
      </c>
      <c r="AH109" s="5" t="n">
        <v>0.1984375</v>
      </c>
      <c r="AI109" s="5" t="n">
        <v>0</v>
      </c>
      <c r="AJ109" s="5" t="n">
        <v>0</v>
      </c>
      <c r="AK109" s="5" t="n">
        <v>0</v>
      </c>
      <c r="AL109" s="5" t="n">
        <v>0</v>
      </c>
      <c r="AM109" s="4" t="s">
        <v>78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3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M109" s="6" t="n">
        <f aca="false">IFERROR(VALUE(F109),"")</f>
        <v>408.68</v>
      </c>
      <c r="BN109" s="6" t="n">
        <f aca="false">IF(R109="-","",IFERROR(VALUE(LEFT(Q109,LEN(Q109)-2)),""))</f>
        <v>148.7</v>
      </c>
      <c r="BO109" s="6" t="n">
        <f aca="false">IF(R109="-","",IFERROR(VALUE(LEFT(R109,LEN(R109)-5)),""))</f>
        <v>2.75</v>
      </c>
      <c r="BP109" s="6" t="n">
        <f aca="false">IF(R109="-","",IFERROR(VALUE(F109),""))</f>
        <v>408.68</v>
      </c>
      <c r="BQ109" s="4" t="n">
        <f aca="false">IF(R109="-",1,0)</f>
        <v>0</v>
      </c>
    </row>
    <row r="110" customFormat="false" ht="15" hidden="false" customHeight="false" outlineLevel="0" collapsed="false">
      <c r="A110" s="8" t="n">
        <v>115326</v>
      </c>
      <c r="B110" s="4" t="s">
        <v>499</v>
      </c>
      <c r="C110" s="4" t="s">
        <v>70</v>
      </c>
      <c r="D110" s="4" t="s">
        <v>512</v>
      </c>
      <c r="E110" s="3" t="n">
        <v>46276</v>
      </c>
      <c r="F110" s="4" t="s">
        <v>513</v>
      </c>
      <c r="G110" s="5" t="n">
        <v>0.689641203703704</v>
      </c>
      <c r="H110" s="5" t="n">
        <v>0.681840277777778</v>
      </c>
      <c r="I110" s="5" t="n">
        <v>0.00349537037037037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5" t="n">
        <v>0</v>
      </c>
      <c r="P110" s="5" t="n">
        <v>0.00767361111111111</v>
      </c>
      <c r="Q110" s="4" t="s">
        <v>514</v>
      </c>
      <c r="R110" s="4" t="s">
        <v>515</v>
      </c>
      <c r="S110" s="5" t="n">
        <v>0.000231481481481482</v>
      </c>
      <c r="T110" s="5" t="n">
        <v>0.262268518518519</v>
      </c>
      <c r="U110" s="5" t="n">
        <v>0.270023148148148</v>
      </c>
      <c r="V110" s="5" t="n">
        <v>0.111921296296296</v>
      </c>
      <c r="W110" s="5" t="n">
        <v>0</v>
      </c>
      <c r="X110" s="5" t="n">
        <v>0</v>
      </c>
      <c r="Y110" s="5" t="n">
        <v>0</v>
      </c>
      <c r="Z110" s="0" t="n">
        <v>0</v>
      </c>
      <c r="AA110" s="0" t="n">
        <v>0</v>
      </c>
      <c r="AB110" s="0" t="n">
        <v>0</v>
      </c>
      <c r="AC110" s="4" t="s">
        <v>81</v>
      </c>
      <c r="AD110" s="4" t="s">
        <v>74</v>
      </c>
      <c r="AE110" s="4" t="s">
        <v>511</v>
      </c>
      <c r="AF110" s="4" t="s">
        <v>516</v>
      </c>
      <c r="AG110" s="5" t="n">
        <v>0.564409722222222</v>
      </c>
      <c r="AH110" s="5" t="n">
        <v>0.181331018518519</v>
      </c>
      <c r="AI110" s="5" t="n">
        <v>0</v>
      </c>
      <c r="AJ110" s="5" t="n">
        <v>0</v>
      </c>
      <c r="AK110" s="5" t="n">
        <v>0</v>
      </c>
      <c r="AL110" s="5" t="n">
        <v>0</v>
      </c>
      <c r="AM110" s="4" t="s">
        <v>78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10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M110" s="6" t="n">
        <f aca="false">IFERROR(VALUE(F110),"")</f>
        <v>407.69</v>
      </c>
      <c r="BN110" s="6" t="n">
        <f aca="false">IF(R110="-","",IFERROR(VALUE(LEFT(Q110,LEN(Q110)-2)),""))</f>
        <v>150.92</v>
      </c>
      <c r="BO110" s="6" t="n">
        <f aca="false">IF(R110="-","",IFERROR(VALUE(LEFT(R110,LEN(R110)-5)),""))</f>
        <v>2.7</v>
      </c>
      <c r="BP110" s="6" t="n">
        <f aca="false">IF(R110="-","",IFERROR(VALUE(F110),""))</f>
        <v>407.69</v>
      </c>
      <c r="BQ110" s="4" t="n">
        <f aca="false">IF(R110="-",1,0)</f>
        <v>0</v>
      </c>
    </row>
    <row r="111" customFormat="false" ht="15" hidden="false" customHeight="false" outlineLevel="0" collapsed="false">
      <c r="A111" s="8" t="n">
        <v>115326</v>
      </c>
      <c r="B111" s="4" t="s">
        <v>499</v>
      </c>
      <c r="C111" s="4" t="s">
        <v>70</v>
      </c>
      <c r="D111" s="4" t="s">
        <v>517</v>
      </c>
      <c r="E111" s="3" t="n">
        <v>46277</v>
      </c>
      <c r="F111" s="4" t="s">
        <v>518</v>
      </c>
      <c r="G111" s="5" t="n">
        <v>0.620844907407407</v>
      </c>
      <c r="H111" s="5" t="n">
        <v>0.600497685185185</v>
      </c>
      <c r="I111" s="5" t="n">
        <v>0.00111111111111111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5" t="n">
        <v>0</v>
      </c>
      <c r="P111" s="5" t="n">
        <v>0.00729166666666667</v>
      </c>
      <c r="Q111" s="4" t="s">
        <v>519</v>
      </c>
      <c r="R111" s="4" t="s">
        <v>385</v>
      </c>
      <c r="S111" s="5" t="n">
        <v>0.000578703703703704</v>
      </c>
      <c r="T111" s="5" t="n">
        <v>0.24837962962963</v>
      </c>
      <c r="U111" s="5" t="n">
        <v>0.270023148148148</v>
      </c>
      <c r="V111" s="5" t="n">
        <v>0.0827546296296296</v>
      </c>
      <c r="W111" s="5" t="n">
        <v>0</v>
      </c>
      <c r="X111" s="5" t="n">
        <v>0</v>
      </c>
      <c r="Y111" s="5" t="n">
        <v>0</v>
      </c>
      <c r="Z111" s="0" t="n">
        <v>0</v>
      </c>
      <c r="AA111" s="0" t="n">
        <v>0</v>
      </c>
      <c r="AB111" s="0" t="n">
        <v>0</v>
      </c>
      <c r="AC111" s="4" t="s">
        <v>81</v>
      </c>
      <c r="AD111" s="4" t="s">
        <v>208</v>
      </c>
      <c r="AE111" s="4" t="s">
        <v>516</v>
      </c>
      <c r="AF111" s="4" t="s">
        <v>520</v>
      </c>
      <c r="AG111" s="5" t="n">
        <v>0.517048611111111</v>
      </c>
      <c r="AH111" s="5" t="n">
        <v>0.231851851851852</v>
      </c>
      <c r="AI111" s="5" t="n">
        <v>0</v>
      </c>
      <c r="AJ111" s="5" t="n">
        <v>0</v>
      </c>
      <c r="AK111" s="5" t="n">
        <v>0</v>
      </c>
      <c r="AL111" s="5" t="n">
        <v>0</v>
      </c>
      <c r="AM111" s="4" t="s">
        <v>78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9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M111" s="6" t="n">
        <f aca="false">IFERROR(VALUE(F111),"")</f>
        <v>386.77</v>
      </c>
      <c r="BN111" s="6" t="n">
        <f aca="false">IF(R111="-","",IFERROR(VALUE(LEFT(Q111,LEN(Q111)-2)),""))</f>
        <v>133.01</v>
      </c>
      <c r="BO111" s="6" t="n">
        <f aca="false">IF(R111="-","",IFERROR(VALUE(LEFT(R111,LEN(R111)-5)),""))</f>
        <v>2.91</v>
      </c>
      <c r="BP111" s="6" t="n">
        <f aca="false">IF(R111="-","",IFERROR(VALUE(F111),""))</f>
        <v>386.77</v>
      </c>
      <c r="BQ111" s="4" t="n">
        <f aca="false">IF(R111="-",1,0)</f>
        <v>0</v>
      </c>
    </row>
    <row r="112" customFormat="false" ht="15" hidden="false" customHeight="false" outlineLevel="0" collapsed="false">
      <c r="A112" s="8" t="n">
        <v>115326</v>
      </c>
      <c r="B112" s="4" t="s">
        <v>499</v>
      </c>
      <c r="C112" s="4" t="s">
        <v>70</v>
      </c>
      <c r="D112" s="4" t="s">
        <v>521</v>
      </c>
      <c r="E112" s="3" t="n">
        <v>46278</v>
      </c>
      <c r="F112" s="4" t="s">
        <v>522</v>
      </c>
      <c r="G112" s="5" t="n">
        <v>0.375578703703704</v>
      </c>
      <c r="H112" s="5" t="n">
        <v>0.367731481481482</v>
      </c>
      <c r="I112" s="5" t="n">
        <v>0.000636574074074074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5" t="n">
        <v>0</v>
      </c>
      <c r="P112" s="5" t="n">
        <v>0.0153819444444444</v>
      </c>
      <c r="Q112" s="4" t="s">
        <v>523</v>
      </c>
      <c r="R112" s="4" t="s">
        <v>524</v>
      </c>
      <c r="S112" s="5" t="n">
        <v>0</v>
      </c>
      <c r="T112" s="5" t="n">
        <v>0.171296296296296</v>
      </c>
      <c r="U112" s="5" t="n">
        <v>0.151273148148148</v>
      </c>
      <c r="V112" s="5" t="n">
        <v>0.0482638888888889</v>
      </c>
      <c r="W112" s="5" t="n">
        <v>0.000231481481481482</v>
      </c>
      <c r="X112" s="5" t="n">
        <v>0</v>
      </c>
      <c r="Y112" s="5" t="n">
        <v>0</v>
      </c>
      <c r="Z112" s="0" t="n">
        <v>0</v>
      </c>
      <c r="AA112" s="0" t="n">
        <v>0</v>
      </c>
      <c r="AB112" s="0" t="n">
        <v>0</v>
      </c>
      <c r="AC112" s="4" t="s">
        <v>208</v>
      </c>
      <c r="AD112" s="4" t="s">
        <v>208</v>
      </c>
      <c r="AE112" s="4" t="s">
        <v>520</v>
      </c>
      <c r="AF112" s="4" t="s">
        <v>525</v>
      </c>
      <c r="AG112" s="5" t="n">
        <v>0.295208333333333</v>
      </c>
      <c r="AH112" s="5" t="n">
        <v>0.13931712962963</v>
      </c>
      <c r="AI112" s="5" t="n">
        <v>0</v>
      </c>
      <c r="AJ112" s="5" t="n">
        <v>0</v>
      </c>
      <c r="AK112" s="5" t="n">
        <v>0</v>
      </c>
      <c r="AL112" s="5" t="n">
        <v>0</v>
      </c>
      <c r="AM112" s="4" t="s">
        <v>78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2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M112" s="6" t="n">
        <f aca="false">IFERROR(VALUE(F112),"")</f>
        <v>216.71</v>
      </c>
      <c r="BN112" s="6" t="n">
        <f aca="false">IF(R112="-","",IFERROR(VALUE(LEFT(Q112,LEN(Q112)-2)),""))</f>
        <v>77.75</v>
      </c>
      <c r="BO112" s="6" t="n">
        <f aca="false">IF(R112="-","",IFERROR(VALUE(LEFT(R112,LEN(R112)-5)),""))</f>
        <v>2.79</v>
      </c>
      <c r="BP112" s="6" t="n">
        <f aca="false">IF(R112="-","",IFERROR(VALUE(F112),""))</f>
        <v>216.71</v>
      </c>
      <c r="BQ112" s="4" t="n">
        <f aca="false">IF(R112="-",1,0)</f>
        <v>0</v>
      </c>
    </row>
    <row r="113" customFormat="false" ht="15" hidden="false" customHeight="false" outlineLevel="0" collapsed="false">
      <c r="A113" s="8" t="n">
        <v>115326</v>
      </c>
      <c r="B113" s="4" t="s">
        <v>499</v>
      </c>
      <c r="C113" s="4" t="s">
        <v>70</v>
      </c>
      <c r="D113" s="4" t="s">
        <v>526</v>
      </c>
      <c r="E113" s="3" t="n">
        <v>46279</v>
      </c>
      <c r="F113" s="4" t="s">
        <v>527</v>
      </c>
      <c r="G113" s="5" t="n">
        <v>0.499155092592593</v>
      </c>
      <c r="H113" s="5" t="n">
        <v>0.491701388888889</v>
      </c>
      <c r="I113" s="5" t="n">
        <v>0.00159722222222222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4</v>
      </c>
      <c r="O113" s="5" t="n">
        <v>0</v>
      </c>
      <c r="P113" s="5" t="n">
        <v>0</v>
      </c>
      <c r="Q113" s="4" t="s">
        <v>528</v>
      </c>
      <c r="R113" s="4" t="s">
        <v>378</v>
      </c>
      <c r="S113" s="5" t="n">
        <v>0.000115740740740741</v>
      </c>
      <c r="T113" s="5" t="n">
        <v>0.203472222222222</v>
      </c>
      <c r="U113" s="5" t="n">
        <v>0.204861111111111</v>
      </c>
      <c r="V113" s="5" t="n">
        <v>0.0700231481481482</v>
      </c>
      <c r="W113" s="5" t="n">
        <v>0</v>
      </c>
      <c r="X113" s="5" t="n">
        <v>0</v>
      </c>
      <c r="Y113" s="5" t="n">
        <v>0</v>
      </c>
      <c r="Z113" s="0" t="n">
        <v>0</v>
      </c>
      <c r="AA113" s="0" t="n">
        <v>0</v>
      </c>
      <c r="AB113" s="0" t="n">
        <v>0</v>
      </c>
      <c r="AC113" s="4" t="s">
        <v>208</v>
      </c>
      <c r="AD113" s="4" t="s">
        <v>208</v>
      </c>
      <c r="AE113" s="4" t="s">
        <v>525</v>
      </c>
      <c r="AF113" s="4" t="s">
        <v>529</v>
      </c>
      <c r="AG113" s="5" t="n">
        <v>0.427743055555556</v>
      </c>
      <c r="AH113" s="5" t="n">
        <v>0.155196759259259</v>
      </c>
      <c r="AI113" s="5" t="n">
        <v>0</v>
      </c>
      <c r="AJ113" s="5" t="n">
        <v>0</v>
      </c>
      <c r="AK113" s="5" t="n">
        <v>0</v>
      </c>
      <c r="AL113" s="5" t="n">
        <v>0</v>
      </c>
      <c r="AM113" s="4" t="s">
        <v>78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3</v>
      </c>
      <c r="AT113" s="0" t="n">
        <v>0</v>
      </c>
      <c r="AU113" s="0" t="n">
        <v>1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M113" s="6" t="n">
        <f aca="false">IFERROR(VALUE(F113),"")</f>
        <v>288.55</v>
      </c>
      <c r="BN113" s="6" t="n">
        <f aca="false">IF(R113="-","",IFERROR(VALUE(LEFT(Q113,LEN(Q113)-2)),""))</f>
        <v>106.41</v>
      </c>
      <c r="BO113" s="6" t="n">
        <f aca="false">IF(R113="-","",IFERROR(VALUE(LEFT(R113,LEN(R113)-5)),""))</f>
        <v>2.71</v>
      </c>
      <c r="BP113" s="6" t="n">
        <f aca="false">IF(R113="-","",IFERROR(VALUE(F113),""))</f>
        <v>288.55</v>
      </c>
      <c r="BQ113" s="4" t="n">
        <f aca="false">IF(R113="-",1,0)</f>
        <v>0</v>
      </c>
    </row>
    <row r="114" customFormat="false" ht="15" hidden="false" customHeight="false" outlineLevel="0" collapsed="false">
      <c r="A114" s="0" t="s">
        <v>530</v>
      </c>
      <c r="B114" s="0" t="s">
        <v>531</v>
      </c>
      <c r="C114" s="0" t="s">
        <v>70</v>
      </c>
      <c r="D114" s="0" t="s">
        <v>532</v>
      </c>
      <c r="E114" s="3" t="n">
        <v>46273</v>
      </c>
      <c r="F114" s="4" t="s">
        <v>533</v>
      </c>
      <c r="G114" s="5" t="n">
        <v>0.629907407407407</v>
      </c>
      <c r="H114" s="5" t="n">
        <v>0.613263888888889</v>
      </c>
      <c r="I114" s="5" t="n">
        <v>0.00293981481481482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5" t="n">
        <v>0</v>
      </c>
      <c r="P114" s="5" t="n">
        <v>0</v>
      </c>
      <c r="Q114" s="4" t="s">
        <v>534</v>
      </c>
      <c r="R114" s="4" t="s">
        <v>535</v>
      </c>
      <c r="S114" s="5" t="n">
        <v>0.000347222222222222</v>
      </c>
      <c r="T114" s="5" t="n">
        <v>0.273726851851852</v>
      </c>
      <c r="U114" s="5" t="n">
        <v>0.303009259259259</v>
      </c>
      <c r="V114" s="5" t="n">
        <v>0.0387731481481482</v>
      </c>
      <c r="W114" s="5" t="n">
        <v>0</v>
      </c>
      <c r="X114" s="5" t="n">
        <v>0</v>
      </c>
      <c r="Y114" s="5" t="n">
        <v>0</v>
      </c>
      <c r="Z114" s="0" t="n">
        <v>0</v>
      </c>
      <c r="AA114" s="0" t="n">
        <v>0</v>
      </c>
      <c r="AB114" s="0" t="n">
        <v>0</v>
      </c>
      <c r="AC114" s="4" t="s">
        <v>208</v>
      </c>
      <c r="AD114" s="4" t="s">
        <v>208</v>
      </c>
      <c r="AE114" s="4" t="s">
        <v>536</v>
      </c>
      <c r="AF114" s="4" t="s">
        <v>537</v>
      </c>
      <c r="AG114" s="5" t="n">
        <v>0.548275462962963</v>
      </c>
      <c r="AH114" s="5" t="n">
        <v>0.195509259259259</v>
      </c>
      <c r="AI114" s="5" t="n">
        <v>0</v>
      </c>
      <c r="AJ114" s="5" t="n">
        <v>0</v>
      </c>
      <c r="AK114" s="5" t="n">
        <v>0</v>
      </c>
      <c r="AL114" s="5" t="n">
        <v>0</v>
      </c>
      <c r="AM114" s="4" t="s">
        <v>78</v>
      </c>
      <c r="AN114" s="0" t="n">
        <v>0</v>
      </c>
      <c r="AO114" s="0" t="n">
        <v>1</v>
      </c>
      <c r="AP114" s="0" t="n">
        <v>0</v>
      </c>
      <c r="AQ114" s="0" t="n">
        <v>0</v>
      </c>
      <c r="AR114" s="0" t="n">
        <v>0</v>
      </c>
      <c r="AS114" s="0" t="n">
        <v>1</v>
      </c>
      <c r="AT114" s="0" t="n">
        <v>0</v>
      </c>
      <c r="AU114" s="0" t="n">
        <v>3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M114" s="6" t="n">
        <f aca="false">IFERROR(VALUE(F114),"")</f>
        <v>361.86</v>
      </c>
      <c r="BN114" s="6" t="n">
        <f aca="false">IF(R114="-","",IFERROR(VALUE(LEFT(Q114,LEN(Q114)-2)),""))</f>
        <v>114.95</v>
      </c>
      <c r="BO114" s="6" t="n">
        <f aca="false">IF(R114="-","",IFERROR(VALUE(LEFT(R114,LEN(R114)-5)),""))</f>
        <v>3.15</v>
      </c>
      <c r="BP114" s="6" t="n">
        <f aca="false">IF(R114="-","",IFERROR(VALUE(F114),""))</f>
        <v>361.86</v>
      </c>
      <c r="BQ114" s="4" t="n">
        <f aca="false">IF(R114="-",1,0)</f>
        <v>0</v>
      </c>
    </row>
    <row r="115" customFormat="false" ht="15" hidden="false" customHeight="false" outlineLevel="0" collapsed="false">
      <c r="A115" s="0" t="s">
        <v>530</v>
      </c>
      <c r="B115" s="0" t="s">
        <v>531</v>
      </c>
      <c r="C115" s="0" t="s">
        <v>70</v>
      </c>
      <c r="D115" s="0" t="s">
        <v>538</v>
      </c>
      <c r="E115" s="3" t="n">
        <v>46274</v>
      </c>
      <c r="F115" s="4" t="s">
        <v>539</v>
      </c>
      <c r="G115" s="5" t="n">
        <v>0.691238425925926</v>
      </c>
      <c r="H115" s="5" t="n">
        <v>0.586631944444444</v>
      </c>
      <c r="I115" s="5" t="n">
        <v>0.00375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5" t="n">
        <v>0</v>
      </c>
      <c r="P115" s="5" t="n">
        <v>0</v>
      </c>
      <c r="Q115" s="4" t="s">
        <v>540</v>
      </c>
      <c r="R115" s="4" t="s">
        <v>361</v>
      </c>
      <c r="S115" s="5" t="n">
        <v>0</v>
      </c>
      <c r="T115" s="5" t="n">
        <v>0.255208333333333</v>
      </c>
      <c r="U115" s="5" t="n">
        <v>0.292824074074074</v>
      </c>
      <c r="V115" s="5" t="n">
        <v>0.0493055555555556</v>
      </c>
      <c r="W115" s="5" t="n">
        <v>0.000115740740740741</v>
      </c>
      <c r="X115" s="5" t="n">
        <v>0</v>
      </c>
      <c r="Y115" s="5" t="n">
        <v>0</v>
      </c>
      <c r="Z115" s="0" t="n">
        <v>0</v>
      </c>
      <c r="AA115" s="0" t="n">
        <v>0</v>
      </c>
      <c r="AB115" s="0" t="n">
        <v>0</v>
      </c>
      <c r="AC115" s="4" t="s">
        <v>208</v>
      </c>
      <c r="AD115" s="4" t="s">
        <v>208</v>
      </c>
      <c r="AE115" s="4" t="s">
        <v>537</v>
      </c>
      <c r="AF115" s="4" t="s">
        <v>541</v>
      </c>
      <c r="AG115" s="5" t="n">
        <v>0.526516203703704</v>
      </c>
      <c r="AH115" s="5" t="n">
        <v>0.251064814814815</v>
      </c>
      <c r="AI115" s="5" t="n">
        <v>0</v>
      </c>
      <c r="AJ115" s="5" t="n">
        <v>0</v>
      </c>
      <c r="AK115" s="5" t="n">
        <v>0</v>
      </c>
      <c r="AL115" s="5" t="n">
        <v>0</v>
      </c>
      <c r="AM115" s="4" t="s">
        <v>78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6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M115" s="6" t="n">
        <f aca="false">IFERROR(VALUE(F115),"")</f>
        <v>360.19</v>
      </c>
      <c r="BN115" s="6" t="n">
        <f aca="false">IF(R115="-","",IFERROR(VALUE(LEFT(Q115,LEN(Q115)-2)),""))</f>
        <v>115.31</v>
      </c>
      <c r="BO115" s="6" t="n">
        <f aca="false">IF(R115="-","",IFERROR(VALUE(LEFT(R115,LEN(R115)-5)),""))</f>
        <v>3.12</v>
      </c>
      <c r="BP115" s="6" t="n">
        <f aca="false">IF(R115="-","",IFERROR(VALUE(F115),""))</f>
        <v>360.19</v>
      </c>
      <c r="BQ115" s="4" t="n">
        <f aca="false">IF(R115="-",1,0)</f>
        <v>0</v>
      </c>
    </row>
    <row r="116" customFormat="false" ht="15" hidden="false" customHeight="false" outlineLevel="0" collapsed="false">
      <c r="A116" s="0" t="s">
        <v>530</v>
      </c>
      <c r="B116" s="0" t="s">
        <v>531</v>
      </c>
      <c r="C116" s="0" t="s">
        <v>70</v>
      </c>
      <c r="D116" s="0" t="s">
        <v>542</v>
      </c>
      <c r="E116" s="3" t="n">
        <v>46275</v>
      </c>
      <c r="F116" s="4" t="s">
        <v>543</v>
      </c>
      <c r="G116" s="5" t="n">
        <v>0.612824074074074</v>
      </c>
      <c r="H116" s="5" t="n">
        <v>0.585416666666667</v>
      </c>
      <c r="I116" s="5" t="n">
        <v>0.00293981481481482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5" t="n">
        <v>0</v>
      </c>
      <c r="P116" s="5" t="n">
        <v>0</v>
      </c>
      <c r="Q116" s="4" t="s">
        <v>544</v>
      </c>
      <c r="R116" s="4" t="s">
        <v>545</v>
      </c>
      <c r="S116" s="5" t="n">
        <v>0.000115740740740741</v>
      </c>
      <c r="T116" s="5" t="n">
        <v>0.247800925925926</v>
      </c>
      <c r="U116" s="5" t="n">
        <v>0.281481481481482</v>
      </c>
      <c r="V116" s="5" t="n">
        <v>0.0601851851851852</v>
      </c>
      <c r="W116" s="5" t="n">
        <v>0</v>
      </c>
      <c r="X116" s="5" t="n">
        <v>0</v>
      </c>
      <c r="Y116" s="5" t="n">
        <v>0</v>
      </c>
      <c r="Z116" s="0" t="n">
        <v>0</v>
      </c>
      <c r="AA116" s="0" t="n">
        <v>0</v>
      </c>
      <c r="AB116" s="0" t="n">
        <v>0</v>
      </c>
      <c r="AC116" s="4" t="s">
        <v>208</v>
      </c>
      <c r="AD116" s="4" t="s">
        <v>208</v>
      </c>
      <c r="AE116" s="4" t="s">
        <v>541</v>
      </c>
      <c r="AF116" s="4" t="s">
        <v>546</v>
      </c>
      <c r="AG116" s="5" t="n">
        <v>0.530833333333333</v>
      </c>
      <c r="AH116" s="5" t="n">
        <v>0.166967592592593</v>
      </c>
      <c r="AI116" s="5" t="n">
        <v>0</v>
      </c>
      <c r="AJ116" s="5" t="n">
        <v>0</v>
      </c>
      <c r="AK116" s="5" t="n">
        <v>0</v>
      </c>
      <c r="AL116" s="5" t="n">
        <v>0</v>
      </c>
      <c r="AM116" s="4" t="s">
        <v>78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7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M116" s="6" t="n">
        <f aca="false">IFERROR(VALUE(F116),"")</f>
        <v>360.22</v>
      </c>
      <c r="BN116" s="6" t="n">
        <f aca="false">IF(R116="-","",IFERROR(VALUE(LEFT(Q116,LEN(Q116)-2)),""))</f>
        <v>117.94</v>
      </c>
      <c r="BO116" s="6" t="n">
        <f aca="false">IF(R116="-","",IFERROR(VALUE(LEFT(R116,LEN(R116)-5)),""))</f>
        <v>3.05</v>
      </c>
      <c r="BP116" s="6" t="n">
        <f aca="false">IF(R116="-","",IFERROR(VALUE(F116),""))</f>
        <v>360.22</v>
      </c>
      <c r="BQ116" s="4" t="n">
        <f aca="false">IF(R116="-",1,0)</f>
        <v>0</v>
      </c>
    </row>
    <row r="117" customFormat="false" ht="15" hidden="false" customHeight="false" outlineLevel="0" collapsed="false">
      <c r="A117" s="0" t="s">
        <v>530</v>
      </c>
      <c r="B117" s="0" t="s">
        <v>531</v>
      </c>
      <c r="C117" s="0" t="s">
        <v>70</v>
      </c>
      <c r="D117" s="0" t="s">
        <v>538</v>
      </c>
      <c r="E117" s="3" t="n">
        <v>46276</v>
      </c>
      <c r="F117" s="4" t="s">
        <v>547</v>
      </c>
      <c r="G117" s="5" t="n">
        <v>0.609409722222222</v>
      </c>
      <c r="H117" s="5" t="n">
        <v>0.556678240740741</v>
      </c>
      <c r="I117" s="5" t="n">
        <v>0.000949074074074074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5</v>
      </c>
      <c r="O117" s="5" t="n">
        <v>0</v>
      </c>
      <c r="P117" s="5" t="n">
        <v>0</v>
      </c>
      <c r="Q117" s="4" t="s">
        <v>548</v>
      </c>
      <c r="R117" s="4" t="s">
        <v>395</v>
      </c>
      <c r="S117" s="5" t="n">
        <v>0</v>
      </c>
      <c r="T117" s="5" t="n">
        <v>0.250578703703704</v>
      </c>
      <c r="U117" s="5" t="n">
        <v>0.269212962962963</v>
      </c>
      <c r="V117" s="5" t="n">
        <v>0.0709490740740741</v>
      </c>
      <c r="W117" s="5" t="n">
        <v>0</v>
      </c>
      <c r="X117" s="5" t="n">
        <v>0</v>
      </c>
      <c r="Y117" s="5" t="n">
        <v>0</v>
      </c>
      <c r="Z117" s="0" t="n">
        <v>0</v>
      </c>
      <c r="AA117" s="0" t="n">
        <v>0</v>
      </c>
      <c r="AB117" s="0" t="n">
        <v>0</v>
      </c>
      <c r="AC117" s="4" t="s">
        <v>208</v>
      </c>
      <c r="AD117" s="4" t="s">
        <v>208</v>
      </c>
      <c r="AE117" s="4" t="s">
        <v>546</v>
      </c>
      <c r="AF117" s="4" t="s">
        <v>549</v>
      </c>
      <c r="AG117" s="5" t="n">
        <v>0.524814814814815</v>
      </c>
      <c r="AH117" s="5" t="n">
        <v>0.183125</v>
      </c>
      <c r="AI117" s="5" t="n">
        <v>0</v>
      </c>
      <c r="AJ117" s="5" t="n">
        <v>0</v>
      </c>
      <c r="AK117" s="5" t="n">
        <v>0</v>
      </c>
      <c r="AL117" s="5" t="n">
        <v>0</v>
      </c>
      <c r="AM117" s="4" t="s">
        <v>78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6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M117" s="6" t="n">
        <f aca="false">IFERROR(VALUE(F117),"")</f>
        <v>360.09</v>
      </c>
      <c r="BN117" s="6" t="n">
        <f aca="false">IF(R117="-","",IFERROR(VALUE(LEFT(Q117,LEN(Q117)-2)),""))</f>
        <v>122.28</v>
      </c>
      <c r="BO117" s="6" t="n">
        <f aca="false">IF(R117="-","",IFERROR(VALUE(LEFT(R117,LEN(R117)-5)),""))</f>
        <v>2.94</v>
      </c>
      <c r="BP117" s="6" t="n">
        <f aca="false">IF(R117="-","",IFERROR(VALUE(F117),""))</f>
        <v>360.09</v>
      </c>
      <c r="BQ117" s="4" t="n">
        <f aca="false">IF(R117="-",1,0)</f>
        <v>0</v>
      </c>
    </row>
    <row r="118" customFormat="false" ht="15" hidden="false" customHeight="false" outlineLevel="0" collapsed="false">
      <c r="A118" s="0" t="s">
        <v>530</v>
      </c>
      <c r="B118" s="0" t="s">
        <v>531</v>
      </c>
      <c r="C118" s="0" t="s">
        <v>70</v>
      </c>
      <c r="D118" s="0" t="s">
        <v>550</v>
      </c>
      <c r="E118" s="3" t="n">
        <v>46277</v>
      </c>
      <c r="F118" s="4" t="s">
        <v>551</v>
      </c>
      <c r="G118" s="5" t="n">
        <v>0.322141203703704</v>
      </c>
      <c r="H118" s="5" t="n">
        <v>0.281273148148148</v>
      </c>
      <c r="I118" s="5" t="n">
        <v>0.000810185185185185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5</v>
      </c>
      <c r="O118" s="5" t="n">
        <v>0</v>
      </c>
      <c r="P118" s="5" t="n">
        <v>0</v>
      </c>
      <c r="Q118" s="4" t="s">
        <v>552</v>
      </c>
      <c r="R118" s="4" t="s">
        <v>553</v>
      </c>
      <c r="S118" s="5" t="n">
        <v>0</v>
      </c>
      <c r="T118" s="5" t="n">
        <v>0.117592592592593</v>
      </c>
      <c r="U118" s="5" t="n">
        <v>0.124305555555556</v>
      </c>
      <c r="V118" s="5" t="n">
        <v>0.0348842592592593</v>
      </c>
      <c r="W118" s="5" t="n">
        <v>0.000243055555555556</v>
      </c>
      <c r="X118" s="5" t="n">
        <v>0</v>
      </c>
      <c r="Y118" s="5" t="n">
        <v>0.000127314814814815</v>
      </c>
      <c r="Z118" s="0" t="n">
        <v>0</v>
      </c>
      <c r="AA118" s="0" t="n">
        <v>0</v>
      </c>
      <c r="AB118" s="0" t="n">
        <v>0</v>
      </c>
      <c r="AC118" s="4" t="s">
        <v>208</v>
      </c>
      <c r="AD118" s="4" t="s">
        <v>74</v>
      </c>
      <c r="AE118" s="4" t="s">
        <v>554</v>
      </c>
      <c r="AF118" s="4" t="s">
        <v>555</v>
      </c>
      <c r="AG118" s="5" t="n">
        <v>0.231898148148148</v>
      </c>
      <c r="AH118" s="5" t="n">
        <v>0.211377314814815</v>
      </c>
      <c r="AI118" s="5" t="n">
        <v>0</v>
      </c>
      <c r="AJ118" s="5" t="n">
        <v>0</v>
      </c>
      <c r="AK118" s="5" t="n">
        <v>0</v>
      </c>
      <c r="AL118" s="5" t="n">
        <v>0</v>
      </c>
      <c r="AM118" s="4" t="s">
        <v>78</v>
      </c>
      <c r="AN118" s="0" t="n">
        <v>0</v>
      </c>
      <c r="AO118" s="0" t="n">
        <v>3</v>
      </c>
      <c r="AP118" s="0" t="n">
        <v>0</v>
      </c>
      <c r="AQ118" s="0" t="n">
        <v>0</v>
      </c>
      <c r="AR118" s="0" t="n">
        <v>0</v>
      </c>
      <c r="AS118" s="0" t="n">
        <v>1</v>
      </c>
      <c r="AT118" s="0" t="n">
        <v>0</v>
      </c>
      <c r="AU118" s="0" t="n">
        <v>2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M118" s="6" t="n">
        <f aca="false">IFERROR(VALUE(F118),"")</f>
        <v>178.24</v>
      </c>
      <c r="BN118" s="6" t="n">
        <f aca="false">IF(R118="-","",IFERROR(VALUE(LEFT(Q118,LEN(Q118)-2)),""))</f>
        <v>58.13</v>
      </c>
      <c r="BO118" s="6" t="n">
        <f aca="false">IF(R118="-","",IFERROR(VALUE(LEFT(R118,LEN(R118)-5)),""))</f>
        <v>3.07</v>
      </c>
      <c r="BP118" s="6" t="n">
        <f aca="false">IF(R118="-","",IFERROR(VALUE(F118),""))</f>
        <v>178.24</v>
      </c>
      <c r="BQ118" s="4" t="n">
        <f aca="false">IF(R118="-",1,0)</f>
        <v>0</v>
      </c>
    </row>
    <row r="119" customFormat="false" ht="15" hidden="false" customHeight="false" outlineLevel="0" collapsed="false">
      <c r="A119" s="0" t="s">
        <v>530</v>
      </c>
      <c r="B119" s="0" t="s">
        <v>531</v>
      </c>
      <c r="C119" s="0" t="s">
        <v>70</v>
      </c>
      <c r="D119" s="0" t="s">
        <v>556</v>
      </c>
      <c r="E119" s="3" t="n">
        <v>46279</v>
      </c>
      <c r="F119" s="4" t="s">
        <v>557</v>
      </c>
      <c r="G119" s="5" t="n">
        <v>0.0116898148148148</v>
      </c>
      <c r="H119" s="5" t="n">
        <v>0.0116898148148148</v>
      </c>
      <c r="I119" s="5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5" t="n">
        <v>0</v>
      </c>
      <c r="P119" s="5" t="n">
        <v>0</v>
      </c>
      <c r="Q119" s="4" t="s">
        <v>558</v>
      </c>
      <c r="R119" s="4" t="s">
        <v>559</v>
      </c>
      <c r="S119" s="5" t="n">
        <v>0</v>
      </c>
      <c r="T119" s="5" t="n">
        <v>0.00891203703703704</v>
      </c>
      <c r="U119" s="5" t="n">
        <v>0.00196759259259259</v>
      </c>
      <c r="V119" s="5" t="n">
        <v>0.000462962962962963</v>
      </c>
      <c r="W119" s="5" t="n">
        <v>0.000115740740740741</v>
      </c>
      <c r="X119" s="5" t="n">
        <v>0</v>
      </c>
      <c r="Y119" s="5" t="n">
        <v>0</v>
      </c>
      <c r="Z119" s="0" t="n">
        <v>0</v>
      </c>
      <c r="AA119" s="0" t="n">
        <v>0</v>
      </c>
      <c r="AB119" s="0" t="n">
        <v>0</v>
      </c>
      <c r="AC119" s="4" t="s">
        <v>74</v>
      </c>
      <c r="AD119" s="4" t="s">
        <v>74</v>
      </c>
      <c r="AE119" s="4" t="s">
        <v>555</v>
      </c>
      <c r="AF119" s="4" t="s">
        <v>560</v>
      </c>
      <c r="AG119" s="5" t="n">
        <v>0.00253472222222222</v>
      </c>
      <c r="AH119" s="5" t="n">
        <v>0.00962962962962963</v>
      </c>
      <c r="AI119" s="5" t="n">
        <v>0</v>
      </c>
      <c r="AJ119" s="5" t="n">
        <v>0</v>
      </c>
      <c r="AK119" s="5" t="n">
        <v>0</v>
      </c>
      <c r="AL119" s="5" t="n">
        <v>0</v>
      </c>
      <c r="AM119" s="4" t="s">
        <v>78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M119" s="6" t="n">
        <f aca="false">IFERROR(VALUE(F119),"")</f>
        <v>0.1</v>
      </c>
      <c r="BN119" s="6" t="n">
        <f aca="false">IF(R119="-","",IFERROR(VALUE(LEFT(Q119,LEN(Q119)-2)),""))</f>
        <v>0.81</v>
      </c>
      <c r="BO119" s="6" t="n">
        <f aca="false">IF(R119="-","",IFERROR(VALUE(LEFT(R119,LEN(R119)-5)),""))</f>
        <v>0.12</v>
      </c>
      <c r="BP119" s="6" t="n">
        <f aca="false">IF(R119="-","",IFERROR(VALUE(F119),""))</f>
        <v>0.1</v>
      </c>
      <c r="BQ119" s="4" t="n">
        <f aca="false">IF(R119="-",1,0)</f>
        <v>0</v>
      </c>
    </row>
    <row r="120" customFormat="false" ht="15" hidden="false" customHeight="false" outlineLevel="0" collapsed="false">
      <c r="A120" s="0" t="s">
        <v>561</v>
      </c>
      <c r="B120" s="0" t="s">
        <v>562</v>
      </c>
      <c r="C120" s="0" t="s">
        <v>70</v>
      </c>
      <c r="E120" s="3" t="n">
        <v>46273</v>
      </c>
      <c r="F120" s="4" t="s">
        <v>563</v>
      </c>
      <c r="G120" s="5" t="n">
        <v>0.201631944444444</v>
      </c>
      <c r="H120" s="5" t="n">
        <v>0</v>
      </c>
      <c r="I120" s="5" t="n">
        <v>0.000601851851851852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5" t="n">
        <v>0</v>
      </c>
      <c r="P120" s="5" t="n">
        <v>0</v>
      </c>
      <c r="Q120" s="4" t="s">
        <v>564</v>
      </c>
      <c r="R120" s="4" t="s">
        <v>565</v>
      </c>
      <c r="S120" s="5" t="n">
        <v>0</v>
      </c>
      <c r="T120" s="5" t="n">
        <v>0.0577546296296296</v>
      </c>
      <c r="U120" s="5" t="n">
        <v>0.0616898148148148</v>
      </c>
      <c r="V120" s="5" t="n">
        <v>0.0322916666666667</v>
      </c>
      <c r="W120" s="5" t="n">
        <v>0</v>
      </c>
      <c r="X120" s="5" t="n">
        <v>0</v>
      </c>
      <c r="Y120" s="5" t="n">
        <v>0</v>
      </c>
      <c r="Z120" s="0" t="n">
        <v>0</v>
      </c>
      <c r="AA120" s="0" t="n">
        <v>0</v>
      </c>
      <c r="AB120" s="0" t="n">
        <v>0</v>
      </c>
      <c r="AC120" s="4" t="s">
        <v>208</v>
      </c>
      <c r="AD120" s="4" t="s">
        <v>208</v>
      </c>
      <c r="AE120" s="4" t="s">
        <v>566</v>
      </c>
      <c r="AF120" s="4" t="s">
        <v>567</v>
      </c>
      <c r="AG120" s="5" t="n">
        <v>0.138217592592593</v>
      </c>
      <c r="AH120" s="5" t="n">
        <v>0.128125</v>
      </c>
      <c r="AI120" s="5" t="n">
        <v>0</v>
      </c>
      <c r="AJ120" s="5" t="n">
        <v>0</v>
      </c>
      <c r="AK120" s="5" t="n">
        <v>0</v>
      </c>
      <c r="AL120" s="5" t="n">
        <v>0</v>
      </c>
      <c r="AM120" s="4" t="s">
        <v>78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1</v>
      </c>
      <c r="BD120" s="0" t="n">
        <v>5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M120" s="6" t="n">
        <f aca="false">IFERROR(VALUE(F120),"")</f>
        <v>94.74</v>
      </c>
      <c r="BN120" s="6" t="n">
        <f aca="false">IF(R120="-","",IFERROR(VALUE(LEFT(Q120,LEN(Q120)-2)),""))</f>
        <v>21.89</v>
      </c>
      <c r="BO120" s="6" t="n">
        <f aca="false">IF(R120="-","",IFERROR(VALUE(LEFT(R120,LEN(R120)-5)),""))</f>
        <v>4.33</v>
      </c>
      <c r="BP120" s="6" t="n">
        <f aca="false">IF(R120="-","",IFERROR(VALUE(F120),""))</f>
        <v>94.74</v>
      </c>
      <c r="BQ120" s="4" t="n">
        <f aca="false">IF(R120="-",1,0)</f>
        <v>0</v>
      </c>
    </row>
    <row r="121" customFormat="false" ht="15" hidden="false" customHeight="false" outlineLevel="0" collapsed="false">
      <c r="A121" s="0" t="s">
        <v>561</v>
      </c>
      <c r="B121" s="0" t="s">
        <v>562</v>
      </c>
      <c r="C121" s="0" t="s">
        <v>70</v>
      </c>
      <c r="E121" s="3" t="n">
        <v>46274</v>
      </c>
      <c r="F121" s="4" t="s">
        <v>568</v>
      </c>
      <c r="G121" s="5" t="n">
        <v>0.380486111111111</v>
      </c>
      <c r="H121" s="5" t="n">
        <v>0</v>
      </c>
      <c r="I121" s="5" t="n">
        <v>0.000902777777777778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5" t="n">
        <v>0</v>
      </c>
      <c r="P121" s="5" t="n">
        <v>0</v>
      </c>
      <c r="Q121" s="4" t="s">
        <v>569</v>
      </c>
      <c r="R121" s="4" t="s">
        <v>570</v>
      </c>
      <c r="S121" s="5" t="n">
        <v>0</v>
      </c>
      <c r="T121" s="5" t="n">
        <v>0.0414351851851852</v>
      </c>
      <c r="U121" s="5" t="n">
        <v>0.0521990740740741</v>
      </c>
      <c r="V121" s="5" t="n">
        <v>0.0118055555555556</v>
      </c>
      <c r="W121" s="5" t="n">
        <v>0</v>
      </c>
      <c r="X121" s="5" t="n">
        <v>0</v>
      </c>
      <c r="Y121" s="5" t="n">
        <v>0</v>
      </c>
      <c r="Z121" s="0" t="n">
        <v>0</v>
      </c>
      <c r="AA121" s="0" t="n">
        <v>0</v>
      </c>
      <c r="AB121" s="0" t="n">
        <v>0</v>
      </c>
      <c r="AC121" s="4" t="s">
        <v>208</v>
      </c>
      <c r="AD121" s="4" t="s">
        <v>208</v>
      </c>
      <c r="AE121" s="4" t="s">
        <v>567</v>
      </c>
      <c r="AF121" s="4" t="s">
        <v>571</v>
      </c>
      <c r="AG121" s="5" t="n">
        <v>0.085787037037037</v>
      </c>
      <c r="AH121" s="5" t="n">
        <v>0.346122685185185</v>
      </c>
      <c r="AI121" s="5" t="n">
        <v>0</v>
      </c>
      <c r="AJ121" s="5" t="n">
        <v>0</v>
      </c>
      <c r="AK121" s="5" t="n">
        <v>0</v>
      </c>
      <c r="AL121" s="5" t="n">
        <v>0</v>
      </c>
      <c r="AM121" s="4" t="s">
        <v>78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2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M121" s="6" t="n">
        <f aca="false">IFERROR(VALUE(F121),"")</f>
        <v>40.2</v>
      </c>
      <c r="BN121" s="6" t="n">
        <f aca="false">IF(R121="-","",IFERROR(VALUE(LEFT(Q121,LEN(Q121)-2)),""))</f>
        <v>11.17</v>
      </c>
      <c r="BO121" s="6" t="n">
        <f aca="false">IF(R121="-","",IFERROR(VALUE(LEFT(R121,LEN(R121)-5)),""))</f>
        <v>3.6</v>
      </c>
      <c r="BP121" s="6" t="n">
        <f aca="false">IF(R121="-","",IFERROR(VALUE(F121),""))</f>
        <v>40.2</v>
      </c>
      <c r="BQ121" s="4" t="n">
        <f aca="false">IF(R121="-",1,0)</f>
        <v>0</v>
      </c>
    </row>
    <row r="122" customFormat="false" ht="15" hidden="false" customHeight="false" outlineLevel="0" collapsed="false">
      <c r="A122" s="0" t="s">
        <v>561</v>
      </c>
      <c r="B122" s="0" t="s">
        <v>562</v>
      </c>
      <c r="C122" s="0" t="s">
        <v>70</v>
      </c>
      <c r="E122" s="3" t="n">
        <v>46275</v>
      </c>
      <c r="F122" s="4" t="s">
        <v>572</v>
      </c>
      <c r="G122" s="5" t="n">
        <v>0.212523148148148</v>
      </c>
      <c r="H122" s="5" t="n">
        <v>0</v>
      </c>
      <c r="I122" s="5" t="n">
        <v>0.000428240740740741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11</v>
      </c>
      <c r="O122" s="5" t="n">
        <v>0</v>
      </c>
      <c r="P122" s="5" t="n">
        <v>0</v>
      </c>
      <c r="Q122" s="4" t="s">
        <v>573</v>
      </c>
      <c r="R122" s="4" t="s">
        <v>574</v>
      </c>
      <c r="S122" s="5" t="n">
        <v>0</v>
      </c>
      <c r="T122" s="5" t="n">
        <v>0.0768518518518519</v>
      </c>
      <c r="U122" s="5" t="n">
        <v>0.0850694444444445</v>
      </c>
      <c r="V122" s="5" t="n">
        <v>0.040625</v>
      </c>
      <c r="W122" s="5" t="n">
        <v>0</v>
      </c>
      <c r="X122" s="5" t="n">
        <v>0</v>
      </c>
      <c r="Y122" s="5" t="n">
        <v>0</v>
      </c>
      <c r="Z122" s="0" t="n">
        <v>0</v>
      </c>
      <c r="AA122" s="0" t="n">
        <v>0</v>
      </c>
      <c r="AB122" s="0" t="n">
        <v>0</v>
      </c>
      <c r="AC122" s="4" t="s">
        <v>208</v>
      </c>
      <c r="AD122" s="4" t="s">
        <v>208</v>
      </c>
      <c r="AE122" s="4" t="s">
        <v>571</v>
      </c>
      <c r="AF122" s="4" t="s">
        <v>575</v>
      </c>
      <c r="AG122" s="5" t="n">
        <v>0.185266203703704</v>
      </c>
      <c r="AH122" s="5" t="n">
        <v>0.105416666666667</v>
      </c>
      <c r="AI122" s="5" t="n">
        <v>0</v>
      </c>
      <c r="AJ122" s="5" t="n">
        <v>0</v>
      </c>
      <c r="AK122" s="5" t="n">
        <v>0</v>
      </c>
      <c r="AL122" s="5" t="n">
        <v>0</v>
      </c>
      <c r="AM122" s="4" t="s">
        <v>78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1</v>
      </c>
      <c r="BC122" s="0" t="n">
        <v>0</v>
      </c>
      <c r="BD122" s="0" t="n">
        <v>2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M122" s="6" t="n">
        <f aca="false">IFERROR(VALUE(F122),"")</f>
        <v>110.99</v>
      </c>
      <c r="BN122" s="6" t="n">
        <f aca="false">IF(R122="-","",IFERROR(VALUE(LEFT(Q122,LEN(Q122)-2)),""))</f>
        <v>27.72</v>
      </c>
      <c r="BO122" s="6" t="n">
        <f aca="false">IF(R122="-","",IFERROR(VALUE(LEFT(R122,LEN(R122)-5)),""))</f>
        <v>4</v>
      </c>
      <c r="BP122" s="6" t="n">
        <f aca="false">IF(R122="-","",IFERROR(VALUE(F122),""))</f>
        <v>110.99</v>
      </c>
      <c r="BQ122" s="4" t="n">
        <f aca="false">IF(R122="-",1,0)</f>
        <v>0</v>
      </c>
    </row>
    <row r="123" customFormat="false" ht="15" hidden="false" customHeight="false" outlineLevel="0" collapsed="false">
      <c r="A123" s="0" t="s">
        <v>561</v>
      </c>
      <c r="B123" s="0" t="s">
        <v>562</v>
      </c>
      <c r="C123" s="0" t="s">
        <v>70</v>
      </c>
      <c r="E123" s="3" t="n">
        <v>46276</v>
      </c>
      <c r="F123" s="4" t="s">
        <v>576</v>
      </c>
      <c r="G123" s="5" t="n">
        <v>0.123969907407407</v>
      </c>
      <c r="H123" s="5" t="n">
        <v>0</v>
      </c>
      <c r="I123" s="5" t="n">
        <v>9.25925925925926E-005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5" t="n">
        <v>0</v>
      </c>
      <c r="P123" s="5" t="n">
        <v>0</v>
      </c>
      <c r="Q123" s="4" t="s">
        <v>577</v>
      </c>
      <c r="R123" s="4" t="s">
        <v>578</v>
      </c>
      <c r="S123" s="5" t="n">
        <v>0</v>
      </c>
      <c r="T123" s="5" t="n">
        <v>0.0398148148148148</v>
      </c>
      <c r="U123" s="5" t="n">
        <v>0.0578703703703704</v>
      </c>
      <c r="V123" s="5" t="n">
        <v>0.0229166666666667</v>
      </c>
      <c r="W123" s="5" t="n">
        <v>0</v>
      </c>
      <c r="X123" s="5" t="n">
        <v>0</v>
      </c>
      <c r="Y123" s="5" t="n">
        <v>0</v>
      </c>
      <c r="Z123" s="0" t="n">
        <v>0</v>
      </c>
      <c r="AA123" s="0" t="n">
        <v>0</v>
      </c>
      <c r="AB123" s="0" t="n">
        <v>0</v>
      </c>
      <c r="AC123" s="4" t="s">
        <v>208</v>
      </c>
      <c r="AD123" s="4" t="s">
        <v>208</v>
      </c>
      <c r="AE123" s="4" t="s">
        <v>575</v>
      </c>
      <c r="AF123" s="4" t="s">
        <v>579</v>
      </c>
      <c r="AG123" s="5" t="n">
        <v>0.107094907407407</v>
      </c>
      <c r="AH123" s="5" t="n">
        <v>0.093275462962963</v>
      </c>
      <c r="AI123" s="5" t="n">
        <v>0</v>
      </c>
      <c r="AJ123" s="5" t="n">
        <v>0</v>
      </c>
      <c r="AK123" s="5" t="n">
        <v>0</v>
      </c>
      <c r="AL123" s="5" t="n">
        <v>0</v>
      </c>
      <c r="AM123" s="4" t="s">
        <v>78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4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2</v>
      </c>
      <c r="BD123" s="0" t="n">
        <v>4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M123" s="6" t="n">
        <f aca="false">IFERROR(VALUE(F123),"")</f>
        <v>60.56</v>
      </c>
      <c r="BN123" s="6" t="n">
        <f aca="false">IF(R123="-","",IFERROR(VALUE(LEFT(Q123,LEN(Q123)-2)),""))</f>
        <v>16.14</v>
      </c>
      <c r="BO123" s="6" t="n">
        <f aca="false">IF(R123="-","",IFERROR(VALUE(LEFT(R123,LEN(R123)-5)),""))</f>
        <v>3.75</v>
      </c>
      <c r="BP123" s="6" t="n">
        <f aca="false">IF(R123="-","",IFERROR(VALUE(F123),""))</f>
        <v>60.56</v>
      </c>
      <c r="BQ123" s="4" t="n">
        <f aca="false">IF(R123="-",1,0)</f>
        <v>0</v>
      </c>
    </row>
    <row r="124" customFormat="false" ht="15" hidden="false" customHeight="false" outlineLevel="0" collapsed="false">
      <c r="A124" s="0" t="s">
        <v>561</v>
      </c>
      <c r="B124" s="0" t="s">
        <v>562</v>
      </c>
      <c r="C124" s="0" t="s">
        <v>70</v>
      </c>
      <c r="D124" s="0" t="s">
        <v>580</v>
      </c>
      <c r="E124" s="3" t="n">
        <v>46277</v>
      </c>
      <c r="F124" s="4" t="s">
        <v>581</v>
      </c>
      <c r="G124" s="5" t="n">
        <v>0.331712962962963</v>
      </c>
      <c r="H124" s="5" t="n">
        <v>0.218483796296296</v>
      </c>
      <c r="I124" s="5" t="n">
        <v>0.00469907407407407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17</v>
      </c>
      <c r="O124" s="5" t="n">
        <v>0</v>
      </c>
      <c r="P124" s="5" t="n">
        <v>0</v>
      </c>
      <c r="Q124" s="4" t="s">
        <v>582</v>
      </c>
      <c r="R124" s="4" t="s">
        <v>574</v>
      </c>
      <c r="S124" s="5" t="n">
        <v>0</v>
      </c>
      <c r="T124" s="5" t="n">
        <v>0.084837962962963</v>
      </c>
      <c r="U124" s="5" t="n">
        <v>0.128356481481482</v>
      </c>
      <c r="V124" s="5" t="n">
        <v>0.112847222222222</v>
      </c>
      <c r="W124" s="5" t="n">
        <v>0.00115740740740741</v>
      </c>
      <c r="X124" s="5" t="n">
        <v>0</v>
      </c>
      <c r="Y124" s="5" t="n">
        <v>0</v>
      </c>
      <c r="Z124" s="0" t="n">
        <v>0</v>
      </c>
      <c r="AA124" s="0" t="n">
        <v>0</v>
      </c>
      <c r="AB124" s="0" t="n">
        <v>0</v>
      </c>
      <c r="AC124" s="4" t="s">
        <v>208</v>
      </c>
      <c r="AD124" s="4" t="s">
        <v>208</v>
      </c>
      <c r="AE124" s="4" t="s">
        <v>579</v>
      </c>
      <c r="AF124" s="4" t="s">
        <v>583</v>
      </c>
      <c r="AG124" s="5" t="n">
        <v>0.309965277777778</v>
      </c>
      <c r="AH124" s="5" t="n">
        <v>0.0827777777777778</v>
      </c>
      <c r="AI124" s="5" t="n">
        <v>0</v>
      </c>
      <c r="AJ124" s="5" t="n">
        <v>0</v>
      </c>
      <c r="AK124" s="5" t="n">
        <v>0</v>
      </c>
      <c r="AL124" s="5" t="n">
        <v>0</v>
      </c>
      <c r="AM124" s="4" t="s">
        <v>78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7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4</v>
      </c>
      <c r="BC124" s="0" t="n">
        <v>5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M124" s="6" t="n">
        <f aca="false">IFERROR(VALUE(F124),"")</f>
        <v>235.43</v>
      </c>
      <c r="BN124" s="6" t="n">
        <f aca="false">IF(R124="-","",IFERROR(VALUE(LEFT(Q124,LEN(Q124)-2)),""))</f>
        <v>58.79</v>
      </c>
      <c r="BO124" s="6" t="n">
        <f aca="false">IF(R124="-","",IFERROR(VALUE(LEFT(R124,LEN(R124)-5)),""))</f>
        <v>4</v>
      </c>
      <c r="BP124" s="6" t="n">
        <f aca="false">IF(R124="-","",IFERROR(VALUE(F124),""))</f>
        <v>235.43</v>
      </c>
      <c r="BQ124" s="4" t="n">
        <f aca="false">IF(R124="-",1,0)</f>
        <v>0</v>
      </c>
    </row>
    <row r="125" customFormat="false" ht="15" hidden="false" customHeight="false" outlineLevel="0" collapsed="false">
      <c r="A125" s="0" t="s">
        <v>561</v>
      </c>
      <c r="B125" s="0" t="s">
        <v>562</v>
      </c>
      <c r="C125" s="0" t="s">
        <v>70</v>
      </c>
      <c r="D125" s="0" t="s">
        <v>584</v>
      </c>
      <c r="E125" s="3" t="n">
        <v>46278</v>
      </c>
      <c r="F125" s="4" t="s">
        <v>585</v>
      </c>
      <c r="G125" s="5" t="n">
        <v>0.173761574074074</v>
      </c>
      <c r="H125" s="5" t="n">
        <v>0.163171296296296</v>
      </c>
      <c r="I125" s="5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5" t="n">
        <v>0</v>
      </c>
      <c r="P125" s="5" t="n">
        <v>0.0148726851851852</v>
      </c>
      <c r="Q125" s="4" t="s">
        <v>586</v>
      </c>
      <c r="R125" s="4" t="s">
        <v>587</v>
      </c>
      <c r="S125" s="5" t="n">
        <v>0</v>
      </c>
      <c r="T125" s="5" t="n">
        <v>0.0601851851851852</v>
      </c>
      <c r="U125" s="5" t="n">
        <v>0.0957175925925926</v>
      </c>
      <c r="V125" s="5" t="n">
        <v>0.0149305555555556</v>
      </c>
      <c r="W125" s="5" t="n">
        <v>0</v>
      </c>
      <c r="X125" s="5" t="n">
        <v>0</v>
      </c>
      <c r="Y125" s="5" t="n">
        <v>0</v>
      </c>
      <c r="Z125" s="0" t="n">
        <v>0</v>
      </c>
      <c r="AA125" s="0" t="n">
        <v>0</v>
      </c>
      <c r="AB125" s="0" t="n">
        <v>0</v>
      </c>
      <c r="AC125" s="4" t="s">
        <v>208</v>
      </c>
      <c r="AD125" s="4" t="s">
        <v>208</v>
      </c>
      <c r="AE125" s="4" t="s">
        <v>583</v>
      </c>
      <c r="AF125" s="4" t="s">
        <v>588</v>
      </c>
      <c r="AG125" s="5" t="n">
        <v>0.153842592592593</v>
      </c>
      <c r="AH125" s="5" t="n">
        <v>0.0804282407407407</v>
      </c>
      <c r="AI125" s="5" t="n">
        <v>0</v>
      </c>
      <c r="AJ125" s="5" t="n">
        <v>0</v>
      </c>
      <c r="AK125" s="5" t="n">
        <v>0</v>
      </c>
      <c r="AL125" s="5" t="n">
        <v>0</v>
      </c>
      <c r="AM125" s="4" t="s">
        <v>78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2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M125" s="6" t="n">
        <f aca="false">IFERROR(VALUE(F125),"")</f>
        <v>82.15</v>
      </c>
      <c r="BN125" s="6" t="n">
        <f aca="false">IF(R125="-","",IFERROR(VALUE(LEFT(Q125,LEN(Q125)-2)),""))</f>
        <v>19.1</v>
      </c>
      <c r="BO125" s="6" t="n">
        <f aca="false">IF(R125="-","",IFERROR(VALUE(LEFT(R125,LEN(R125)-5)),""))</f>
        <v>4.3</v>
      </c>
      <c r="BP125" s="6" t="n">
        <f aca="false">IF(R125="-","",IFERROR(VALUE(F125),""))</f>
        <v>82.15</v>
      </c>
      <c r="BQ125" s="4" t="n">
        <f aca="false">IF(R125="-",1,0)</f>
        <v>0</v>
      </c>
    </row>
    <row r="126" customFormat="false" ht="15" hidden="false" customHeight="false" outlineLevel="0" collapsed="false">
      <c r="A126" s="0" t="s">
        <v>561</v>
      </c>
      <c r="B126" s="0" t="s">
        <v>562</v>
      </c>
      <c r="C126" s="0" t="s">
        <v>70</v>
      </c>
      <c r="D126" s="0" t="s">
        <v>589</v>
      </c>
      <c r="E126" s="3" t="n">
        <v>46279</v>
      </c>
      <c r="F126" s="4" t="s">
        <v>590</v>
      </c>
      <c r="G126" s="5" t="n">
        <v>0.289965277777778</v>
      </c>
      <c r="H126" s="5" t="n">
        <v>0.282349537037037</v>
      </c>
      <c r="I126" s="5" t="n">
        <v>0.000949074074074074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7</v>
      </c>
      <c r="O126" s="5" t="n">
        <v>0</v>
      </c>
      <c r="P126" s="5" t="n">
        <v>0</v>
      </c>
      <c r="Q126" s="4" t="s">
        <v>591</v>
      </c>
      <c r="R126" s="4" t="s">
        <v>592</v>
      </c>
      <c r="S126" s="5" t="n">
        <v>0</v>
      </c>
      <c r="T126" s="5" t="n">
        <v>0.110763888888889</v>
      </c>
      <c r="U126" s="5" t="n">
        <v>0.135648148148148</v>
      </c>
      <c r="V126" s="5" t="n">
        <v>0.0366898148148148</v>
      </c>
      <c r="W126" s="5" t="n">
        <v>0</v>
      </c>
      <c r="X126" s="5" t="n">
        <v>0</v>
      </c>
      <c r="Y126" s="5" t="n">
        <v>0</v>
      </c>
      <c r="Z126" s="0" t="n">
        <v>0</v>
      </c>
      <c r="AA126" s="0" t="n">
        <v>0</v>
      </c>
      <c r="AB126" s="0" t="n">
        <v>0</v>
      </c>
      <c r="AC126" s="4" t="s">
        <v>208</v>
      </c>
      <c r="AD126" s="4" t="s">
        <v>593</v>
      </c>
      <c r="AE126" s="4" t="s">
        <v>588</v>
      </c>
      <c r="AF126" s="4" t="s">
        <v>594</v>
      </c>
      <c r="AG126" s="5" t="n">
        <v>0.255219907407407</v>
      </c>
      <c r="AH126" s="5" t="n">
        <v>0.140289351851852</v>
      </c>
      <c r="AI126" s="5" t="n">
        <v>0</v>
      </c>
      <c r="AJ126" s="5" t="n">
        <v>0</v>
      </c>
      <c r="AK126" s="5" t="n">
        <v>0</v>
      </c>
      <c r="AL126" s="5" t="n">
        <v>0</v>
      </c>
      <c r="AM126" s="4" t="s">
        <v>78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  <c r="AU126" s="0" t="n">
        <v>6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4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M126" s="6" t="n">
        <f aca="false">IFERROR(VALUE(F126),"")</f>
        <v>136.9</v>
      </c>
      <c r="BN126" s="6" t="n">
        <f aca="false">IF(R126="-","",IFERROR(VALUE(LEFT(Q126,LEN(Q126)-2)),""))</f>
        <v>35.83</v>
      </c>
      <c r="BO126" s="6" t="n">
        <f aca="false">IF(R126="-","",IFERROR(VALUE(LEFT(R126,LEN(R126)-5)),""))</f>
        <v>3.82</v>
      </c>
      <c r="BP126" s="6" t="n">
        <f aca="false">IF(R126="-","",IFERROR(VALUE(F126),""))</f>
        <v>136.9</v>
      </c>
      <c r="BQ126" s="4" t="n">
        <f aca="false">IF(R126="-",1,0)</f>
        <v>0</v>
      </c>
    </row>
    <row r="127" customFormat="false" ht="15" hidden="false" customHeight="false" outlineLevel="0" collapsed="false">
      <c r="A127" s="0" t="s">
        <v>595</v>
      </c>
      <c r="B127" s="0" t="s">
        <v>596</v>
      </c>
      <c r="C127" s="0" t="s">
        <v>70</v>
      </c>
      <c r="E127" s="3" t="n">
        <v>46273</v>
      </c>
      <c r="F127" s="4" t="s">
        <v>597</v>
      </c>
      <c r="G127" s="5" t="n">
        <v>0.162766203703704</v>
      </c>
      <c r="H127" s="5" t="n">
        <v>0</v>
      </c>
      <c r="I127" s="5" t="n">
        <v>0.0338078703703704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5" t="n">
        <v>0</v>
      </c>
      <c r="P127" s="5" t="n">
        <v>0.015150462962963</v>
      </c>
      <c r="Q127" s="4" t="s">
        <v>73</v>
      </c>
      <c r="R127" s="4" t="s">
        <v>73</v>
      </c>
      <c r="S127" s="5" t="n">
        <v>0</v>
      </c>
      <c r="T127" s="5" t="n">
        <v>0.0770833333333333</v>
      </c>
      <c r="U127" s="5" t="n">
        <v>0.0471064814814815</v>
      </c>
      <c r="V127" s="5" t="n">
        <v>0.0354166666666667</v>
      </c>
      <c r="W127" s="5" t="n">
        <v>0</v>
      </c>
      <c r="X127" s="5" t="n">
        <v>0</v>
      </c>
      <c r="Y127" s="5" t="n">
        <v>0</v>
      </c>
      <c r="Z127" s="0" t="n">
        <v>0</v>
      </c>
      <c r="AA127" s="0" t="n">
        <v>0</v>
      </c>
      <c r="AB127" s="0" t="n">
        <v>0</v>
      </c>
      <c r="AC127" s="4" t="s">
        <v>598</v>
      </c>
      <c r="AD127" s="4" t="s">
        <v>599</v>
      </c>
      <c r="AE127" s="4" t="s">
        <v>600</v>
      </c>
      <c r="AF127" s="4" t="s">
        <v>601</v>
      </c>
      <c r="AG127" s="5" t="n">
        <v>0.128194444444444</v>
      </c>
      <c r="AH127" s="5" t="n">
        <v>0.0622685185185185</v>
      </c>
      <c r="AI127" s="5" t="n">
        <v>0</v>
      </c>
      <c r="AJ127" s="5" t="n">
        <v>0</v>
      </c>
      <c r="AK127" s="5" t="n">
        <v>0</v>
      </c>
      <c r="AL127" s="5" t="n">
        <v>0</v>
      </c>
      <c r="AM127" s="4" t="s">
        <v>78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M127" s="6" t="n">
        <f aca="false">IFERROR(VALUE(F127),"")</f>
        <v>142.89</v>
      </c>
      <c r="BN127" s="6" t="str">
        <f aca="false">IF(R127="-","",IFERROR(VALUE(LEFT(Q127,LEN(Q127)-2)),""))</f>
        <v/>
      </c>
      <c r="BO127" s="6" t="str">
        <f aca="false">IF(R127="-","",IFERROR(VALUE(LEFT(R127,LEN(R127)-5)),""))</f>
        <v/>
      </c>
      <c r="BP127" s="6" t="str">
        <f aca="false">IF(R127="-","",IFERROR(VALUE(F127),""))</f>
        <v/>
      </c>
      <c r="BQ127" s="4" t="n">
        <f aca="false">IF(R127="-",1,0)</f>
        <v>1</v>
      </c>
    </row>
    <row r="128" customFormat="false" ht="15" hidden="false" customHeight="false" outlineLevel="0" collapsed="false">
      <c r="A128" s="0" t="s">
        <v>595</v>
      </c>
      <c r="B128" s="0" t="s">
        <v>596</v>
      </c>
      <c r="C128" s="0" t="s">
        <v>70</v>
      </c>
      <c r="E128" s="3" t="n">
        <v>46274</v>
      </c>
      <c r="F128" s="4" t="s">
        <v>602</v>
      </c>
      <c r="G128" s="5" t="n">
        <v>0.160532407407407</v>
      </c>
      <c r="H128" s="5" t="n">
        <v>0</v>
      </c>
      <c r="I128" s="5" t="n">
        <v>0.027025462962963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5" t="n">
        <v>0</v>
      </c>
      <c r="P128" s="5" t="n">
        <v>0</v>
      </c>
      <c r="Q128" s="4" t="s">
        <v>73</v>
      </c>
      <c r="R128" s="4" t="s">
        <v>73</v>
      </c>
      <c r="S128" s="5" t="n">
        <v>0</v>
      </c>
      <c r="T128" s="5" t="n">
        <v>0.0709490740740741</v>
      </c>
      <c r="U128" s="5" t="n">
        <v>0.05625</v>
      </c>
      <c r="V128" s="5" t="n">
        <v>0.0290509259259259</v>
      </c>
      <c r="W128" s="5" t="n">
        <v>0</v>
      </c>
      <c r="X128" s="5" t="n">
        <v>0</v>
      </c>
      <c r="Y128" s="5" t="n">
        <v>0</v>
      </c>
      <c r="Z128" s="0" t="n">
        <v>0</v>
      </c>
      <c r="AA128" s="0" t="n">
        <v>0</v>
      </c>
      <c r="AB128" s="0" t="n">
        <v>0</v>
      </c>
      <c r="AC128" s="4" t="s">
        <v>598</v>
      </c>
      <c r="AD128" s="4" t="s">
        <v>599</v>
      </c>
      <c r="AE128" s="4" t="s">
        <v>601</v>
      </c>
      <c r="AF128" s="4" t="s">
        <v>603</v>
      </c>
      <c r="AG128" s="5" t="n">
        <v>0.129675925925926</v>
      </c>
      <c r="AH128" s="5" t="n">
        <v>0.0658680555555556</v>
      </c>
      <c r="AI128" s="5" t="n">
        <v>0</v>
      </c>
      <c r="AJ128" s="5" t="n">
        <v>0</v>
      </c>
      <c r="AK128" s="5" t="n">
        <v>0</v>
      </c>
      <c r="AL128" s="5" t="n">
        <v>0</v>
      </c>
      <c r="AM128" s="4" t="s">
        <v>78</v>
      </c>
      <c r="AN128" s="0" t="n">
        <v>0</v>
      </c>
      <c r="AO128" s="0" t="n">
        <v>1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M128" s="6" t="n">
        <f aca="false">IFERROR(VALUE(F128),"")</f>
        <v>142.78</v>
      </c>
      <c r="BN128" s="6" t="str">
        <f aca="false">IF(R128="-","",IFERROR(VALUE(LEFT(Q128,LEN(Q128)-2)),""))</f>
        <v/>
      </c>
      <c r="BO128" s="6" t="str">
        <f aca="false">IF(R128="-","",IFERROR(VALUE(LEFT(R128,LEN(R128)-5)),""))</f>
        <v/>
      </c>
      <c r="BP128" s="6" t="str">
        <f aca="false">IF(R128="-","",IFERROR(VALUE(F128),""))</f>
        <v/>
      </c>
      <c r="BQ128" s="4" t="n">
        <f aca="false">IF(R128="-",1,0)</f>
        <v>1</v>
      </c>
    </row>
    <row r="129" customFormat="false" ht="15" hidden="false" customHeight="false" outlineLevel="0" collapsed="false">
      <c r="A129" s="0" t="s">
        <v>595</v>
      </c>
      <c r="B129" s="0" t="s">
        <v>596</v>
      </c>
      <c r="C129" s="0" t="s">
        <v>70</v>
      </c>
      <c r="D129" s="0" t="s">
        <v>604</v>
      </c>
      <c r="E129" s="3" t="n">
        <v>46275</v>
      </c>
      <c r="F129" s="4" t="s">
        <v>605</v>
      </c>
      <c r="G129" s="5" t="n">
        <v>0.3290625</v>
      </c>
      <c r="H129" s="5" t="n">
        <v>0.267638888888889</v>
      </c>
      <c r="I129" s="5" t="n">
        <v>0.0275810185185185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5" t="n">
        <v>0</v>
      </c>
      <c r="P129" s="5" t="n">
        <v>0</v>
      </c>
      <c r="Q129" s="4" t="s">
        <v>73</v>
      </c>
      <c r="R129" s="4" t="s">
        <v>73</v>
      </c>
      <c r="S129" s="5" t="n">
        <v>0.000231481481481482</v>
      </c>
      <c r="T129" s="5" t="n">
        <v>0.109143518518519</v>
      </c>
      <c r="U129" s="5" t="n">
        <v>0.123263888888889</v>
      </c>
      <c r="V129" s="5" t="n">
        <v>0.0614583333333333</v>
      </c>
      <c r="W129" s="5" t="n">
        <v>0</v>
      </c>
      <c r="X129" s="5" t="n">
        <v>0</v>
      </c>
      <c r="Y129" s="5" t="n">
        <v>0</v>
      </c>
      <c r="Z129" s="0" t="n">
        <v>0</v>
      </c>
      <c r="AA129" s="0" t="n">
        <v>0</v>
      </c>
      <c r="AB129" s="0" t="n">
        <v>0</v>
      </c>
      <c r="AC129" s="4" t="s">
        <v>599</v>
      </c>
      <c r="AD129" s="4" t="s">
        <v>75</v>
      </c>
      <c r="AE129" s="4" t="s">
        <v>603</v>
      </c>
      <c r="AF129" s="4" t="s">
        <v>606</v>
      </c>
      <c r="AG129" s="5" t="n">
        <v>0.257326388888889</v>
      </c>
      <c r="AH129" s="5" t="n">
        <v>0.19818287037037</v>
      </c>
      <c r="AI129" s="5" t="n">
        <v>0</v>
      </c>
      <c r="AJ129" s="5" t="n">
        <v>0</v>
      </c>
      <c r="AK129" s="5" t="n">
        <v>0</v>
      </c>
      <c r="AL129" s="5" t="n">
        <v>0</v>
      </c>
      <c r="AM129" s="4" t="s">
        <v>78</v>
      </c>
      <c r="AN129" s="0" t="n">
        <v>0</v>
      </c>
      <c r="AO129" s="0" t="n">
        <v>3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5</v>
      </c>
      <c r="AV129" s="0" t="n">
        <v>0</v>
      </c>
      <c r="AW129" s="0" t="n">
        <v>1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M129" s="6" t="n">
        <f aca="false">IFERROR(VALUE(F129),"")</f>
        <v>295.85</v>
      </c>
      <c r="BN129" s="6" t="str">
        <f aca="false">IF(R129="-","",IFERROR(VALUE(LEFT(Q129,LEN(Q129)-2)),""))</f>
        <v/>
      </c>
      <c r="BO129" s="6" t="str">
        <f aca="false">IF(R129="-","",IFERROR(VALUE(LEFT(R129,LEN(R129)-5)),""))</f>
        <v/>
      </c>
      <c r="BP129" s="6" t="str">
        <f aca="false">IF(R129="-","",IFERROR(VALUE(F129),""))</f>
        <v/>
      </c>
      <c r="BQ129" s="4" t="n">
        <f aca="false">IF(R129="-",1,0)</f>
        <v>1</v>
      </c>
    </row>
    <row r="130" customFormat="false" ht="15" hidden="false" customHeight="false" outlineLevel="0" collapsed="false">
      <c r="A130" s="0" t="s">
        <v>595</v>
      </c>
      <c r="B130" s="0" t="s">
        <v>596</v>
      </c>
      <c r="C130" s="0" t="s">
        <v>70</v>
      </c>
      <c r="D130" s="0" t="s">
        <v>607</v>
      </c>
      <c r="E130" s="3" t="n">
        <v>46276</v>
      </c>
      <c r="F130" s="4" t="s">
        <v>608</v>
      </c>
      <c r="G130" s="5" t="n">
        <v>0.509571759259259</v>
      </c>
      <c r="H130" s="5" t="n">
        <v>0.489039351851852</v>
      </c>
      <c r="I130" s="5" t="n">
        <v>0.029837962962963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5" t="n">
        <v>0</v>
      </c>
      <c r="P130" s="5" t="n">
        <v>0.0108796296296296</v>
      </c>
      <c r="Q130" s="4" t="s">
        <v>73</v>
      </c>
      <c r="R130" s="4" t="s">
        <v>73</v>
      </c>
      <c r="S130" s="5" t="n">
        <v>0.000810185185185185</v>
      </c>
      <c r="T130" s="5" t="n">
        <v>0.197685185185185</v>
      </c>
      <c r="U130" s="5" t="n">
        <v>0.166782407407407</v>
      </c>
      <c r="V130" s="5" t="n">
        <v>0.1375</v>
      </c>
      <c r="W130" s="5" t="n">
        <v>0</v>
      </c>
      <c r="X130" s="5" t="n">
        <v>0</v>
      </c>
      <c r="Y130" s="5" t="n">
        <v>0</v>
      </c>
      <c r="Z130" s="0" t="n">
        <v>0</v>
      </c>
      <c r="AA130" s="0" t="n">
        <v>0</v>
      </c>
      <c r="AB130" s="0" t="n">
        <v>0</v>
      </c>
      <c r="AC130" s="4" t="s">
        <v>75</v>
      </c>
      <c r="AD130" s="4" t="s">
        <v>74</v>
      </c>
      <c r="AE130" s="4" t="s">
        <v>606</v>
      </c>
      <c r="AF130" s="4" t="s">
        <v>609</v>
      </c>
      <c r="AG130" s="5" t="n">
        <v>0.437650462962963</v>
      </c>
      <c r="AH130" s="5" t="n">
        <v>0.162256944444444</v>
      </c>
      <c r="AI130" s="5" t="n">
        <v>0</v>
      </c>
      <c r="AJ130" s="5" t="n">
        <v>0</v>
      </c>
      <c r="AK130" s="5" t="n">
        <v>0</v>
      </c>
      <c r="AL130" s="5" t="n">
        <v>0</v>
      </c>
      <c r="AM130" s="4" t="s">
        <v>78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5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M130" s="6" t="n">
        <f aca="false">IFERROR(VALUE(F130),"")</f>
        <v>506.02</v>
      </c>
      <c r="BN130" s="6" t="str">
        <f aca="false">IF(R130="-","",IFERROR(VALUE(LEFT(Q130,LEN(Q130)-2)),""))</f>
        <v/>
      </c>
      <c r="BO130" s="6" t="str">
        <f aca="false">IF(R130="-","",IFERROR(VALUE(LEFT(R130,LEN(R130)-5)),""))</f>
        <v/>
      </c>
      <c r="BP130" s="6" t="str">
        <f aca="false">IF(R130="-","",IFERROR(VALUE(F130),""))</f>
        <v/>
      </c>
      <c r="BQ130" s="4" t="n">
        <f aca="false">IF(R130="-",1,0)</f>
        <v>1</v>
      </c>
    </row>
    <row r="131" customFormat="false" ht="15" hidden="false" customHeight="false" outlineLevel="0" collapsed="false">
      <c r="A131" s="0" t="s">
        <v>610</v>
      </c>
      <c r="B131" s="0" t="s">
        <v>611</v>
      </c>
      <c r="C131" s="0" t="s">
        <v>70</v>
      </c>
      <c r="D131" s="0" t="s">
        <v>612</v>
      </c>
      <c r="E131" s="3" t="n">
        <v>46273</v>
      </c>
      <c r="F131" s="4" t="s">
        <v>613</v>
      </c>
      <c r="G131" s="5" t="n">
        <v>0.0226388888888889</v>
      </c>
      <c r="H131" s="5" t="n">
        <v>0.0140972222222222</v>
      </c>
      <c r="I131" s="5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5" t="n">
        <v>0</v>
      </c>
      <c r="P131" s="5" t="n">
        <v>0</v>
      </c>
      <c r="Q131" s="4" t="s">
        <v>73</v>
      </c>
      <c r="R131" s="4" t="s">
        <v>73</v>
      </c>
      <c r="S131" s="5" t="n">
        <v>0</v>
      </c>
      <c r="T131" s="5" t="n">
        <v>0.0125</v>
      </c>
      <c r="U131" s="5" t="n">
        <v>0.00671296296296296</v>
      </c>
      <c r="V131" s="5" t="n">
        <v>0.000347222222222222</v>
      </c>
      <c r="W131" s="5" t="n">
        <v>0</v>
      </c>
      <c r="X131" s="5" t="n">
        <v>0</v>
      </c>
      <c r="Y131" s="5" t="n">
        <v>0</v>
      </c>
      <c r="Z131" s="0" t="n">
        <v>0</v>
      </c>
      <c r="AA131" s="0" t="n">
        <v>0</v>
      </c>
      <c r="AB131" s="0" t="n">
        <v>0</v>
      </c>
      <c r="AC131" s="4" t="s">
        <v>152</v>
      </c>
      <c r="AD131" s="4" t="s">
        <v>614</v>
      </c>
      <c r="AE131" s="4" t="s">
        <v>615</v>
      </c>
      <c r="AF131" s="4" t="s">
        <v>616</v>
      </c>
      <c r="AG131" s="5" t="n">
        <v>0.0126041666666667</v>
      </c>
      <c r="AH131" s="5" t="n">
        <v>0.0298726851851852</v>
      </c>
      <c r="AI131" s="5" t="n">
        <v>0</v>
      </c>
      <c r="AJ131" s="5" t="n">
        <v>0</v>
      </c>
      <c r="AK131" s="5" t="n">
        <v>0</v>
      </c>
      <c r="AL131" s="5" t="n">
        <v>0</v>
      </c>
      <c r="AM131" s="4" t="s">
        <v>78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M131" s="6" t="n">
        <f aca="false">IFERROR(VALUE(F131),"")</f>
        <v>6.78</v>
      </c>
      <c r="BN131" s="6" t="str">
        <f aca="false">IF(R131="-","",IFERROR(VALUE(LEFT(Q131,LEN(Q131)-2)),""))</f>
        <v/>
      </c>
      <c r="BO131" s="6" t="str">
        <f aca="false">IF(R131="-","",IFERROR(VALUE(LEFT(R131,LEN(R131)-5)),""))</f>
        <v/>
      </c>
      <c r="BP131" s="6" t="str">
        <f aca="false">IF(R131="-","",IFERROR(VALUE(F131),""))</f>
        <v/>
      </c>
      <c r="BQ131" s="4" t="n">
        <f aca="false">IF(R131="-",1,0)</f>
        <v>1</v>
      </c>
    </row>
    <row r="132" customFormat="false" ht="15" hidden="false" customHeight="false" outlineLevel="0" collapsed="false">
      <c r="A132" s="0" t="s">
        <v>610</v>
      </c>
      <c r="B132" s="0" t="s">
        <v>611</v>
      </c>
      <c r="C132" s="0" t="s">
        <v>70</v>
      </c>
      <c r="D132" s="0" t="s">
        <v>617</v>
      </c>
      <c r="E132" s="3" t="n">
        <v>46274</v>
      </c>
      <c r="F132" s="4" t="s">
        <v>618</v>
      </c>
      <c r="G132" s="5" t="n">
        <v>0.214398148148148</v>
      </c>
      <c r="H132" s="5" t="n">
        <v>0.213668981481482</v>
      </c>
      <c r="I132" s="5" t="n">
        <v>0.0174074074074074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5</v>
      </c>
      <c r="O132" s="5" t="n">
        <v>0</v>
      </c>
      <c r="P132" s="5" t="n">
        <v>0</v>
      </c>
      <c r="Q132" s="4" t="s">
        <v>73</v>
      </c>
      <c r="R132" s="4" t="s">
        <v>73</v>
      </c>
      <c r="S132" s="5" t="n">
        <v>0</v>
      </c>
      <c r="T132" s="5" t="n">
        <v>0.0648148148148148</v>
      </c>
      <c r="U132" s="5" t="n">
        <v>0.090162037037037</v>
      </c>
      <c r="V132" s="5" t="n">
        <v>0.0568287037037037</v>
      </c>
      <c r="W132" s="5" t="n">
        <v>0</v>
      </c>
      <c r="X132" s="5" t="n">
        <v>0</v>
      </c>
      <c r="Y132" s="5" t="n">
        <v>0</v>
      </c>
      <c r="Z132" s="0" t="n">
        <v>0</v>
      </c>
      <c r="AA132" s="0" t="n">
        <v>0</v>
      </c>
      <c r="AB132" s="0" t="n">
        <v>0</v>
      </c>
      <c r="AC132" s="4" t="s">
        <v>614</v>
      </c>
      <c r="AD132" s="4" t="s">
        <v>614</v>
      </c>
      <c r="AE132" s="4" t="s">
        <v>616</v>
      </c>
      <c r="AF132" s="4" t="s">
        <v>619</v>
      </c>
      <c r="AG132" s="5" t="n">
        <v>0.19337962962963</v>
      </c>
      <c r="AH132" s="5" t="n">
        <v>0.0958564814814815</v>
      </c>
      <c r="AI132" s="5" t="n">
        <v>0</v>
      </c>
      <c r="AJ132" s="5" t="n">
        <v>0</v>
      </c>
      <c r="AK132" s="5" t="n">
        <v>0</v>
      </c>
      <c r="AL132" s="5" t="n">
        <v>0</v>
      </c>
      <c r="AM132" s="4" t="s">
        <v>78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2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M132" s="6" t="n">
        <f aca="false">IFERROR(VALUE(F132),"")</f>
        <v>220.23</v>
      </c>
      <c r="BN132" s="6" t="str">
        <f aca="false">IF(R132="-","",IFERROR(VALUE(LEFT(Q132,LEN(Q132)-2)),""))</f>
        <v/>
      </c>
      <c r="BO132" s="6" t="str">
        <f aca="false">IF(R132="-","",IFERROR(VALUE(LEFT(R132,LEN(R132)-5)),""))</f>
        <v/>
      </c>
      <c r="BP132" s="6" t="str">
        <f aca="false">IF(R132="-","",IFERROR(VALUE(F132),""))</f>
        <v/>
      </c>
      <c r="BQ132" s="4" t="n">
        <f aca="false">IF(R132="-",1,0)</f>
        <v>1</v>
      </c>
    </row>
    <row r="133" customFormat="false" ht="15" hidden="false" customHeight="false" outlineLevel="0" collapsed="false">
      <c r="A133" s="0" t="s">
        <v>610</v>
      </c>
      <c r="B133" s="0" t="s">
        <v>611</v>
      </c>
      <c r="C133" s="0" t="s">
        <v>70</v>
      </c>
      <c r="D133" s="0" t="s">
        <v>620</v>
      </c>
      <c r="E133" s="3" t="n">
        <v>46275</v>
      </c>
      <c r="F133" s="4" t="s">
        <v>621</v>
      </c>
      <c r="G133" s="5" t="n">
        <v>0.313263888888889</v>
      </c>
      <c r="H133" s="5" t="n">
        <v>0.102708333333333</v>
      </c>
      <c r="I133" s="5" t="n">
        <v>0.0209953703703704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5" t="n">
        <v>0</v>
      </c>
      <c r="P133" s="5" t="n">
        <v>0</v>
      </c>
      <c r="Q133" s="4" t="s">
        <v>73</v>
      </c>
      <c r="R133" s="4" t="s">
        <v>73</v>
      </c>
      <c r="S133" s="5" t="n">
        <v>0</v>
      </c>
      <c r="T133" s="5" t="n">
        <v>0.0981481481481482</v>
      </c>
      <c r="U133" s="5" t="n">
        <v>0.14849537037037</v>
      </c>
      <c r="V133" s="5" t="n">
        <v>0.0605324074074074</v>
      </c>
      <c r="W133" s="5" t="n">
        <v>0</v>
      </c>
      <c r="X133" s="5" t="n">
        <v>0</v>
      </c>
      <c r="Y133" s="5" t="n">
        <v>0</v>
      </c>
      <c r="Z133" s="0" t="n">
        <v>0</v>
      </c>
      <c r="AA133" s="0" t="n">
        <v>0</v>
      </c>
      <c r="AB133" s="0" t="n">
        <v>0</v>
      </c>
      <c r="AC133" s="4" t="s">
        <v>614</v>
      </c>
      <c r="AD133" s="4" t="s">
        <v>614</v>
      </c>
      <c r="AE133" s="4" t="s">
        <v>619</v>
      </c>
      <c r="AF133" s="4" t="s">
        <v>622</v>
      </c>
      <c r="AG133" s="5" t="n">
        <v>0.279988425925926</v>
      </c>
      <c r="AH133" s="5" t="n">
        <v>0.109039351851852</v>
      </c>
      <c r="AI133" s="5" t="n">
        <v>0</v>
      </c>
      <c r="AJ133" s="5" t="n">
        <v>0</v>
      </c>
      <c r="AK133" s="5" t="n">
        <v>0</v>
      </c>
      <c r="AL133" s="5" t="n">
        <v>0</v>
      </c>
      <c r="AM133" s="4" t="s">
        <v>78</v>
      </c>
      <c r="AN133" s="0" t="n">
        <v>0</v>
      </c>
      <c r="AO133" s="0" t="n">
        <v>1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1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M133" s="6" t="n">
        <f aca="false">IFERROR(VALUE(F133),"")</f>
        <v>313.44</v>
      </c>
      <c r="BN133" s="6" t="str">
        <f aca="false">IF(R133="-","",IFERROR(VALUE(LEFT(Q133,LEN(Q133)-2)),""))</f>
        <v/>
      </c>
      <c r="BO133" s="6" t="str">
        <f aca="false">IF(R133="-","",IFERROR(VALUE(LEFT(R133,LEN(R133)-5)),""))</f>
        <v/>
      </c>
      <c r="BP133" s="6" t="str">
        <f aca="false">IF(R133="-","",IFERROR(VALUE(F133),""))</f>
        <v/>
      </c>
      <c r="BQ133" s="4" t="n">
        <f aca="false">IF(R133="-",1,0)</f>
        <v>1</v>
      </c>
    </row>
    <row r="134" customFormat="false" ht="15" hidden="false" customHeight="false" outlineLevel="0" collapsed="false">
      <c r="A134" s="0" t="s">
        <v>610</v>
      </c>
      <c r="B134" s="0" t="s">
        <v>611</v>
      </c>
      <c r="C134" s="0" t="s">
        <v>70</v>
      </c>
      <c r="D134" s="0" t="s">
        <v>623</v>
      </c>
      <c r="E134" s="3" t="n">
        <v>46276</v>
      </c>
      <c r="F134" s="4" t="s">
        <v>624</v>
      </c>
      <c r="G134" s="5" t="n">
        <v>0.321666666666667</v>
      </c>
      <c r="H134" s="5" t="n">
        <v>0.210324074074074</v>
      </c>
      <c r="I134" s="5" t="n">
        <v>0.0358449074074074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5" t="n">
        <v>0</v>
      </c>
      <c r="P134" s="5" t="n">
        <v>0</v>
      </c>
      <c r="Q134" s="4" t="s">
        <v>73</v>
      </c>
      <c r="R134" s="4" t="s">
        <v>73</v>
      </c>
      <c r="S134" s="5" t="n">
        <v>0.000115740740740741</v>
      </c>
      <c r="T134" s="5" t="n">
        <v>0.112037037037037</v>
      </c>
      <c r="U134" s="5" t="n">
        <v>0.107986111111111</v>
      </c>
      <c r="V134" s="5" t="n">
        <v>0.0965277777777778</v>
      </c>
      <c r="W134" s="5" t="n">
        <v>0</v>
      </c>
      <c r="X134" s="5" t="n">
        <v>0</v>
      </c>
      <c r="Y134" s="5" t="n">
        <v>0</v>
      </c>
      <c r="Z134" s="0" t="n">
        <v>0</v>
      </c>
      <c r="AA134" s="0" t="n">
        <v>0</v>
      </c>
      <c r="AB134" s="0" t="n">
        <v>0</v>
      </c>
      <c r="AC134" s="4" t="s">
        <v>614</v>
      </c>
      <c r="AD134" s="4" t="s">
        <v>614</v>
      </c>
      <c r="AE134" s="4" t="s">
        <v>622</v>
      </c>
      <c r="AF134" s="4" t="s">
        <v>625</v>
      </c>
      <c r="AG134" s="5" t="n">
        <v>0.277511574074074</v>
      </c>
      <c r="AH134" s="5" t="n">
        <v>0.126863425925926</v>
      </c>
      <c r="AI134" s="5" t="n">
        <v>0</v>
      </c>
      <c r="AJ134" s="5" t="n">
        <v>0</v>
      </c>
      <c r="AK134" s="5" t="n">
        <v>0</v>
      </c>
      <c r="AL134" s="5" t="n">
        <v>0</v>
      </c>
      <c r="AM134" s="4" t="s">
        <v>78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1</v>
      </c>
      <c r="AU134" s="0" t="n">
        <v>1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M134" s="6" t="n">
        <f aca="false">IFERROR(VALUE(F134),"")</f>
        <v>313.6</v>
      </c>
      <c r="BN134" s="6" t="str">
        <f aca="false">IF(R134="-","",IFERROR(VALUE(LEFT(Q134,LEN(Q134)-2)),""))</f>
        <v/>
      </c>
      <c r="BO134" s="6" t="str">
        <f aca="false">IF(R134="-","",IFERROR(VALUE(LEFT(R134,LEN(R134)-5)),""))</f>
        <v/>
      </c>
      <c r="BP134" s="6" t="str">
        <f aca="false">IF(R134="-","",IFERROR(VALUE(F134),""))</f>
        <v/>
      </c>
      <c r="BQ134" s="4" t="n">
        <f aca="false">IF(R134="-",1,0)</f>
        <v>1</v>
      </c>
    </row>
    <row r="135" customFormat="false" ht="15" hidden="false" customHeight="false" outlineLevel="0" collapsed="false">
      <c r="A135" s="0" t="s">
        <v>610</v>
      </c>
      <c r="B135" s="0" t="s">
        <v>611</v>
      </c>
      <c r="C135" s="0" t="s">
        <v>70</v>
      </c>
      <c r="E135" s="3" t="n">
        <v>46277</v>
      </c>
      <c r="F135" s="4" t="s">
        <v>626</v>
      </c>
      <c r="G135" s="5" t="n">
        <v>0.0485532407407407</v>
      </c>
      <c r="H135" s="5" t="n">
        <v>0</v>
      </c>
      <c r="I135" s="5" t="n">
        <v>0.0021412037037037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5" t="n">
        <v>0</v>
      </c>
      <c r="P135" s="5" t="n">
        <v>0</v>
      </c>
      <c r="Q135" s="4" t="s">
        <v>73</v>
      </c>
      <c r="R135" s="4" t="s">
        <v>73</v>
      </c>
      <c r="S135" s="5" t="n">
        <v>0</v>
      </c>
      <c r="T135" s="5" t="n">
        <v>0.0126157407407407</v>
      </c>
      <c r="U135" s="5" t="n">
        <v>0.0197916666666667</v>
      </c>
      <c r="V135" s="5" t="n">
        <v>0.015625</v>
      </c>
      <c r="W135" s="5" t="n">
        <v>0</v>
      </c>
      <c r="X135" s="5" t="n">
        <v>0</v>
      </c>
      <c r="Y135" s="5" t="n">
        <v>0</v>
      </c>
      <c r="Z135" s="0" t="n">
        <v>0</v>
      </c>
      <c r="AA135" s="0" t="n">
        <v>0</v>
      </c>
      <c r="AB135" s="0" t="n">
        <v>0</v>
      </c>
      <c r="AC135" s="4" t="s">
        <v>614</v>
      </c>
      <c r="AD135" s="4" t="s">
        <v>627</v>
      </c>
      <c r="AE135" s="4" t="s">
        <v>625</v>
      </c>
      <c r="AF135" s="4" t="s">
        <v>628</v>
      </c>
      <c r="AG135" s="5" t="n">
        <v>0.0459259259259259</v>
      </c>
      <c r="AH135" s="5" t="n">
        <v>0.0223842592592593</v>
      </c>
      <c r="AI135" s="5" t="n">
        <v>0</v>
      </c>
      <c r="AJ135" s="5" t="n">
        <v>0</v>
      </c>
      <c r="AK135" s="5" t="n">
        <v>0</v>
      </c>
      <c r="AL135" s="5" t="n">
        <v>0</v>
      </c>
      <c r="AM135" s="4" t="s">
        <v>78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M135" s="6" t="n">
        <f aca="false">IFERROR(VALUE(F135),"")</f>
        <v>52.29</v>
      </c>
      <c r="BN135" s="6" t="str">
        <f aca="false">IF(R135="-","",IFERROR(VALUE(LEFT(Q135,LEN(Q135)-2)),""))</f>
        <v/>
      </c>
      <c r="BO135" s="6" t="str">
        <f aca="false">IF(R135="-","",IFERROR(VALUE(LEFT(R135,LEN(R135)-5)),""))</f>
        <v/>
      </c>
      <c r="BP135" s="6" t="str">
        <f aca="false">IF(R135="-","",IFERROR(VALUE(F135),""))</f>
        <v/>
      </c>
      <c r="BQ135" s="4" t="n">
        <f aca="false">IF(R135="-",1,0)</f>
        <v>1</v>
      </c>
    </row>
    <row r="136" customFormat="false" ht="15" hidden="false" customHeight="false" outlineLevel="0" collapsed="false">
      <c r="A136" s="0" t="s">
        <v>610</v>
      </c>
      <c r="B136" s="0" t="s">
        <v>611</v>
      </c>
      <c r="C136" s="0" t="s">
        <v>70</v>
      </c>
      <c r="E136" s="3" t="n">
        <v>46278</v>
      </c>
      <c r="F136" s="4" t="s">
        <v>629</v>
      </c>
      <c r="G136" s="5" t="n">
        <v>0.0706365740740741</v>
      </c>
      <c r="H136" s="5" t="n">
        <v>0</v>
      </c>
      <c r="I136" s="5" t="n">
        <v>0.0106712962962963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5" t="n">
        <v>0</v>
      </c>
      <c r="P136" s="5" t="n">
        <v>0</v>
      </c>
      <c r="Q136" s="4" t="s">
        <v>73</v>
      </c>
      <c r="R136" s="4" t="s">
        <v>73</v>
      </c>
      <c r="S136" s="5" t="n">
        <v>0</v>
      </c>
      <c r="T136" s="5" t="n">
        <v>0.0215277777777778</v>
      </c>
      <c r="U136" s="5" t="n">
        <v>0.0296296296296296</v>
      </c>
      <c r="V136" s="5" t="n">
        <v>0.018287037037037</v>
      </c>
      <c r="W136" s="5" t="n">
        <v>0</v>
      </c>
      <c r="X136" s="5" t="n">
        <v>0</v>
      </c>
      <c r="Y136" s="5" t="n">
        <v>0</v>
      </c>
      <c r="Z136" s="0" t="n">
        <v>0</v>
      </c>
      <c r="AA136" s="0" t="n">
        <v>0</v>
      </c>
      <c r="AB136" s="0" t="n">
        <v>0</v>
      </c>
      <c r="AC136" s="4" t="s">
        <v>627</v>
      </c>
      <c r="AD136" s="4" t="s">
        <v>614</v>
      </c>
      <c r="AE136" s="4" t="s">
        <v>628</v>
      </c>
      <c r="AF136" s="4" t="s">
        <v>630</v>
      </c>
      <c r="AG136" s="5" t="n">
        <v>0.0616203703703704</v>
      </c>
      <c r="AH136" s="5" t="n">
        <v>0.00945601851851852</v>
      </c>
      <c r="AI136" s="5" t="n">
        <v>0</v>
      </c>
      <c r="AJ136" s="5" t="n">
        <v>0</v>
      </c>
      <c r="AK136" s="5" t="n">
        <v>0</v>
      </c>
      <c r="AL136" s="5" t="n">
        <v>0</v>
      </c>
      <c r="AM136" s="4" t="s">
        <v>78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1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M136" s="6" t="n">
        <f aca="false">IFERROR(VALUE(F136),"")</f>
        <v>73.26</v>
      </c>
      <c r="BN136" s="6" t="str">
        <f aca="false">IF(R136="-","",IFERROR(VALUE(LEFT(Q136,LEN(Q136)-2)),""))</f>
        <v/>
      </c>
      <c r="BO136" s="6" t="str">
        <f aca="false">IF(R136="-","",IFERROR(VALUE(LEFT(R136,LEN(R136)-5)),""))</f>
        <v/>
      </c>
      <c r="BP136" s="6" t="str">
        <f aca="false">IF(R136="-","",IFERROR(VALUE(F136),""))</f>
        <v/>
      </c>
      <c r="BQ136" s="4" t="n">
        <f aca="false">IF(R136="-",1,0)</f>
        <v>1</v>
      </c>
    </row>
    <row r="137" customFormat="false" ht="15" hidden="false" customHeight="false" outlineLevel="0" collapsed="false">
      <c r="A137" s="0" t="s">
        <v>610</v>
      </c>
      <c r="B137" s="0" t="s">
        <v>611</v>
      </c>
      <c r="C137" s="0" t="s">
        <v>70</v>
      </c>
      <c r="D137" s="0" t="s">
        <v>631</v>
      </c>
      <c r="E137" s="3" t="n">
        <v>46279</v>
      </c>
      <c r="F137" s="4" t="s">
        <v>632</v>
      </c>
      <c r="G137" s="5" t="n">
        <v>0.324571759259259</v>
      </c>
      <c r="H137" s="5" t="n">
        <v>0.180844907407407</v>
      </c>
      <c r="I137" s="5" t="n">
        <v>0.0368402777777778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5" t="n">
        <v>0</v>
      </c>
      <c r="P137" s="5" t="n">
        <v>0.0180555555555556</v>
      </c>
      <c r="Q137" s="4" t="s">
        <v>73</v>
      </c>
      <c r="R137" s="4" t="s">
        <v>73</v>
      </c>
      <c r="S137" s="5" t="n">
        <v>0</v>
      </c>
      <c r="T137" s="5" t="n">
        <v>0.113773148148148</v>
      </c>
      <c r="U137" s="5" t="n">
        <v>0.12974537037037</v>
      </c>
      <c r="V137" s="5" t="n">
        <v>0.0769675925925926</v>
      </c>
      <c r="W137" s="5" t="n">
        <v>0</v>
      </c>
      <c r="X137" s="5" t="n">
        <v>0</v>
      </c>
      <c r="Y137" s="5" t="n">
        <v>0</v>
      </c>
      <c r="Z137" s="0" t="n">
        <v>0</v>
      </c>
      <c r="AA137" s="0" t="n">
        <v>0</v>
      </c>
      <c r="AB137" s="0" t="n">
        <v>0</v>
      </c>
      <c r="AC137" s="4" t="s">
        <v>614</v>
      </c>
      <c r="AD137" s="4" t="s">
        <v>614</v>
      </c>
      <c r="AE137" s="4" t="s">
        <v>630</v>
      </c>
      <c r="AF137" s="4" t="s">
        <v>633</v>
      </c>
      <c r="AG137" s="5" t="n">
        <v>0.278043981481482</v>
      </c>
      <c r="AH137" s="5" t="n">
        <v>0.150150462962963</v>
      </c>
      <c r="AI137" s="5" t="n">
        <v>0</v>
      </c>
      <c r="AJ137" s="5" t="n">
        <v>0</v>
      </c>
      <c r="AK137" s="5" t="n">
        <v>0</v>
      </c>
      <c r="AL137" s="5" t="n">
        <v>0</v>
      </c>
      <c r="AM137" s="4" t="s">
        <v>78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1</v>
      </c>
      <c r="AV137" s="0" t="n">
        <v>0</v>
      </c>
      <c r="AW137" s="0" t="n">
        <v>1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M137" s="6" t="n">
        <f aca="false">IFERROR(VALUE(F137),"")</f>
        <v>312.16</v>
      </c>
      <c r="BN137" s="6" t="str">
        <f aca="false">IF(R137="-","",IFERROR(VALUE(LEFT(Q137,LEN(Q137)-2)),""))</f>
        <v/>
      </c>
      <c r="BO137" s="6" t="str">
        <f aca="false">IF(R137="-","",IFERROR(VALUE(LEFT(R137,LEN(R137)-5)),""))</f>
        <v/>
      </c>
      <c r="BP137" s="6" t="str">
        <f aca="false">IF(R137="-","",IFERROR(VALUE(F137),""))</f>
        <v/>
      </c>
      <c r="BQ137" s="4" t="n">
        <f aca="false">IF(R137="-",1,0)</f>
        <v>1</v>
      </c>
    </row>
    <row r="138" customFormat="false" ht="15" hidden="false" customHeight="false" outlineLevel="0" collapsed="false">
      <c r="A138" s="0" t="s">
        <v>634</v>
      </c>
      <c r="B138" s="0" t="s">
        <v>635</v>
      </c>
      <c r="C138" s="0" t="s">
        <v>70</v>
      </c>
      <c r="D138" s="0" t="s">
        <v>631</v>
      </c>
      <c r="E138" s="3" t="n">
        <v>46273</v>
      </c>
      <c r="F138" s="4" t="s">
        <v>424</v>
      </c>
      <c r="G138" s="5" t="n">
        <v>0.285729166666667</v>
      </c>
      <c r="H138" s="5" t="n">
        <v>0.113969907407407</v>
      </c>
      <c r="I138" s="5" t="n">
        <v>0.0053587962962963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5" t="n">
        <v>0</v>
      </c>
      <c r="P138" s="5" t="n">
        <v>0.00717592592592593</v>
      </c>
      <c r="Q138" s="4" t="s">
        <v>73</v>
      </c>
      <c r="R138" s="4" t="s">
        <v>73</v>
      </c>
      <c r="S138" s="5" t="n">
        <v>0.000115740740740741</v>
      </c>
      <c r="T138" s="5" t="n">
        <v>0.0859953703703704</v>
      </c>
      <c r="U138" s="5" t="n">
        <v>0.121990740740741</v>
      </c>
      <c r="V138" s="5" t="n">
        <v>0.0670138888888889</v>
      </c>
      <c r="W138" s="5" t="n">
        <v>0</v>
      </c>
      <c r="X138" s="5" t="n">
        <v>0</v>
      </c>
      <c r="Y138" s="5" t="n">
        <v>0</v>
      </c>
      <c r="Z138" s="0" t="n">
        <v>0</v>
      </c>
      <c r="AA138" s="0" t="n">
        <v>0</v>
      </c>
      <c r="AB138" s="0" t="n">
        <v>0</v>
      </c>
      <c r="AC138" s="4" t="s">
        <v>614</v>
      </c>
      <c r="AD138" s="4" t="s">
        <v>614</v>
      </c>
      <c r="AE138" s="4" t="s">
        <v>636</v>
      </c>
      <c r="AF138" s="4" t="s">
        <v>637</v>
      </c>
      <c r="AG138" s="5" t="n">
        <v>0.256956018518519</v>
      </c>
      <c r="AH138" s="5" t="n">
        <v>0.0866435185185185</v>
      </c>
      <c r="AI138" s="5" t="n">
        <v>0</v>
      </c>
      <c r="AJ138" s="5" t="n">
        <v>0</v>
      </c>
      <c r="AK138" s="5" t="n">
        <v>0</v>
      </c>
      <c r="AL138" s="5" t="n">
        <v>0</v>
      </c>
      <c r="AM138" s="4" t="s">
        <v>78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1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M138" s="6" t="n">
        <f aca="false">IFERROR(VALUE(F138),"")</f>
        <v>306.02</v>
      </c>
      <c r="BN138" s="6" t="str">
        <f aca="false">IF(R138="-","",IFERROR(VALUE(LEFT(Q138,LEN(Q138)-2)),""))</f>
        <v/>
      </c>
      <c r="BO138" s="6" t="str">
        <f aca="false">IF(R138="-","",IFERROR(VALUE(LEFT(R138,LEN(R138)-5)),""))</f>
        <v/>
      </c>
      <c r="BP138" s="6" t="str">
        <f aca="false">IF(R138="-","",IFERROR(VALUE(F138),""))</f>
        <v/>
      </c>
      <c r="BQ138" s="4" t="n">
        <f aca="false">IF(R138="-",1,0)</f>
        <v>1</v>
      </c>
    </row>
    <row r="139" customFormat="false" ht="15" hidden="false" customHeight="false" outlineLevel="0" collapsed="false">
      <c r="A139" s="0" t="s">
        <v>634</v>
      </c>
      <c r="B139" s="0" t="s">
        <v>635</v>
      </c>
      <c r="C139" s="0" t="s">
        <v>70</v>
      </c>
      <c r="D139" s="0" t="s">
        <v>638</v>
      </c>
      <c r="E139" s="3" t="n">
        <v>46274</v>
      </c>
      <c r="F139" s="4" t="s">
        <v>639</v>
      </c>
      <c r="G139" s="5" t="n">
        <v>0.275277777777778</v>
      </c>
      <c r="H139" s="5" t="n">
        <v>0.17662037037037</v>
      </c>
      <c r="I139" s="5" t="n">
        <v>0.000428240740740741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5" t="n">
        <v>0</v>
      </c>
      <c r="P139" s="5" t="n">
        <v>0.00728009259259259</v>
      </c>
      <c r="Q139" s="4" t="s">
        <v>73</v>
      </c>
      <c r="R139" s="4" t="s">
        <v>73</v>
      </c>
      <c r="S139" s="5" t="n">
        <v>0</v>
      </c>
      <c r="T139" s="5" t="n">
        <v>0.104050925925926</v>
      </c>
      <c r="U139" s="5" t="n">
        <v>0.100115740740741</v>
      </c>
      <c r="V139" s="5" t="n">
        <v>0.0516203703703704</v>
      </c>
      <c r="W139" s="5" t="n">
        <v>0</v>
      </c>
      <c r="X139" s="5" t="n">
        <v>0</v>
      </c>
      <c r="Y139" s="5" t="n">
        <v>0</v>
      </c>
      <c r="Z139" s="0" t="n">
        <v>0</v>
      </c>
      <c r="AA139" s="0" t="n">
        <v>0</v>
      </c>
      <c r="AB139" s="0" t="n">
        <v>0</v>
      </c>
      <c r="AC139" s="4" t="s">
        <v>614</v>
      </c>
      <c r="AD139" s="4" t="s">
        <v>614</v>
      </c>
      <c r="AE139" s="4" t="s">
        <v>637</v>
      </c>
      <c r="AF139" s="4" t="s">
        <v>640</v>
      </c>
      <c r="AG139" s="5" t="n">
        <v>0.216296296296296</v>
      </c>
      <c r="AH139" s="5" t="n">
        <v>0.168356481481482</v>
      </c>
      <c r="AI139" s="5" t="n">
        <v>0</v>
      </c>
      <c r="AJ139" s="5" t="n">
        <v>0</v>
      </c>
      <c r="AK139" s="5" t="n">
        <v>0</v>
      </c>
      <c r="AL139" s="5" t="n">
        <v>0</v>
      </c>
      <c r="AM139" s="4" t="s">
        <v>78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M139" s="6" t="n">
        <f aca="false">IFERROR(VALUE(F139),"")</f>
        <v>226.56</v>
      </c>
      <c r="BN139" s="6" t="str">
        <f aca="false">IF(R139="-","",IFERROR(VALUE(LEFT(Q139,LEN(Q139)-2)),""))</f>
        <v/>
      </c>
      <c r="BO139" s="6" t="str">
        <f aca="false">IF(R139="-","",IFERROR(VALUE(LEFT(R139,LEN(R139)-5)),""))</f>
        <v/>
      </c>
      <c r="BP139" s="6" t="str">
        <f aca="false">IF(R139="-","",IFERROR(VALUE(F139),""))</f>
        <v/>
      </c>
      <c r="BQ139" s="4" t="n">
        <f aca="false">IF(R139="-",1,0)</f>
        <v>1</v>
      </c>
    </row>
    <row r="140" customFormat="false" ht="15" hidden="false" customHeight="false" outlineLevel="0" collapsed="false">
      <c r="A140" s="0" t="s">
        <v>634</v>
      </c>
      <c r="B140" s="0" t="s">
        <v>635</v>
      </c>
      <c r="C140" s="0" t="s">
        <v>70</v>
      </c>
      <c r="D140" s="0" t="s">
        <v>641</v>
      </c>
      <c r="E140" s="3" t="n">
        <v>46275</v>
      </c>
      <c r="F140" s="4" t="s">
        <v>642</v>
      </c>
      <c r="G140" s="5" t="n">
        <v>0.260451388888889</v>
      </c>
      <c r="H140" s="5" t="n">
        <v>0.118032407407407</v>
      </c>
      <c r="I140" s="5" t="n">
        <v>0.00103009259259259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5" t="n">
        <v>0</v>
      </c>
      <c r="P140" s="5" t="n">
        <v>0.0158796296296296</v>
      </c>
      <c r="Q140" s="4" t="s">
        <v>73</v>
      </c>
      <c r="R140" s="4" t="s">
        <v>73</v>
      </c>
      <c r="S140" s="5" t="n">
        <v>0</v>
      </c>
      <c r="T140" s="5" t="n">
        <v>0.0938657407407407</v>
      </c>
      <c r="U140" s="5" t="n">
        <v>0.106712962962963</v>
      </c>
      <c r="V140" s="5" t="n">
        <v>0.0430555555555556</v>
      </c>
      <c r="W140" s="5" t="n">
        <v>0</v>
      </c>
      <c r="X140" s="5" t="n">
        <v>0</v>
      </c>
      <c r="Y140" s="5" t="n">
        <v>0</v>
      </c>
      <c r="Z140" s="0" t="n">
        <v>0</v>
      </c>
      <c r="AA140" s="0" t="n">
        <v>0</v>
      </c>
      <c r="AB140" s="0" t="n">
        <v>0</v>
      </c>
      <c r="AC140" s="4" t="s">
        <v>614</v>
      </c>
      <c r="AD140" s="4" t="s">
        <v>614</v>
      </c>
      <c r="AE140" s="4" t="s">
        <v>640</v>
      </c>
      <c r="AF140" s="4" t="s">
        <v>643</v>
      </c>
      <c r="AG140" s="5" t="n">
        <v>0.211296296296296</v>
      </c>
      <c r="AH140" s="5" t="n">
        <v>0.133726851851852</v>
      </c>
      <c r="AI140" s="5" t="n">
        <v>0</v>
      </c>
      <c r="AJ140" s="5" t="n">
        <v>0</v>
      </c>
      <c r="AK140" s="5" t="n">
        <v>0</v>
      </c>
      <c r="AL140" s="5" t="n">
        <v>0</v>
      </c>
      <c r="AM140" s="4" t="s">
        <v>78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M140" s="6" t="n">
        <f aca="false">IFERROR(VALUE(F140),"")</f>
        <v>225.54</v>
      </c>
      <c r="BN140" s="6" t="str">
        <f aca="false">IF(R140="-","",IFERROR(VALUE(LEFT(Q140,LEN(Q140)-2)),""))</f>
        <v/>
      </c>
      <c r="BO140" s="6" t="str">
        <f aca="false">IF(R140="-","",IFERROR(VALUE(LEFT(R140,LEN(R140)-5)),""))</f>
        <v/>
      </c>
      <c r="BP140" s="6" t="str">
        <f aca="false">IF(R140="-","",IFERROR(VALUE(F140),""))</f>
        <v/>
      </c>
      <c r="BQ140" s="4" t="n">
        <f aca="false">IF(R140="-",1,0)</f>
        <v>1</v>
      </c>
    </row>
    <row r="141" customFormat="false" ht="15" hidden="false" customHeight="false" outlineLevel="0" collapsed="false">
      <c r="A141" s="0" t="s">
        <v>634</v>
      </c>
      <c r="B141" s="0" t="s">
        <v>635</v>
      </c>
      <c r="C141" s="0" t="s">
        <v>70</v>
      </c>
      <c r="D141" s="0" t="s">
        <v>641</v>
      </c>
      <c r="E141" s="3" t="n">
        <v>46276</v>
      </c>
      <c r="F141" s="4" t="s">
        <v>644</v>
      </c>
      <c r="G141" s="5" t="n">
        <v>0.1596875</v>
      </c>
      <c r="H141" s="5" t="n">
        <v>0.0493055555555556</v>
      </c>
      <c r="I141" s="5" t="n">
        <v>0.00268518518518519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5" t="n">
        <v>0</v>
      </c>
      <c r="P141" s="5" t="n">
        <v>0.0162268518518519</v>
      </c>
      <c r="Q141" s="4" t="s">
        <v>73</v>
      </c>
      <c r="R141" s="4" t="s">
        <v>73</v>
      </c>
      <c r="S141" s="5" t="n">
        <v>0.000115740740740741</v>
      </c>
      <c r="T141" s="5" t="n">
        <v>0.074537037037037</v>
      </c>
      <c r="U141" s="5" t="n">
        <v>0.0457175925925926</v>
      </c>
      <c r="V141" s="5" t="n">
        <v>0.0328703703703704</v>
      </c>
      <c r="W141" s="5" t="n">
        <v>0</v>
      </c>
      <c r="X141" s="5" t="n">
        <v>0</v>
      </c>
      <c r="Y141" s="5" t="n">
        <v>0</v>
      </c>
      <c r="Z141" s="0" t="n">
        <v>0</v>
      </c>
      <c r="AA141" s="0" t="n">
        <v>0</v>
      </c>
      <c r="AB141" s="0" t="n">
        <v>0</v>
      </c>
      <c r="AC141" s="4" t="s">
        <v>614</v>
      </c>
      <c r="AD141" s="4" t="s">
        <v>614</v>
      </c>
      <c r="AE141" s="4" t="s">
        <v>643</v>
      </c>
      <c r="AF141" s="4" t="s">
        <v>645</v>
      </c>
      <c r="AG141" s="5" t="n">
        <v>0.121828703703704</v>
      </c>
      <c r="AH141" s="5" t="n">
        <v>0.0799189814814815</v>
      </c>
      <c r="AI141" s="5" t="n">
        <v>0</v>
      </c>
      <c r="AJ141" s="5" t="n">
        <v>0</v>
      </c>
      <c r="AK141" s="5" t="n">
        <v>0</v>
      </c>
      <c r="AL141" s="5" t="n">
        <v>0</v>
      </c>
      <c r="AM141" s="4" t="s">
        <v>78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M141" s="6" t="n">
        <f aca="false">IFERROR(VALUE(F141),"")</f>
        <v>131.37</v>
      </c>
      <c r="BN141" s="6" t="str">
        <f aca="false">IF(R141="-","",IFERROR(VALUE(LEFT(Q141,LEN(Q141)-2)),""))</f>
        <v/>
      </c>
      <c r="BO141" s="6" t="str">
        <f aca="false">IF(R141="-","",IFERROR(VALUE(LEFT(R141,LEN(R141)-5)),""))</f>
        <v/>
      </c>
      <c r="BP141" s="6" t="str">
        <f aca="false">IF(R141="-","",IFERROR(VALUE(F141),""))</f>
        <v/>
      </c>
      <c r="BQ141" s="4" t="n">
        <f aca="false">IF(R141="-",1,0)</f>
        <v>1</v>
      </c>
    </row>
    <row r="142" customFormat="false" ht="15" hidden="false" customHeight="false" outlineLevel="0" collapsed="false">
      <c r="A142" s="0" t="s">
        <v>634</v>
      </c>
      <c r="B142" s="0" t="s">
        <v>635</v>
      </c>
      <c r="C142" s="0" t="s">
        <v>70</v>
      </c>
      <c r="D142" s="0" t="s">
        <v>646</v>
      </c>
      <c r="E142" s="3" t="n">
        <v>46277</v>
      </c>
      <c r="F142" s="4" t="s">
        <v>647</v>
      </c>
      <c r="G142" s="5" t="n">
        <v>0.193634259259259</v>
      </c>
      <c r="H142" s="5" t="n">
        <v>0.0631134259259259</v>
      </c>
      <c r="I142" s="5" t="n">
        <v>0.000740740740740741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1</v>
      </c>
      <c r="O142" s="5" t="n">
        <v>0</v>
      </c>
      <c r="P142" s="5" t="n">
        <v>0.0164467592592593</v>
      </c>
      <c r="Q142" s="4" t="s">
        <v>73</v>
      </c>
      <c r="R142" s="4" t="s">
        <v>73</v>
      </c>
      <c r="S142" s="5" t="n">
        <v>0</v>
      </c>
      <c r="T142" s="5" t="n">
        <v>0.0681712962962963</v>
      </c>
      <c r="U142" s="5" t="n">
        <v>0.08125</v>
      </c>
      <c r="V142" s="5" t="n">
        <v>0.0380787037037037</v>
      </c>
      <c r="W142" s="5" t="n">
        <v>0</v>
      </c>
      <c r="X142" s="5" t="n">
        <v>0</v>
      </c>
      <c r="Y142" s="5" t="n">
        <v>0</v>
      </c>
      <c r="Z142" s="0" t="n">
        <v>0</v>
      </c>
      <c r="AA142" s="0" t="n">
        <v>0</v>
      </c>
      <c r="AB142" s="0" t="n">
        <v>0</v>
      </c>
      <c r="AC142" s="4" t="s">
        <v>614</v>
      </c>
      <c r="AD142" s="4" t="s">
        <v>152</v>
      </c>
      <c r="AE142" s="4" t="s">
        <v>645</v>
      </c>
      <c r="AF142" s="4" t="s">
        <v>648</v>
      </c>
      <c r="AG142" s="5" t="n">
        <v>0.160219907407407</v>
      </c>
      <c r="AH142" s="5" t="n">
        <v>0.127349537037037</v>
      </c>
      <c r="AI142" s="5" t="n">
        <v>0</v>
      </c>
      <c r="AJ142" s="5" t="n">
        <v>0</v>
      </c>
      <c r="AK142" s="5" t="n">
        <v>0</v>
      </c>
      <c r="AL142" s="5" t="n">
        <v>0</v>
      </c>
      <c r="AM142" s="4" t="s">
        <v>78</v>
      </c>
      <c r="AN142" s="0" t="n">
        <v>0</v>
      </c>
      <c r="AO142" s="0" t="n">
        <v>1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M142" s="6" t="n">
        <f aca="false">IFERROR(VALUE(F142),"")</f>
        <v>193.16</v>
      </c>
      <c r="BN142" s="6" t="str">
        <f aca="false">IF(R142="-","",IFERROR(VALUE(LEFT(Q142,LEN(Q142)-2)),""))</f>
        <v/>
      </c>
      <c r="BO142" s="6" t="str">
        <f aca="false">IF(R142="-","",IFERROR(VALUE(LEFT(R142,LEN(R142)-5)),""))</f>
        <v/>
      </c>
      <c r="BP142" s="6" t="str">
        <f aca="false">IF(R142="-","",IFERROR(VALUE(F142),""))</f>
        <v/>
      </c>
      <c r="BQ142" s="4" t="n">
        <f aca="false">IF(R142="-",1,0)</f>
        <v>1</v>
      </c>
    </row>
    <row r="143" customFormat="false" ht="15" hidden="false" customHeight="false" outlineLevel="0" collapsed="false">
      <c r="A143" s="0" t="s">
        <v>634</v>
      </c>
      <c r="B143" s="0" t="s">
        <v>635</v>
      </c>
      <c r="C143" s="0" t="s">
        <v>70</v>
      </c>
      <c r="D143" s="0" t="s">
        <v>646</v>
      </c>
      <c r="E143" s="3" t="n">
        <v>46278</v>
      </c>
      <c r="F143" s="4" t="s">
        <v>649</v>
      </c>
      <c r="G143" s="5" t="n">
        <v>0.0808912037037037</v>
      </c>
      <c r="H143" s="5" t="n">
        <v>0.0808912037037037</v>
      </c>
      <c r="I143" s="5" t="n">
        <v>3.47222222222222E-005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5" t="n">
        <v>0</v>
      </c>
      <c r="P143" s="5" t="n">
        <v>0</v>
      </c>
      <c r="Q143" s="4" t="s">
        <v>73</v>
      </c>
      <c r="R143" s="4" t="s">
        <v>73</v>
      </c>
      <c r="S143" s="5" t="n">
        <v>0.000115740740740741</v>
      </c>
      <c r="T143" s="5" t="n">
        <v>0.0268518518518519</v>
      </c>
      <c r="U143" s="5" t="n">
        <v>0.0363425925925926</v>
      </c>
      <c r="V143" s="5" t="n">
        <v>0.0131944444444444</v>
      </c>
      <c r="W143" s="5" t="n">
        <v>0</v>
      </c>
      <c r="X143" s="5" t="n">
        <v>0</v>
      </c>
      <c r="Y143" s="5" t="n">
        <v>0</v>
      </c>
      <c r="Z143" s="0" t="n">
        <v>0</v>
      </c>
      <c r="AA143" s="0" t="n">
        <v>0</v>
      </c>
      <c r="AB143" s="0" t="n">
        <v>0</v>
      </c>
      <c r="AC143" s="4" t="s">
        <v>152</v>
      </c>
      <c r="AD143" s="4" t="s">
        <v>152</v>
      </c>
      <c r="AE143" s="4" t="s">
        <v>648</v>
      </c>
      <c r="AF143" s="4" t="s">
        <v>650</v>
      </c>
      <c r="AG143" s="5" t="n">
        <v>0.0753125</v>
      </c>
      <c r="AH143" s="5" t="n">
        <v>0.0245601851851852</v>
      </c>
      <c r="AI143" s="5" t="n">
        <v>0</v>
      </c>
      <c r="AJ143" s="5" t="n">
        <v>0</v>
      </c>
      <c r="AK143" s="5" t="n">
        <v>0</v>
      </c>
      <c r="AL143" s="5" t="n">
        <v>0</v>
      </c>
      <c r="AM143" s="4" t="s">
        <v>78</v>
      </c>
      <c r="AN143" s="0" t="n">
        <v>0</v>
      </c>
      <c r="AO143" s="0" t="n">
        <v>2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M143" s="6" t="n">
        <f aca="false">IFERROR(VALUE(F143),"")</f>
        <v>83.68</v>
      </c>
      <c r="BN143" s="6" t="str">
        <f aca="false">IF(R143="-","",IFERROR(VALUE(LEFT(Q143,LEN(Q143)-2)),""))</f>
        <v/>
      </c>
      <c r="BO143" s="6" t="str">
        <f aca="false">IF(R143="-","",IFERROR(VALUE(LEFT(R143,LEN(R143)-5)),""))</f>
        <v/>
      </c>
      <c r="BP143" s="6" t="str">
        <f aca="false">IF(R143="-","",IFERROR(VALUE(F143),""))</f>
        <v/>
      </c>
      <c r="BQ143" s="4" t="n">
        <f aca="false">IF(R143="-",1,0)</f>
        <v>1</v>
      </c>
    </row>
    <row r="144" customFormat="false" ht="15" hidden="false" customHeight="false" outlineLevel="0" collapsed="false">
      <c r="A144" s="0" t="s">
        <v>634</v>
      </c>
      <c r="B144" s="0" t="s">
        <v>635</v>
      </c>
      <c r="C144" s="0" t="s">
        <v>70</v>
      </c>
      <c r="D144" s="0" t="s">
        <v>651</v>
      </c>
      <c r="E144" s="3" t="n">
        <v>46279</v>
      </c>
      <c r="F144" s="4" t="s">
        <v>652</v>
      </c>
      <c r="G144" s="5" t="n">
        <v>0.313206018518519</v>
      </c>
      <c r="H144" s="5" t="n">
        <v>0.0910763888888889</v>
      </c>
      <c r="I144" s="5" t="n">
        <v>0.00068287037037037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5" t="n">
        <v>0</v>
      </c>
      <c r="P144" s="5" t="n">
        <v>0</v>
      </c>
      <c r="Q144" s="4" t="s">
        <v>73</v>
      </c>
      <c r="R144" s="4" t="s">
        <v>73</v>
      </c>
      <c r="S144" s="5" t="n">
        <v>0</v>
      </c>
      <c r="T144" s="5" t="n">
        <v>0.0365740740740741</v>
      </c>
      <c r="U144" s="5" t="n">
        <v>0.0408564814814815</v>
      </c>
      <c r="V144" s="5" t="n">
        <v>0.0140046296296296</v>
      </c>
      <c r="W144" s="5" t="n">
        <v>0</v>
      </c>
      <c r="X144" s="5" t="n">
        <v>0</v>
      </c>
      <c r="Y144" s="5" t="n">
        <v>0</v>
      </c>
      <c r="Z144" s="0" t="n">
        <v>0</v>
      </c>
      <c r="AA144" s="0" t="n">
        <v>0</v>
      </c>
      <c r="AB144" s="0" t="n">
        <v>0</v>
      </c>
      <c r="AC144" s="4" t="s">
        <v>152</v>
      </c>
      <c r="AD144" s="4" t="s">
        <v>614</v>
      </c>
      <c r="AE144" s="4" t="s">
        <v>650</v>
      </c>
      <c r="AF144" s="4" t="s">
        <v>653</v>
      </c>
      <c r="AG144" s="5" t="n">
        <v>0.0875347222222222</v>
      </c>
      <c r="AH144" s="5" t="n">
        <v>0.280821759259259</v>
      </c>
      <c r="AI144" s="5" t="n">
        <v>0</v>
      </c>
      <c r="AJ144" s="5" t="n">
        <v>0</v>
      </c>
      <c r="AK144" s="5" t="n">
        <v>0</v>
      </c>
      <c r="AL144" s="5" t="n">
        <v>0</v>
      </c>
      <c r="AM144" s="4" t="s">
        <v>78</v>
      </c>
      <c r="AN144" s="0" t="n">
        <v>0</v>
      </c>
      <c r="AO144" s="0" t="n">
        <v>7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M144" s="6" t="n">
        <f aca="false">IFERROR(VALUE(F144),"")</f>
        <v>90.8</v>
      </c>
      <c r="BN144" s="6" t="str">
        <f aca="false">IF(R144="-","",IFERROR(VALUE(LEFT(Q144,LEN(Q144)-2)),""))</f>
        <v/>
      </c>
      <c r="BO144" s="6" t="str">
        <f aca="false">IF(R144="-","",IFERROR(VALUE(LEFT(R144,LEN(R144)-5)),""))</f>
        <v/>
      </c>
      <c r="BP144" s="6" t="str">
        <f aca="false">IF(R144="-","",IFERROR(VALUE(F144),""))</f>
        <v/>
      </c>
      <c r="BQ144" s="4" t="n">
        <f aca="false">IF(R144="-",1,0)</f>
        <v>1</v>
      </c>
    </row>
    <row r="145" customFormat="false" ht="15" hidden="false" customHeight="false" outlineLevel="0" collapsed="false">
      <c r="A145" s="0" t="s">
        <v>654</v>
      </c>
      <c r="B145" s="0" t="s">
        <v>655</v>
      </c>
      <c r="C145" s="0" t="s">
        <v>70</v>
      </c>
      <c r="D145" s="0" t="s">
        <v>656</v>
      </c>
      <c r="E145" s="3" t="n">
        <v>46273</v>
      </c>
      <c r="F145" s="4" t="s">
        <v>657</v>
      </c>
      <c r="G145" s="5" t="n">
        <v>0.215902777777778</v>
      </c>
      <c r="H145" s="5" t="n">
        <v>0.212314814814815</v>
      </c>
      <c r="I145" s="5" t="n">
        <v>0.0028125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5" t="n">
        <v>0</v>
      </c>
      <c r="P145" s="5" t="n">
        <v>0</v>
      </c>
      <c r="Q145" s="4" t="s">
        <v>73</v>
      </c>
      <c r="R145" s="4" t="s">
        <v>73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0" t="n">
        <v>0</v>
      </c>
      <c r="AA145" s="0" t="n">
        <v>0</v>
      </c>
      <c r="AB145" s="0" t="n">
        <v>0</v>
      </c>
      <c r="AC145" s="4" t="s">
        <v>158</v>
      </c>
      <c r="AD145" s="4" t="s">
        <v>614</v>
      </c>
      <c r="AE145" s="4" t="s">
        <v>658</v>
      </c>
      <c r="AF145" s="4" t="s">
        <v>659</v>
      </c>
      <c r="AG145" s="5" t="n">
        <v>0.179583333333333</v>
      </c>
      <c r="AH145" s="5" t="n">
        <v>0.103657407407407</v>
      </c>
      <c r="AI145" s="5" t="n">
        <v>0</v>
      </c>
      <c r="AJ145" s="5" t="n">
        <v>0</v>
      </c>
      <c r="AK145" s="5" t="n">
        <v>0</v>
      </c>
      <c r="AL145" s="5" t="n">
        <v>0</v>
      </c>
      <c r="AM145" s="4" t="s">
        <v>78</v>
      </c>
      <c r="AN145" s="0" t="n">
        <v>0</v>
      </c>
      <c r="AO145" s="0" t="n">
        <v>4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M145" s="6" t="n">
        <f aca="false">IFERROR(VALUE(F145),"")</f>
        <v>190.89</v>
      </c>
      <c r="BN145" s="6" t="str">
        <f aca="false">IF(R145="-","",IFERROR(VALUE(LEFT(Q145,LEN(Q145)-2)),""))</f>
        <v/>
      </c>
      <c r="BO145" s="6" t="str">
        <f aca="false">IF(R145="-","",IFERROR(VALUE(LEFT(R145,LEN(R145)-5)),""))</f>
        <v/>
      </c>
      <c r="BP145" s="6" t="str">
        <f aca="false">IF(R145="-","",IFERROR(VALUE(F145),""))</f>
        <v/>
      </c>
      <c r="BQ145" s="4" t="n">
        <f aca="false">IF(R145="-",1,0)</f>
        <v>1</v>
      </c>
    </row>
    <row r="146" customFormat="false" ht="15" hidden="false" customHeight="false" outlineLevel="0" collapsed="false">
      <c r="A146" s="0" t="s">
        <v>654</v>
      </c>
      <c r="B146" s="0" t="s">
        <v>655</v>
      </c>
      <c r="C146" s="0" t="s">
        <v>70</v>
      </c>
      <c r="D146" s="0" t="s">
        <v>660</v>
      </c>
      <c r="E146" s="3" t="n">
        <v>46274</v>
      </c>
      <c r="F146" s="4" t="s">
        <v>661</v>
      </c>
      <c r="G146" s="5" t="n">
        <v>0.294699074074074</v>
      </c>
      <c r="H146" s="5" t="n">
        <v>0.262152777777778</v>
      </c>
      <c r="I146" s="5" t="n">
        <v>0.000833333333333333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5" t="n">
        <v>0</v>
      </c>
      <c r="P146" s="5" t="n">
        <v>0</v>
      </c>
      <c r="Q146" s="4" t="s">
        <v>73</v>
      </c>
      <c r="R146" s="4" t="s">
        <v>73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0" t="n">
        <v>0</v>
      </c>
      <c r="AA146" s="0" t="n">
        <v>0</v>
      </c>
      <c r="AB146" s="0" t="n">
        <v>0</v>
      </c>
      <c r="AC146" s="4" t="s">
        <v>614</v>
      </c>
      <c r="AD146" s="4" t="s">
        <v>662</v>
      </c>
      <c r="AE146" s="4" t="s">
        <v>659</v>
      </c>
      <c r="AF146" s="4" t="s">
        <v>663</v>
      </c>
      <c r="AG146" s="5" t="n">
        <v>0.231979166666667</v>
      </c>
      <c r="AH146" s="5" t="n">
        <v>0.0862152777777778</v>
      </c>
      <c r="AI146" s="5" t="n">
        <v>0</v>
      </c>
      <c r="AJ146" s="5" t="n">
        <v>0</v>
      </c>
      <c r="AK146" s="5" t="n">
        <v>0</v>
      </c>
      <c r="AL146" s="5" t="n">
        <v>0</v>
      </c>
      <c r="AM146" s="4" t="s">
        <v>78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M146" s="6" t="n">
        <f aca="false">IFERROR(VALUE(F146),"")</f>
        <v>260.28</v>
      </c>
      <c r="BN146" s="6" t="str">
        <f aca="false">IF(R146="-","",IFERROR(VALUE(LEFT(Q146,LEN(Q146)-2)),""))</f>
        <v/>
      </c>
      <c r="BO146" s="6" t="str">
        <f aca="false">IF(R146="-","",IFERROR(VALUE(LEFT(R146,LEN(R146)-5)),""))</f>
        <v/>
      </c>
      <c r="BP146" s="6" t="str">
        <f aca="false">IF(R146="-","",IFERROR(VALUE(F146),""))</f>
        <v/>
      </c>
      <c r="BQ146" s="4" t="n">
        <f aca="false">IF(R146="-",1,0)</f>
        <v>1</v>
      </c>
    </row>
    <row r="147" customFormat="false" ht="15" hidden="false" customHeight="false" outlineLevel="0" collapsed="false">
      <c r="A147" s="0" t="s">
        <v>654</v>
      </c>
      <c r="B147" s="0" t="s">
        <v>655</v>
      </c>
      <c r="C147" s="0" t="s">
        <v>70</v>
      </c>
      <c r="D147" s="0" t="s">
        <v>631</v>
      </c>
      <c r="E147" s="3" t="n">
        <v>46275</v>
      </c>
      <c r="F147" s="4" t="s">
        <v>664</v>
      </c>
      <c r="G147" s="5" t="n">
        <v>0.325115740740741</v>
      </c>
      <c r="H147" s="5" t="n">
        <v>0.23037037037037</v>
      </c>
      <c r="I147" s="5" t="n">
        <v>0.00748842592592593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5" t="n">
        <v>0</v>
      </c>
      <c r="P147" s="5" t="n">
        <v>0</v>
      </c>
      <c r="Q147" s="4" t="s">
        <v>73</v>
      </c>
      <c r="R147" s="4" t="s">
        <v>73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0" t="n">
        <v>0</v>
      </c>
      <c r="AA147" s="0" t="n">
        <v>0</v>
      </c>
      <c r="AB147" s="0" t="n">
        <v>0</v>
      </c>
      <c r="AC147" s="4" t="s">
        <v>662</v>
      </c>
      <c r="AD147" s="4" t="s">
        <v>665</v>
      </c>
      <c r="AE147" s="4" t="s">
        <v>663</v>
      </c>
      <c r="AF147" s="4" t="s">
        <v>666</v>
      </c>
      <c r="AG147" s="5" t="n">
        <v>0.198078703703704</v>
      </c>
      <c r="AH147" s="5" t="n">
        <v>0.154155092592593</v>
      </c>
      <c r="AI147" s="5" t="n">
        <v>0</v>
      </c>
      <c r="AJ147" s="5" t="n">
        <v>0</v>
      </c>
      <c r="AK147" s="5" t="n">
        <v>0</v>
      </c>
      <c r="AL147" s="5" t="n">
        <v>0</v>
      </c>
      <c r="AM147" s="4" t="s">
        <v>78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M147" s="6" t="n">
        <f aca="false">IFERROR(VALUE(F147),"")</f>
        <v>219.57</v>
      </c>
      <c r="BN147" s="6" t="str">
        <f aca="false">IF(R147="-","",IFERROR(VALUE(LEFT(Q147,LEN(Q147)-2)),""))</f>
        <v/>
      </c>
      <c r="BO147" s="6" t="str">
        <f aca="false">IF(R147="-","",IFERROR(VALUE(LEFT(R147,LEN(R147)-5)),""))</f>
        <v/>
      </c>
      <c r="BP147" s="6" t="str">
        <f aca="false">IF(R147="-","",IFERROR(VALUE(F147),""))</f>
        <v/>
      </c>
      <c r="BQ147" s="4" t="n">
        <f aca="false">IF(R147="-",1,0)</f>
        <v>1</v>
      </c>
    </row>
    <row r="148" customFormat="false" ht="15" hidden="false" customHeight="false" outlineLevel="0" collapsed="false">
      <c r="A148" s="0" t="s">
        <v>654</v>
      </c>
      <c r="B148" s="0" t="s">
        <v>655</v>
      </c>
      <c r="C148" s="0" t="s">
        <v>70</v>
      </c>
      <c r="D148" s="0" t="s">
        <v>667</v>
      </c>
      <c r="E148" s="3" t="n">
        <v>46276</v>
      </c>
      <c r="F148" s="4" t="s">
        <v>668</v>
      </c>
      <c r="G148" s="5" t="n">
        <v>0.0965740740740741</v>
      </c>
      <c r="H148" s="5" t="n">
        <v>0.00971064814814815</v>
      </c>
      <c r="I148" s="5" t="n">
        <v>0.000324074074074074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0</v>
      </c>
      <c r="O148" s="5" t="n">
        <v>0</v>
      </c>
      <c r="P148" s="5" t="n">
        <v>0</v>
      </c>
      <c r="Q148" s="4" t="s">
        <v>73</v>
      </c>
      <c r="R148" s="4" t="s">
        <v>73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0" t="n">
        <v>0</v>
      </c>
      <c r="AA148" s="0" t="n">
        <v>0</v>
      </c>
      <c r="AB148" s="0" t="n">
        <v>0</v>
      </c>
      <c r="AC148" s="4" t="s">
        <v>662</v>
      </c>
      <c r="AD148" s="4" t="s">
        <v>614</v>
      </c>
      <c r="AE148" s="4" t="s">
        <v>666</v>
      </c>
      <c r="AF148" s="4" t="s">
        <v>669</v>
      </c>
      <c r="AG148" s="5" t="n">
        <v>0.0659375</v>
      </c>
      <c r="AH148" s="5" t="n">
        <v>0.155381944444444</v>
      </c>
      <c r="AI148" s="5" t="n">
        <v>0</v>
      </c>
      <c r="AJ148" s="5" t="n">
        <v>0</v>
      </c>
      <c r="AK148" s="5" t="n">
        <v>0</v>
      </c>
      <c r="AL148" s="5" t="n">
        <v>0</v>
      </c>
      <c r="AM148" s="4" t="s">
        <v>78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M148" s="6" t="n">
        <f aca="false">IFERROR(VALUE(F148),"")</f>
        <v>63.95</v>
      </c>
      <c r="BN148" s="6" t="str">
        <f aca="false">IF(R148="-","",IFERROR(VALUE(LEFT(Q148,LEN(Q148)-2)),""))</f>
        <v/>
      </c>
      <c r="BO148" s="6" t="str">
        <f aca="false">IF(R148="-","",IFERROR(VALUE(LEFT(R148,LEN(R148)-5)),""))</f>
        <v/>
      </c>
      <c r="BP148" s="6" t="str">
        <f aca="false">IF(R148="-","",IFERROR(VALUE(F148),""))</f>
        <v/>
      </c>
      <c r="BQ148" s="4" t="n">
        <f aca="false">IF(R148="-",1,0)</f>
        <v>1</v>
      </c>
    </row>
    <row r="149" customFormat="false" ht="15" hidden="false" customHeight="false" outlineLevel="0" collapsed="false">
      <c r="A149" s="0" t="s">
        <v>654</v>
      </c>
      <c r="B149" s="0" t="s">
        <v>655</v>
      </c>
      <c r="C149" s="0" t="s">
        <v>70</v>
      </c>
      <c r="D149" s="0" t="s">
        <v>631</v>
      </c>
      <c r="E149" s="3" t="n">
        <v>46277</v>
      </c>
      <c r="F149" s="4" t="s">
        <v>670</v>
      </c>
      <c r="G149" s="5" t="n">
        <v>0.285231481481482</v>
      </c>
      <c r="H149" s="5" t="n">
        <v>0.2115625</v>
      </c>
      <c r="I149" s="5" t="n">
        <v>0.000243055555555556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5" t="n">
        <v>0</v>
      </c>
      <c r="P149" s="5" t="n">
        <v>0</v>
      </c>
      <c r="Q149" s="4" t="s">
        <v>73</v>
      </c>
      <c r="R149" s="4" t="s">
        <v>73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0" t="n">
        <v>0</v>
      </c>
      <c r="AA149" s="0" t="n">
        <v>0</v>
      </c>
      <c r="AB149" s="0" t="n">
        <v>0</v>
      </c>
      <c r="AC149" s="4" t="s">
        <v>614</v>
      </c>
      <c r="AD149" s="4" t="s">
        <v>665</v>
      </c>
      <c r="AE149" s="4" t="s">
        <v>669</v>
      </c>
      <c r="AF149" s="4" t="s">
        <v>671</v>
      </c>
      <c r="AG149" s="5" t="n">
        <v>0.240509259259259</v>
      </c>
      <c r="AH149" s="5" t="n">
        <v>0.119409722222222</v>
      </c>
      <c r="AI149" s="5" t="n">
        <v>0</v>
      </c>
      <c r="AJ149" s="5" t="n">
        <v>0</v>
      </c>
      <c r="AK149" s="5" t="n">
        <v>0</v>
      </c>
      <c r="AL149" s="5" t="n">
        <v>0</v>
      </c>
      <c r="AM149" s="4" t="s">
        <v>78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M149" s="6" t="n">
        <f aca="false">IFERROR(VALUE(F149),"")</f>
        <v>268.29</v>
      </c>
      <c r="BN149" s="6" t="str">
        <f aca="false">IF(R149="-","",IFERROR(VALUE(LEFT(Q149,LEN(Q149)-2)),""))</f>
        <v/>
      </c>
      <c r="BO149" s="6" t="str">
        <f aca="false">IF(R149="-","",IFERROR(VALUE(LEFT(R149,LEN(R149)-5)),""))</f>
        <v/>
      </c>
      <c r="BP149" s="6" t="str">
        <f aca="false">IF(R149="-","",IFERROR(VALUE(F149),""))</f>
        <v/>
      </c>
      <c r="BQ149" s="4" t="n">
        <f aca="false">IF(R149="-",1,0)</f>
        <v>1</v>
      </c>
    </row>
    <row r="150" customFormat="false" ht="15" hidden="false" customHeight="false" outlineLevel="0" collapsed="false">
      <c r="A150" s="0" t="s">
        <v>654</v>
      </c>
      <c r="B150" s="0" t="s">
        <v>655</v>
      </c>
      <c r="C150" s="0" t="s">
        <v>70</v>
      </c>
      <c r="D150" s="0" t="s">
        <v>641</v>
      </c>
      <c r="E150" s="3" t="n">
        <v>46278</v>
      </c>
      <c r="F150" s="4" t="s">
        <v>672</v>
      </c>
      <c r="G150" s="5" t="n">
        <v>0.0651736111111111</v>
      </c>
      <c r="H150" s="5" t="n">
        <v>0.0651736111111111</v>
      </c>
      <c r="I150" s="5" t="n">
        <v>0.00222222222222222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5" t="n">
        <v>0</v>
      </c>
      <c r="P150" s="5" t="n">
        <v>0</v>
      </c>
      <c r="Q150" s="4" t="s">
        <v>73</v>
      </c>
      <c r="R150" s="4" t="s">
        <v>73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0" t="n">
        <v>0</v>
      </c>
      <c r="AA150" s="0" t="n">
        <v>0</v>
      </c>
      <c r="AB150" s="0" t="n">
        <v>0</v>
      </c>
      <c r="AC150" s="4" t="s">
        <v>665</v>
      </c>
      <c r="AD150" s="4" t="s">
        <v>152</v>
      </c>
      <c r="AE150" s="4" t="s">
        <v>671</v>
      </c>
      <c r="AF150" s="4" t="s">
        <v>673</v>
      </c>
      <c r="AG150" s="5" t="n">
        <v>0.0555555555555556</v>
      </c>
      <c r="AH150" s="5" t="n">
        <v>0.0177083333333333</v>
      </c>
      <c r="AI150" s="5" t="n">
        <v>0</v>
      </c>
      <c r="AJ150" s="5" t="n">
        <v>0</v>
      </c>
      <c r="AK150" s="5" t="n">
        <v>0</v>
      </c>
      <c r="AL150" s="5" t="n">
        <v>0</v>
      </c>
      <c r="AM150" s="4" t="s">
        <v>78</v>
      </c>
      <c r="AN150" s="0" t="n">
        <v>0</v>
      </c>
      <c r="AO150" s="0" t="n">
        <v>1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M150" s="6" t="n">
        <f aca="false">IFERROR(VALUE(F150),"")</f>
        <v>57.84</v>
      </c>
      <c r="BN150" s="6" t="str">
        <f aca="false">IF(R150="-","",IFERROR(VALUE(LEFT(Q150,LEN(Q150)-2)),""))</f>
        <v/>
      </c>
      <c r="BO150" s="6" t="str">
        <f aca="false">IF(R150="-","",IFERROR(VALUE(LEFT(R150,LEN(R150)-5)),""))</f>
        <v/>
      </c>
      <c r="BP150" s="6" t="str">
        <f aca="false">IF(R150="-","",IFERROR(VALUE(F150),""))</f>
        <v/>
      </c>
      <c r="BQ150" s="4" t="n">
        <f aca="false">IF(R150="-",1,0)</f>
        <v>1</v>
      </c>
    </row>
    <row r="151" customFormat="false" ht="15" hidden="false" customHeight="false" outlineLevel="0" collapsed="false">
      <c r="A151" s="0" t="s">
        <v>654</v>
      </c>
      <c r="B151" s="0" t="s">
        <v>655</v>
      </c>
      <c r="C151" s="0" t="s">
        <v>70</v>
      </c>
      <c r="D151" s="0" t="s">
        <v>660</v>
      </c>
      <c r="E151" s="3" t="n">
        <v>46279</v>
      </c>
      <c r="F151" s="4" t="s">
        <v>674</v>
      </c>
      <c r="G151" s="5" t="n">
        <v>0.331585648148148</v>
      </c>
      <c r="H151" s="5" t="n">
        <v>0.241030092592593</v>
      </c>
      <c r="I151" s="5" t="n">
        <v>0.00226851851851852</v>
      </c>
      <c r="J151" s="0" t="n">
        <v>1</v>
      </c>
      <c r="K151" s="0" t="n">
        <v>1</v>
      </c>
      <c r="L151" s="0" t="n">
        <v>0</v>
      </c>
      <c r="M151" s="0" t="n">
        <v>0</v>
      </c>
      <c r="N151" s="0" t="n">
        <v>1</v>
      </c>
      <c r="O151" s="5" t="n">
        <v>0</v>
      </c>
      <c r="P151" s="5" t="n">
        <v>0</v>
      </c>
      <c r="Q151" s="4" t="s">
        <v>73</v>
      </c>
      <c r="R151" s="4" t="s">
        <v>73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0" t="n">
        <v>0</v>
      </c>
      <c r="AA151" s="0" t="n">
        <v>0</v>
      </c>
      <c r="AB151" s="0" t="n">
        <v>0</v>
      </c>
      <c r="AC151" s="4" t="s">
        <v>158</v>
      </c>
      <c r="AD151" s="4" t="s">
        <v>614</v>
      </c>
      <c r="AE151" s="4" t="s">
        <v>673</v>
      </c>
      <c r="AF151" s="4" t="s">
        <v>675</v>
      </c>
      <c r="AG151" s="5" t="n">
        <v>0.224953703703704</v>
      </c>
      <c r="AH151" s="5" t="n">
        <v>0.228645833333333</v>
      </c>
      <c r="AI151" s="5" t="n">
        <v>0</v>
      </c>
      <c r="AJ151" s="5" t="n">
        <v>0</v>
      </c>
      <c r="AK151" s="5" t="n">
        <v>0</v>
      </c>
      <c r="AL151" s="5" t="n">
        <v>0</v>
      </c>
      <c r="AM151" s="4" t="s">
        <v>78</v>
      </c>
      <c r="AN151" s="0" t="n">
        <v>0</v>
      </c>
      <c r="AO151" s="0" t="n">
        <v>3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M151" s="6" t="n">
        <f aca="false">IFERROR(VALUE(F151),"")</f>
        <v>231.06</v>
      </c>
      <c r="BN151" s="6" t="str">
        <f aca="false">IF(R151="-","",IFERROR(VALUE(LEFT(Q151,LEN(Q151)-2)),""))</f>
        <v/>
      </c>
      <c r="BO151" s="6" t="str">
        <f aca="false">IF(R151="-","",IFERROR(VALUE(LEFT(R151,LEN(R151)-5)),""))</f>
        <v/>
      </c>
      <c r="BP151" s="6" t="str">
        <f aca="false">IF(R151="-","",IFERROR(VALUE(F151),""))</f>
        <v/>
      </c>
      <c r="BQ151" s="4" t="n">
        <f aca="false">IF(R151="-",1,0)</f>
        <v>1</v>
      </c>
    </row>
    <row r="152" customFormat="false" ht="15" hidden="false" customHeight="false" outlineLevel="0" collapsed="false">
      <c r="A152" s="0" t="s">
        <v>676</v>
      </c>
      <c r="B152" s="0" t="s">
        <v>677</v>
      </c>
      <c r="C152" s="0" t="s">
        <v>70</v>
      </c>
      <c r="E152" s="3" t="n">
        <v>46273</v>
      </c>
      <c r="F152" s="4" t="s">
        <v>678</v>
      </c>
      <c r="G152" s="5" t="n">
        <v>0.124803240740741</v>
      </c>
      <c r="H152" s="5" t="n">
        <v>0</v>
      </c>
      <c r="I152" s="5" t="n">
        <v>1.15740740740741E-005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5" t="n">
        <v>0</v>
      </c>
      <c r="P152" s="5" t="n">
        <v>0.00696759259259259</v>
      </c>
      <c r="Q152" s="4" t="s">
        <v>73</v>
      </c>
      <c r="R152" s="4" t="s">
        <v>73</v>
      </c>
      <c r="S152" s="5" t="n">
        <v>0</v>
      </c>
      <c r="T152" s="5" t="n">
        <v>0.0486111111111111</v>
      </c>
      <c r="U152" s="5" t="n">
        <v>0.0481481481481482</v>
      </c>
      <c r="V152" s="5" t="n">
        <v>0.0261574074074074</v>
      </c>
      <c r="W152" s="5" t="n">
        <v>0</v>
      </c>
      <c r="X152" s="5" t="n">
        <v>0</v>
      </c>
      <c r="Y152" s="5" t="n">
        <v>0</v>
      </c>
      <c r="Z152" s="0" t="n">
        <v>0</v>
      </c>
      <c r="AA152" s="0" t="n">
        <v>0</v>
      </c>
      <c r="AB152" s="0" t="n">
        <v>0</v>
      </c>
      <c r="AC152" s="4" t="s">
        <v>598</v>
      </c>
      <c r="AD152" s="4" t="s">
        <v>679</v>
      </c>
      <c r="AE152" s="4" t="s">
        <v>680</v>
      </c>
      <c r="AF152" s="4" t="s">
        <v>681</v>
      </c>
      <c r="AG152" s="5" t="n">
        <v>0.107268518518519</v>
      </c>
      <c r="AH152" s="5" t="n">
        <v>0.0472800925925926</v>
      </c>
      <c r="AI152" s="5" t="n">
        <v>0</v>
      </c>
      <c r="AJ152" s="5" t="n">
        <v>0</v>
      </c>
      <c r="AK152" s="5" t="n">
        <v>0</v>
      </c>
      <c r="AL152" s="5" t="n">
        <v>0</v>
      </c>
      <c r="AM152" s="4" t="s">
        <v>78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M152" s="6" t="n">
        <f aca="false">IFERROR(VALUE(F152),"")</f>
        <v>109.9</v>
      </c>
      <c r="BN152" s="6" t="str">
        <f aca="false">IF(R152="-","",IFERROR(VALUE(LEFT(Q152,LEN(Q152)-2)),""))</f>
        <v/>
      </c>
      <c r="BO152" s="6" t="str">
        <f aca="false">IF(R152="-","",IFERROR(VALUE(LEFT(R152,LEN(R152)-5)),""))</f>
        <v/>
      </c>
      <c r="BP152" s="6" t="str">
        <f aca="false">IF(R152="-","",IFERROR(VALUE(F152),""))</f>
        <v/>
      </c>
      <c r="BQ152" s="4" t="n">
        <f aca="false">IF(R152="-",1,0)</f>
        <v>1</v>
      </c>
    </row>
    <row r="153" customFormat="false" ht="15" hidden="false" customHeight="false" outlineLevel="0" collapsed="false">
      <c r="A153" s="0" t="s">
        <v>676</v>
      </c>
      <c r="B153" s="0" t="s">
        <v>677</v>
      </c>
      <c r="C153" s="0" t="s">
        <v>70</v>
      </c>
      <c r="E153" s="3" t="n">
        <v>46274</v>
      </c>
      <c r="F153" s="4" t="s">
        <v>682</v>
      </c>
      <c r="G153" s="5" t="n">
        <v>0.161284722222222</v>
      </c>
      <c r="H153" s="5" t="n">
        <v>0</v>
      </c>
      <c r="I153" s="5" t="n">
        <v>5.78703703703704E-005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5" t="n">
        <v>0</v>
      </c>
      <c r="P153" s="5" t="n">
        <v>0</v>
      </c>
      <c r="Q153" s="4" t="s">
        <v>73</v>
      </c>
      <c r="R153" s="4" t="s">
        <v>73</v>
      </c>
      <c r="S153" s="5" t="n">
        <v>0.000231481481481482</v>
      </c>
      <c r="T153" s="5" t="n">
        <v>0.0608796296296296</v>
      </c>
      <c r="U153" s="5" t="n">
        <v>0.0596064814814815</v>
      </c>
      <c r="V153" s="5" t="n">
        <v>0.0366898148148148</v>
      </c>
      <c r="W153" s="5" t="n">
        <v>0</v>
      </c>
      <c r="X153" s="5" t="n">
        <v>0</v>
      </c>
      <c r="Y153" s="5" t="n">
        <v>0</v>
      </c>
      <c r="Z153" s="0" t="n">
        <v>0</v>
      </c>
      <c r="AA153" s="0" t="n">
        <v>0</v>
      </c>
      <c r="AB153" s="0" t="n">
        <v>0</v>
      </c>
      <c r="AC153" s="4" t="s">
        <v>679</v>
      </c>
      <c r="AD153" s="4" t="s">
        <v>679</v>
      </c>
      <c r="AE153" s="4" t="s">
        <v>681</v>
      </c>
      <c r="AF153" s="4" t="s">
        <v>683</v>
      </c>
      <c r="AG153" s="5" t="n">
        <v>0.137928240740741</v>
      </c>
      <c r="AH153" s="5" t="n">
        <v>0.0704282407407407</v>
      </c>
      <c r="AI153" s="5" t="n">
        <v>0</v>
      </c>
      <c r="AJ153" s="5" t="n">
        <v>0</v>
      </c>
      <c r="AK153" s="5" t="n">
        <v>0</v>
      </c>
      <c r="AL153" s="5" t="n">
        <v>0</v>
      </c>
      <c r="AM153" s="4" t="s">
        <v>78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M153" s="6" t="n">
        <f aca="false">IFERROR(VALUE(F153),"")</f>
        <v>146.91</v>
      </c>
      <c r="BN153" s="6" t="str">
        <f aca="false">IF(R153="-","",IFERROR(VALUE(LEFT(Q153,LEN(Q153)-2)),""))</f>
        <v/>
      </c>
      <c r="BO153" s="6" t="str">
        <f aca="false">IF(R153="-","",IFERROR(VALUE(LEFT(R153,LEN(R153)-5)),""))</f>
        <v/>
      </c>
      <c r="BP153" s="6" t="str">
        <f aca="false">IF(R153="-","",IFERROR(VALUE(F153),""))</f>
        <v/>
      </c>
      <c r="BQ153" s="4" t="n">
        <f aca="false">IF(R153="-",1,0)</f>
        <v>1</v>
      </c>
    </row>
    <row r="154" customFormat="false" ht="15" hidden="false" customHeight="false" outlineLevel="0" collapsed="false">
      <c r="A154" s="0" t="s">
        <v>676</v>
      </c>
      <c r="B154" s="0" t="s">
        <v>677</v>
      </c>
      <c r="C154" s="0" t="s">
        <v>70</v>
      </c>
      <c r="E154" s="3" t="n">
        <v>46275</v>
      </c>
      <c r="F154" s="4" t="s">
        <v>684</v>
      </c>
      <c r="G154" s="5" t="n">
        <v>0.17587962962963</v>
      </c>
      <c r="H154" s="5" t="n">
        <v>0</v>
      </c>
      <c r="I154" s="5" t="n">
        <v>9.25925925925926E-005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5" t="n">
        <v>0</v>
      </c>
      <c r="P154" s="5" t="n">
        <v>0</v>
      </c>
      <c r="Q154" s="4" t="s">
        <v>73</v>
      </c>
      <c r="R154" s="4" t="s">
        <v>73</v>
      </c>
      <c r="S154" s="5" t="n">
        <v>0</v>
      </c>
      <c r="T154" s="5" t="n">
        <v>0.0645833333333333</v>
      </c>
      <c r="U154" s="5" t="n">
        <v>0.0597222222222222</v>
      </c>
      <c r="V154" s="5" t="n">
        <v>0.0356481481481482</v>
      </c>
      <c r="W154" s="5" t="n">
        <v>0</v>
      </c>
      <c r="X154" s="5" t="n">
        <v>0</v>
      </c>
      <c r="Y154" s="5" t="n">
        <v>0</v>
      </c>
      <c r="Z154" s="0" t="n">
        <v>0</v>
      </c>
      <c r="AA154" s="0" t="n">
        <v>0</v>
      </c>
      <c r="AB154" s="0" t="n">
        <v>0</v>
      </c>
      <c r="AC154" s="4" t="s">
        <v>679</v>
      </c>
      <c r="AD154" s="4" t="s">
        <v>679</v>
      </c>
      <c r="AE154" s="4" t="s">
        <v>683</v>
      </c>
      <c r="AF154" s="4" t="s">
        <v>685</v>
      </c>
      <c r="AG154" s="5" t="n">
        <v>0.139861111111111</v>
      </c>
      <c r="AH154" s="5" t="n">
        <v>0.0712847222222222</v>
      </c>
      <c r="AI154" s="5" t="n">
        <v>0</v>
      </c>
      <c r="AJ154" s="5" t="n">
        <v>0</v>
      </c>
      <c r="AK154" s="5" t="n">
        <v>0</v>
      </c>
      <c r="AL154" s="5" t="n">
        <v>0</v>
      </c>
      <c r="AM154" s="4" t="s">
        <v>78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1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M154" s="6" t="n">
        <f aca="false">IFERROR(VALUE(F154),"")</f>
        <v>146.88</v>
      </c>
      <c r="BN154" s="6" t="str">
        <f aca="false">IF(R154="-","",IFERROR(VALUE(LEFT(Q154,LEN(Q154)-2)),""))</f>
        <v/>
      </c>
      <c r="BO154" s="6" t="str">
        <f aca="false">IF(R154="-","",IFERROR(VALUE(LEFT(R154,LEN(R154)-5)),""))</f>
        <v/>
      </c>
      <c r="BP154" s="6" t="str">
        <f aca="false">IF(R154="-","",IFERROR(VALUE(F154),""))</f>
        <v/>
      </c>
      <c r="BQ154" s="4" t="n">
        <f aca="false">IF(R154="-",1,0)</f>
        <v>1</v>
      </c>
    </row>
    <row r="155" customFormat="false" ht="15" hidden="false" customHeight="false" outlineLevel="0" collapsed="false">
      <c r="A155" s="0" t="s">
        <v>676</v>
      </c>
      <c r="B155" s="0" t="s">
        <v>677</v>
      </c>
      <c r="C155" s="0" t="s">
        <v>70</v>
      </c>
      <c r="E155" s="3" t="n">
        <v>46276</v>
      </c>
      <c r="F155" s="4" t="s">
        <v>686</v>
      </c>
      <c r="G155" s="5" t="n">
        <v>0.197997685185185</v>
      </c>
      <c r="H155" s="5" t="n">
        <v>0</v>
      </c>
      <c r="I155" s="5" t="n">
        <v>0.000439814814814815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5" t="n">
        <v>0</v>
      </c>
      <c r="P155" s="5" t="n">
        <v>0.0075</v>
      </c>
      <c r="Q155" s="4" t="s">
        <v>73</v>
      </c>
      <c r="R155" s="4" t="s">
        <v>73</v>
      </c>
      <c r="S155" s="5" t="n">
        <v>0.000115740740740741</v>
      </c>
      <c r="T155" s="5" t="n">
        <v>0.0806712962962963</v>
      </c>
      <c r="U155" s="5" t="n">
        <v>0.0710648148148148</v>
      </c>
      <c r="V155" s="5" t="n">
        <v>0.0353009259259259</v>
      </c>
      <c r="W155" s="5" t="n">
        <v>0</v>
      </c>
      <c r="X155" s="5" t="n">
        <v>0</v>
      </c>
      <c r="Y155" s="5" t="n">
        <v>0</v>
      </c>
      <c r="Z155" s="0" t="n">
        <v>0</v>
      </c>
      <c r="AA155" s="0" t="n">
        <v>0</v>
      </c>
      <c r="AB155" s="0" t="n">
        <v>0</v>
      </c>
      <c r="AC155" s="4" t="s">
        <v>679</v>
      </c>
      <c r="AD155" s="4" t="s">
        <v>679</v>
      </c>
      <c r="AE155" s="4" t="s">
        <v>685</v>
      </c>
      <c r="AF155" s="4" t="s">
        <v>687</v>
      </c>
      <c r="AG155" s="5" t="n">
        <v>0.158321759259259</v>
      </c>
      <c r="AH155" s="5" t="n">
        <v>0.102650462962963</v>
      </c>
      <c r="AI155" s="5" t="n">
        <v>0</v>
      </c>
      <c r="AJ155" s="5" t="n">
        <v>0</v>
      </c>
      <c r="AK155" s="5" t="n">
        <v>0</v>
      </c>
      <c r="AL155" s="5" t="n">
        <v>0</v>
      </c>
      <c r="AM155" s="4" t="s">
        <v>78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M155" s="6" t="n">
        <f aca="false">IFERROR(VALUE(F155),"")</f>
        <v>157.71</v>
      </c>
      <c r="BN155" s="6" t="str">
        <f aca="false">IF(R155="-","",IFERROR(VALUE(LEFT(Q155,LEN(Q155)-2)),""))</f>
        <v/>
      </c>
      <c r="BO155" s="6" t="str">
        <f aca="false">IF(R155="-","",IFERROR(VALUE(LEFT(R155,LEN(R155)-5)),""))</f>
        <v/>
      </c>
      <c r="BP155" s="6" t="str">
        <f aca="false">IF(R155="-","",IFERROR(VALUE(F155),""))</f>
        <v/>
      </c>
      <c r="BQ155" s="4" t="n">
        <f aca="false">IF(R155="-",1,0)</f>
        <v>1</v>
      </c>
    </row>
    <row r="156" customFormat="false" ht="15" hidden="false" customHeight="false" outlineLevel="0" collapsed="false">
      <c r="A156" s="0" t="s">
        <v>676</v>
      </c>
      <c r="B156" s="0" t="s">
        <v>677</v>
      </c>
      <c r="C156" s="0" t="s">
        <v>70</v>
      </c>
      <c r="E156" s="3" t="n">
        <v>46277</v>
      </c>
      <c r="F156" s="4" t="s">
        <v>688</v>
      </c>
      <c r="G156" s="5" t="n">
        <v>0.279525462962963</v>
      </c>
      <c r="H156" s="5" t="n">
        <v>0</v>
      </c>
      <c r="I156" s="5" t="n">
        <v>0.000289351851851852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5" t="n">
        <v>0</v>
      </c>
      <c r="P156" s="5" t="n">
        <v>0.0145949074074074</v>
      </c>
      <c r="Q156" s="4" t="s">
        <v>73</v>
      </c>
      <c r="R156" s="4" t="s">
        <v>73</v>
      </c>
      <c r="S156" s="5" t="n">
        <v>0</v>
      </c>
      <c r="T156" s="5" t="n">
        <v>0.120949074074074</v>
      </c>
      <c r="U156" s="5" t="n">
        <v>0.0866898148148148</v>
      </c>
      <c r="V156" s="5" t="n">
        <v>0.0618055555555556</v>
      </c>
      <c r="W156" s="5" t="n">
        <v>0</v>
      </c>
      <c r="X156" s="5" t="n">
        <v>0</v>
      </c>
      <c r="Y156" s="5" t="n">
        <v>0</v>
      </c>
      <c r="Z156" s="0" t="n">
        <v>0</v>
      </c>
      <c r="AA156" s="0" t="n">
        <v>0</v>
      </c>
      <c r="AB156" s="0" t="n">
        <v>0</v>
      </c>
      <c r="AC156" s="4" t="s">
        <v>679</v>
      </c>
      <c r="AD156" s="4" t="s">
        <v>599</v>
      </c>
      <c r="AE156" s="4" t="s">
        <v>687</v>
      </c>
      <c r="AF156" s="4" t="s">
        <v>689</v>
      </c>
      <c r="AG156" s="5" t="n">
        <v>0.218703703703704</v>
      </c>
      <c r="AH156" s="5" t="n">
        <v>0.119895833333333</v>
      </c>
      <c r="AI156" s="5" t="n">
        <v>0</v>
      </c>
      <c r="AJ156" s="5" t="n">
        <v>0</v>
      </c>
      <c r="AK156" s="5" t="n">
        <v>0</v>
      </c>
      <c r="AL156" s="5" t="n">
        <v>0</v>
      </c>
      <c r="AM156" s="4" t="s">
        <v>78</v>
      </c>
      <c r="AN156" s="0" t="n">
        <v>0</v>
      </c>
      <c r="AO156" s="0" t="n">
        <v>1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1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M156" s="6" t="n">
        <f aca="false">IFERROR(VALUE(F156),"")</f>
        <v>244.89</v>
      </c>
      <c r="BN156" s="6" t="str">
        <f aca="false">IF(R156="-","",IFERROR(VALUE(LEFT(Q156,LEN(Q156)-2)),""))</f>
        <v/>
      </c>
      <c r="BO156" s="6" t="str">
        <f aca="false">IF(R156="-","",IFERROR(VALUE(LEFT(R156,LEN(R156)-5)),""))</f>
        <v/>
      </c>
      <c r="BP156" s="6" t="str">
        <f aca="false">IF(R156="-","",IFERROR(VALUE(F156),""))</f>
        <v/>
      </c>
      <c r="BQ156" s="4" t="n">
        <f aca="false">IF(R156="-",1,0)</f>
        <v>1</v>
      </c>
    </row>
    <row r="157" customFormat="false" ht="15" hidden="false" customHeight="false" outlineLevel="0" collapsed="false">
      <c r="A157" s="0" t="s">
        <v>676</v>
      </c>
      <c r="B157" s="0" t="s">
        <v>677</v>
      </c>
      <c r="C157" s="0" t="s">
        <v>70</v>
      </c>
      <c r="E157" s="3" t="n">
        <v>46279</v>
      </c>
      <c r="F157" s="4" t="s">
        <v>690</v>
      </c>
      <c r="G157" s="5" t="n">
        <v>0.147083333333333</v>
      </c>
      <c r="H157" s="5" t="n">
        <v>0</v>
      </c>
      <c r="I157" s="5" t="n">
        <v>3.47222222222222E-005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5" t="n">
        <v>0</v>
      </c>
      <c r="P157" s="5" t="n">
        <v>0</v>
      </c>
      <c r="Q157" s="4" t="s">
        <v>73</v>
      </c>
      <c r="R157" s="4" t="s">
        <v>73</v>
      </c>
      <c r="S157" s="5" t="n">
        <v>0</v>
      </c>
      <c r="T157" s="5" t="n">
        <v>0.0625</v>
      </c>
      <c r="U157" s="5" t="n">
        <v>0.0439814814814815</v>
      </c>
      <c r="V157" s="5" t="n">
        <v>0.0278935185185185</v>
      </c>
      <c r="W157" s="5" t="n">
        <v>0</v>
      </c>
      <c r="X157" s="5" t="n">
        <v>0</v>
      </c>
      <c r="Y157" s="5" t="n">
        <v>0</v>
      </c>
      <c r="Z157" s="0" t="n">
        <v>0</v>
      </c>
      <c r="AA157" s="0" t="n">
        <v>0</v>
      </c>
      <c r="AB157" s="0" t="n">
        <v>0</v>
      </c>
      <c r="AC157" s="4" t="s">
        <v>598</v>
      </c>
      <c r="AD157" s="4" t="s">
        <v>679</v>
      </c>
      <c r="AE157" s="4" t="s">
        <v>689</v>
      </c>
      <c r="AF157" s="4" t="s">
        <v>691</v>
      </c>
      <c r="AG157" s="5" t="n">
        <v>0.110856481481482</v>
      </c>
      <c r="AH157" s="5" t="n">
        <v>0.0559837962962963</v>
      </c>
      <c r="AI157" s="5" t="n">
        <v>0</v>
      </c>
      <c r="AJ157" s="5" t="n">
        <v>0</v>
      </c>
      <c r="AK157" s="5" t="n">
        <v>0</v>
      </c>
      <c r="AL157" s="5" t="n">
        <v>0</v>
      </c>
      <c r="AM157" s="4" t="s">
        <v>78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1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M157" s="6" t="n">
        <f aca="false">IFERROR(VALUE(F157),"")</f>
        <v>110.1</v>
      </c>
      <c r="BN157" s="6" t="str">
        <f aca="false">IF(R157="-","",IFERROR(VALUE(LEFT(Q157,LEN(Q157)-2)),""))</f>
        <v/>
      </c>
      <c r="BO157" s="6" t="str">
        <f aca="false">IF(R157="-","",IFERROR(VALUE(LEFT(R157,LEN(R157)-5)),""))</f>
        <v/>
      </c>
      <c r="BP157" s="6" t="str">
        <f aca="false">IF(R157="-","",IFERROR(VALUE(F157),""))</f>
        <v/>
      </c>
      <c r="BQ157" s="4" t="n">
        <f aca="false">IF(R157="-",1,0)</f>
        <v>1</v>
      </c>
    </row>
    <row r="158" customFormat="false" ht="15" hidden="false" customHeight="false" outlineLevel="0" collapsed="false">
      <c r="A158" s="0" t="s">
        <v>692</v>
      </c>
      <c r="B158" s="0" t="s">
        <v>693</v>
      </c>
      <c r="C158" s="0" t="s">
        <v>70</v>
      </c>
      <c r="D158" s="0" t="s">
        <v>694</v>
      </c>
      <c r="E158" s="3" t="n">
        <v>46273</v>
      </c>
      <c r="F158" s="4" t="s">
        <v>695</v>
      </c>
      <c r="G158" s="5" t="n">
        <v>0.238148148148148</v>
      </c>
      <c r="H158" s="5" t="n">
        <v>0.238032407407407</v>
      </c>
      <c r="I158" s="5" t="n">
        <v>0.000740740740740741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5" t="n">
        <v>0</v>
      </c>
      <c r="P158" s="5" t="n">
        <v>0</v>
      </c>
      <c r="Q158" s="4" t="s">
        <v>73</v>
      </c>
      <c r="R158" s="4" t="s">
        <v>73</v>
      </c>
      <c r="S158" s="5" t="n">
        <v>0</v>
      </c>
      <c r="T158" s="5" t="n">
        <v>0.0663194444444444</v>
      </c>
      <c r="U158" s="5" t="n">
        <v>0.116087962962963</v>
      </c>
      <c r="V158" s="5" t="n">
        <v>0.0550925925925926</v>
      </c>
      <c r="W158" s="5" t="n">
        <v>0</v>
      </c>
      <c r="X158" s="5" t="n">
        <v>0</v>
      </c>
      <c r="Y158" s="5" t="n">
        <v>0</v>
      </c>
      <c r="Z158" s="0" t="n">
        <v>0</v>
      </c>
      <c r="AA158" s="0" t="n">
        <v>0</v>
      </c>
      <c r="AB158" s="0" t="n">
        <v>0</v>
      </c>
      <c r="AC158" s="4" t="s">
        <v>614</v>
      </c>
      <c r="AD158" s="4" t="s">
        <v>662</v>
      </c>
      <c r="AE158" s="4" t="s">
        <v>696</v>
      </c>
      <c r="AF158" s="4" t="s">
        <v>697</v>
      </c>
      <c r="AG158" s="5" t="n">
        <v>0.210671296296296</v>
      </c>
      <c r="AH158" s="5" t="n">
        <v>0.0615625</v>
      </c>
      <c r="AI158" s="5" t="n">
        <v>0</v>
      </c>
      <c r="AJ158" s="5" t="n">
        <v>0</v>
      </c>
      <c r="AK158" s="5" t="n">
        <v>0</v>
      </c>
      <c r="AL158" s="5" t="n">
        <v>0</v>
      </c>
      <c r="AM158" s="4" t="s">
        <v>78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M158" s="6" t="n">
        <f aca="false">IFERROR(VALUE(F158),"")</f>
        <v>255.59</v>
      </c>
      <c r="BN158" s="6" t="str">
        <f aca="false">IF(R158="-","",IFERROR(VALUE(LEFT(Q158,LEN(Q158)-2)),""))</f>
        <v/>
      </c>
      <c r="BO158" s="6" t="str">
        <f aca="false">IF(R158="-","",IFERROR(VALUE(LEFT(R158,LEN(R158)-5)),""))</f>
        <v/>
      </c>
      <c r="BP158" s="6" t="str">
        <f aca="false">IF(R158="-","",IFERROR(VALUE(F158),""))</f>
        <v/>
      </c>
      <c r="BQ158" s="4" t="n">
        <f aca="false">IF(R158="-",1,0)</f>
        <v>1</v>
      </c>
    </row>
    <row r="159" customFormat="false" ht="15" hidden="false" customHeight="false" outlineLevel="0" collapsed="false">
      <c r="A159" s="0" t="s">
        <v>692</v>
      </c>
      <c r="B159" s="0" t="s">
        <v>693</v>
      </c>
      <c r="C159" s="0" t="s">
        <v>70</v>
      </c>
      <c r="D159" s="0" t="s">
        <v>698</v>
      </c>
      <c r="E159" s="3" t="n">
        <v>46274</v>
      </c>
      <c r="F159" s="4" t="s">
        <v>699</v>
      </c>
      <c r="G159" s="5" t="n">
        <v>0.192384259259259</v>
      </c>
      <c r="H159" s="5" t="n">
        <v>0.146527777777778</v>
      </c>
      <c r="I159" s="5" t="n">
        <v>0.00197916666666667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5</v>
      </c>
      <c r="O159" s="5" t="n">
        <v>0</v>
      </c>
      <c r="P159" s="5" t="n">
        <v>0.00789351851851852</v>
      </c>
      <c r="Q159" s="4" t="s">
        <v>73</v>
      </c>
      <c r="R159" s="4" t="s">
        <v>73</v>
      </c>
      <c r="S159" s="5" t="n">
        <v>0</v>
      </c>
      <c r="T159" s="5" t="n">
        <v>0.0938657407407407</v>
      </c>
      <c r="U159" s="5" t="n">
        <v>0.0591435185185185</v>
      </c>
      <c r="V159" s="5" t="n">
        <v>0.0275462962962963</v>
      </c>
      <c r="W159" s="5" t="n">
        <v>0</v>
      </c>
      <c r="X159" s="5" t="n">
        <v>0</v>
      </c>
      <c r="Y159" s="5" t="n">
        <v>0</v>
      </c>
      <c r="Z159" s="0" t="n">
        <v>0</v>
      </c>
      <c r="AA159" s="0" t="n">
        <v>0</v>
      </c>
      <c r="AB159" s="0" t="n">
        <v>0</v>
      </c>
      <c r="AC159" s="4" t="s">
        <v>627</v>
      </c>
      <c r="AD159" s="4" t="s">
        <v>627</v>
      </c>
      <c r="AE159" s="4" t="s">
        <v>697</v>
      </c>
      <c r="AF159" s="4" t="s">
        <v>700</v>
      </c>
      <c r="AG159" s="5" t="n">
        <v>0.135625</v>
      </c>
      <c r="AH159" s="5" t="n">
        <v>0.206747685185185</v>
      </c>
      <c r="AI159" s="5" t="n">
        <v>0</v>
      </c>
      <c r="AJ159" s="5" t="n">
        <v>0</v>
      </c>
      <c r="AK159" s="5" t="n">
        <v>0</v>
      </c>
      <c r="AL159" s="5" t="n">
        <v>0</v>
      </c>
      <c r="AM159" s="4" t="s">
        <v>78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M159" s="6" t="n">
        <f aca="false">IFERROR(VALUE(F159),"")</f>
        <v>124.03</v>
      </c>
      <c r="BN159" s="6" t="str">
        <f aca="false">IF(R159="-","",IFERROR(VALUE(LEFT(Q159,LEN(Q159)-2)),""))</f>
        <v/>
      </c>
      <c r="BO159" s="6" t="str">
        <f aca="false">IF(R159="-","",IFERROR(VALUE(LEFT(R159,LEN(R159)-5)),""))</f>
        <v/>
      </c>
      <c r="BP159" s="6" t="str">
        <f aca="false">IF(R159="-","",IFERROR(VALUE(F159),""))</f>
        <v/>
      </c>
      <c r="BQ159" s="4" t="n">
        <f aca="false">IF(R159="-",1,0)</f>
        <v>1</v>
      </c>
    </row>
    <row r="160" customFormat="false" ht="15" hidden="false" customHeight="false" outlineLevel="0" collapsed="false">
      <c r="A160" s="0" t="s">
        <v>692</v>
      </c>
      <c r="B160" s="0" t="s">
        <v>693</v>
      </c>
      <c r="C160" s="0" t="s">
        <v>70</v>
      </c>
      <c r="D160" s="0" t="s">
        <v>638</v>
      </c>
      <c r="E160" s="3" t="n">
        <v>46275</v>
      </c>
      <c r="F160" s="4" t="s">
        <v>701</v>
      </c>
      <c r="G160" s="5" t="n">
        <v>0.20912037037037</v>
      </c>
      <c r="H160" s="5" t="n">
        <v>0.206423611111111</v>
      </c>
      <c r="I160" s="5" t="n">
        <v>5.78703703703704E-005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5" t="n">
        <v>0</v>
      </c>
      <c r="P160" s="5" t="n">
        <v>0</v>
      </c>
      <c r="Q160" s="4" t="s">
        <v>73</v>
      </c>
      <c r="R160" s="4" t="s">
        <v>73</v>
      </c>
      <c r="S160" s="5" t="n">
        <v>0</v>
      </c>
      <c r="T160" s="5" t="n">
        <v>0.0584490740740741</v>
      </c>
      <c r="U160" s="5" t="n">
        <v>0.103587962962963</v>
      </c>
      <c r="V160" s="5" t="n">
        <v>0.0418981481481482</v>
      </c>
      <c r="W160" s="5" t="n">
        <v>0</v>
      </c>
      <c r="X160" s="5" t="n">
        <v>0</v>
      </c>
      <c r="Y160" s="5" t="n">
        <v>0</v>
      </c>
      <c r="Z160" s="0" t="n">
        <v>0</v>
      </c>
      <c r="AA160" s="0" t="n">
        <v>0</v>
      </c>
      <c r="AB160" s="0" t="n">
        <v>0</v>
      </c>
      <c r="AC160" s="4" t="s">
        <v>627</v>
      </c>
      <c r="AD160" s="4" t="s">
        <v>662</v>
      </c>
      <c r="AE160" s="4" t="s">
        <v>700</v>
      </c>
      <c r="AF160" s="4" t="s">
        <v>702</v>
      </c>
      <c r="AG160" s="5" t="n">
        <v>0.184085648148148</v>
      </c>
      <c r="AH160" s="5" t="n">
        <v>0.0383333333333333</v>
      </c>
      <c r="AI160" s="5" t="n">
        <v>0</v>
      </c>
      <c r="AJ160" s="5" t="n">
        <v>0</v>
      </c>
      <c r="AK160" s="5" t="n">
        <v>0</v>
      </c>
      <c r="AL160" s="5" t="n">
        <v>0</v>
      </c>
      <c r="AM160" s="4" t="s">
        <v>78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4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M160" s="6" t="n">
        <f aca="false">IFERROR(VALUE(F160),"")</f>
        <v>216.69</v>
      </c>
      <c r="BN160" s="6" t="str">
        <f aca="false">IF(R160="-","",IFERROR(VALUE(LEFT(Q160,LEN(Q160)-2)),""))</f>
        <v/>
      </c>
      <c r="BO160" s="6" t="str">
        <f aca="false">IF(R160="-","",IFERROR(VALUE(LEFT(R160,LEN(R160)-5)),""))</f>
        <v/>
      </c>
      <c r="BP160" s="6" t="str">
        <f aca="false">IF(R160="-","",IFERROR(VALUE(F160),""))</f>
        <v/>
      </c>
      <c r="BQ160" s="4" t="n">
        <f aca="false">IF(R160="-",1,0)</f>
        <v>1</v>
      </c>
    </row>
    <row r="161" customFormat="false" ht="15" hidden="false" customHeight="false" outlineLevel="0" collapsed="false">
      <c r="A161" s="0" t="s">
        <v>692</v>
      </c>
      <c r="B161" s="0" t="s">
        <v>693</v>
      </c>
      <c r="C161" s="0" t="s">
        <v>70</v>
      </c>
      <c r="D161" s="0" t="s">
        <v>638</v>
      </c>
      <c r="E161" s="3" t="n">
        <v>46276</v>
      </c>
      <c r="F161" s="4" t="s">
        <v>703</v>
      </c>
      <c r="G161" s="5" t="n">
        <v>0.207453703703704</v>
      </c>
      <c r="H161" s="5" t="n">
        <v>0.206296296296296</v>
      </c>
      <c r="I161" s="5" t="n">
        <v>9.25925925925926E-005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5" t="n">
        <v>0</v>
      </c>
      <c r="P161" s="5" t="n">
        <v>0</v>
      </c>
      <c r="Q161" s="4" t="s">
        <v>73</v>
      </c>
      <c r="R161" s="4" t="s">
        <v>73</v>
      </c>
      <c r="S161" s="5" t="n">
        <v>0</v>
      </c>
      <c r="T161" s="5" t="n">
        <v>0.0548611111111111</v>
      </c>
      <c r="U161" s="5" t="n">
        <v>0.103125</v>
      </c>
      <c r="V161" s="5" t="n">
        <v>0.0457175925925926</v>
      </c>
      <c r="W161" s="5" t="n">
        <v>0</v>
      </c>
      <c r="X161" s="5" t="n">
        <v>0</v>
      </c>
      <c r="Y161" s="5" t="n">
        <v>0</v>
      </c>
      <c r="Z161" s="0" t="n">
        <v>0</v>
      </c>
      <c r="AA161" s="0" t="n">
        <v>0</v>
      </c>
      <c r="AB161" s="0" t="n">
        <v>0</v>
      </c>
      <c r="AC161" s="4" t="s">
        <v>627</v>
      </c>
      <c r="AD161" s="4" t="s">
        <v>627</v>
      </c>
      <c r="AE161" s="4" t="s">
        <v>702</v>
      </c>
      <c r="AF161" s="4" t="s">
        <v>704</v>
      </c>
      <c r="AG161" s="5" t="n">
        <v>0.187824074074074</v>
      </c>
      <c r="AH161" s="5" t="n">
        <v>0.0397569444444444</v>
      </c>
      <c r="AI161" s="5" t="n">
        <v>0</v>
      </c>
      <c r="AJ161" s="5" t="n">
        <v>0</v>
      </c>
      <c r="AK161" s="5" t="n">
        <v>0</v>
      </c>
      <c r="AL161" s="5" t="n">
        <v>0</v>
      </c>
      <c r="AM161" s="4" t="s">
        <v>78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1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M161" s="6" t="n">
        <f aca="false">IFERROR(VALUE(F161),"")</f>
        <v>216.67</v>
      </c>
      <c r="BN161" s="6" t="str">
        <f aca="false">IF(R161="-","",IFERROR(VALUE(LEFT(Q161,LEN(Q161)-2)),""))</f>
        <v/>
      </c>
      <c r="BO161" s="6" t="str">
        <f aca="false">IF(R161="-","",IFERROR(VALUE(LEFT(R161,LEN(R161)-5)),""))</f>
        <v/>
      </c>
      <c r="BP161" s="6" t="str">
        <f aca="false">IF(R161="-","",IFERROR(VALUE(F161),""))</f>
        <v/>
      </c>
      <c r="BQ161" s="4" t="n">
        <f aca="false">IF(R161="-",1,0)</f>
        <v>1</v>
      </c>
    </row>
    <row r="162" customFormat="false" ht="15" hidden="false" customHeight="false" outlineLevel="0" collapsed="false">
      <c r="A162" s="0" t="s">
        <v>692</v>
      </c>
      <c r="B162" s="0" t="s">
        <v>693</v>
      </c>
      <c r="C162" s="0" t="s">
        <v>70</v>
      </c>
      <c r="D162" s="0" t="s">
        <v>638</v>
      </c>
      <c r="E162" s="3" t="n">
        <v>46277</v>
      </c>
      <c r="F162" s="4" t="s">
        <v>705</v>
      </c>
      <c r="G162" s="5" t="n">
        <v>0.198055555555556</v>
      </c>
      <c r="H162" s="5" t="n">
        <v>0.197905092592593</v>
      </c>
      <c r="I162" s="5" t="n">
        <v>0.000127314814814815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5" t="n">
        <v>0</v>
      </c>
      <c r="P162" s="5" t="n">
        <v>0</v>
      </c>
      <c r="Q162" s="4" t="s">
        <v>73</v>
      </c>
      <c r="R162" s="4" t="s">
        <v>73</v>
      </c>
      <c r="S162" s="5" t="n">
        <v>0</v>
      </c>
      <c r="T162" s="5" t="n">
        <v>0.0498842592592593</v>
      </c>
      <c r="U162" s="5" t="n">
        <v>0.103472222222222</v>
      </c>
      <c r="V162" s="5" t="n">
        <v>0.0422453703703704</v>
      </c>
      <c r="W162" s="5" t="n">
        <v>0</v>
      </c>
      <c r="X162" s="5" t="n">
        <v>0</v>
      </c>
      <c r="Y162" s="5" t="n">
        <v>0</v>
      </c>
      <c r="Z162" s="0" t="n">
        <v>0</v>
      </c>
      <c r="AA162" s="0" t="n">
        <v>0</v>
      </c>
      <c r="AB162" s="0" t="n">
        <v>0</v>
      </c>
      <c r="AC162" s="4" t="s">
        <v>627</v>
      </c>
      <c r="AD162" s="4" t="s">
        <v>627</v>
      </c>
      <c r="AE162" s="4" t="s">
        <v>704</v>
      </c>
      <c r="AF162" s="4" t="s">
        <v>706</v>
      </c>
      <c r="AG162" s="5" t="n">
        <v>0.180543981481482</v>
      </c>
      <c r="AH162" s="5" t="n">
        <v>0.0197222222222222</v>
      </c>
      <c r="AI162" s="5" t="n">
        <v>0</v>
      </c>
      <c r="AJ162" s="5" t="n">
        <v>0</v>
      </c>
      <c r="AK162" s="5" t="n">
        <v>0</v>
      </c>
      <c r="AL162" s="5" t="n">
        <v>0</v>
      </c>
      <c r="AM162" s="4" t="s">
        <v>78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M162" s="6" t="n">
        <f aca="false">IFERROR(VALUE(F162),"")</f>
        <v>216.22</v>
      </c>
      <c r="BN162" s="6" t="str">
        <f aca="false">IF(R162="-","",IFERROR(VALUE(LEFT(Q162,LEN(Q162)-2)),""))</f>
        <v/>
      </c>
      <c r="BO162" s="6" t="str">
        <f aca="false">IF(R162="-","",IFERROR(VALUE(LEFT(R162,LEN(R162)-5)),""))</f>
        <v/>
      </c>
      <c r="BP162" s="6" t="str">
        <f aca="false">IF(R162="-","",IFERROR(VALUE(F162),""))</f>
        <v/>
      </c>
      <c r="BQ162" s="4" t="n">
        <f aca="false">IF(R162="-",1,0)</f>
        <v>1</v>
      </c>
    </row>
    <row r="163" customFormat="false" ht="15" hidden="false" customHeight="false" outlineLevel="0" collapsed="false">
      <c r="A163" s="0" t="s">
        <v>692</v>
      </c>
      <c r="B163" s="0" t="s">
        <v>693</v>
      </c>
      <c r="C163" s="0" t="s">
        <v>70</v>
      </c>
      <c r="D163" s="0" t="s">
        <v>638</v>
      </c>
      <c r="E163" s="3" t="n">
        <v>46279</v>
      </c>
      <c r="F163" s="4" t="s">
        <v>707</v>
      </c>
      <c r="G163" s="5" t="n">
        <v>0.205763888888889</v>
      </c>
      <c r="H163" s="5" t="n">
        <v>0.201967592592593</v>
      </c>
      <c r="I163" s="5" t="n">
        <v>6.94444444444444E-005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3</v>
      </c>
      <c r="O163" s="5" t="n">
        <v>0</v>
      </c>
      <c r="P163" s="5" t="n">
        <v>0</v>
      </c>
      <c r="Q163" s="4" t="s">
        <v>73</v>
      </c>
      <c r="R163" s="4" t="s">
        <v>73</v>
      </c>
      <c r="S163" s="5" t="n">
        <v>0</v>
      </c>
      <c r="T163" s="5" t="n">
        <v>0.0548611111111111</v>
      </c>
      <c r="U163" s="5" t="n">
        <v>0.0929398148148148</v>
      </c>
      <c r="V163" s="5" t="n">
        <v>0.0516203703703704</v>
      </c>
      <c r="W163" s="5" t="n">
        <v>0</v>
      </c>
      <c r="X163" s="5" t="n">
        <v>0</v>
      </c>
      <c r="Y163" s="5" t="n">
        <v>0</v>
      </c>
      <c r="Z163" s="0" t="n">
        <v>0</v>
      </c>
      <c r="AA163" s="0" t="n">
        <v>0</v>
      </c>
      <c r="AB163" s="0" t="n">
        <v>0</v>
      </c>
      <c r="AC163" s="4" t="s">
        <v>627</v>
      </c>
      <c r="AD163" s="4" t="s">
        <v>627</v>
      </c>
      <c r="AE163" s="4" t="s">
        <v>706</v>
      </c>
      <c r="AF163" s="4" t="s">
        <v>708</v>
      </c>
      <c r="AG163" s="5" t="n">
        <v>0.180532407407407</v>
      </c>
      <c r="AH163" s="5" t="n">
        <v>0.0452777777777778</v>
      </c>
      <c r="AI163" s="5" t="n">
        <v>0</v>
      </c>
      <c r="AJ163" s="5" t="n">
        <v>0</v>
      </c>
      <c r="AK163" s="5" t="n">
        <v>0</v>
      </c>
      <c r="AL163" s="5" t="n">
        <v>0</v>
      </c>
      <c r="AM163" s="4" t="s">
        <v>78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M163" s="6" t="n">
        <f aca="false">IFERROR(VALUE(F163),"")</f>
        <v>216.81</v>
      </c>
      <c r="BN163" s="6" t="str">
        <f aca="false">IF(R163="-","",IFERROR(VALUE(LEFT(Q163,LEN(Q163)-2)),""))</f>
        <v/>
      </c>
      <c r="BO163" s="6" t="str">
        <f aca="false">IF(R163="-","",IFERROR(VALUE(LEFT(R163,LEN(R163)-5)),""))</f>
        <v/>
      </c>
      <c r="BP163" s="6" t="str">
        <f aca="false">IF(R163="-","",IFERROR(VALUE(F163),""))</f>
        <v/>
      </c>
      <c r="BQ163" s="4" t="n">
        <f aca="false">IF(R163="-",1,0)</f>
        <v>1</v>
      </c>
    </row>
    <row r="164" customFormat="false" ht="15" hidden="false" customHeight="false" outlineLevel="0" collapsed="false">
      <c r="A164" s="0" t="s">
        <v>709</v>
      </c>
      <c r="B164" s="0" t="s">
        <v>710</v>
      </c>
      <c r="C164" s="0" t="s">
        <v>70</v>
      </c>
      <c r="E164" s="3" t="n">
        <v>46273</v>
      </c>
      <c r="F164" s="4" t="s">
        <v>711</v>
      </c>
      <c r="G164" s="5" t="n">
        <v>0.285104166666667</v>
      </c>
      <c r="H164" s="5" t="n">
        <v>0</v>
      </c>
      <c r="I164" s="5" t="n">
        <v>0.000740740740740741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5" t="n">
        <v>0</v>
      </c>
      <c r="P164" s="5" t="n">
        <v>0</v>
      </c>
      <c r="Q164" s="4" t="s">
        <v>73</v>
      </c>
      <c r="R164" s="4" t="s">
        <v>73</v>
      </c>
      <c r="S164" s="5" t="n">
        <v>0</v>
      </c>
      <c r="T164" s="5" t="n">
        <v>0.0670138888888889</v>
      </c>
      <c r="U164" s="5" t="n">
        <v>0.0831018518518519</v>
      </c>
      <c r="V164" s="5" t="n">
        <v>0.0623842592592593</v>
      </c>
      <c r="W164" s="5" t="n">
        <v>0</v>
      </c>
      <c r="X164" s="5" t="n">
        <v>0</v>
      </c>
      <c r="Y164" s="5" t="n">
        <v>0</v>
      </c>
      <c r="Z164" s="0" t="n">
        <v>0</v>
      </c>
      <c r="AA164" s="0" t="n">
        <v>0</v>
      </c>
      <c r="AB164" s="0" t="n">
        <v>0</v>
      </c>
      <c r="AC164" s="4" t="s">
        <v>627</v>
      </c>
      <c r="AD164" s="4" t="s">
        <v>627</v>
      </c>
      <c r="AE164" s="4" t="s">
        <v>712</v>
      </c>
      <c r="AF164" s="4" t="s">
        <v>713</v>
      </c>
      <c r="AG164" s="5" t="n">
        <v>0.189212962962963</v>
      </c>
      <c r="AH164" s="5" t="n">
        <v>0.132916666666667</v>
      </c>
      <c r="AI164" s="5" t="n">
        <v>0</v>
      </c>
      <c r="AJ164" s="5" t="n">
        <v>0</v>
      </c>
      <c r="AK164" s="5" t="n">
        <v>0</v>
      </c>
      <c r="AL164" s="5" t="n">
        <v>0</v>
      </c>
      <c r="AM164" s="4" t="s">
        <v>78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M164" s="6" t="n">
        <f aca="false">IFERROR(VALUE(F164),"")</f>
        <v>215.9</v>
      </c>
      <c r="BN164" s="6" t="str">
        <f aca="false">IF(R164="-","",IFERROR(VALUE(LEFT(Q164,LEN(Q164)-2)),""))</f>
        <v/>
      </c>
      <c r="BO164" s="6" t="str">
        <f aca="false">IF(R164="-","",IFERROR(VALUE(LEFT(R164,LEN(R164)-5)),""))</f>
        <v/>
      </c>
      <c r="BP164" s="6" t="str">
        <f aca="false">IF(R164="-","",IFERROR(VALUE(F164),""))</f>
        <v/>
      </c>
      <c r="BQ164" s="4" t="n">
        <f aca="false">IF(R164="-",1,0)</f>
        <v>1</v>
      </c>
    </row>
    <row r="165" customFormat="false" ht="15" hidden="false" customHeight="false" outlineLevel="0" collapsed="false">
      <c r="A165" s="0" t="s">
        <v>709</v>
      </c>
      <c r="B165" s="0" t="s">
        <v>710</v>
      </c>
      <c r="C165" s="0" t="s">
        <v>70</v>
      </c>
      <c r="E165" s="3" t="n">
        <v>46274</v>
      </c>
      <c r="F165" s="4" t="s">
        <v>714</v>
      </c>
      <c r="G165" s="5" t="n">
        <v>0.267743055555556</v>
      </c>
      <c r="H165" s="5" t="n">
        <v>0</v>
      </c>
      <c r="I165" s="5" t="n">
        <v>0.00452546296296296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5" t="n">
        <v>0</v>
      </c>
      <c r="P165" s="5" t="n">
        <v>0</v>
      </c>
      <c r="Q165" s="4" t="s">
        <v>73</v>
      </c>
      <c r="R165" s="4" t="s">
        <v>73</v>
      </c>
      <c r="S165" s="5" t="n">
        <v>0.000231481481481482</v>
      </c>
      <c r="T165" s="5" t="n">
        <v>0.0855324074074074</v>
      </c>
      <c r="U165" s="5" t="n">
        <v>0.0945601851851852</v>
      </c>
      <c r="V165" s="5" t="n">
        <v>0.0828703703703704</v>
      </c>
      <c r="W165" s="5" t="n">
        <v>0</v>
      </c>
      <c r="X165" s="5" t="n">
        <v>0</v>
      </c>
      <c r="Y165" s="5" t="n">
        <v>0</v>
      </c>
      <c r="Z165" s="0" t="n">
        <v>0</v>
      </c>
      <c r="AA165" s="0" t="n">
        <v>0</v>
      </c>
      <c r="AB165" s="0" t="n">
        <v>0</v>
      </c>
      <c r="AC165" s="4" t="s">
        <v>627</v>
      </c>
      <c r="AD165" s="4" t="s">
        <v>614</v>
      </c>
      <c r="AE165" s="4" t="s">
        <v>713</v>
      </c>
      <c r="AF165" s="4" t="s">
        <v>715</v>
      </c>
      <c r="AG165" s="5" t="n">
        <v>0.240011574074074</v>
      </c>
      <c r="AH165" s="5" t="n">
        <v>0.0461111111111111</v>
      </c>
      <c r="AI165" s="5" t="n">
        <v>0</v>
      </c>
      <c r="AJ165" s="5" t="n">
        <v>0</v>
      </c>
      <c r="AK165" s="5" t="n">
        <v>0</v>
      </c>
      <c r="AL165" s="5" t="n">
        <v>0</v>
      </c>
      <c r="AM165" s="4" t="s">
        <v>78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1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M165" s="6" t="n">
        <f aca="false">IFERROR(VALUE(F165),"")</f>
        <v>268.75</v>
      </c>
      <c r="BN165" s="6" t="str">
        <f aca="false">IF(R165="-","",IFERROR(VALUE(LEFT(Q165,LEN(Q165)-2)),""))</f>
        <v/>
      </c>
      <c r="BO165" s="6" t="str">
        <f aca="false">IF(R165="-","",IFERROR(VALUE(LEFT(R165,LEN(R165)-5)),""))</f>
        <v/>
      </c>
      <c r="BP165" s="6" t="str">
        <f aca="false">IF(R165="-","",IFERROR(VALUE(F165),""))</f>
        <v/>
      </c>
      <c r="BQ165" s="4" t="n">
        <f aca="false">IF(R165="-",1,0)</f>
        <v>1</v>
      </c>
    </row>
    <row r="166" customFormat="false" ht="15" hidden="false" customHeight="false" outlineLevel="0" collapsed="false">
      <c r="A166" s="0" t="s">
        <v>709</v>
      </c>
      <c r="B166" s="0" t="s">
        <v>710</v>
      </c>
      <c r="C166" s="0" t="s">
        <v>70</v>
      </c>
      <c r="E166" s="3" t="n">
        <v>46275</v>
      </c>
      <c r="F166" s="4" t="s">
        <v>716</v>
      </c>
      <c r="G166" s="5" t="n">
        <v>0.198587962962963</v>
      </c>
      <c r="H166" s="5" t="n">
        <v>0</v>
      </c>
      <c r="I166" s="5" t="n">
        <v>0.00413194444444444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5" t="n">
        <v>0</v>
      </c>
      <c r="P166" s="5" t="n">
        <v>0.0299189814814815</v>
      </c>
      <c r="Q166" s="4" t="s">
        <v>73</v>
      </c>
      <c r="R166" s="4" t="s">
        <v>73</v>
      </c>
      <c r="S166" s="5" t="n">
        <v>0</v>
      </c>
      <c r="T166" s="5" t="n">
        <v>0.0997685185185185</v>
      </c>
      <c r="U166" s="5" t="n">
        <v>0.0414351851851852</v>
      </c>
      <c r="V166" s="5" t="n">
        <v>0.0390046296296296</v>
      </c>
      <c r="W166" s="5" t="n">
        <v>0</v>
      </c>
      <c r="X166" s="5" t="n">
        <v>0</v>
      </c>
      <c r="Y166" s="5" t="n">
        <v>0</v>
      </c>
      <c r="Z166" s="0" t="n">
        <v>0</v>
      </c>
      <c r="AA166" s="0" t="n">
        <v>0</v>
      </c>
      <c r="AB166" s="0" t="n">
        <v>0</v>
      </c>
      <c r="AC166" s="4" t="s">
        <v>614</v>
      </c>
      <c r="AD166" s="4" t="s">
        <v>614</v>
      </c>
      <c r="AE166" s="4" t="s">
        <v>715</v>
      </c>
      <c r="AF166" s="4" t="s">
        <v>717</v>
      </c>
      <c r="AG166" s="5" t="n">
        <v>0.110474537037037</v>
      </c>
      <c r="AH166" s="5" t="n">
        <v>0.195775462962963</v>
      </c>
      <c r="AI166" s="5" t="n">
        <v>0</v>
      </c>
      <c r="AJ166" s="5" t="n">
        <v>0</v>
      </c>
      <c r="AK166" s="5" t="n">
        <v>0</v>
      </c>
      <c r="AL166" s="5" t="n">
        <v>0</v>
      </c>
      <c r="AM166" s="4" t="s">
        <v>78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M166" s="6" t="n">
        <f aca="false">IFERROR(VALUE(F166),"")</f>
        <v>119.75</v>
      </c>
      <c r="BN166" s="6" t="str">
        <f aca="false">IF(R166="-","",IFERROR(VALUE(LEFT(Q166,LEN(Q166)-2)),""))</f>
        <v/>
      </c>
      <c r="BO166" s="6" t="str">
        <f aca="false">IF(R166="-","",IFERROR(VALUE(LEFT(R166,LEN(R166)-5)),""))</f>
        <v/>
      </c>
      <c r="BP166" s="6" t="str">
        <f aca="false">IF(R166="-","",IFERROR(VALUE(F166),""))</f>
        <v/>
      </c>
      <c r="BQ166" s="4" t="n">
        <f aca="false">IF(R166="-",1,0)</f>
        <v>1</v>
      </c>
    </row>
    <row r="167" customFormat="false" ht="15" hidden="false" customHeight="false" outlineLevel="0" collapsed="false">
      <c r="A167" s="0" t="s">
        <v>709</v>
      </c>
      <c r="B167" s="0" t="s">
        <v>710</v>
      </c>
      <c r="C167" s="0" t="s">
        <v>70</v>
      </c>
      <c r="E167" s="3" t="n">
        <v>46276</v>
      </c>
      <c r="F167" s="4" t="s">
        <v>718</v>
      </c>
      <c r="G167" s="5" t="n">
        <v>0.264930555555556</v>
      </c>
      <c r="H167" s="5" t="n">
        <v>0</v>
      </c>
      <c r="I167" s="5" t="n">
        <v>0.000740740740740741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5" t="n">
        <v>0</v>
      </c>
      <c r="P167" s="5" t="n">
        <v>0</v>
      </c>
      <c r="Q167" s="4" t="s">
        <v>73</v>
      </c>
      <c r="R167" s="4" t="s">
        <v>73</v>
      </c>
      <c r="S167" s="5" t="n">
        <v>0.000115740740740741</v>
      </c>
      <c r="T167" s="5" t="n">
        <v>0.0806712962962963</v>
      </c>
      <c r="U167" s="5" t="n">
        <v>0.0976851851851852</v>
      </c>
      <c r="V167" s="5" t="n">
        <v>0.0813657407407407</v>
      </c>
      <c r="W167" s="5" t="n">
        <v>0</v>
      </c>
      <c r="X167" s="5" t="n">
        <v>0</v>
      </c>
      <c r="Y167" s="5" t="n">
        <v>0</v>
      </c>
      <c r="Z167" s="0" t="n">
        <v>0</v>
      </c>
      <c r="AA167" s="0" t="n">
        <v>0</v>
      </c>
      <c r="AB167" s="0" t="n">
        <v>0</v>
      </c>
      <c r="AC167" s="4" t="s">
        <v>614</v>
      </c>
      <c r="AD167" s="4" t="s">
        <v>627</v>
      </c>
      <c r="AE167" s="4" t="s">
        <v>717</v>
      </c>
      <c r="AF167" s="4" t="s">
        <v>719</v>
      </c>
      <c r="AG167" s="5" t="n">
        <v>0.240451388888889</v>
      </c>
      <c r="AH167" s="5" t="n">
        <v>0.0971412037037037</v>
      </c>
      <c r="AI167" s="5" t="n">
        <v>0</v>
      </c>
      <c r="AJ167" s="5" t="n">
        <v>0</v>
      </c>
      <c r="AK167" s="5" t="n">
        <v>0</v>
      </c>
      <c r="AL167" s="5" t="n">
        <v>0</v>
      </c>
      <c r="AM167" s="4" t="s">
        <v>78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M167" s="6" t="n">
        <f aca="false">IFERROR(VALUE(F167),"")</f>
        <v>268.62</v>
      </c>
      <c r="BN167" s="6" t="str">
        <f aca="false">IF(R167="-","",IFERROR(VALUE(LEFT(Q167,LEN(Q167)-2)),""))</f>
        <v/>
      </c>
      <c r="BO167" s="6" t="str">
        <f aca="false">IF(R167="-","",IFERROR(VALUE(LEFT(R167,LEN(R167)-5)),""))</f>
        <v/>
      </c>
      <c r="BP167" s="6" t="str">
        <f aca="false">IF(R167="-","",IFERROR(VALUE(F167),""))</f>
        <v/>
      </c>
      <c r="BQ167" s="4" t="n">
        <f aca="false">IF(R167="-",1,0)</f>
        <v>1</v>
      </c>
    </row>
    <row r="168" customFormat="false" ht="15" hidden="false" customHeight="false" outlineLevel="0" collapsed="false">
      <c r="A168" s="0" t="s">
        <v>709</v>
      </c>
      <c r="B168" s="0" t="s">
        <v>710</v>
      </c>
      <c r="C168" s="0" t="s">
        <v>70</v>
      </c>
      <c r="E168" s="3" t="n">
        <v>46277</v>
      </c>
      <c r="F168" s="4" t="s">
        <v>720</v>
      </c>
      <c r="G168" s="5" t="n">
        <v>0.198263888888889</v>
      </c>
      <c r="H168" s="5" t="n">
        <v>0</v>
      </c>
      <c r="I168" s="5" t="n">
        <v>0.000509259259259259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5" t="n">
        <v>0</v>
      </c>
      <c r="P168" s="5" t="n">
        <v>0</v>
      </c>
      <c r="Q168" s="4" t="s">
        <v>73</v>
      </c>
      <c r="R168" s="4" t="s">
        <v>73</v>
      </c>
      <c r="S168" s="5" t="n">
        <v>0.000115740740740741</v>
      </c>
      <c r="T168" s="5" t="n">
        <v>0.056712962962963</v>
      </c>
      <c r="U168" s="5" t="n">
        <v>0.0689814814814815</v>
      </c>
      <c r="V168" s="5" t="n">
        <v>0.0701388888888889</v>
      </c>
      <c r="W168" s="5" t="n">
        <v>0</v>
      </c>
      <c r="X168" s="5" t="n">
        <v>0</v>
      </c>
      <c r="Y168" s="5" t="n">
        <v>0</v>
      </c>
      <c r="Z168" s="0" t="n">
        <v>0</v>
      </c>
      <c r="AA168" s="0" t="n">
        <v>0</v>
      </c>
      <c r="AB168" s="0" t="n">
        <v>0</v>
      </c>
      <c r="AC168" s="4" t="s">
        <v>627</v>
      </c>
      <c r="AD168" s="4" t="s">
        <v>627</v>
      </c>
      <c r="AE168" s="4" t="s">
        <v>719</v>
      </c>
      <c r="AF168" s="4" t="s">
        <v>721</v>
      </c>
      <c r="AG168" s="5" t="n">
        <v>0.183391203703704</v>
      </c>
      <c r="AH168" s="5" t="n">
        <v>0.0166782407407407</v>
      </c>
      <c r="AI168" s="5" t="n">
        <v>0</v>
      </c>
      <c r="AJ168" s="5" t="n">
        <v>0</v>
      </c>
      <c r="AK168" s="5" t="n">
        <v>0</v>
      </c>
      <c r="AL168" s="5" t="n">
        <v>0</v>
      </c>
      <c r="AM168" s="4" t="s">
        <v>78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M168" s="6" t="n">
        <f aca="false">IFERROR(VALUE(F168),"")</f>
        <v>213.47</v>
      </c>
      <c r="BN168" s="6" t="str">
        <f aca="false">IF(R168="-","",IFERROR(VALUE(LEFT(Q168,LEN(Q168)-2)),""))</f>
        <v/>
      </c>
      <c r="BO168" s="6" t="str">
        <f aca="false">IF(R168="-","",IFERROR(VALUE(LEFT(R168,LEN(R168)-5)),""))</f>
        <v/>
      </c>
      <c r="BP168" s="6" t="str">
        <f aca="false">IF(R168="-","",IFERROR(VALUE(F168),""))</f>
        <v/>
      </c>
      <c r="BQ168" s="4" t="n">
        <f aca="false">IF(R168="-",1,0)</f>
        <v>1</v>
      </c>
    </row>
    <row r="169" customFormat="false" ht="15" hidden="false" customHeight="false" outlineLevel="0" collapsed="false">
      <c r="A169" s="0" t="s">
        <v>709</v>
      </c>
      <c r="B169" s="0" t="s">
        <v>710</v>
      </c>
      <c r="C169" s="0" t="s">
        <v>70</v>
      </c>
      <c r="E169" s="3" t="n">
        <v>46279</v>
      </c>
      <c r="F169" s="4" t="s">
        <v>722</v>
      </c>
      <c r="G169" s="5" t="n">
        <v>0.208483796296296</v>
      </c>
      <c r="H169" s="5" t="n">
        <v>0</v>
      </c>
      <c r="I169" s="5" t="n">
        <v>0.000289351851851852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5" t="n">
        <v>0</v>
      </c>
      <c r="P169" s="5" t="n">
        <v>0</v>
      </c>
      <c r="Q169" s="4" t="s">
        <v>73</v>
      </c>
      <c r="R169" s="4" t="s">
        <v>73</v>
      </c>
      <c r="S169" s="5" t="n">
        <v>0</v>
      </c>
      <c r="T169" s="5" t="n">
        <v>0.0644675925925926</v>
      </c>
      <c r="U169" s="5" t="n">
        <v>0.0704861111111111</v>
      </c>
      <c r="V169" s="5" t="n">
        <v>0.0711805555555556</v>
      </c>
      <c r="W169" s="5" t="n">
        <v>0</v>
      </c>
      <c r="X169" s="5" t="n">
        <v>0</v>
      </c>
      <c r="Y169" s="5" t="n">
        <v>0</v>
      </c>
      <c r="Z169" s="0" t="n">
        <v>0</v>
      </c>
      <c r="AA169" s="0" t="n">
        <v>0</v>
      </c>
      <c r="AB169" s="0" t="n">
        <v>0</v>
      </c>
      <c r="AC169" s="4" t="s">
        <v>627</v>
      </c>
      <c r="AD169" s="4" t="s">
        <v>627</v>
      </c>
      <c r="AE169" s="4" t="s">
        <v>721</v>
      </c>
      <c r="AF169" s="4" t="s">
        <v>723</v>
      </c>
      <c r="AG169" s="5" t="n">
        <v>0.187048611111111</v>
      </c>
      <c r="AH169" s="5" t="n">
        <v>0.0421412037037037</v>
      </c>
      <c r="AI169" s="5" t="n">
        <v>0</v>
      </c>
      <c r="AJ169" s="5" t="n">
        <v>0</v>
      </c>
      <c r="AK169" s="5" t="n">
        <v>0</v>
      </c>
      <c r="AL169" s="5" t="n">
        <v>0</v>
      </c>
      <c r="AM169" s="4" t="s">
        <v>78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M169" s="6" t="n">
        <f aca="false">IFERROR(VALUE(F169),"")</f>
        <v>214.54</v>
      </c>
      <c r="BN169" s="6" t="str">
        <f aca="false">IF(R169="-","",IFERROR(VALUE(LEFT(Q169,LEN(Q169)-2)),""))</f>
        <v/>
      </c>
      <c r="BO169" s="6" t="str">
        <f aca="false">IF(R169="-","",IFERROR(VALUE(LEFT(R169,LEN(R169)-5)),""))</f>
        <v/>
      </c>
      <c r="BP169" s="6" t="str">
        <f aca="false">IF(R169="-","",IFERROR(VALUE(F169),""))</f>
        <v/>
      </c>
      <c r="BQ169" s="4" t="n">
        <f aca="false">IF(R169="-",1,0)</f>
        <v>1</v>
      </c>
    </row>
    <row r="170" customFormat="false" ht="15" hidden="false" customHeight="false" outlineLevel="0" collapsed="false">
      <c r="A170" s="0" t="s">
        <v>724</v>
      </c>
      <c r="B170" s="0" t="s">
        <v>725</v>
      </c>
      <c r="C170" s="0" t="s">
        <v>70</v>
      </c>
      <c r="D170" s="0" t="s">
        <v>726</v>
      </c>
      <c r="E170" s="3" t="n">
        <v>46273</v>
      </c>
      <c r="F170" s="4" t="s">
        <v>727</v>
      </c>
      <c r="G170" s="5" t="n">
        <v>0.608935185185185</v>
      </c>
      <c r="H170" s="5" t="n">
        <v>0.417372685185185</v>
      </c>
      <c r="I170" s="5" t="n">
        <v>0.000555555555555556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5" t="n">
        <v>0</v>
      </c>
      <c r="P170" s="5" t="n">
        <v>0</v>
      </c>
      <c r="Q170" s="4" t="s">
        <v>73</v>
      </c>
      <c r="R170" s="4" t="s">
        <v>73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0" t="n">
        <v>0</v>
      </c>
      <c r="AA170" s="0" t="n">
        <v>0</v>
      </c>
      <c r="AB170" s="0" t="n">
        <v>0</v>
      </c>
      <c r="AC170" s="4" t="s">
        <v>75</v>
      </c>
      <c r="AD170" s="4" t="s">
        <v>228</v>
      </c>
      <c r="AE170" s="4" t="s">
        <v>728</v>
      </c>
      <c r="AF170" s="4" t="s">
        <v>729</v>
      </c>
      <c r="AG170" s="5" t="n">
        <v>0.492268518518519</v>
      </c>
      <c r="AH170" s="5" t="n">
        <v>0.243032407407407</v>
      </c>
      <c r="AI170" s="5" t="n">
        <v>0</v>
      </c>
      <c r="AJ170" s="5" t="n">
        <v>0</v>
      </c>
      <c r="AK170" s="5" t="n">
        <v>0</v>
      </c>
      <c r="AL170" s="5" t="n">
        <v>0</v>
      </c>
      <c r="AM170" s="4" t="s">
        <v>78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10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M170" s="6" t="n">
        <f aca="false">IFERROR(VALUE(F170),"")</f>
        <v>322.68</v>
      </c>
      <c r="BN170" s="6" t="str">
        <f aca="false">IF(R170="-","",IFERROR(VALUE(LEFT(Q170,LEN(Q170)-2)),""))</f>
        <v/>
      </c>
      <c r="BO170" s="6" t="str">
        <f aca="false">IF(R170="-","",IFERROR(VALUE(LEFT(R170,LEN(R170)-5)),""))</f>
        <v/>
      </c>
      <c r="BP170" s="6" t="str">
        <f aca="false">IF(R170="-","",IFERROR(VALUE(F170),""))</f>
        <v/>
      </c>
      <c r="BQ170" s="4" t="n">
        <f aca="false">IF(R170="-",1,0)</f>
        <v>1</v>
      </c>
    </row>
    <row r="171" customFormat="false" ht="15" hidden="false" customHeight="false" outlineLevel="0" collapsed="false">
      <c r="A171" s="0" t="s">
        <v>724</v>
      </c>
      <c r="B171" s="0" t="s">
        <v>725</v>
      </c>
      <c r="C171" s="0" t="s">
        <v>70</v>
      </c>
      <c r="D171" s="0" t="s">
        <v>730</v>
      </c>
      <c r="E171" s="3" t="n">
        <v>46274</v>
      </c>
      <c r="F171" s="4" t="s">
        <v>731</v>
      </c>
      <c r="G171" s="5" t="n">
        <v>0.592731481481482</v>
      </c>
      <c r="H171" s="5" t="n">
        <v>0.581319444444445</v>
      </c>
      <c r="I171" s="5" t="n">
        <v>0.000891203703703704</v>
      </c>
      <c r="J171" s="0" t="n">
        <v>0</v>
      </c>
      <c r="K171" s="0" t="n">
        <v>4</v>
      </c>
      <c r="L171" s="0" t="n">
        <v>0</v>
      </c>
      <c r="M171" s="0" t="n">
        <v>0</v>
      </c>
      <c r="N171" s="0" t="n">
        <v>6</v>
      </c>
      <c r="O171" s="5" t="n">
        <v>0</v>
      </c>
      <c r="P171" s="5" t="n">
        <v>0</v>
      </c>
      <c r="Q171" s="4" t="s">
        <v>73</v>
      </c>
      <c r="R171" s="4" t="s">
        <v>73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0" t="n">
        <v>0</v>
      </c>
      <c r="AA171" s="0" t="n">
        <v>0</v>
      </c>
      <c r="AB171" s="0" t="n">
        <v>0</v>
      </c>
      <c r="AC171" s="4" t="s">
        <v>228</v>
      </c>
      <c r="AD171" s="4" t="s">
        <v>74</v>
      </c>
      <c r="AE171" s="4" t="s">
        <v>729</v>
      </c>
      <c r="AF171" s="4" t="s">
        <v>732</v>
      </c>
      <c r="AG171" s="5" t="n">
        <v>0.475891203703704</v>
      </c>
      <c r="AH171" s="5" t="n">
        <v>0.179710648148148</v>
      </c>
      <c r="AI171" s="5" t="n">
        <v>0</v>
      </c>
      <c r="AJ171" s="5" t="n">
        <v>0</v>
      </c>
      <c r="AK171" s="5" t="n">
        <v>0</v>
      </c>
      <c r="AL171" s="5" t="n">
        <v>0</v>
      </c>
      <c r="AM171" s="4" t="s">
        <v>78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1</v>
      </c>
      <c r="AT171" s="0" t="n">
        <v>0</v>
      </c>
      <c r="AU171" s="0" t="n">
        <v>15</v>
      </c>
      <c r="AV171" s="0" t="n">
        <v>0</v>
      </c>
      <c r="AW171" s="0" t="n">
        <v>1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M171" s="6" t="n">
        <f aca="false">IFERROR(VALUE(F171),"")</f>
        <v>323.13</v>
      </c>
      <c r="BN171" s="6" t="str">
        <f aca="false">IF(R171="-","",IFERROR(VALUE(LEFT(Q171,LEN(Q171)-2)),""))</f>
        <v/>
      </c>
      <c r="BO171" s="6" t="str">
        <f aca="false">IF(R171="-","",IFERROR(VALUE(LEFT(R171,LEN(R171)-5)),""))</f>
        <v/>
      </c>
      <c r="BP171" s="6" t="str">
        <f aca="false">IF(R171="-","",IFERROR(VALUE(F171),""))</f>
        <v/>
      </c>
      <c r="BQ171" s="4" t="n">
        <f aca="false">IF(R171="-",1,0)</f>
        <v>1</v>
      </c>
    </row>
    <row r="172" customFormat="false" ht="15" hidden="false" customHeight="false" outlineLevel="0" collapsed="false">
      <c r="A172" s="0" t="s">
        <v>724</v>
      </c>
      <c r="B172" s="0" t="s">
        <v>725</v>
      </c>
      <c r="C172" s="0" t="s">
        <v>70</v>
      </c>
      <c r="D172" s="0" t="s">
        <v>733</v>
      </c>
      <c r="E172" s="3" t="n">
        <v>46275</v>
      </c>
      <c r="F172" s="4" t="s">
        <v>734</v>
      </c>
      <c r="G172" s="5" t="n">
        <v>0.561944444444445</v>
      </c>
      <c r="H172" s="5" t="n">
        <v>0.535520833333333</v>
      </c>
      <c r="I172" s="5" t="n">
        <v>4.62962962962963E-005</v>
      </c>
      <c r="J172" s="0" t="n">
        <v>0</v>
      </c>
      <c r="K172" s="0" t="n">
        <v>4</v>
      </c>
      <c r="L172" s="0" t="n">
        <v>0</v>
      </c>
      <c r="M172" s="0" t="n">
        <v>0</v>
      </c>
      <c r="N172" s="0" t="n">
        <v>0</v>
      </c>
      <c r="O172" s="5" t="n">
        <v>0</v>
      </c>
      <c r="P172" s="5" t="n">
        <v>0</v>
      </c>
      <c r="Q172" s="4" t="s">
        <v>73</v>
      </c>
      <c r="R172" s="4" t="s">
        <v>73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0" t="n">
        <v>0</v>
      </c>
      <c r="AA172" s="0" t="n">
        <v>0</v>
      </c>
      <c r="AB172" s="0" t="n">
        <v>0</v>
      </c>
      <c r="AC172" s="4" t="s">
        <v>81</v>
      </c>
      <c r="AD172" s="4" t="s">
        <v>74</v>
      </c>
      <c r="AE172" s="4" t="s">
        <v>732</v>
      </c>
      <c r="AF172" s="4" t="s">
        <v>735</v>
      </c>
      <c r="AG172" s="5" t="n">
        <v>0.46287037037037</v>
      </c>
      <c r="AH172" s="5" t="n">
        <v>0.161331018518519</v>
      </c>
      <c r="AI172" s="5" t="n">
        <v>0</v>
      </c>
      <c r="AJ172" s="5" t="n">
        <v>0</v>
      </c>
      <c r="AK172" s="5" t="n">
        <v>0</v>
      </c>
      <c r="AL172" s="5" t="n">
        <v>0</v>
      </c>
      <c r="AM172" s="4" t="s">
        <v>78</v>
      </c>
      <c r="AN172" s="0" t="n">
        <v>0</v>
      </c>
      <c r="AO172" s="0" t="n">
        <v>2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10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M172" s="6" t="n">
        <f aca="false">IFERROR(VALUE(F172),"")</f>
        <v>321.72</v>
      </c>
      <c r="BN172" s="6" t="str">
        <f aca="false">IF(R172="-","",IFERROR(VALUE(LEFT(Q172,LEN(Q172)-2)),""))</f>
        <v/>
      </c>
      <c r="BO172" s="6" t="str">
        <f aca="false">IF(R172="-","",IFERROR(VALUE(LEFT(R172,LEN(R172)-5)),""))</f>
        <v/>
      </c>
      <c r="BP172" s="6" t="str">
        <f aca="false">IF(R172="-","",IFERROR(VALUE(F172),""))</f>
        <v/>
      </c>
      <c r="BQ172" s="4" t="n">
        <f aca="false">IF(R172="-",1,0)</f>
        <v>1</v>
      </c>
    </row>
    <row r="173" customFormat="false" ht="15" hidden="false" customHeight="false" outlineLevel="0" collapsed="false">
      <c r="A173" s="0" t="s">
        <v>724</v>
      </c>
      <c r="B173" s="0" t="s">
        <v>725</v>
      </c>
      <c r="C173" s="0" t="s">
        <v>70</v>
      </c>
      <c r="D173" s="0" t="s">
        <v>736</v>
      </c>
      <c r="E173" s="3" t="n">
        <v>46276</v>
      </c>
      <c r="F173" s="4" t="s">
        <v>737</v>
      </c>
      <c r="G173" s="5" t="n">
        <v>0.410613425925926</v>
      </c>
      <c r="H173" s="5" t="n">
        <v>0.405856481481482</v>
      </c>
      <c r="I173" s="5" t="n">
        <v>0.00103009259259259</v>
      </c>
      <c r="J173" s="0" t="n">
        <v>1</v>
      </c>
      <c r="K173" s="0" t="n">
        <v>1</v>
      </c>
      <c r="L173" s="0" t="n">
        <v>0</v>
      </c>
      <c r="M173" s="0" t="n">
        <v>0</v>
      </c>
      <c r="N173" s="0" t="n">
        <v>13</v>
      </c>
      <c r="O173" s="5" t="n">
        <v>0</v>
      </c>
      <c r="P173" s="5" t="n">
        <v>0</v>
      </c>
      <c r="Q173" s="4" t="s">
        <v>73</v>
      </c>
      <c r="R173" s="4" t="s">
        <v>73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0" t="n">
        <v>0</v>
      </c>
      <c r="AA173" s="0" t="n">
        <v>0</v>
      </c>
      <c r="AB173" s="0" t="n">
        <v>0</v>
      </c>
      <c r="AC173" s="4" t="s">
        <v>81</v>
      </c>
      <c r="AD173" s="4" t="s">
        <v>75</v>
      </c>
      <c r="AE173" s="4" t="s">
        <v>735</v>
      </c>
      <c r="AF173" s="4" t="s">
        <v>738</v>
      </c>
      <c r="AG173" s="5" t="n">
        <v>0.333611111111111</v>
      </c>
      <c r="AH173" s="5" t="n">
        <v>0.142800925925926</v>
      </c>
      <c r="AI173" s="5" t="n">
        <v>0</v>
      </c>
      <c r="AJ173" s="5" t="n">
        <v>0</v>
      </c>
      <c r="AK173" s="5" t="n">
        <v>0</v>
      </c>
      <c r="AL173" s="5" t="n">
        <v>0</v>
      </c>
      <c r="AM173" s="4" t="s">
        <v>78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  <c r="AU173" s="0" t="n">
        <v>17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M173" s="6" t="n">
        <f aca="false">IFERROR(VALUE(F173),"")</f>
        <v>218.52</v>
      </c>
      <c r="BN173" s="6" t="str">
        <f aca="false">IF(R173="-","",IFERROR(VALUE(LEFT(Q173,LEN(Q173)-2)),""))</f>
        <v/>
      </c>
      <c r="BO173" s="6" t="str">
        <f aca="false">IF(R173="-","",IFERROR(VALUE(LEFT(R173,LEN(R173)-5)),""))</f>
        <v/>
      </c>
      <c r="BP173" s="6" t="str">
        <f aca="false">IF(R173="-","",IFERROR(VALUE(F173),""))</f>
        <v/>
      </c>
      <c r="BQ173" s="4" t="n">
        <f aca="false">IF(R173="-",1,0)</f>
        <v>1</v>
      </c>
    </row>
    <row r="174" customFormat="false" ht="15" hidden="false" customHeight="false" outlineLevel="0" collapsed="false">
      <c r="A174" s="0" t="s">
        <v>739</v>
      </c>
      <c r="B174" s="0" t="s">
        <v>740</v>
      </c>
      <c r="C174" s="0" t="s">
        <v>70</v>
      </c>
      <c r="D174" s="0" t="s">
        <v>741</v>
      </c>
      <c r="E174" s="3" t="n">
        <v>46273</v>
      </c>
      <c r="F174" s="4" t="s">
        <v>742</v>
      </c>
      <c r="G174" s="5" t="n">
        <v>0.245752314814815</v>
      </c>
      <c r="H174" s="5" t="n">
        <v>0.218252314814815</v>
      </c>
      <c r="I174" s="5" t="n">
        <v>0.000393518518518519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5" t="n">
        <v>0</v>
      </c>
      <c r="P174" s="5" t="n">
        <v>0.0214699074074074</v>
      </c>
      <c r="Q174" s="4" t="s">
        <v>743</v>
      </c>
      <c r="R174" s="4" t="s">
        <v>356</v>
      </c>
      <c r="S174" s="5" t="n">
        <v>0.000115740740740741</v>
      </c>
      <c r="T174" s="5" t="n">
        <v>0.101273148148148</v>
      </c>
      <c r="U174" s="5" t="n">
        <v>0.120023148148148</v>
      </c>
      <c r="V174" s="5" t="n">
        <v>0.0204861111111111</v>
      </c>
      <c r="W174" s="5" t="n">
        <v>0</v>
      </c>
      <c r="X174" s="5" t="n">
        <v>0</v>
      </c>
      <c r="Y174" s="5" t="n">
        <v>0</v>
      </c>
      <c r="Z174" s="0" t="n">
        <v>0</v>
      </c>
      <c r="AA174" s="0" t="n">
        <v>0</v>
      </c>
      <c r="AB174" s="0" t="n">
        <v>0</v>
      </c>
      <c r="AC174" s="4" t="s">
        <v>744</v>
      </c>
      <c r="AD174" s="4" t="s">
        <v>744</v>
      </c>
      <c r="AE174" s="4" t="s">
        <v>745</v>
      </c>
      <c r="AF174" s="4" t="s">
        <v>746</v>
      </c>
      <c r="AG174" s="5" t="n">
        <v>0.203912037037037</v>
      </c>
      <c r="AH174" s="5" t="n">
        <v>0.0444097222222222</v>
      </c>
      <c r="AI174" s="5" t="n">
        <v>0</v>
      </c>
      <c r="AJ174" s="5" t="n">
        <v>0</v>
      </c>
      <c r="AK174" s="5" t="n">
        <v>0</v>
      </c>
      <c r="AL174" s="5" t="n">
        <v>0</v>
      </c>
      <c r="AM174" s="4" t="s">
        <v>78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5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M174" s="6" t="n">
        <f aca="false">IFERROR(VALUE(F174),"")</f>
        <v>206.87</v>
      </c>
      <c r="BN174" s="6" t="n">
        <f aca="false">IF(R174="-","",IFERROR(VALUE(LEFT(Q174,LEN(Q174)-2)),""))</f>
        <v>64.92</v>
      </c>
      <c r="BO174" s="6" t="n">
        <f aca="false">IF(R174="-","",IFERROR(VALUE(LEFT(R174,LEN(R174)-5)),""))</f>
        <v>3.19</v>
      </c>
      <c r="BP174" s="6" t="n">
        <f aca="false">IF(R174="-","",IFERROR(VALUE(F174),""))</f>
        <v>206.87</v>
      </c>
      <c r="BQ174" s="4" t="n">
        <f aca="false">IF(R174="-",1,0)</f>
        <v>0</v>
      </c>
    </row>
    <row r="175" customFormat="false" ht="15" hidden="false" customHeight="false" outlineLevel="0" collapsed="false">
      <c r="A175" s="0" t="s">
        <v>739</v>
      </c>
      <c r="B175" s="0" t="s">
        <v>740</v>
      </c>
      <c r="C175" s="0" t="s">
        <v>70</v>
      </c>
      <c r="D175" s="0" t="s">
        <v>747</v>
      </c>
      <c r="E175" s="3" t="n">
        <v>46274</v>
      </c>
      <c r="F175" s="4" t="s">
        <v>748</v>
      </c>
      <c r="G175" s="5" t="n">
        <v>0.684178240740741</v>
      </c>
      <c r="H175" s="5" t="n">
        <v>0.524780092592593</v>
      </c>
      <c r="I175" s="5" t="n">
        <v>3.47222222222222E-005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5" t="n">
        <v>0</v>
      </c>
      <c r="P175" s="5" t="n">
        <v>0.0538194444444445</v>
      </c>
      <c r="Q175" s="4" t="s">
        <v>749</v>
      </c>
      <c r="R175" s="4" t="s">
        <v>750</v>
      </c>
      <c r="S175" s="5" t="n">
        <v>0.000115740740740741</v>
      </c>
      <c r="T175" s="5" t="n">
        <v>0.193865740740741</v>
      </c>
      <c r="U175" s="5" t="n">
        <v>0.185069444444445</v>
      </c>
      <c r="V175" s="5" t="n">
        <v>0.102893518518519</v>
      </c>
      <c r="W175" s="5" t="n">
        <v>0</v>
      </c>
      <c r="X175" s="5" t="n">
        <v>0</v>
      </c>
      <c r="Y175" s="5" t="n">
        <v>0</v>
      </c>
      <c r="Z175" s="0" t="n">
        <v>0</v>
      </c>
      <c r="AA175" s="0" t="n">
        <v>0</v>
      </c>
      <c r="AB175" s="0" t="n">
        <v>0</v>
      </c>
      <c r="AC175" s="4" t="s">
        <v>751</v>
      </c>
      <c r="AD175" s="4" t="s">
        <v>752</v>
      </c>
      <c r="AE175" s="4" t="s">
        <v>746</v>
      </c>
      <c r="AF175" s="4" t="s">
        <v>753</v>
      </c>
      <c r="AG175" s="5" t="n">
        <v>0.3940625</v>
      </c>
      <c r="AH175" s="5" t="n">
        <v>0.109178240740741</v>
      </c>
      <c r="AI175" s="5" t="n">
        <v>0</v>
      </c>
      <c r="AJ175" s="5" t="n">
        <v>0</v>
      </c>
      <c r="AK175" s="5" t="n">
        <v>0</v>
      </c>
      <c r="AL175" s="5" t="n">
        <v>0</v>
      </c>
      <c r="AM175" s="4" t="s">
        <v>78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4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M175" s="6" t="n">
        <f aca="false">IFERROR(VALUE(F175),"")</f>
        <v>465.57</v>
      </c>
      <c r="BN175" s="6" t="n">
        <f aca="false">IF(R175="-","",IFERROR(VALUE(LEFT(Q175,LEN(Q175)-2)),""))</f>
        <v>159.65</v>
      </c>
      <c r="BO175" s="6" t="n">
        <f aca="false">IF(R175="-","",IFERROR(VALUE(LEFT(R175,LEN(R175)-5)),""))</f>
        <v>2.92</v>
      </c>
      <c r="BP175" s="6" t="n">
        <f aca="false">IF(R175="-","",IFERROR(VALUE(F175),""))</f>
        <v>465.57</v>
      </c>
      <c r="BQ175" s="4" t="n">
        <f aca="false">IF(R175="-",1,0)</f>
        <v>0</v>
      </c>
    </row>
    <row r="176" customFormat="false" ht="15" hidden="false" customHeight="false" outlineLevel="0" collapsed="false">
      <c r="A176" s="0" t="s">
        <v>739</v>
      </c>
      <c r="B176" s="0" t="s">
        <v>740</v>
      </c>
      <c r="C176" s="0" t="s">
        <v>70</v>
      </c>
      <c r="D176" s="0" t="s">
        <v>754</v>
      </c>
      <c r="E176" s="3" t="n">
        <v>46275</v>
      </c>
      <c r="F176" s="4" t="s">
        <v>755</v>
      </c>
      <c r="G176" s="5" t="n">
        <v>0.453668981481482</v>
      </c>
      <c r="H176" s="5" t="n">
        <v>0.25681712962963</v>
      </c>
      <c r="I176" s="5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5" t="n">
        <v>0</v>
      </c>
      <c r="P176" s="5" t="n">
        <v>0.00790509259259259</v>
      </c>
      <c r="Q176" s="4" t="s">
        <v>756</v>
      </c>
      <c r="R176" s="4" t="s">
        <v>757</v>
      </c>
      <c r="S176" s="5" t="n">
        <v>0.000115740740740741</v>
      </c>
      <c r="T176" s="5" t="n">
        <v>0.0559027777777778</v>
      </c>
      <c r="U176" s="5" t="n">
        <v>0.144444444444444</v>
      </c>
      <c r="V176" s="5" t="n">
        <v>0.0355324074074074</v>
      </c>
      <c r="W176" s="5" t="n">
        <v>0</v>
      </c>
      <c r="X176" s="5" t="n">
        <v>0</v>
      </c>
      <c r="Y176" s="5" t="n">
        <v>0</v>
      </c>
      <c r="Z176" s="0" t="n">
        <v>0</v>
      </c>
      <c r="AA176" s="0" t="n">
        <v>0</v>
      </c>
      <c r="AB176" s="0" t="n">
        <v>0</v>
      </c>
      <c r="AC176" s="4" t="s">
        <v>752</v>
      </c>
      <c r="AD176" s="4" t="s">
        <v>758</v>
      </c>
      <c r="AE176" s="4" t="s">
        <v>759</v>
      </c>
      <c r="AF176" s="4" t="s">
        <v>760</v>
      </c>
      <c r="AG176" s="5" t="n">
        <v>0.220706018518519</v>
      </c>
      <c r="AH176" s="5" t="n">
        <v>0.144525462962963</v>
      </c>
      <c r="AI176" s="5" t="n">
        <v>0</v>
      </c>
      <c r="AJ176" s="5" t="n">
        <v>0</v>
      </c>
      <c r="AK176" s="5" t="n">
        <v>0</v>
      </c>
      <c r="AL176" s="5" t="n">
        <v>0</v>
      </c>
      <c r="AM176" s="4" t="s">
        <v>78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M176" s="6" t="n">
        <f aca="false">IFERROR(VALUE(F176),"")</f>
        <v>277.91</v>
      </c>
      <c r="BN176" s="6" t="n">
        <f aca="false">IF(R176="-","",IFERROR(VALUE(LEFT(Q176,LEN(Q176)-2)),""))</f>
        <v>83</v>
      </c>
      <c r="BO176" s="6" t="n">
        <f aca="false">IF(R176="-","",IFERROR(VALUE(LEFT(R176,LEN(R176)-5)),""))</f>
        <v>3.35</v>
      </c>
      <c r="BP176" s="6" t="n">
        <f aca="false">IF(R176="-","",IFERROR(VALUE(F176),""))</f>
        <v>277.91</v>
      </c>
      <c r="BQ176" s="4" t="n">
        <f aca="false">IF(R176="-",1,0)</f>
        <v>0</v>
      </c>
    </row>
    <row r="177" customFormat="false" ht="15" hidden="false" customHeight="false" outlineLevel="0" collapsed="false">
      <c r="A177" s="0" t="s">
        <v>739</v>
      </c>
      <c r="B177" s="0" t="s">
        <v>740</v>
      </c>
      <c r="C177" s="0" t="s">
        <v>70</v>
      </c>
      <c r="E177" s="3" t="n">
        <v>46278</v>
      </c>
      <c r="F177" s="4" t="s">
        <v>95</v>
      </c>
      <c r="G177" s="5" t="n">
        <v>0.014224537037037</v>
      </c>
      <c r="H177" s="5" t="n">
        <v>0</v>
      </c>
      <c r="I177" s="5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5" t="n">
        <v>0</v>
      </c>
      <c r="P177" s="5" t="n">
        <v>0.0122106481481482</v>
      </c>
      <c r="Q177" s="4" t="s">
        <v>761</v>
      </c>
      <c r="R177" s="4" t="s">
        <v>454</v>
      </c>
      <c r="S177" s="5" t="n">
        <v>0</v>
      </c>
      <c r="T177" s="5" t="n">
        <v>0.0136574074074074</v>
      </c>
      <c r="U177" s="5" t="n">
        <v>0.000347222222222222</v>
      </c>
      <c r="V177" s="5" t="n">
        <v>0</v>
      </c>
      <c r="W177" s="5" t="n">
        <v>0</v>
      </c>
      <c r="X177" s="5" t="n">
        <v>0</v>
      </c>
      <c r="Y177" s="5" t="n">
        <v>0</v>
      </c>
      <c r="Z177" s="0" t="n">
        <v>0</v>
      </c>
      <c r="AA177" s="0" t="n">
        <v>0</v>
      </c>
      <c r="AB177" s="0" t="n">
        <v>0</v>
      </c>
      <c r="AC177" s="4" t="s">
        <v>758</v>
      </c>
      <c r="AD177" s="4" t="s">
        <v>758</v>
      </c>
      <c r="AE177" s="4" t="s">
        <v>760</v>
      </c>
      <c r="AF177" s="4" t="s">
        <v>760</v>
      </c>
      <c r="AG177" s="5" t="n">
        <v>0</v>
      </c>
      <c r="AH177" s="5" t="n">
        <v>0.015162037037037</v>
      </c>
      <c r="AI177" s="5" t="n">
        <v>0</v>
      </c>
      <c r="AJ177" s="5" t="n">
        <v>0</v>
      </c>
      <c r="AK177" s="5" t="n">
        <v>0</v>
      </c>
      <c r="AL177" s="5" t="n">
        <v>0</v>
      </c>
      <c r="AM177" s="4" t="s">
        <v>78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M177" s="6" t="n">
        <f aca="false">IFERROR(VALUE(F177),"")</f>
        <v>0</v>
      </c>
      <c r="BN177" s="6" t="n">
        <f aca="false">IF(R177="-","",IFERROR(VALUE(LEFT(Q177,LEN(Q177)-2)),""))</f>
        <v>0.91</v>
      </c>
      <c r="BO177" s="6" t="n">
        <f aca="false">IF(R177="-","",IFERROR(VALUE(LEFT(R177,LEN(R177)-5)),""))</f>
        <v>0</v>
      </c>
      <c r="BP177" s="6" t="n">
        <f aca="false">IF(R177="-","",IFERROR(VALUE(F177),""))</f>
        <v>0</v>
      </c>
      <c r="BQ177" s="4" t="n">
        <f aca="false">IF(R177="-",1,0)</f>
        <v>0</v>
      </c>
    </row>
    <row r="178" customFormat="false" ht="15" hidden="false" customHeight="false" outlineLevel="0" collapsed="false">
      <c r="A178" s="0" t="s">
        <v>762</v>
      </c>
      <c r="B178" s="0" t="s">
        <v>763</v>
      </c>
      <c r="C178" s="0" t="s">
        <v>70</v>
      </c>
      <c r="D178" s="0" t="s">
        <v>764</v>
      </c>
      <c r="E178" s="3" t="n">
        <v>46273</v>
      </c>
      <c r="F178" s="4" t="s">
        <v>765</v>
      </c>
      <c r="G178" s="5" t="n">
        <v>0.620428240740741</v>
      </c>
      <c r="H178" s="5" t="n">
        <v>0.586435185185185</v>
      </c>
      <c r="I178" s="5" t="n">
        <v>0.0021412037037037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7</v>
      </c>
      <c r="O178" s="5" t="n">
        <v>0</v>
      </c>
      <c r="P178" s="5" t="n">
        <v>0.0175694444444444</v>
      </c>
      <c r="Q178" s="4" t="s">
        <v>73</v>
      </c>
      <c r="R178" s="4" t="s">
        <v>73</v>
      </c>
      <c r="S178" s="5" t="n">
        <v>0.000231481481481482</v>
      </c>
      <c r="T178" s="5" t="n">
        <v>0.325694444444445</v>
      </c>
      <c r="U178" s="5" t="n">
        <v>0.235069444444444</v>
      </c>
      <c r="V178" s="5" t="n">
        <v>0.0252314814814815</v>
      </c>
      <c r="W178" s="5" t="n">
        <v>0</v>
      </c>
      <c r="X178" s="5" t="n">
        <v>0</v>
      </c>
      <c r="Y178" s="5" t="n">
        <v>0</v>
      </c>
      <c r="Z178" s="0" t="n">
        <v>0</v>
      </c>
      <c r="AA178" s="0" t="n">
        <v>0</v>
      </c>
      <c r="AB178" s="0" t="n">
        <v>0</v>
      </c>
      <c r="AC178" s="4" t="s">
        <v>74</v>
      </c>
      <c r="AD178" s="4" t="s">
        <v>228</v>
      </c>
      <c r="AE178" s="4" t="s">
        <v>766</v>
      </c>
      <c r="AF178" s="4" t="s">
        <v>767</v>
      </c>
      <c r="AG178" s="5" t="n">
        <v>0.474791666666667</v>
      </c>
      <c r="AH178" s="5" t="n">
        <v>0.225891203703704</v>
      </c>
      <c r="AI178" s="5" t="n">
        <v>0</v>
      </c>
      <c r="AJ178" s="5" t="n">
        <v>0</v>
      </c>
      <c r="AK178" s="5" t="n">
        <v>0</v>
      </c>
      <c r="AL178" s="5" t="n">
        <v>0</v>
      </c>
      <c r="AM178" s="4" t="s">
        <v>78</v>
      </c>
      <c r="AN178" s="0" t="n">
        <v>0</v>
      </c>
      <c r="AO178" s="0" t="n">
        <v>1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10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M178" s="6" t="n">
        <f aca="false">IFERROR(VALUE(F178),"")</f>
        <v>317.05</v>
      </c>
      <c r="BN178" s="6" t="str">
        <f aca="false">IF(R178="-","",IFERROR(VALUE(LEFT(Q178,LEN(Q178)-2)),""))</f>
        <v/>
      </c>
      <c r="BO178" s="6" t="str">
        <f aca="false">IF(R178="-","",IFERROR(VALUE(LEFT(R178,LEN(R178)-5)),""))</f>
        <v/>
      </c>
      <c r="BP178" s="6" t="str">
        <f aca="false">IF(R178="-","",IFERROR(VALUE(F178),""))</f>
        <v/>
      </c>
      <c r="BQ178" s="4" t="n">
        <f aca="false">IF(R178="-",1,0)</f>
        <v>1</v>
      </c>
    </row>
    <row r="179" customFormat="false" ht="15" hidden="false" customHeight="false" outlineLevel="0" collapsed="false">
      <c r="A179" s="0" t="s">
        <v>762</v>
      </c>
      <c r="B179" s="0" t="s">
        <v>763</v>
      </c>
      <c r="C179" s="0" t="s">
        <v>70</v>
      </c>
      <c r="D179" s="0" t="s">
        <v>768</v>
      </c>
      <c r="E179" s="3" t="n">
        <v>46274</v>
      </c>
      <c r="F179" s="4" t="s">
        <v>769</v>
      </c>
      <c r="G179" s="5" t="n">
        <v>0.528344907407407</v>
      </c>
      <c r="H179" s="5" t="n">
        <v>0.525752314814815</v>
      </c>
      <c r="I179" s="5" t="n">
        <v>0.000601851851851852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10</v>
      </c>
      <c r="O179" s="5" t="n">
        <v>0</v>
      </c>
      <c r="P179" s="5" t="n">
        <v>0.0374189814814815</v>
      </c>
      <c r="Q179" s="4" t="s">
        <v>73</v>
      </c>
      <c r="R179" s="4" t="s">
        <v>73</v>
      </c>
      <c r="S179" s="5" t="n">
        <v>0.000231481481481482</v>
      </c>
      <c r="T179" s="5" t="n">
        <v>0.304166666666667</v>
      </c>
      <c r="U179" s="5" t="n">
        <v>0.194097222222222</v>
      </c>
      <c r="V179" s="5" t="n">
        <v>0.0165509259259259</v>
      </c>
      <c r="W179" s="5" t="n">
        <v>0</v>
      </c>
      <c r="X179" s="5" t="n">
        <v>0</v>
      </c>
      <c r="Y179" s="5" t="n">
        <v>0</v>
      </c>
      <c r="Z179" s="0" t="n">
        <v>0</v>
      </c>
      <c r="AA179" s="0" t="n">
        <v>0</v>
      </c>
      <c r="AB179" s="0" t="n">
        <v>0</v>
      </c>
      <c r="AC179" s="4" t="s">
        <v>74</v>
      </c>
      <c r="AD179" s="4" t="s">
        <v>770</v>
      </c>
      <c r="AE179" s="4" t="s">
        <v>767</v>
      </c>
      <c r="AF179" s="4" t="s">
        <v>771</v>
      </c>
      <c r="AG179" s="5" t="n">
        <v>0.392731481481482</v>
      </c>
      <c r="AH179" s="5" t="n">
        <v>0.205833333333333</v>
      </c>
      <c r="AI179" s="5" t="n">
        <v>0</v>
      </c>
      <c r="AJ179" s="5" t="n">
        <v>0</v>
      </c>
      <c r="AK179" s="5" t="n">
        <v>0</v>
      </c>
      <c r="AL179" s="5" t="n">
        <v>0</v>
      </c>
      <c r="AM179" s="4" t="s">
        <v>78</v>
      </c>
      <c r="AN179" s="0" t="n">
        <v>0</v>
      </c>
      <c r="AO179" s="0" t="n">
        <v>1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8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M179" s="6" t="n">
        <f aca="false">IFERROR(VALUE(F179),"")</f>
        <v>262.49</v>
      </c>
      <c r="BN179" s="6" t="str">
        <f aca="false">IF(R179="-","",IFERROR(VALUE(LEFT(Q179,LEN(Q179)-2)),""))</f>
        <v/>
      </c>
      <c r="BO179" s="6" t="str">
        <f aca="false">IF(R179="-","",IFERROR(VALUE(LEFT(R179,LEN(R179)-5)),""))</f>
        <v/>
      </c>
      <c r="BP179" s="6" t="str">
        <f aca="false">IF(R179="-","",IFERROR(VALUE(F179),""))</f>
        <v/>
      </c>
      <c r="BQ179" s="4" t="n">
        <f aca="false">IF(R179="-",1,0)</f>
        <v>1</v>
      </c>
    </row>
    <row r="180" customFormat="false" ht="15" hidden="false" customHeight="false" outlineLevel="0" collapsed="false">
      <c r="A180" s="0" t="s">
        <v>762</v>
      </c>
      <c r="B180" s="0" t="s">
        <v>763</v>
      </c>
      <c r="C180" s="0" t="s">
        <v>70</v>
      </c>
      <c r="D180" s="0" t="s">
        <v>772</v>
      </c>
      <c r="E180" s="3" t="n">
        <v>46275</v>
      </c>
      <c r="F180" s="4" t="s">
        <v>773</v>
      </c>
      <c r="G180" s="5" t="n">
        <v>0.345381944444444</v>
      </c>
      <c r="H180" s="5" t="n">
        <v>0.307175925925926</v>
      </c>
      <c r="I180" s="5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5" t="n">
        <v>0</v>
      </c>
      <c r="P180" s="5" t="n">
        <v>0.0254976851851852</v>
      </c>
      <c r="Q180" s="4" t="s">
        <v>73</v>
      </c>
      <c r="R180" s="4" t="s">
        <v>73</v>
      </c>
      <c r="S180" s="5" t="n">
        <v>0.000231481481481482</v>
      </c>
      <c r="T180" s="5" t="n">
        <v>0.168518518518519</v>
      </c>
      <c r="U180" s="5" t="n">
        <v>0.143171296296296</v>
      </c>
      <c r="V180" s="5" t="n">
        <v>0.0266203703703704</v>
      </c>
      <c r="W180" s="5" t="n">
        <v>0</v>
      </c>
      <c r="X180" s="5" t="n">
        <v>0</v>
      </c>
      <c r="Y180" s="5" t="n">
        <v>0</v>
      </c>
      <c r="Z180" s="0" t="n">
        <v>0</v>
      </c>
      <c r="AA180" s="0" t="n">
        <v>0</v>
      </c>
      <c r="AB180" s="0" t="n">
        <v>0</v>
      </c>
      <c r="AC180" s="4" t="s">
        <v>770</v>
      </c>
      <c r="AD180" s="4" t="s">
        <v>774</v>
      </c>
      <c r="AE180" s="4" t="s">
        <v>771</v>
      </c>
      <c r="AF180" s="4" t="s">
        <v>775</v>
      </c>
      <c r="AG180" s="5" t="n">
        <v>0.271574074074074</v>
      </c>
      <c r="AH180" s="5" t="n">
        <v>0.176805555555556</v>
      </c>
      <c r="AI180" s="5" t="n">
        <v>0</v>
      </c>
      <c r="AJ180" s="5" t="n">
        <v>0</v>
      </c>
      <c r="AK180" s="5" t="n">
        <v>0</v>
      </c>
      <c r="AL180" s="5" t="n">
        <v>0</v>
      </c>
      <c r="AM180" s="4" t="s">
        <v>78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M180" s="6" t="n">
        <f aca="false">IFERROR(VALUE(F180),"")</f>
        <v>241.95</v>
      </c>
      <c r="BN180" s="6" t="str">
        <f aca="false">IF(R180="-","",IFERROR(VALUE(LEFT(Q180,LEN(Q180)-2)),""))</f>
        <v/>
      </c>
      <c r="BO180" s="6" t="str">
        <f aca="false">IF(R180="-","",IFERROR(VALUE(LEFT(R180,LEN(R180)-5)),""))</f>
        <v/>
      </c>
      <c r="BP180" s="6" t="str">
        <f aca="false">IF(R180="-","",IFERROR(VALUE(F180),""))</f>
        <v/>
      </c>
      <c r="BQ180" s="4" t="n">
        <f aca="false">IF(R180="-",1,0)</f>
        <v>1</v>
      </c>
    </row>
    <row r="181" customFormat="false" ht="15" hidden="false" customHeight="false" outlineLevel="0" collapsed="false">
      <c r="A181" s="0" t="s">
        <v>762</v>
      </c>
      <c r="B181" s="0" t="s">
        <v>763</v>
      </c>
      <c r="C181" s="0" t="s">
        <v>70</v>
      </c>
      <c r="D181" s="0" t="s">
        <v>776</v>
      </c>
      <c r="E181" s="3" t="n">
        <v>46276</v>
      </c>
      <c r="F181" s="4" t="s">
        <v>777</v>
      </c>
      <c r="G181" s="5" t="n">
        <v>0.494872685185185</v>
      </c>
      <c r="H181" s="5" t="n">
        <v>0.440555555555556</v>
      </c>
      <c r="I181" s="5" t="n">
        <v>0.000185185185185185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5" t="n">
        <v>0</v>
      </c>
      <c r="P181" s="5" t="n">
        <v>0.0369675925925926</v>
      </c>
      <c r="Q181" s="4" t="s">
        <v>73</v>
      </c>
      <c r="R181" s="4" t="s">
        <v>73</v>
      </c>
      <c r="S181" s="5" t="n">
        <v>0.000115740740740741</v>
      </c>
      <c r="T181" s="5" t="n">
        <v>0.213078703703704</v>
      </c>
      <c r="U181" s="5" t="n">
        <v>0.221875</v>
      </c>
      <c r="V181" s="5" t="n">
        <v>0.0530092592592593</v>
      </c>
      <c r="W181" s="5" t="n">
        <v>0</v>
      </c>
      <c r="X181" s="5" t="n">
        <v>0</v>
      </c>
      <c r="Y181" s="5" t="n">
        <v>0</v>
      </c>
      <c r="Z181" s="0" t="n">
        <v>0</v>
      </c>
      <c r="AA181" s="0" t="n">
        <v>0</v>
      </c>
      <c r="AB181" s="0" t="n">
        <v>0</v>
      </c>
      <c r="AC181" s="4" t="s">
        <v>778</v>
      </c>
      <c r="AD181" s="4" t="s">
        <v>774</v>
      </c>
      <c r="AE181" s="4" t="s">
        <v>775</v>
      </c>
      <c r="AF181" s="4" t="s">
        <v>779</v>
      </c>
      <c r="AG181" s="5" t="n">
        <v>0.399641203703704</v>
      </c>
      <c r="AH181" s="5" t="n">
        <v>0.186145833333333</v>
      </c>
      <c r="AI181" s="5" t="n">
        <v>0</v>
      </c>
      <c r="AJ181" s="5" t="n">
        <v>0</v>
      </c>
      <c r="AK181" s="5" t="n">
        <v>0</v>
      </c>
      <c r="AL181" s="5" t="n">
        <v>0</v>
      </c>
      <c r="AM181" s="4" t="s">
        <v>78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1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M181" s="6" t="n">
        <f aca="false">IFERROR(VALUE(F181),"")</f>
        <v>402.65</v>
      </c>
      <c r="BN181" s="6" t="str">
        <f aca="false">IF(R181="-","",IFERROR(VALUE(LEFT(Q181,LEN(Q181)-2)),""))</f>
        <v/>
      </c>
      <c r="BO181" s="6" t="str">
        <f aca="false">IF(R181="-","",IFERROR(VALUE(LEFT(R181,LEN(R181)-5)),""))</f>
        <v/>
      </c>
      <c r="BP181" s="6" t="str">
        <f aca="false">IF(R181="-","",IFERROR(VALUE(F181),""))</f>
        <v/>
      </c>
      <c r="BQ181" s="4" t="n">
        <f aca="false">IF(R181="-",1,0)</f>
        <v>1</v>
      </c>
    </row>
    <row r="182" customFormat="false" ht="15" hidden="false" customHeight="false" outlineLevel="0" collapsed="false">
      <c r="A182" s="0" t="s">
        <v>762</v>
      </c>
      <c r="B182" s="0" t="s">
        <v>763</v>
      </c>
      <c r="C182" s="0" t="s">
        <v>70</v>
      </c>
      <c r="D182" s="0" t="s">
        <v>741</v>
      </c>
      <c r="E182" s="3" t="n">
        <v>46277</v>
      </c>
      <c r="F182" s="4" t="s">
        <v>780</v>
      </c>
      <c r="G182" s="5" t="n">
        <v>0.455972222222222</v>
      </c>
      <c r="H182" s="5" t="n">
        <v>0.44212962962963</v>
      </c>
      <c r="I182" s="5" t="n">
        <v>0.000694444444444445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5" t="n">
        <v>0</v>
      </c>
      <c r="P182" s="5" t="n">
        <v>0.0165046296296296</v>
      </c>
      <c r="Q182" s="4" t="s">
        <v>73</v>
      </c>
      <c r="R182" s="4" t="s">
        <v>73</v>
      </c>
      <c r="S182" s="5" t="n">
        <v>0</v>
      </c>
      <c r="T182" s="5" t="n">
        <v>0.176388888888889</v>
      </c>
      <c r="U182" s="5" t="n">
        <v>0.219328703703704</v>
      </c>
      <c r="V182" s="5" t="n">
        <v>0.0519675925925926</v>
      </c>
      <c r="W182" s="5" t="n">
        <v>0</v>
      </c>
      <c r="X182" s="5" t="n">
        <v>0</v>
      </c>
      <c r="Y182" s="5" t="n">
        <v>0</v>
      </c>
      <c r="Z182" s="0" t="n">
        <v>0</v>
      </c>
      <c r="AA182" s="0" t="n">
        <v>0</v>
      </c>
      <c r="AB182" s="0" t="n">
        <v>0</v>
      </c>
      <c r="AC182" s="4" t="s">
        <v>774</v>
      </c>
      <c r="AD182" s="4" t="s">
        <v>744</v>
      </c>
      <c r="AE182" s="4" t="s">
        <v>779</v>
      </c>
      <c r="AF182" s="4" t="s">
        <v>781</v>
      </c>
      <c r="AG182" s="5" t="n">
        <v>0.387604166666667</v>
      </c>
      <c r="AH182" s="5" t="n">
        <v>0.103252314814815</v>
      </c>
      <c r="AI182" s="5" t="n">
        <v>0</v>
      </c>
      <c r="AJ182" s="5" t="n">
        <v>0</v>
      </c>
      <c r="AK182" s="5" t="n">
        <v>0</v>
      </c>
      <c r="AL182" s="5" t="n">
        <v>0</v>
      </c>
      <c r="AM182" s="4" t="s">
        <v>78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1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M182" s="6" t="n">
        <f aca="false">IFERROR(VALUE(F182),"")</f>
        <v>401.29</v>
      </c>
      <c r="BN182" s="6" t="str">
        <f aca="false">IF(R182="-","",IFERROR(VALUE(LEFT(Q182,LEN(Q182)-2)),""))</f>
        <v/>
      </c>
      <c r="BO182" s="6" t="str">
        <f aca="false">IF(R182="-","",IFERROR(VALUE(LEFT(R182,LEN(R182)-5)),""))</f>
        <v/>
      </c>
      <c r="BP182" s="6" t="str">
        <f aca="false">IF(R182="-","",IFERROR(VALUE(F182),""))</f>
        <v/>
      </c>
      <c r="BQ182" s="4" t="n">
        <f aca="false">IF(R182="-",1,0)</f>
        <v>1</v>
      </c>
    </row>
    <row r="183" customFormat="false" ht="15" hidden="false" customHeight="false" outlineLevel="0" collapsed="false">
      <c r="A183" s="0" t="s">
        <v>762</v>
      </c>
      <c r="B183" s="0" t="s">
        <v>763</v>
      </c>
      <c r="C183" s="0" t="s">
        <v>70</v>
      </c>
      <c r="D183" s="0" t="s">
        <v>782</v>
      </c>
      <c r="E183" s="3" t="n">
        <v>46278</v>
      </c>
      <c r="F183" s="4" t="s">
        <v>783</v>
      </c>
      <c r="G183" s="5" t="n">
        <v>0.3634375</v>
      </c>
      <c r="H183" s="5" t="n">
        <v>0.259722222222222</v>
      </c>
      <c r="I183" s="5" t="n">
        <v>0.000196759259259259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5" t="n">
        <v>0</v>
      </c>
      <c r="P183" s="5" t="n">
        <v>0.00711805555555556</v>
      </c>
      <c r="Q183" s="4" t="s">
        <v>73</v>
      </c>
      <c r="R183" s="4" t="s">
        <v>73</v>
      </c>
      <c r="S183" s="5" t="n">
        <v>0</v>
      </c>
      <c r="T183" s="5" t="n">
        <v>0.115625</v>
      </c>
      <c r="U183" s="5" t="n">
        <v>0.129050925925926</v>
      </c>
      <c r="V183" s="5" t="n">
        <v>0.0243055555555556</v>
      </c>
      <c r="W183" s="5" t="n">
        <v>0</v>
      </c>
      <c r="X183" s="5" t="n">
        <v>0</v>
      </c>
      <c r="Y183" s="5" t="n">
        <v>0</v>
      </c>
      <c r="Z183" s="0" t="n">
        <v>0</v>
      </c>
      <c r="AA183" s="0" t="n">
        <v>0</v>
      </c>
      <c r="AB183" s="0" t="n">
        <v>0</v>
      </c>
      <c r="AC183" s="4" t="s">
        <v>744</v>
      </c>
      <c r="AD183" s="4" t="s">
        <v>744</v>
      </c>
      <c r="AE183" s="4" t="s">
        <v>781</v>
      </c>
      <c r="AF183" s="4" t="s">
        <v>784</v>
      </c>
      <c r="AG183" s="5" t="n">
        <v>0.217060185185185</v>
      </c>
      <c r="AH183" s="5" t="n">
        <v>0.260069444444445</v>
      </c>
      <c r="AI183" s="5" t="n">
        <v>0</v>
      </c>
      <c r="AJ183" s="5" t="n">
        <v>0</v>
      </c>
      <c r="AK183" s="5" t="n">
        <v>0</v>
      </c>
      <c r="AL183" s="5" t="n">
        <v>0</v>
      </c>
      <c r="AM183" s="4" t="s">
        <v>78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M183" s="6" t="n">
        <f aca="false">IFERROR(VALUE(F183),"")</f>
        <v>201.28</v>
      </c>
      <c r="BN183" s="6" t="str">
        <f aca="false">IF(R183="-","",IFERROR(VALUE(LEFT(Q183,LEN(Q183)-2)),""))</f>
        <v/>
      </c>
      <c r="BO183" s="6" t="str">
        <f aca="false">IF(R183="-","",IFERROR(VALUE(LEFT(R183,LEN(R183)-5)),""))</f>
        <v/>
      </c>
      <c r="BP183" s="6" t="str">
        <f aca="false">IF(R183="-","",IFERROR(VALUE(F183),""))</f>
        <v/>
      </c>
      <c r="BQ183" s="4" t="n">
        <f aca="false">IF(R183="-",1,0)</f>
        <v>1</v>
      </c>
    </row>
    <row r="184" customFormat="false" ht="15" hidden="false" customHeight="false" outlineLevel="0" collapsed="false">
      <c r="A184" s="0" t="s">
        <v>762</v>
      </c>
      <c r="B184" s="0" t="s">
        <v>763</v>
      </c>
      <c r="C184" s="0" t="s">
        <v>70</v>
      </c>
      <c r="D184" s="0" t="s">
        <v>785</v>
      </c>
      <c r="E184" s="3" t="n">
        <v>46279</v>
      </c>
      <c r="F184" s="4" t="s">
        <v>786</v>
      </c>
      <c r="G184" s="5" t="n">
        <v>0.572997685185185</v>
      </c>
      <c r="H184" s="5" t="n">
        <v>0.490543981481482</v>
      </c>
      <c r="I184" s="5" t="n">
        <v>0.000578703703703704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4</v>
      </c>
      <c r="O184" s="5" t="n">
        <v>0</v>
      </c>
      <c r="P184" s="5" t="n">
        <v>0.0512731481481482</v>
      </c>
      <c r="Q184" s="4" t="s">
        <v>73</v>
      </c>
      <c r="R184" s="4" t="s">
        <v>73</v>
      </c>
      <c r="S184" s="5" t="n">
        <v>0.000231481481481482</v>
      </c>
      <c r="T184" s="5" t="n">
        <v>0.295833333333333</v>
      </c>
      <c r="U184" s="5" t="n">
        <v>0.221527777777778</v>
      </c>
      <c r="V184" s="5" t="n">
        <v>0.028587962962963</v>
      </c>
      <c r="W184" s="5" t="n">
        <v>0</v>
      </c>
      <c r="X184" s="5" t="n">
        <v>0</v>
      </c>
      <c r="Y184" s="5" t="n">
        <v>0</v>
      </c>
      <c r="Z184" s="0" t="n">
        <v>0</v>
      </c>
      <c r="AA184" s="0" t="n">
        <v>0</v>
      </c>
      <c r="AB184" s="0" t="n">
        <v>0</v>
      </c>
      <c r="AC184" s="4" t="s">
        <v>744</v>
      </c>
      <c r="AD184" s="4" t="s">
        <v>228</v>
      </c>
      <c r="AE184" s="4" t="s">
        <v>784</v>
      </c>
      <c r="AF184" s="4" t="s">
        <v>787</v>
      </c>
      <c r="AG184" s="5" t="n">
        <v>0.419930555555556</v>
      </c>
      <c r="AH184" s="5" t="n">
        <v>0.258645833333333</v>
      </c>
      <c r="AI184" s="5" t="n">
        <v>0</v>
      </c>
      <c r="AJ184" s="5" t="n">
        <v>0</v>
      </c>
      <c r="AK184" s="5" t="n">
        <v>0</v>
      </c>
      <c r="AL184" s="5" t="n">
        <v>0</v>
      </c>
      <c r="AM184" s="4" t="s">
        <v>78</v>
      </c>
      <c r="AN184" s="0" t="n">
        <v>0</v>
      </c>
      <c r="AO184" s="0" t="n">
        <v>1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8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M184" s="6" t="n">
        <f aca="false">IFERROR(VALUE(F184),"")</f>
        <v>312.44</v>
      </c>
      <c r="BN184" s="6" t="str">
        <f aca="false">IF(R184="-","",IFERROR(VALUE(LEFT(Q184,LEN(Q184)-2)),""))</f>
        <v/>
      </c>
      <c r="BO184" s="6" t="str">
        <f aca="false">IF(R184="-","",IFERROR(VALUE(LEFT(R184,LEN(R184)-5)),""))</f>
        <v/>
      </c>
      <c r="BP184" s="6" t="str">
        <f aca="false">IF(R184="-","",IFERROR(VALUE(F184),""))</f>
        <v/>
      </c>
      <c r="BQ184" s="4" t="n">
        <f aca="false">IF(R184="-",1,0)</f>
        <v>1</v>
      </c>
    </row>
    <row r="185" customFormat="false" ht="15" hidden="false" customHeight="false" outlineLevel="0" collapsed="false">
      <c r="A185" s="0" t="s">
        <v>788</v>
      </c>
      <c r="B185" s="0" t="s">
        <v>789</v>
      </c>
      <c r="C185" s="0" t="s">
        <v>70</v>
      </c>
      <c r="D185" s="0" t="s">
        <v>790</v>
      </c>
      <c r="E185" s="3" t="n">
        <v>46273</v>
      </c>
      <c r="F185" s="4" t="s">
        <v>791</v>
      </c>
      <c r="G185" s="5" t="n">
        <v>0.483020833333333</v>
      </c>
      <c r="H185" s="5" t="n">
        <v>0.461944444444444</v>
      </c>
      <c r="I185" s="5" t="n">
        <v>0</v>
      </c>
      <c r="J185" s="0" t="n">
        <v>0</v>
      </c>
      <c r="K185" s="0" t="n">
        <v>4</v>
      </c>
      <c r="L185" s="0" t="n">
        <v>0</v>
      </c>
      <c r="M185" s="0" t="n">
        <v>0</v>
      </c>
      <c r="N185" s="0" t="n">
        <v>1</v>
      </c>
      <c r="O185" s="5" t="n">
        <v>0</v>
      </c>
      <c r="P185" s="5" t="n">
        <v>0</v>
      </c>
      <c r="Q185" s="4" t="s">
        <v>73</v>
      </c>
      <c r="R185" s="4" t="s">
        <v>73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0" t="n">
        <v>0</v>
      </c>
      <c r="AA185" s="0" t="n">
        <v>0</v>
      </c>
      <c r="AB185" s="0" t="n">
        <v>0</v>
      </c>
      <c r="AC185" s="4" t="s">
        <v>792</v>
      </c>
      <c r="AD185" s="4" t="s">
        <v>792</v>
      </c>
      <c r="AE185" s="4" t="s">
        <v>793</v>
      </c>
      <c r="AF185" s="4" t="s">
        <v>794</v>
      </c>
      <c r="AG185" s="5" t="n">
        <v>0.381944444444444</v>
      </c>
      <c r="AH185" s="5" t="n">
        <v>0.172997685185185</v>
      </c>
      <c r="AI185" s="5" t="n">
        <v>0</v>
      </c>
      <c r="AJ185" s="5" t="n">
        <v>0</v>
      </c>
      <c r="AK185" s="5" t="n">
        <v>0</v>
      </c>
      <c r="AL185" s="5" t="n">
        <v>0</v>
      </c>
      <c r="AM185" s="4" t="s">
        <v>78</v>
      </c>
      <c r="AN185" s="0" t="n">
        <v>0</v>
      </c>
      <c r="AO185" s="0" t="n">
        <v>1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2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M185" s="6" t="n">
        <f aca="false">IFERROR(VALUE(F185),"")</f>
        <v>369.91</v>
      </c>
      <c r="BN185" s="6" t="str">
        <f aca="false">IF(R185="-","",IFERROR(VALUE(LEFT(Q185,LEN(Q185)-2)),""))</f>
        <v/>
      </c>
      <c r="BO185" s="6" t="str">
        <f aca="false">IF(R185="-","",IFERROR(VALUE(LEFT(R185,LEN(R185)-5)),""))</f>
        <v/>
      </c>
      <c r="BP185" s="6" t="str">
        <f aca="false">IF(R185="-","",IFERROR(VALUE(F185),""))</f>
        <v/>
      </c>
      <c r="BQ185" s="4" t="n">
        <f aca="false">IF(R185="-",1,0)</f>
        <v>1</v>
      </c>
    </row>
    <row r="186" customFormat="false" ht="15" hidden="false" customHeight="false" outlineLevel="0" collapsed="false">
      <c r="A186" s="0" t="s">
        <v>788</v>
      </c>
      <c r="B186" s="0" t="s">
        <v>789</v>
      </c>
      <c r="C186" s="0" t="s">
        <v>70</v>
      </c>
      <c r="D186" s="0" t="s">
        <v>790</v>
      </c>
      <c r="E186" s="3" t="n">
        <v>46274</v>
      </c>
      <c r="F186" s="4" t="s">
        <v>795</v>
      </c>
      <c r="G186" s="5" t="n">
        <v>0.532708333333333</v>
      </c>
      <c r="H186" s="5" t="n">
        <v>0.505231481481481</v>
      </c>
      <c r="I186" s="5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5" t="n">
        <v>0</v>
      </c>
      <c r="P186" s="5" t="n">
        <v>0</v>
      </c>
      <c r="Q186" s="4" t="s">
        <v>73</v>
      </c>
      <c r="R186" s="4" t="s">
        <v>73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0" t="n">
        <v>0</v>
      </c>
      <c r="AA186" s="0" t="n">
        <v>0</v>
      </c>
      <c r="AB186" s="0" t="n">
        <v>0</v>
      </c>
      <c r="AC186" s="4" t="s">
        <v>792</v>
      </c>
      <c r="AD186" s="4" t="s">
        <v>792</v>
      </c>
      <c r="AE186" s="4" t="s">
        <v>794</v>
      </c>
      <c r="AF186" s="4" t="s">
        <v>796</v>
      </c>
      <c r="AG186" s="5" t="n">
        <v>0.393564814814815</v>
      </c>
      <c r="AH186" s="5" t="n">
        <v>0.210046296296296</v>
      </c>
      <c r="AI186" s="5" t="n">
        <v>0</v>
      </c>
      <c r="AJ186" s="5" t="n">
        <v>0</v>
      </c>
      <c r="AK186" s="5" t="n">
        <v>0</v>
      </c>
      <c r="AL186" s="5" t="n">
        <v>0</v>
      </c>
      <c r="AM186" s="4" t="s">
        <v>78</v>
      </c>
      <c r="AN186" s="0" t="n">
        <v>0</v>
      </c>
      <c r="AO186" s="0" t="n">
        <v>2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1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M186" s="6" t="n">
        <f aca="false">IFERROR(VALUE(F186),"")</f>
        <v>369.16</v>
      </c>
      <c r="BN186" s="6" t="str">
        <f aca="false">IF(R186="-","",IFERROR(VALUE(LEFT(Q186,LEN(Q186)-2)),""))</f>
        <v/>
      </c>
      <c r="BO186" s="6" t="str">
        <f aca="false">IF(R186="-","",IFERROR(VALUE(LEFT(R186,LEN(R186)-5)),""))</f>
        <v/>
      </c>
      <c r="BP186" s="6" t="str">
        <f aca="false">IF(R186="-","",IFERROR(VALUE(F186),""))</f>
        <v/>
      </c>
      <c r="BQ186" s="4" t="n">
        <f aca="false">IF(R186="-",1,0)</f>
        <v>1</v>
      </c>
    </row>
    <row r="187" customFormat="false" ht="15" hidden="false" customHeight="false" outlineLevel="0" collapsed="false">
      <c r="A187" s="0" t="s">
        <v>788</v>
      </c>
      <c r="B187" s="0" t="s">
        <v>789</v>
      </c>
      <c r="C187" s="0" t="s">
        <v>70</v>
      </c>
      <c r="D187" s="0" t="s">
        <v>790</v>
      </c>
      <c r="E187" s="3" t="n">
        <v>46275</v>
      </c>
      <c r="F187" s="4" t="s">
        <v>797</v>
      </c>
      <c r="G187" s="5" t="n">
        <v>0.484398148148148</v>
      </c>
      <c r="H187" s="5" t="n">
        <v>0.456076388888889</v>
      </c>
      <c r="I187" s="5" t="n">
        <v>2.31481481481482E-005</v>
      </c>
      <c r="J187" s="0" t="n">
        <v>0</v>
      </c>
      <c r="K187" s="0" t="n">
        <v>3</v>
      </c>
      <c r="L187" s="0" t="n">
        <v>0</v>
      </c>
      <c r="M187" s="0" t="n">
        <v>0</v>
      </c>
      <c r="N187" s="0" t="n">
        <v>1</v>
      </c>
      <c r="O187" s="5" t="n">
        <v>0</v>
      </c>
      <c r="P187" s="5" t="n">
        <v>0</v>
      </c>
      <c r="Q187" s="4" t="s">
        <v>73</v>
      </c>
      <c r="R187" s="4" t="s">
        <v>73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0" t="n">
        <v>0</v>
      </c>
      <c r="AA187" s="0" t="n">
        <v>0</v>
      </c>
      <c r="AB187" s="0" t="n">
        <v>0</v>
      </c>
      <c r="AC187" s="4" t="s">
        <v>792</v>
      </c>
      <c r="AD187" s="4" t="s">
        <v>792</v>
      </c>
      <c r="AE187" s="4" t="s">
        <v>796</v>
      </c>
      <c r="AF187" s="4" t="s">
        <v>798</v>
      </c>
      <c r="AG187" s="5" t="n">
        <v>0.387604166666667</v>
      </c>
      <c r="AH187" s="5" t="n">
        <v>0.1928125</v>
      </c>
      <c r="AI187" s="5" t="n">
        <v>0</v>
      </c>
      <c r="AJ187" s="5" t="n">
        <v>0</v>
      </c>
      <c r="AK187" s="5" t="n">
        <v>0</v>
      </c>
      <c r="AL187" s="5" t="n">
        <v>0</v>
      </c>
      <c r="AM187" s="4" t="s">
        <v>78</v>
      </c>
      <c r="AN187" s="0" t="n">
        <v>0</v>
      </c>
      <c r="AO187" s="0" t="n">
        <v>2</v>
      </c>
      <c r="AP187" s="0" t="n">
        <v>0</v>
      </c>
      <c r="AQ187" s="0" t="n">
        <v>0</v>
      </c>
      <c r="AR187" s="0" t="n">
        <v>0</v>
      </c>
      <c r="AS187" s="0" t="n">
        <v>1</v>
      </c>
      <c r="AT187" s="0" t="n">
        <v>0</v>
      </c>
      <c r="AU187" s="0" t="n">
        <v>1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M187" s="6" t="n">
        <f aca="false">IFERROR(VALUE(F187),"")</f>
        <v>369.5</v>
      </c>
      <c r="BN187" s="6" t="str">
        <f aca="false">IF(R187="-","",IFERROR(VALUE(LEFT(Q187,LEN(Q187)-2)),""))</f>
        <v/>
      </c>
      <c r="BO187" s="6" t="str">
        <f aca="false">IF(R187="-","",IFERROR(VALUE(LEFT(R187,LEN(R187)-5)),""))</f>
        <v/>
      </c>
      <c r="BP187" s="6" t="str">
        <f aca="false">IF(R187="-","",IFERROR(VALUE(F187),""))</f>
        <v/>
      </c>
      <c r="BQ187" s="4" t="n">
        <f aca="false">IF(R187="-",1,0)</f>
        <v>1</v>
      </c>
    </row>
    <row r="188" customFormat="false" ht="15" hidden="false" customHeight="false" outlineLevel="0" collapsed="false">
      <c r="A188" s="0" t="s">
        <v>788</v>
      </c>
      <c r="B188" s="0" t="s">
        <v>789</v>
      </c>
      <c r="C188" s="0" t="s">
        <v>70</v>
      </c>
      <c r="D188" s="0" t="s">
        <v>799</v>
      </c>
      <c r="E188" s="3" t="n">
        <v>46276</v>
      </c>
      <c r="F188" s="4" t="s">
        <v>800</v>
      </c>
      <c r="G188" s="5" t="n">
        <v>0.482685185185185</v>
      </c>
      <c r="H188" s="5" t="n">
        <v>0.482569444444444</v>
      </c>
      <c r="I188" s="5" t="n">
        <v>0.000208333333333333</v>
      </c>
      <c r="J188" s="0" t="n">
        <v>1</v>
      </c>
      <c r="K188" s="0" t="n">
        <v>3</v>
      </c>
      <c r="L188" s="0" t="n">
        <v>0</v>
      </c>
      <c r="M188" s="0" t="n">
        <v>0</v>
      </c>
      <c r="N188" s="0" t="n">
        <v>1</v>
      </c>
      <c r="O188" s="5" t="n">
        <v>0</v>
      </c>
      <c r="P188" s="5" t="n">
        <v>0</v>
      </c>
      <c r="Q188" s="4" t="s">
        <v>73</v>
      </c>
      <c r="R188" s="4" t="s">
        <v>73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0" t="n">
        <v>0</v>
      </c>
      <c r="AA188" s="0" t="n">
        <v>0</v>
      </c>
      <c r="AB188" s="0" t="n">
        <v>0</v>
      </c>
      <c r="AC188" s="4" t="s">
        <v>792</v>
      </c>
      <c r="AD188" s="4" t="s">
        <v>752</v>
      </c>
      <c r="AE188" s="4" t="s">
        <v>798</v>
      </c>
      <c r="AF188" s="4" t="s">
        <v>801</v>
      </c>
      <c r="AG188" s="5" t="n">
        <v>0.382974537037037</v>
      </c>
      <c r="AH188" s="5" t="n">
        <v>0.132222222222222</v>
      </c>
      <c r="AI188" s="5" t="n">
        <v>0</v>
      </c>
      <c r="AJ188" s="5" t="n">
        <v>0</v>
      </c>
      <c r="AK188" s="5" t="n">
        <v>0</v>
      </c>
      <c r="AL188" s="5" t="n">
        <v>0</v>
      </c>
      <c r="AM188" s="4" t="s">
        <v>78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3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M188" s="6" t="n">
        <f aca="false">IFERROR(VALUE(F188),"")</f>
        <v>367.9</v>
      </c>
      <c r="BN188" s="6" t="str">
        <f aca="false">IF(R188="-","",IFERROR(VALUE(LEFT(Q188,LEN(Q188)-2)),""))</f>
        <v/>
      </c>
      <c r="BO188" s="6" t="str">
        <f aca="false">IF(R188="-","",IFERROR(VALUE(LEFT(R188,LEN(R188)-5)),""))</f>
        <v/>
      </c>
      <c r="BP188" s="6" t="str">
        <f aca="false">IF(R188="-","",IFERROR(VALUE(F188),""))</f>
        <v/>
      </c>
      <c r="BQ188" s="4" t="n">
        <f aca="false">IF(R188="-",1,0)</f>
        <v>1</v>
      </c>
    </row>
    <row r="189" customFormat="false" ht="15" hidden="false" customHeight="false" outlineLevel="0" collapsed="false">
      <c r="A189" s="0" t="s">
        <v>788</v>
      </c>
      <c r="B189" s="0" t="s">
        <v>789</v>
      </c>
      <c r="C189" s="0" t="s">
        <v>70</v>
      </c>
      <c r="D189" s="0" t="s">
        <v>802</v>
      </c>
      <c r="E189" s="3" t="n">
        <v>46277</v>
      </c>
      <c r="F189" s="4" t="s">
        <v>803</v>
      </c>
      <c r="G189" s="5" t="n">
        <v>0.421273148148148</v>
      </c>
      <c r="H189" s="5" t="n">
        <v>0.32880787037037</v>
      </c>
      <c r="I189" s="5" t="n">
        <v>0.000115740740740741</v>
      </c>
      <c r="J189" s="0" t="n">
        <v>0</v>
      </c>
      <c r="K189" s="0" t="n">
        <v>3</v>
      </c>
      <c r="L189" s="0" t="n">
        <v>0</v>
      </c>
      <c r="M189" s="0" t="n">
        <v>0</v>
      </c>
      <c r="N189" s="0" t="n">
        <v>2</v>
      </c>
      <c r="O189" s="5" t="n">
        <v>0</v>
      </c>
      <c r="P189" s="5" t="n">
        <v>0</v>
      </c>
      <c r="Q189" s="4" t="s">
        <v>73</v>
      </c>
      <c r="R189" s="4" t="s">
        <v>73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0" t="n">
        <v>0</v>
      </c>
      <c r="AA189" s="0" t="n">
        <v>0</v>
      </c>
      <c r="AB189" s="0" t="n">
        <v>0</v>
      </c>
      <c r="AC189" s="4" t="s">
        <v>804</v>
      </c>
      <c r="AD189" s="4" t="s">
        <v>752</v>
      </c>
      <c r="AE189" s="4" t="s">
        <v>801</v>
      </c>
      <c r="AF189" s="4" t="s">
        <v>805</v>
      </c>
      <c r="AG189" s="5" t="n">
        <v>0.277708333333333</v>
      </c>
      <c r="AH189" s="5" t="n">
        <v>0.23318287037037</v>
      </c>
      <c r="AI189" s="5" t="n">
        <v>1.15740740740741E-005</v>
      </c>
      <c r="AJ189" s="5" t="n">
        <v>0</v>
      </c>
      <c r="AK189" s="5" t="n">
        <v>0</v>
      </c>
      <c r="AL189" s="5" t="n">
        <v>0</v>
      </c>
      <c r="AM189" s="4" t="s">
        <v>78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1</v>
      </c>
      <c r="AU189" s="0" t="n">
        <v>3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M189" s="6" t="n">
        <f aca="false">IFERROR(VALUE(F189),"")</f>
        <v>273.61</v>
      </c>
      <c r="BN189" s="6" t="str">
        <f aca="false">IF(R189="-","",IFERROR(VALUE(LEFT(Q189,LEN(Q189)-2)),""))</f>
        <v/>
      </c>
      <c r="BO189" s="6" t="str">
        <f aca="false">IF(R189="-","",IFERROR(VALUE(LEFT(R189,LEN(R189)-5)),""))</f>
        <v/>
      </c>
      <c r="BP189" s="6" t="str">
        <f aca="false">IF(R189="-","",IFERROR(VALUE(F189),""))</f>
        <v/>
      </c>
      <c r="BQ189" s="4" t="n">
        <f aca="false">IF(R189="-",1,0)</f>
        <v>1</v>
      </c>
    </row>
    <row r="190" customFormat="false" ht="15" hidden="false" customHeight="false" outlineLevel="0" collapsed="false">
      <c r="A190" s="0" t="s">
        <v>788</v>
      </c>
      <c r="B190" s="0" t="s">
        <v>789</v>
      </c>
      <c r="C190" s="0" t="s">
        <v>70</v>
      </c>
      <c r="D190" s="0" t="s">
        <v>806</v>
      </c>
      <c r="E190" s="3" t="n">
        <v>46278</v>
      </c>
      <c r="F190" s="4" t="s">
        <v>807</v>
      </c>
      <c r="G190" s="5" t="n">
        <v>0.391018518518519</v>
      </c>
      <c r="H190" s="5" t="n">
        <v>0.365555555555556</v>
      </c>
      <c r="I190" s="5" t="n">
        <v>0.000231481481481482</v>
      </c>
      <c r="J190" s="0" t="n">
        <v>0</v>
      </c>
      <c r="K190" s="0" t="n">
        <v>4</v>
      </c>
      <c r="L190" s="0" t="n">
        <v>0</v>
      </c>
      <c r="M190" s="0" t="n">
        <v>0</v>
      </c>
      <c r="N190" s="0" t="n">
        <v>0</v>
      </c>
      <c r="O190" s="5" t="n">
        <v>0</v>
      </c>
      <c r="P190" s="5" t="n">
        <v>0</v>
      </c>
      <c r="Q190" s="4" t="s">
        <v>73</v>
      </c>
      <c r="R190" s="4" t="s">
        <v>73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0" t="n">
        <v>0</v>
      </c>
      <c r="AA190" s="0" t="n">
        <v>0</v>
      </c>
      <c r="AB190" s="0" t="n">
        <v>0</v>
      </c>
      <c r="AC190" s="4" t="s">
        <v>752</v>
      </c>
      <c r="AD190" s="4" t="s">
        <v>752</v>
      </c>
      <c r="AE190" s="4" t="s">
        <v>805</v>
      </c>
      <c r="AF190" s="4" t="s">
        <v>808</v>
      </c>
      <c r="AG190" s="5" t="n">
        <v>0.286585648148148</v>
      </c>
      <c r="AH190" s="5" t="n">
        <v>0.156446759259259</v>
      </c>
      <c r="AI190" s="5" t="n">
        <v>0</v>
      </c>
      <c r="AJ190" s="5" t="n">
        <v>0</v>
      </c>
      <c r="AK190" s="5" t="n">
        <v>0</v>
      </c>
      <c r="AL190" s="5" t="n">
        <v>0</v>
      </c>
      <c r="AM190" s="4" t="s">
        <v>78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2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M190" s="6" t="n">
        <f aca="false">IFERROR(VALUE(F190),"")</f>
        <v>278.85</v>
      </c>
      <c r="BN190" s="6" t="str">
        <f aca="false">IF(R190="-","",IFERROR(VALUE(LEFT(Q190,LEN(Q190)-2)),""))</f>
        <v/>
      </c>
      <c r="BO190" s="6" t="str">
        <f aca="false">IF(R190="-","",IFERROR(VALUE(LEFT(R190,LEN(R190)-5)),""))</f>
        <v/>
      </c>
      <c r="BP190" s="6" t="str">
        <f aca="false">IF(R190="-","",IFERROR(VALUE(F190),""))</f>
        <v/>
      </c>
      <c r="BQ190" s="4" t="n">
        <f aca="false">IF(R190="-",1,0)</f>
        <v>1</v>
      </c>
    </row>
    <row r="191" customFormat="false" ht="15" hidden="false" customHeight="false" outlineLevel="0" collapsed="false">
      <c r="A191" s="0" t="s">
        <v>788</v>
      </c>
      <c r="B191" s="0" t="s">
        <v>789</v>
      </c>
      <c r="C191" s="0" t="s">
        <v>70</v>
      </c>
      <c r="D191" s="0" t="s">
        <v>809</v>
      </c>
      <c r="E191" s="3" t="n">
        <v>46279</v>
      </c>
      <c r="F191" s="4" t="s">
        <v>810</v>
      </c>
      <c r="G191" s="5" t="n">
        <v>0.487233796296296</v>
      </c>
      <c r="H191" s="5" t="n">
        <v>0.487233796296296</v>
      </c>
      <c r="I191" s="5" t="n">
        <v>0.0034837962962963</v>
      </c>
      <c r="J191" s="0" t="n">
        <v>2</v>
      </c>
      <c r="K191" s="0" t="n">
        <v>9</v>
      </c>
      <c r="L191" s="0" t="n">
        <v>0</v>
      </c>
      <c r="M191" s="0" t="n">
        <v>0</v>
      </c>
      <c r="N191" s="0" t="n">
        <v>6</v>
      </c>
      <c r="O191" s="5" t="n">
        <v>0</v>
      </c>
      <c r="P191" s="5" t="n">
        <v>0</v>
      </c>
      <c r="Q191" s="4" t="s">
        <v>73</v>
      </c>
      <c r="R191" s="4" t="s">
        <v>73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0" t="n">
        <v>0</v>
      </c>
      <c r="AA191" s="0" t="n">
        <v>0</v>
      </c>
      <c r="AB191" s="0" t="n">
        <v>0</v>
      </c>
      <c r="AC191" s="4" t="s">
        <v>752</v>
      </c>
      <c r="AD191" s="4" t="s">
        <v>752</v>
      </c>
      <c r="AE191" s="4" t="s">
        <v>808</v>
      </c>
      <c r="AF191" s="4" t="s">
        <v>811</v>
      </c>
      <c r="AG191" s="5" t="n">
        <v>0.38068287037037</v>
      </c>
      <c r="AH191" s="5" t="n">
        <v>0.140277777777778</v>
      </c>
      <c r="AI191" s="5" t="n">
        <v>0</v>
      </c>
      <c r="AJ191" s="5" t="n">
        <v>0</v>
      </c>
      <c r="AK191" s="5" t="n">
        <v>0</v>
      </c>
      <c r="AL191" s="5" t="n">
        <v>0</v>
      </c>
      <c r="AM191" s="4" t="s">
        <v>78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12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M191" s="6" t="n">
        <f aca="false">IFERROR(VALUE(F191),"")</f>
        <v>368.55</v>
      </c>
      <c r="BN191" s="6" t="str">
        <f aca="false">IF(R191="-","",IFERROR(VALUE(LEFT(Q191,LEN(Q191)-2)),""))</f>
        <v/>
      </c>
      <c r="BO191" s="6" t="str">
        <f aca="false">IF(R191="-","",IFERROR(VALUE(LEFT(R191,LEN(R191)-5)),""))</f>
        <v/>
      </c>
      <c r="BP191" s="6" t="str">
        <f aca="false">IF(R191="-","",IFERROR(VALUE(F191),""))</f>
        <v/>
      </c>
      <c r="BQ191" s="4" t="n">
        <f aca="false">IF(R191="-",1,0)</f>
        <v>1</v>
      </c>
    </row>
    <row r="192" customFormat="false" ht="15" hidden="false" customHeight="false" outlineLevel="0" collapsed="false">
      <c r="A192" s="0" t="s">
        <v>812</v>
      </c>
      <c r="B192" s="0" t="s">
        <v>813</v>
      </c>
      <c r="C192" s="0" t="s">
        <v>70</v>
      </c>
      <c r="D192" s="0" t="s">
        <v>814</v>
      </c>
      <c r="E192" s="3" t="n">
        <v>46273</v>
      </c>
      <c r="F192" s="4" t="s">
        <v>815</v>
      </c>
      <c r="G192" s="5" t="n">
        <v>0.481111111111111</v>
      </c>
      <c r="H192" s="5" t="n">
        <v>0.475</v>
      </c>
      <c r="I192" s="5" t="n">
        <v>0.00068287037037037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6</v>
      </c>
      <c r="O192" s="5" t="n">
        <v>0</v>
      </c>
      <c r="P192" s="5" t="n">
        <v>0.0182175925925926</v>
      </c>
      <c r="Q192" s="4" t="s">
        <v>73</v>
      </c>
      <c r="R192" s="4" t="s">
        <v>73</v>
      </c>
      <c r="S192" s="5" t="n">
        <v>0</v>
      </c>
      <c r="T192" s="5" t="n">
        <v>0.219907407407407</v>
      </c>
      <c r="U192" s="5" t="n">
        <v>0.211342592592593</v>
      </c>
      <c r="V192" s="5" t="n">
        <v>0.0361111111111111</v>
      </c>
      <c r="W192" s="5" t="n">
        <v>0</v>
      </c>
      <c r="X192" s="5" t="n">
        <v>0</v>
      </c>
      <c r="Y192" s="5" t="n">
        <v>0</v>
      </c>
      <c r="Z192" s="0" t="n">
        <v>0</v>
      </c>
      <c r="AA192" s="0" t="n">
        <v>0</v>
      </c>
      <c r="AB192" s="0" t="n">
        <v>0</v>
      </c>
      <c r="AC192" s="4" t="s">
        <v>816</v>
      </c>
      <c r="AD192" s="4" t="s">
        <v>816</v>
      </c>
      <c r="AE192" s="4" t="s">
        <v>817</v>
      </c>
      <c r="AF192" s="4" t="s">
        <v>818</v>
      </c>
      <c r="AG192" s="5" t="n">
        <v>0.411631944444445</v>
      </c>
      <c r="AH192" s="5" t="n">
        <v>0.134398148148148</v>
      </c>
      <c r="AI192" s="5" t="n">
        <v>0</v>
      </c>
      <c r="AJ192" s="5" t="n">
        <v>0</v>
      </c>
      <c r="AK192" s="5" t="n">
        <v>0</v>
      </c>
      <c r="AL192" s="5" t="n">
        <v>0</v>
      </c>
      <c r="AM192" s="4" t="s">
        <v>78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4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M192" s="6" t="n">
        <f aca="false">IFERROR(VALUE(F192),"")</f>
        <v>357.75</v>
      </c>
      <c r="BN192" s="6" t="str">
        <f aca="false">IF(R192="-","",IFERROR(VALUE(LEFT(Q192,LEN(Q192)-2)),""))</f>
        <v/>
      </c>
      <c r="BO192" s="6" t="str">
        <f aca="false">IF(R192="-","",IFERROR(VALUE(LEFT(R192,LEN(R192)-5)),""))</f>
        <v/>
      </c>
      <c r="BP192" s="6" t="str">
        <f aca="false">IF(R192="-","",IFERROR(VALUE(F192),""))</f>
        <v/>
      </c>
      <c r="BQ192" s="4" t="n">
        <f aca="false">IF(R192="-",1,0)</f>
        <v>1</v>
      </c>
    </row>
    <row r="193" customFormat="false" ht="15" hidden="false" customHeight="false" outlineLevel="0" collapsed="false">
      <c r="A193" s="0" t="s">
        <v>812</v>
      </c>
      <c r="B193" s="0" t="s">
        <v>813</v>
      </c>
      <c r="C193" s="0" t="s">
        <v>70</v>
      </c>
      <c r="D193" s="0" t="s">
        <v>819</v>
      </c>
      <c r="E193" s="3" t="n">
        <v>46274</v>
      </c>
      <c r="F193" s="4" t="s">
        <v>820</v>
      </c>
      <c r="G193" s="5" t="n">
        <v>0.564050925925926</v>
      </c>
      <c r="H193" s="5" t="n">
        <v>0.529340277777778</v>
      </c>
      <c r="I193" s="5" t="n">
        <v>0.000173611111111111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5</v>
      </c>
      <c r="O193" s="5" t="n">
        <v>0</v>
      </c>
      <c r="P193" s="5" t="n">
        <v>0.00834490740740741</v>
      </c>
      <c r="Q193" s="4" t="s">
        <v>73</v>
      </c>
      <c r="R193" s="4" t="s">
        <v>73</v>
      </c>
      <c r="S193" s="5" t="n">
        <v>0.000115740740740741</v>
      </c>
      <c r="T193" s="5" t="n">
        <v>0.276967592592593</v>
      </c>
      <c r="U193" s="5" t="n">
        <v>0.219328703703704</v>
      </c>
      <c r="V193" s="5" t="n">
        <v>0.0203703703703704</v>
      </c>
      <c r="W193" s="5" t="n">
        <v>0</v>
      </c>
      <c r="X193" s="5" t="n">
        <v>0</v>
      </c>
      <c r="Y193" s="5" t="n">
        <v>0</v>
      </c>
      <c r="Z193" s="0" t="n">
        <v>0</v>
      </c>
      <c r="AA193" s="0" t="n">
        <v>0</v>
      </c>
      <c r="AB193" s="0" t="n">
        <v>0</v>
      </c>
      <c r="AC193" s="4" t="s">
        <v>816</v>
      </c>
      <c r="AD193" s="4" t="s">
        <v>816</v>
      </c>
      <c r="AE193" s="4" t="s">
        <v>818</v>
      </c>
      <c r="AF193" s="4" t="s">
        <v>821</v>
      </c>
      <c r="AG193" s="5" t="n">
        <v>0.43787037037037</v>
      </c>
      <c r="AH193" s="5" t="n">
        <v>0.201388888888889</v>
      </c>
      <c r="AI193" s="5" t="n">
        <v>0</v>
      </c>
      <c r="AJ193" s="5" t="n">
        <v>0</v>
      </c>
      <c r="AK193" s="5" t="n">
        <v>0</v>
      </c>
      <c r="AL193" s="5" t="n">
        <v>0</v>
      </c>
      <c r="AM193" s="4" t="s">
        <v>78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13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M193" s="6" t="n">
        <f aca="false">IFERROR(VALUE(F193),"")</f>
        <v>371.59</v>
      </c>
      <c r="BN193" s="6" t="str">
        <f aca="false">IF(R193="-","",IFERROR(VALUE(LEFT(Q193,LEN(Q193)-2)),""))</f>
        <v/>
      </c>
      <c r="BO193" s="6" t="str">
        <f aca="false">IF(R193="-","",IFERROR(VALUE(LEFT(R193,LEN(R193)-5)),""))</f>
        <v/>
      </c>
      <c r="BP193" s="6" t="str">
        <f aca="false">IF(R193="-","",IFERROR(VALUE(F193),""))</f>
        <v/>
      </c>
      <c r="BQ193" s="4" t="n">
        <f aca="false">IF(R193="-",1,0)</f>
        <v>1</v>
      </c>
    </row>
    <row r="194" customFormat="false" ht="15" hidden="false" customHeight="false" outlineLevel="0" collapsed="false">
      <c r="A194" s="0" t="s">
        <v>812</v>
      </c>
      <c r="B194" s="0" t="s">
        <v>813</v>
      </c>
      <c r="C194" s="0" t="s">
        <v>70</v>
      </c>
      <c r="D194" s="0" t="s">
        <v>819</v>
      </c>
      <c r="E194" s="3" t="n">
        <v>46275</v>
      </c>
      <c r="F194" s="4" t="s">
        <v>822</v>
      </c>
      <c r="G194" s="5" t="n">
        <v>0.512534722222222</v>
      </c>
      <c r="H194" s="5" t="n">
        <v>0.504918981481482</v>
      </c>
      <c r="I194" s="5" t="n">
        <v>0.000520833333333333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1</v>
      </c>
      <c r="O194" s="5" t="n">
        <v>0</v>
      </c>
      <c r="P194" s="5" t="n">
        <v>0</v>
      </c>
      <c r="Q194" s="4" t="s">
        <v>73</v>
      </c>
      <c r="R194" s="4" t="s">
        <v>73</v>
      </c>
      <c r="S194" s="5" t="n">
        <v>0</v>
      </c>
      <c r="T194" s="5" t="n">
        <v>0.229166666666667</v>
      </c>
      <c r="U194" s="5" t="n">
        <v>0.237615740740741</v>
      </c>
      <c r="V194" s="5" t="n">
        <v>0.0263888888888889</v>
      </c>
      <c r="W194" s="5" t="n">
        <v>0</v>
      </c>
      <c r="X194" s="5" t="n">
        <v>0</v>
      </c>
      <c r="Y194" s="5" t="n">
        <v>0</v>
      </c>
      <c r="Z194" s="0" t="n">
        <v>0</v>
      </c>
      <c r="AA194" s="0" t="n">
        <v>0</v>
      </c>
      <c r="AB194" s="0" t="n">
        <v>0</v>
      </c>
      <c r="AC194" s="4" t="s">
        <v>816</v>
      </c>
      <c r="AD194" s="4" t="s">
        <v>816</v>
      </c>
      <c r="AE194" s="4" t="s">
        <v>821</v>
      </c>
      <c r="AF194" s="4" t="s">
        <v>823</v>
      </c>
      <c r="AG194" s="5" t="n">
        <v>0.437939814814815</v>
      </c>
      <c r="AH194" s="5" t="n">
        <v>0.171342592592593</v>
      </c>
      <c r="AI194" s="5" t="n">
        <v>0</v>
      </c>
      <c r="AJ194" s="5" t="n">
        <v>0</v>
      </c>
      <c r="AK194" s="5" t="n">
        <v>0</v>
      </c>
      <c r="AL194" s="5" t="n">
        <v>0</v>
      </c>
      <c r="AM194" s="4" t="s">
        <v>78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13</v>
      </c>
      <c r="AV194" s="0" t="n">
        <v>0</v>
      </c>
      <c r="AW194" s="0" t="n">
        <v>1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M194" s="6" t="n">
        <f aca="false">IFERROR(VALUE(F194),"")</f>
        <v>371.49</v>
      </c>
      <c r="BN194" s="6" t="str">
        <f aca="false">IF(R194="-","",IFERROR(VALUE(LEFT(Q194,LEN(Q194)-2)),""))</f>
        <v/>
      </c>
      <c r="BO194" s="6" t="str">
        <f aca="false">IF(R194="-","",IFERROR(VALUE(LEFT(R194,LEN(R194)-5)),""))</f>
        <v/>
      </c>
      <c r="BP194" s="6" t="str">
        <f aca="false">IF(R194="-","",IFERROR(VALUE(F194),""))</f>
        <v/>
      </c>
      <c r="BQ194" s="4" t="n">
        <f aca="false">IF(R194="-",1,0)</f>
        <v>1</v>
      </c>
    </row>
    <row r="195" customFormat="false" ht="15" hidden="false" customHeight="false" outlineLevel="0" collapsed="false">
      <c r="A195" s="0" t="s">
        <v>812</v>
      </c>
      <c r="B195" s="0" t="s">
        <v>813</v>
      </c>
      <c r="C195" s="0" t="s">
        <v>70</v>
      </c>
      <c r="D195" s="0" t="s">
        <v>819</v>
      </c>
      <c r="E195" s="3" t="n">
        <v>46276</v>
      </c>
      <c r="F195" s="4" t="s">
        <v>824</v>
      </c>
      <c r="G195" s="5" t="n">
        <v>0.572511574074074</v>
      </c>
      <c r="H195" s="5" t="n">
        <v>0.528217592592593</v>
      </c>
      <c r="I195" s="5" t="n">
        <v>0.00119212962962963</v>
      </c>
      <c r="J195" s="0" t="n">
        <v>0</v>
      </c>
      <c r="K195" s="0" t="n">
        <v>3</v>
      </c>
      <c r="L195" s="0" t="n">
        <v>0</v>
      </c>
      <c r="M195" s="0" t="n">
        <v>0</v>
      </c>
      <c r="N195" s="0" t="n">
        <v>7</v>
      </c>
      <c r="O195" s="5" t="n">
        <v>0</v>
      </c>
      <c r="P195" s="5" t="n">
        <v>0.0160416666666667</v>
      </c>
      <c r="Q195" s="4" t="s">
        <v>73</v>
      </c>
      <c r="R195" s="4" t="s">
        <v>73</v>
      </c>
      <c r="S195" s="5" t="n">
        <v>0.000231481481481482</v>
      </c>
      <c r="T195" s="5" t="n">
        <v>0.262268518518519</v>
      </c>
      <c r="U195" s="5" t="n">
        <v>0.234490740740741</v>
      </c>
      <c r="V195" s="5" t="n">
        <v>0.0203703703703704</v>
      </c>
      <c r="W195" s="5" t="n">
        <v>0</v>
      </c>
      <c r="X195" s="5" t="n">
        <v>0</v>
      </c>
      <c r="Y195" s="5" t="n">
        <v>0</v>
      </c>
      <c r="Z195" s="0" t="n">
        <v>0</v>
      </c>
      <c r="AA195" s="0" t="n">
        <v>0</v>
      </c>
      <c r="AB195" s="0" t="n">
        <v>0</v>
      </c>
      <c r="AC195" s="4" t="s">
        <v>816</v>
      </c>
      <c r="AD195" s="4" t="s">
        <v>816</v>
      </c>
      <c r="AE195" s="4" t="s">
        <v>823</v>
      </c>
      <c r="AF195" s="4" t="s">
        <v>825</v>
      </c>
      <c r="AG195" s="5" t="n">
        <v>0.449027777777778</v>
      </c>
      <c r="AH195" s="5" t="n">
        <v>0.176226851851852</v>
      </c>
      <c r="AI195" s="5" t="n">
        <v>0</v>
      </c>
      <c r="AJ195" s="5" t="n">
        <v>0</v>
      </c>
      <c r="AK195" s="5" t="n">
        <v>0</v>
      </c>
      <c r="AL195" s="5" t="n">
        <v>0</v>
      </c>
      <c r="AM195" s="4" t="s">
        <v>78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17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M195" s="6" t="n">
        <f aca="false">IFERROR(VALUE(F195),"")</f>
        <v>370.32</v>
      </c>
      <c r="BN195" s="6" t="str">
        <f aca="false">IF(R195="-","",IFERROR(VALUE(LEFT(Q195,LEN(Q195)-2)),""))</f>
        <v/>
      </c>
      <c r="BO195" s="6" t="str">
        <f aca="false">IF(R195="-","",IFERROR(VALUE(LEFT(R195,LEN(R195)-5)),""))</f>
        <v/>
      </c>
      <c r="BP195" s="6" t="str">
        <f aca="false">IF(R195="-","",IFERROR(VALUE(F195),""))</f>
        <v/>
      </c>
      <c r="BQ195" s="4" t="n">
        <f aca="false">IF(R195="-",1,0)</f>
        <v>1</v>
      </c>
    </row>
    <row r="196" customFormat="false" ht="15" hidden="false" customHeight="false" outlineLevel="0" collapsed="false">
      <c r="A196" s="0" t="s">
        <v>812</v>
      </c>
      <c r="B196" s="0" t="s">
        <v>813</v>
      </c>
      <c r="C196" s="0" t="s">
        <v>70</v>
      </c>
      <c r="D196" s="0" t="s">
        <v>826</v>
      </c>
      <c r="E196" s="3" t="n">
        <v>46277</v>
      </c>
      <c r="F196" s="4" t="s">
        <v>827</v>
      </c>
      <c r="G196" s="5" t="n">
        <v>0.524236111111111</v>
      </c>
      <c r="H196" s="5" t="n">
        <v>0.499305555555556</v>
      </c>
      <c r="I196" s="5" t="n">
        <v>8.10185185185185E-005</v>
      </c>
      <c r="J196" s="0" t="n">
        <v>0</v>
      </c>
      <c r="K196" s="0" t="n">
        <v>3</v>
      </c>
      <c r="L196" s="0" t="n">
        <v>0</v>
      </c>
      <c r="M196" s="0" t="n">
        <v>0</v>
      </c>
      <c r="N196" s="0" t="n">
        <v>3</v>
      </c>
      <c r="O196" s="5" t="n">
        <v>0</v>
      </c>
      <c r="P196" s="5" t="n">
        <v>0.0104513888888889</v>
      </c>
      <c r="Q196" s="4" t="s">
        <v>73</v>
      </c>
      <c r="R196" s="4" t="s">
        <v>73</v>
      </c>
      <c r="S196" s="5" t="n">
        <v>0</v>
      </c>
      <c r="T196" s="5" t="n">
        <v>0.230208333333333</v>
      </c>
      <c r="U196" s="5" t="n">
        <v>0.25</v>
      </c>
      <c r="V196" s="5" t="n">
        <v>0.0219907407407407</v>
      </c>
      <c r="W196" s="5" t="n">
        <v>0</v>
      </c>
      <c r="X196" s="5" t="n">
        <v>0</v>
      </c>
      <c r="Y196" s="5" t="n">
        <v>0</v>
      </c>
      <c r="Z196" s="0" t="n">
        <v>0</v>
      </c>
      <c r="AA196" s="0" t="n">
        <v>0</v>
      </c>
      <c r="AB196" s="0" t="n">
        <v>0</v>
      </c>
      <c r="AC196" s="4" t="s">
        <v>816</v>
      </c>
      <c r="AD196" s="4" t="s">
        <v>828</v>
      </c>
      <c r="AE196" s="4" t="s">
        <v>825</v>
      </c>
      <c r="AF196" s="4" t="s">
        <v>829</v>
      </c>
      <c r="AG196" s="5" t="n">
        <v>0.424467592592593</v>
      </c>
      <c r="AH196" s="5" t="n">
        <v>0.212337962962963</v>
      </c>
      <c r="AI196" s="5" t="n">
        <v>0</v>
      </c>
      <c r="AJ196" s="5" t="n">
        <v>0</v>
      </c>
      <c r="AK196" s="5" t="n">
        <v>0</v>
      </c>
      <c r="AL196" s="5" t="n">
        <v>0</v>
      </c>
      <c r="AM196" s="4" t="s">
        <v>78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4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M196" s="6" t="n">
        <f aca="false">IFERROR(VALUE(F196),"")</f>
        <v>370.72</v>
      </c>
      <c r="BN196" s="6" t="str">
        <f aca="false">IF(R196="-","",IFERROR(VALUE(LEFT(Q196,LEN(Q196)-2)),""))</f>
        <v/>
      </c>
      <c r="BO196" s="6" t="str">
        <f aca="false">IF(R196="-","",IFERROR(VALUE(LEFT(R196,LEN(R196)-5)),""))</f>
        <v/>
      </c>
      <c r="BP196" s="6" t="str">
        <f aca="false">IF(R196="-","",IFERROR(VALUE(F196),""))</f>
        <v/>
      </c>
      <c r="BQ196" s="4" t="n">
        <f aca="false">IF(R196="-",1,0)</f>
        <v>1</v>
      </c>
    </row>
    <row r="197" customFormat="false" ht="15" hidden="false" customHeight="false" outlineLevel="0" collapsed="false">
      <c r="A197" s="0" t="s">
        <v>812</v>
      </c>
      <c r="B197" s="0" t="s">
        <v>813</v>
      </c>
      <c r="C197" s="0" t="s">
        <v>70</v>
      </c>
      <c r="D197" s="0" t="s">
        <v>830</v>
      </c>
      <c r="E197" s="3" t="n">
        <v>46278</v>
      </c>
      <c r="F197" s="4" t="s">
        <v>831</v>
      </c>
      <c r="G197" s="5" t="n">
        <v>0.323344907407407</v>
      </c>
      <c r="H197" s="5" t="n">
        <v>0.315555555555556</v>
      </c>
      <c r="I197" s="5" t="n">
        <v>0.000590277777777778</v>
      </c>
      <c r="J197" s="0" t="n">
        <v>0</v>
      </c>
      <c r="K197" s="0" t="n">
        <v>3</v>
      </c>
      <c r="L197" s="0" t="n">
        <v>0</v>
      </c>
      <c r="M197" s="0" t="n">
        <v>0</v>
      </c>
      <c r="N197" s="0" t="n">
        <v>7</v>
      </c>
      <c r="O197" s="5" t="n">
        <v>0</v>
      </c>
      <c r="P197" s="5" t="n">
        <v>0.00752314814814815</v>
      </c>
      <c r="Q197" s="4" t="s">
        <v>73</v>
      </c>
      <c r="R197" s="4" t="s">
        <v>73</v>
      </c>
      <c r="S197" s="5" t="n">
        <v>0</v>
      </c>
      <c r="T197" s="5" t="n">
        <v>0.161111111111111</v>
      </c>
      <c r="U197" s="5" t="n">
        <v>0.113773148148148</v>
      </c>
      <c r="V197" s="5" t="n">
        <v>0.0105324074074074</v>
      </c>
      <c r="W197" s="5" t="n">
        <v>0</v>
      </c>
      <c r="X197" s="5" t="n">
        <v>0</v>
      </c>
      <c r="Y197" s="5" t="n">
        <v>0</v>
      </c>
      <c r="Z197" s="0" t="n">
        <v>0</v>
      </c>
      <c r="AA197" s="0" t="n">
        <v>0</v>
      </c>
      <c r="AB197" s="0" t="n">
        <v>0</v>
      </c>
      <c r="AC197" s="4" t="s">
        <v>828</v>
      </c>
      <c r="AD197" s="4" t="s">
        <v>816</v>
      </c>
      <c r="AE197" s="4" t="s">
        <v>829</v>
      </c>
      <c r="AF197" s="4" t="s">
        <v>832</v>
      </c>
      <c r="AG197" s="5" t="n">
        <v>0.250092592592593</v>
      </c>
      <c r="AH197" s="5" t="n">
        <v>0.0972106481481481</v>
      </c>
      <c r="AI197" s="5" t="n">
        <v>0.000196759259259259</v>
      </c>
      <c r="AJ197" s="5" t="n">
        <v>0</v>
      </c>
      <c r="AK197" s="5" t="n">
        <v>0</v>
      </c>
      <c r="AL197" s="5" t="n">
        <v>0</v>
      </c>
      <c r="AM197" s="4" t="s">
        <v>78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4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M197" s="6" t="n">
        <f aca="false">IFERROR(VALUE(F197),"")</f>
        <v>216.55</v>
      </c>
      <c r="BN197" s="6" t="str">
        <f aca="false">IF(R197="-","",IFERROR(VALUE(LEFT(Q197,LEN(Q197)-2)),""))</f>
        <v/>
      </c>
      <c r="BO197" s="6" t="str">
        <f aca="false">IF(R197="-","",IFERROR(VALUE(LEFT(R197,LEN(R197)-5)),""))</f>
        <v/>
      </c>
      <c r="BP197" s="6" t="str">
        <f aca="false">IF(R197="-","",IFERROR(VALUE(F197),""))</f>
        <v/>
      </c>
      <c r="BQ197" s="4" t="n">
        <f aca="false">IF(R197="-",1,0)</f>
        <v>1</v>
      </c>
    </row>
    <row r="198" customFormat="false" ht="15" hidden="false" customHeight="false" outlineLevel="0" collapsed="false">
      <c r="A198" s="0" t="s">
        <v>812</v>
      </c>
      <c r="B198" s="0" t="s">
        <v>813</v>
      </c>
      <c r="C198" s="0" t="s">
        <v>70</v>
      </c>
      <c r="D198" s="0" t="s">
        <v>833</v>
      </c>
      <c r="E198" s="3" t="n">
        <v>46279</v>
      </c>
      <c r="F198" s="4" t="s">
        <v>834</v>
      </c>
      <c r="G198" s="5" t="n">
        <v>0.462986111111111</v>
      </c>
      <c r="H198" s="5" t="n">
        <v>0.453900462962963</v>
      </c>
      <c r="I198" s="5" t="n">
        <v>0.000231481481481482</v>
      </c>
      <c r="J198" s="0" t="n">
        <v>0</v>
      </c>
      <c r="K198" s="0" t="n">
        <v>3</v>
      </c>
      <c r="L198" s="0" t="n">
        <v>0</v>
      </c>
      <c r="M198" s="0" t="n">
        <v>0</v>
      </c>
      <c r="N198" s="0" t="n">
        <v>3</v>
      </c>
      <c r="O198" s="5" t="n">
        <v>0</v>
      </c>
      <c r="P198" s="5" t="n">
        <v>0</v>
      </c>
      <c r="Q198" s="4" t="s">
        <v>73</v>
      </c>
      <c r="R198" s="4" t="s">
        <v>73</v>
      </c>
      <c r="S198" s="5" t="n">
        <v>0</v>
      </c>
      <c r="T198" s="5" t="n">
        <v>0.16712962962963</v>
      </c>
      <c r="U198" s="5" t="n">
        <v>0.238888888888889</v>
      </c>
      <c r="V198" s="5" t="n">
        <v>0.0240740740740741</v>
      </c>
      <c r="W198" s="5" t="n">
        <v>0</v>
      </c>
      <c r="X198" s="5" t="n">
        <v>0</v>
      </c>
      <c r="Y198" s="5" t="n">
        <v>0</v>
      </c>
      <c r="Z198" s="0" t="n">
        <v>0</v>
      </c>
      <c r="AA198" s="0" t="n">
        <v>0</v>
      </c>
      <c r="AB198" s="0" t="n">
        <v>0</v>
      </c>
      <c r="AC198" s="4" t="s">
        <v>816</v>
      </c>
      <c r="AD198" s="4" t="s">
        <v>828</v>
      </c>
      <c r="AE198" s="4" t="s">
        <v>832</v>
      </c>
      <c r="AF198" s="4" t="s">
        <v>835</v>
      </c>
      <c r="AG198" s="5" t="n">
        <v>0.408321759259259</v>
      </c>
      <c r="AH198" s="5" t="n">
        <v>0.100231481481482</v>
      </c>
      <c r="AI198" s="5" t="n">
        <v>0</v>
      </c>
      <c r="AJ198" s="5" t="n">
        <v>0</v>
      </c>
      <c r="AK198" s="5" t="n">
        <v>0</v>
      </c>
      <c r="AL198" s="5" t="n">
        <v>0</v>
      </c>
      <c r="AM198" s="4" t="s">
        <v>78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14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M198" s="6" t="n">
        <f aca="false">IFERROR(VALUE(F198),"")</f>
        <v>357.78</v>
      </c>
      <c r="BN198" s="6" t="str">
        <f aca="false">IF(R198="-","",IFERROR(VALUE(LEFT(Q198,LEN(Q198)-2)),""))</f>
        <v/>
      </c>
      <c r="BO198" s="6" t="str">
        <f aca="false">IF(R198="-","",IFERROR(VALUE(LEFT(R198,LEN(R198)-5)),""))</f>
        <v/>
      </c>
      <c r="BP198" s="6" t="str">
        <f aca="false">IF(R198="-","",IFERROR(VALUE(F198),""))</f>
        <v/>
      </c>
      <c r="BQ198" s="4" t="n">
        <f aca="false">IF(R198="-",1,0)</f>
        <v>1</v>
      </c>
    </row>
    <row r="199" customFormat="false" ht="15" hidden="false" customHeight="false" outlineLevel="0" collapsed="false">
      <c r="A199" s="0" t="s">
        <v>836</v>
      </c>
      <c r="B199" s="0" t="s">
        <v>837</v>
      </c>
      <c r="C199" s="0" t="s">
        <v>70</v>
      </c>
      <c r="E199" s="3" t="n">
        <v>46273</v>
      </c>
      <c r="F199" s="4" t="s">
        <v>457</v>
      </c>
      <c r="G199" s="5" t="n">
        <v>0.231157407407407</v>
      </c>
      <c r="H199" s="5" t="n">
        <v>0</v>
      </c>
      <c r="I199" s="5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5" t="n">
        <v>0</v>
      </c>
      <c r="P199" s="5" t="n">
        <v>0</v>
      </c>
      <c r="Q199" s="4" t="s">
        <v>73</v>
      </c>
      <c r="R199" s="4" t="s">
        <v>73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0" t="n">
        <v>0</v>
      </c>
      <c r="AA199" s="0" t="n">
        <v>0</v>
      </c>
      <c r="AB199" s="0" t="n">
        <v>0</v>
      </c>
      <c r="AC199" s="4" t="s">
        <v>75</v>
      </c>
      <c r="AD199" s="4" t="s">
        <v>75</v>
      </c>
      <c r="AE199" s="4" t="s">
        <v>838</v>
      </c>
      <c r="AF199" s="4" t="s">
        <v>839</v>
      </c>
      <c r="AG199" s="5" t="n">
        <v>0</v>
      </c>
      <c r="AH199" s="5" t="n">
        <v>0.241157407407407</v>
      </c>
      <c r="AI199" s="5" t="n">
        <v>0</v>
      </c>
      <c r="AJ199" s="5" t="n">
        <v>0</v>
      </c>
      <c r="AK199" s="5" t="n">
        <v>0</v>
      </c>
      <c r="AL199" s="5" t="n">
        <v>0</v>
      </c>
      <c r="AM199" s="4" t="s">
        <v>78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M199" s="6" t="n">
        <f aca="false">IFERROR(VALUE(F199),"")</f>
        <v>0.01</v>
      </c>
      <c r="BN199" s="6" t="str">
        <f aca="false">IF(R199="-","",IFERROR(VALUE(LEFT(Q199,LEN(Q199)-2)),""))</f>
        <v/>
      </c>
      <c r="BO199" s="6" t="str">
        <f aca="false">IF(R199="-","",IFERROR(VALUE(LEFT(R199,LEN(R199)-5)),""))</f>
        <v/>
      </c>
      <c r="BP199" s="6" t="str">
        <f aca="false">IF(R199="-","",IFERROR(VALUE(F199),""))</f>
        <v/>
      </c>
      <c r="BQ199" s="4" t="n">
        <f aca="false">IF(R199="-",1,0)</f>
        <v>1</v>
      </c>
    </row>
    <row r="200" customFormat="false" ht="15" hidden="false" customHeight="false" outlineLevel="0" collapsed="false">
      <c r="A200" s="0" t="s">
        <v>836</v>
      </c>
      <c r="B200" s="0" t="s">
        <v>837</v>
      </c>
      <c r="C200" s="0" t="s">
        <v>70</v>
      </c>
      <c r="E200" s="3" t="n">
        <v>46274</v>
      </c>
      <c r="F200" s="4" t="s">
        <v>95</v>
      </c>
      <c r="G200" s="5" t="n">
        <v>0.112928240740741</v>
      </c>
      <c r="H200" s="5" t="n">
        <v>0</v>
      </c>
      <c r="I200" s="5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5" t="n">
        <v>0</v>
      </c>
      <c r="P200" s="5" t="n">
        <v>0</v>
      </c>
      <c r="Q200" s="4" t="s">
        <v>73</v>
      </c>
      <c r="R200" s="4" t="s">
        <v>73</v>
      </c>
      <c r="S200" s="5" t="n">
        <v>0</v>
      </c>
      <c r="T200" s="5" t="n">
        <v>0.00578703703703704</v>
      </c>
      <c r="U200" s="5" t="n">
        <v>0.00173611111111111</v>
      </c>
      <c r="V200" s="5" t="n">
        <v>0</v>
      </c>
      <c r="W200" s="5" t="n">
        <v>0</v>
      </c>
      <c r="X200" s="5" t="n">
        <v>0</v>
      </c>
      <c r="Y200" s="5" t="n">
        <v>0</v>
      </c>
      <c r="Z200" s="0" t="n">
        <v>0</v>
      </c>
      <c r="AA200" s="0" t="n">
        <v>0</v>
      </c>
      <c r="AB200" s="0" t="n">
        <v>0</v>
      </c>
      <c r="AC200" s="4" t="s">
        <v>75</v>
      </c>
      <c r="AD200" s="4" t="s">
        <v>75</v>
      </c>
      <c r="AE200" s="4" t="s">
        <v>839</v>
      </c>
      <c r="AF200" s="4" t="s">
        <v>839</v>
      </c>
      <c r="AG200" s="5" t="n">
        <v>0.000706018518518519</v>
      </c>
      <c r="AH200" s="5" t="n">
        <v>0.0491435185185185</v>
      </c>
      <c r="AI200" s="5" t="n">
        <v>0</v>
      </c>
      <c r="AJ200" s="5" t="n">
        <v>0</v>
      </c>
      <c r="AK200" s="5" t="n">
        <v>0</v>
      </c>
      <c r="AL200" s="5" t="n">
        <v>0</v>
      </c>
      <c r="AM200" s="4" t="s">
        <v>78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M200" s="6" t="n">
        <f aca="false">IFERROR(VALUE(F200),"")</f>
        <v>0</v>
      </c>
      <c r="BN200" s="6" t="str">
        <f aca="false">IF(R200="-","",IFERROR(VALUE(LEFT(Q200,LEN(Q200)-2)),""))</f>
        <v/>
      </c>
      <c r="BO200" s="6" t="str">
        <f aca="false">IF(R200="-","",IFERROR(VALUE(LEFT(R200,LEN(R200)-5)),""))</f>
        <v/>
      </c>
      <c r="BP200" s="6" t="str">
        <f aca="false">IF(R200="-","",IFERROR(VALUE(F200),""))</f>
        <v/>
      </c>
      <c r="BQ200" s="4" t="n">
        <f aca="false">IF(R200="-",1,0)</f>
        <v>1</v>
      </c>
    </row>
    <row r="201" customFormat="false" ht="15" hidden="false" customHeight="false" outlineLevel="0" collapsed="false">
      <c r="A201" s="0" t="s">
        <v>836</v>
      </c>
      <c r="B201" s="0" t="s">
        <v>837</v>
      </c>
      <c r="C201" s="0" t="s">
        <v>70</v>
      </c>
      <c r="E201" s="3" t="n">
        <v>46275</v>
      </c>
      <c r="F201" s="4" t="s">
        <v>95</v>
      </c>
      <c r="G201" s="5" t="n">
        <v>0.100486111111111</v>
      </c>
      <c r="H201" s="5" t="n">
        <v>0</v>
      </c>
      <c r="I201" s="5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5" t="n">
        <v>0</v>
      </c>
      <c r="P201" s="5" t="n">
        <v>0.0117824074074074</v>
      </c>
      <c r="Q201" s="4" t="s">
        <v>73</v>
      </c>
      <c r="R201" s="4" t="s">
        <v>73</v>
      </c>
      <c r="S201" s="5" t="n">
        <v>0</v>
      </c>
      <c r="T201" s="5" t="n">
        <v>0.021875</v>
      </c>
      <c r="U201" s="5" t="n">
        <v>0.00277777777777778</v>
      </c>
      <c r="V201" s="5" t="n">
        <v>0</v>
      </c>
      <c r="W201" s="5" t="n">
        <v>0</v>
      </c>
      <c r="X201" s="5" t="n">
        <v>0</v>
      </c>
      <c r="Y201" s="5" t="n">
        <v>0</v>
      </c>
      <c r="Z201" s="0" t="n">
        <v>0</v>
      </c>
      <c r="AA201" s="0" t="n">
        <v>0</v>
      </c>
      <c r="AB201" s="0" t="n">
        <v>0</v>
      </c>
      <c r="AC201" s="4" t="s">
        <v>75</v>
      </c>
      <c r="AD201" s="4" t="s">
        <v>228</v>
      </c>
      <c r="AE201" s="4" t="s">
        <v>839</v>
      </c>
      <c r="AF201" s="4" t="s">
        <v>839</v>
      </c>
      <c r="AG201" s="5" t="n">
        <v>0</v>
      </c>
      <c r="AH201" s="5" t="n">
        <v>0.17806712962963</v>
      </c>
      <c r="AI201" s="5" t="n">
        <v>0</v>
      </c>
      <c r="AJ201" s="5" t="n">
        <v>0</v>
      </c>
      <c r="AK201" s="5" t="n">
        <v>0</v>
      </c>
      <c r="AL201" s="5" t="n">
        <v>0</v>
      </c>
      <c r="AM201" s="4" t="s">
        <v>78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M201" s="6" t="n">
        <f aca="false">IFERROR(VALUE(F201),"")</f>
        <v>0</v>
      </c>
      <c r="BN201" s="6" t="str">
        <f aca="false">IF(R201="-","",IFERROR(VALUE(LEFT(Q201,LEN(Q201)-2)),""))</f>
        <v/>
      </c>
      <c r="BO201" s="6" t="str">
        <f aca="false">IF(R201="-","",IFERROR(VALUE(LEFT(R201,LEN(R201)-5)),""))</f>
        <v/>
      </c>
      <c r="BP201" s="6" t="str">
        <f aca="false">IF(R201="-","",IFERROR(VALUE(F201),""))</f>
        <v/>
      </c>
      <c r="BQ201" s="4" t="n">
        <f aca="false">IF(R201="-",1,0)</f>
        <v>1</v>
      </c>
    </row>
    <row r="202" customFormat="false" ht="15" hidden="false" customHeight="false" outlineLevel="0" collapsed="false">
      <c r="A202" s="0" t="s">
        <v>836</v>
      </c>
      <c r="B202" s="0" t="s">
        <v>837</v>
      </c>
      <c r="C202" s="0" t="s">
        <v>70</v>
      </c>
      <c r="D202" s="0" t="s">
        <v>840</v>
      </c>
      <c r="E202" s="3" t="n">
        <v>46276</v>
      </c>
      <c r="F202" s="4" t="s">
        <v>95</v>
      </c>
      <c r="G202" s="5" t="n">
        <v>0.337685185185185</v>
      </c>
      <c r="H202" s="5" t="n">
        <v>0.283449074074074</v>
      </c>
      <c r="I202" s="5" t="n">
        <v>0.000578703703703704</v>
      </c>
      <c r="J202" s="0" t="n">
        <v>1</v>
      </c>
      <c r="K202" s="0" t="n">
        <v>1</v>
      </c>
      <c r="L202" s="0" t="n">
        <v>0</v>
      </c>
      <c r="M202" s="0" t="n">
        <v>0</v>
      </c>
      <c r="N202" s="0" t="n">
        <v>1</v>
      </c>
      <c r="O202" s="5" t="n">
        <v>0</v>
      </c>
      <c r="P202" s="5" t="n">
        <v>0.0516898148148148</v>
      </c>
      <c r="Q202" s="4" t="s">
        <v>73</v>
      </c>
      <c r="R202" s="4" t="s">
        <v>73</v>
      </c>
      <c r="S202" s="5" t="n">
        <v>0.000115740740740741</v>
      </c>
      <c r="T202" s="5" t="n">
        <v>0.174652777777778</v>
      </c>
      <c r="U202" s="5" t="n">
        <v>0.142824074074074</v>
      </c>
      <c r="V202" s="5" t="n">
        <v>0.0164351851851852</v>
      </c>
      <c r="W202" s="5" t="n">
        <v>0</v>
      </c>
      <c r="X202" s="5" t="n">
        <v>0</v>
      </c>
      <c r="Y202" s="5" t="n">
        <v>0</v>
      </c>
      <c r="Z202" s="0" t="n">
        <v>0</v>
      </c>
      <c r="AA202" s="0" t="n">
        <v>0</v>
      </c>
      <c r="AB202" s="0" t="n">
        <v>0</v>
      </c>
      <c r="AC202" s="4" t="s">
        <v>75</v>
      </c>
      <c r="AD202" s="4" t="s">
        <v>75</v>
      </c>
      <c r="AE202" s="4" t="s">
        <v>839</v>
      </c>
      <c r="AF202" s="4" t="s">
        <v>839</v>
      </c>
      <c r="AG202" s="5" t="n">
        <v>0.200520833333333</v>
      </c>
      <c r="AH202" s="5" t="n">
        <v>0.166331018518519</v>
      </c>
      <c r="AI202" s="5" t="n">
        <v>0</v>
      </c>
      <c r="AJ202" s="5" t="n">
        <v>0</v>
      </c>
      <c r="AK202" s="5" t="n">
        <v>0</v>
      </c>
      <c r="AL202" s="5" t="n">
        <v>0</v>
      </c>
      <c r="AM202" s="4" t="s">
        <v>78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M202" s="6" t="n">
        <f aca="false">IFERROR(VALUE(F202),"")</f>
        <v>0</v>
      </c>
      <c r="BN202" s="6" t="str">
        <f aca="false">IF(R202="-","",IFERROR(VALUE(LEFT(Q202,LEN(Q202)-2)),""))</f>
        <v/>
      </c>
      <c r="BO202" s="6" t="str">
        <f aca="false">IF(R202="-","",IFERROR(VALUE(LEFT(R202,LEN(R202)-5)),""))</f>
        <v/>
      </c>
      <c r="BP202" s="6" t="str">
        <f aca="false">IF(R202="-","",IFERROR(VALUE(F202),""))</f>
        <v/>
      </c>
      <c r="BQ202" s="4" t="n">
        <f aca="false">IF(R202="-",1,0)</f>
        <v>1</v>
      </c>
    </row>
    <row r="203" customFormat="false" ht="15" hidden="false" customHeight="false" outlineLevel="0" collapsed="false">
      <c r="A203" s="0" t="s">
        <v>836</v>
      </c>
      <c r="B203" s="0" t="s">
        <v>837</v>
      </c>
      <c r="C203" s="0" t="s">
        <v>70</v>
      </c>
      <c r="D203" s="0" t="s">
        <v>841</v>
      </c>
      <c r="E203" s="3" t="n">
        <v>46277</v>
      </c>
      <c r="F203" s="4" t="s">
        <v>95</v>
      </c>
      <c r="G203" s="5" t="n">
        <v>0.526145833333333</v>
      </c>
      <c r="H203" s="5" t="n">
        <v>0.469375</v>
      </c>
      <c r="I203" s="5" t="n">
        <v>0.0022337962962963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1</v>
      </c>
      <c r="O203" s="5" t="n">
        <v>0</v>
      </c>
      <c r="P203" s="5" t="n">
        <v>0.0177893518518519</v>
      </c>
      <c r="Q203" s="4" t="s">
        <v>73</v>
      </c>
      <c r="R203" s="4" t="s">
        <v>73</v>
      </c>
      <c r="S203" s="5" t="n">
        <v>0.000231481481481482</v>
      </c>
      <c r="T203" s="5" t="n">
        <v>0.178009259259259</v>
      </c>
      <c r="U203" s="5" t="n">
        <v>0.199537037037037</v>
      </c>
      <c r="V203" s="5" t="n">
        <v>0.111226851851852</v>
      </c>
      <c r="W203" s="5" t="n">
        <v>0</v>
      </c>
      <c r="X203" s="5" t="n">
        <v>0</v>
      </c>
      <c r="Y203" s="5" t="n">
        <v>0</v>
      </c>
      <c r="Z203" s="0" t="n">
        <v>0</v>
      </c>
      <c r="AA203" s="0" t="n">
        <v>0</v>
      </c>
      <c r="AB203" s="0" t="n">
        <v>0</v>
      </c>
      <c r="AC203" s="4" t="s">
        <v>228</v>
      </c>
      <c r="AD203" s="4" t="s">
        <v>842</v>
      </c>
      <c r="AE203" s="4" t="s">
        <v>839</v>
      </c>
      <c r="AF203" s="4" t="s">
        <v>839</v>
      </c>
      <c r="AG203" s="5" t="n">
        <v>0.366898148148148</v>
      </c>
      <c r="AH203" s="5" t="n">
        <v>0.299722222222222</v>
      </c>
      <c r="AI203" s="5" t="n">
        <v>0</v>
      </c>
      <c r="AJ203" s="5" t="n">
        <v>0</v>
      </c>
      <c r="AK203" s="5" t="n">
        <v>0</v>
      </c>
      <c r="AL203" s="5" t="n">
        <v>0</v>
      </c>
      <c r="AM203" s="4" t="s">
        <v>78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M203" s="6" t="n">
        <f aca="false">IFERROR(VALUE(F203),"")</f>
        <v>0</v>
      </c>
      <c r="BN203" s="6" t="str">
        <f aca="false">IF(R203="-","",IFERROR(VALUE(LEFT(Q203,LEN(Q203)-2)),""))</f>
        <v/>
      </c>
      <c r="BO203" s="6" t="str">
        <f aca="false">IF(R203="-","",IFERROR(VALUE(LEFT(R203,LEN(R203)-5)),""))</f>
        <v/>
      </c>
      <c r="BP203" s="6" t="str">
        <f aca="false">IF(R203="-","",IFERROR(VALUE(F203),""))</f>
        <v/>
      </c>
      <c r="BQ203" s="4" t="n">
        <f aca="false">IF(R203="-",1,0)</f>
        <v>1</v>
      </c>
    </row>
    <row r="204" customFormat="false" ht="15" hidden="false" customHeight="false" outlineLevel="0" collapsed="false">
      <c r="A204" s="0" t="s">
        <v>836</v>
      </c>
      <c r="B204" s="0" t="s">
        <v>837</v>
      </c>
      <c r="C204" s="0" t="s">
        <v>70</v>
      </c>
      <c r="D204" s="0" t="s">
        <v>843</v>
      </c>
      <c r="E204" s="3" t="n">
        <v>46278</v>
      </c>
      <c r="F204" s="4" t="s">
        <v>95</v>
      </c>
      <c r="G204" s="5" t="n">
        <v>0.513483796296296</v>
      </c>
      <c r="H204" s="5" t="n">
        <v>0.460902777777778</v>
      </c>
      <c r="I204" s="5" t="n">
        <v>6.94444444444444E-005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5" t="n">
        <v>0</v>
      </c>
      <c r="P204" s="5" t="n">
        <v>0.00884259259259259</v>
      </c>
      <c r="Q204" s="4" t="s">
        <v>73</v>
      </c>
      <c r="R204" s="4" t="s">
        <v>73</v>
      </c>
      <c r="S204" s="5" t="n">
        <v>0.000231481481481482</v>
      </c>
      <c r="T204" s="5" t="n">
        <v>0.159027777777778</v>
      </c>
      <c r="U204" s="5" t="n">
        <v>0.269097222222222</v>
      </c>
      <c r="V204" s="5" t="n">
        <v>0.046412037037037</v>
      </c>
      <c r="W204" s="5" t="n">
        <v>0</v>
      </c>
      <c r="X204" s="5" t="n">
        <v>0</v>
      </c>
      <c r="Y204" s="5" t="n">
        <v>0</v>
      </c>
      <c r="Z204" s="0" t="n">
        <v>0</v>
      </c>
      <c r="AA204" s="0" t="n">
        <v>0</v>
      </c>
      <c r="AB204" s="0" t="n">
        <v>0</v>
      </c>
      <c r="AC204" s="4" t="s">
        <v>842</v>
      </c>
      <c r="AD204" s="4" t="s">
        <v>208</v>
      </c>
      <c r="AE204" s="4" t="s">
        <v>839</v>
      </c>
      <c r="AF204" s="4" t="s">
        <v>839</v>
      </c>
      <c r="AG204" s="5" t="n">
        <v>0.386539351851852</v>
      </c>
      <c r="AH204" s="5" t="n">
        <v>0.207337962962963</v>
      </c>
      <c r="AI204" s="5" t="n">
        <v>0</v>
      </c>
      <c r="AJ204" s="5" t="n">
        <v>0</v>
      </c>
      <c r="AK204" s="5" t="n">
        <v>0</v>
      </c>
      <c r="AL204" s="5" t="n">
        <v>0</v>
      </c>
      <c r="AM204" s="4" t="s">
        <v>78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1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M204" s="6" t="n">
        <f aca="false">IFERROR(VALUE(F204),"")</f>
        <v>0</v>
      </c>
      <c r="BN204" s="6" t="str">
        <f aca="false">IF(R204="-","",IFERROR(VALUE(LEFT(Q204,LEN(Q204)-2)),""))</f>
        <v/>
      </c>
      <c r="BO204" s="6" t="str">
        <f aca="false">IF(R204="-","",IFERROR(VALUE(LEFT(R204,LEN(R204)-5)),""))</f>
        <v/>
      </c>
      <c r="BP204" s="6" t="str">
        <f aca="false">IF(R204="-","",IFERROR(VALUE(F204),""))</f>
        <v/>
      </c>
      <c r="BQ204" s="4" t="n">
        <f aca="false">IF(R204="-",1,0)</f>
        <v>1</v>
      </c>
    </row>
    <row r="205" customFormat="false" ht="15" hidden="false" customHeight="false" outlineLevel="0" collapsed="false">
      <c r="A205" s="0" t="s">
        <v>836</v>
      </c>
      <c r="B205" s="0" t="s">
        <v>837</v>
      </c>
      <c r="C205" s="0" t="s">
        <v>70</v>
      </c>
      <c r="D205" s="0" t="s">
        <v>844</v>
      </c>
      <c r="E205" s="3" t="n">
        <v>46279</v>
      </c>
      <c r="F205" s="4" t="s">
        <v>845</v>
      </c>
      <c r="G205" s="5" t="n">
        <v>0.323553240740741</v>
      </c>
      <c r="H205" s="5" t="n">
        <v>0.201944444444445</v>
      </c>
      <c r="I205" s="5" t="n">
        <v>0.00037037037037037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5" t="n">
        <v>0</v>
      </c>
      <c r="P205" s="5" t="n">
        <v>0</v>
      </c>
      <c r="Q205" s="4" t="s">
        <v>73</v>
      </c>
      <c r="R205" s="4" t="s">
        <v>73</v>
      </c>
      <c r="S205" s="5" t="n">
        <v>0</v>
      </c>
      <c r="T205" s="5" t="n">
        <v>0.0788194444444444</v>
      </c>
      <c r="U205" s="5" t="n">
        <v>0.138773148148148</v>
      </c>
      <c r="V205" s="5" t="n">
        <v>0.046412037037037</v>
      </c>
      <c r="W205" s="5" t="n">
        <v>0</v>
      </c>
      <c r="X205" s="5" t="n">
        <v>0</v>
      </c>
      <c r="Y205" s="5" t="n">
        <v>0</v>
      </c>
      <c r="Z205" s="0" t="n">
        <v>0</v>
      </c>
      <c r="AA205" s="0" t="n">
        <v>0</v>
      </c>
      <c r="AB205" s="0" t="n">
        <v>0</v>
      </c>
      <c r="AC205" s="4" t="s">
        <v>208</v>
      </c>
      <c r="AD205" s="4" t="s">
        <v>152</v>
      </c>
      <c r="AE205" s="4" t="s">
        <v>839</v>
      </c>
      <c r="AF205" s="4" t="s">
        <v>846</v>
      </c>
      <c r="AG205" s="5" t="n">
        <v>0.224606481481482</v>
      </c>
      <c r="AH205" s="5" t="n">
        <v>0.16099537037037</v>
      </c>
      <c r="AI205" s="5" t="n">
        <v>0</v>
      </c>
      <c r="AJ205" s="5" t="n">
        <v>0</v>
      </c>
      <c r="AK205" s="5" t="n">
        <v>0</v>
      </c>
      <c r="AL205" s="5" t="n">
        <v>0</v>
      </c>
      <c r="AM205" s="4" t="s">
        <v>78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M205" s="6" t="n">
        <f aca="false">IFERROR(VALUE(F205),"")</f>
        <v>275.74</v>
      </c>
      <c r="BN205" s="6" t="str">
        <f aca="false">IF(R205="-","",IFERROR(VALUE(LEFT(Q205,LEN(Q205)-2)),""))</f>
        <v/>
      </c>
      <c r="BO205" s="6" t="str">
        <f aca="false">IF(R205="-","",IFERROR(VALUE(LEFT(R205,LEN(R205)-5)),""))</f>
        <v/>
      </c>
      <c r="BP205" s="6" t="str">
        <f aca="false">IF(R205="-","",IFERROR(VALUE(F205),""))</f>
        <v/>
      </c>
      <c r="BQ205" s="4" t="n">
        <f aca="false">IF(R205="-",1,0)</f>
        <v>1</v>
      </c>
    </row>
    <row r="206" customFormat="false" ht="15" hidden="false" customHeight="false" outlineLevel="0" collapsed="false">
      <c r="A206" s="0" t="s">
        <v>847</v>
      </c>
      <c r="B206" s="0" t="s">
        <v>848</v>
      </c>
      <c r="C206" s="0" t="s">
        <v>70</v>
      </c>
      <c r="D206" s="0" t="s">
        <v>849</v>
      </c>
      <c r="E206" s="3" t="n">
        <v>46273</v>
      </c>
      <c r="F206" s="4" t="s">
        <v>850</v>
      </c>
      <c r="G206" s="5" t="n">
        <v>0.555798611111111</v>
      </c>
      <c r="H206" s="5" t="n">
        <v>0.484131944444445</v>
      </c>
      <c r="I206" s="5" t="n">
        <v>0.000925925925925926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5" t="n">
        <v>0</v>
      </c>
      <c r="P206" s="5" t="n">
        <v>0.021099537037037</v>
      </c>
      <c r="Q206" s="4" t="s">
        <v>851</v>
      </c>
      <c r="R206" s="4" t="s">
        <v>356</v>
      </c>
      <c r="S206" s="5" t="n">
        <v>0.000115740740740741</v>
      </c>
      <c r="T206" s="5" t="n">
        <v>0.184513888888889</v>
      </c>
      <c r="U206" s="5" t="n">
        <v>0.229409722222222</v>
      </c>
      <c r="V206" s="5" t="n">
        <v>0.1071875</v>
      </c>
      <c r="W206" s="5" t="n">
        <v>0.000127314814814815</v>
      </c>
      <c r="X206" s="5" t="n">
        <v>0</v>
      </c>
      <c r="Y206" s="5" t="n">
        <v>0.000127314814814815</v>
      </c>
      <c r="Z206" s="0" t="n">
        <v>0</v>
      </c>
      <c r="AA206" s="0" t="n">
        <v>0</v>
      </c>
      <c r="AB206" s="0" t="n">
        <v>0</v>
      </c>
      <c r="AC206" s="4" t="s">
        <v>852</v>
      </c>
      <c r="AD206" s="4" t="s">
        <v>432</v>
      </c>
      <c r="AE206" s="4" t="s">
        <v>853</v>
      </c>
      <c r="AF206" s="4" t="s">
        <v>854</v>
      </c>
      <c r="AG206" s="5" t="n">
        <v>0.422210648148148</v>
      </c>
      <c r="AH206" s="5" t="n">
        <v>0.233483796296296</v>
      </c>
      <c r="AI206" s="5" t="n">
        <v>0</v>
      </c>
      <c r="AJ206" s="5" t="n">
        <v>0</v>
      </c>
      <c r="AK206" s="5" t="n">
        <v>0</v>
      </c>
      <c r="AL206" s="5" t="n">
        <v>0</v>
      </c>
      <c r="AM206" s="4" t="s">
        <v>78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1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M206" s="6" t="n">
        <f aca="false">IFERROR(VALUE(F206),"")</f>
        <v>546.87</v>
      </c>
      <c r="BN206" s="6" t="n">
        <f aca="false">IF(R206="-","",IFERROR(VALUE(LEFT(Q206,LEN(Q206)-2)),""))</f>
        <v>171.66</v>
      </c>
      <c r="BO206" s="6" t="n">
        <f aca="false">IF(R206="-","",IFERROR(VALUE(LEFT(R206,LEN(R206)-5)),""))</f>
        <v>3.19</v>
      </c>
      <c r="BP206" s="6" t="n">
        <f aca="false">IF(R206="-","",IFERROR(VALUE(F206),""))</f>
        <v>546.87</v>
      </c>
      <c r="BQ206" s="4" t="n">
        <f aca="false">IF(R206="-",1,0)</f>
        <v>0</v>
      </c>
    </row>
    <row r="207" customFormat="false" ht="15" hidden="false" customHeight="false" outlineLevel="0" collapsed="false">
      <c r="A207" s="0" t="s">
        <v>847</v>
      </c>
      <c r="B207" s="0" t="s">
        <v>848</v>
      </c>
      <c r="C207" s="0" t="s">
        <v>70</v>
      </c>
      <c r="D207" s="0" t="s">
        <v>855</v>
      </c>
      <c r="E207" s="3" t="n">
        <v>46274</v>
      </c>
      <c r="F207" s="4" t="s">
        <v>856</v>
      </c>
      <c r="G207" s="5" t="n">
        <v>0.31150462962963</v>
      </c>
      <c r="H207" s="5" t="n">
        <v>0.239710648148148</v>
      </c>
      <c r="I207" s="5" t="n">
        <v>0.000173611111111111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5" t="n">
        <v>0</v>
      </c>
      <c r="P207" s="5" t="n">
        <v>0.0330787037037037</v>
      </c>
      <c r="Q207" s="4" t="s">
        <v>857</v>
      </c>
      <c r="R207" s="4" t="s">
        <v>858</v>
      </c>
      <c r="S207" s="5" t="n">
        <v>0.000115740740740741</v>
      </c>
      <c r="T207" s="5" t="n">
        <v>0.116782407407407</v>
      </c>
      <c r="U207" s="5" t="n">
        <v>0.110648148148148</v>
      </c>
      <c r="V207" s="5" t="n">
        <v>0.06875</v>
      </c>
      <c r="W207" s="5" t="n">
        <v>0</v>
      </c>
      <c r="X207" s="5" t="n">
        <v>0</v>
      </c>
      <c r="Y207" s="5" t="n">
        <v>0</v>
      </c>
      <c r="Z207" s="0" t="n">
        <v>0</v>
      </c>
      <c r="AA207" s="0" t="n">
        <v>0</v>
      </c>
      <c r="AB207" s="0" t="n">
        <v>0</v>
      </c>
      <c r="AC207" s="4" t="s">
        <v>432</v>
      </c>
      <c r="AD207" s="4" t="s">
        <v>228</v>
      </c>
      <c r="AE207" s="4" t="s">
        <v>854</v>
      </c>
      <c r="AF207" s="4" t="s">
        <v>859</v>
      </c>
      <c r="AG207" s="5" t="n">
        <v>0.230717592592593</v>
      </c>
      <c r="AH207" s="5" t="n">
        <v>0.169375</v>
      </c>
      <c r="AI207" s="5" t="n">
        <v>0</v>
      </c>
      <c r="AJ207" s="5" t="n">
        <v>0</v>
      </c>
      <c r="AK207" s="5" t="n">
        <v>0</v>
      </c>
      <c r="AL207" s="5" t="n">
        <v>0</v>
      </c>
      <c r="AM207" s="4" t="s">
        <v>78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1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M207" s="6" t="n">
        <f aca="false">IFERROR(VALUE(F207),"")</f>
        <v>297.95</v>
      </c>
      <c r="BN207" s="6" t="n">
        <f aca="false">IF(R207="-","",IFERROR(VALUE(LEFT(Q207,LEN(Q207)-2)),""))</f>
        <v>92.91</v>
      </c>
      <c r="BO207" s="6" t="n">
        <f aca="false">IF(R207="-","",IFERROR(VALUE(LEFT(R207,LEN(R207)-5)),""))</f>
        <v>3.21</v>
      </c>
      <c r="BP207" s="6" t="n">
        <f aca="false">IF(R207="-","",IFERROR(VALUE(F207),""))</f>
        <v>297.95</v>
      </c>
      <c r="BQ207" s="4" t="n">
        <f aca="false">IF(R207="-",1,0)</f>
        <v>0</v>
      </c>
    </row>
    <row r="208" customFormat="false" ht="15" hidden="false" customHeight="false" outlineLevel="0" collapsed="false">
      <c r="A208" s="0" t="s">
        <v>847</v>
      </c>
      <c r="B208" s="0" t="s">
        <v>848</v>
      </c>
      <c r="C208" s="0" t="s">
        <v>70</v>
      </c>
      <c r="D208" s="0" t="s">
        <v>860</v>
      </c>
      <c r="E208" s="3" t="n">
        <v>46275</v>
      </c>
      <c r="F208" s="4" t="s">
        <v>861</v>
      </c>
      <c r="G208" s="5" t="n">
        <v>0.279733796296296</v>
      </c>
      <c r="H208" s="5" t="n">
        <v>0.132986111111111</v>
      </c>
      <c r="I208" s="5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5" t="n">
        <v>0</v>
      </c>
      <c r="P208" s="5" t="n">
        <v>0.0261111111111111</v>
      </c>
      <c r="Q208" s="4" t="s">
        <v>862</v>
      </c>
      <c r="R208" s="4" t="s">
        <v>863</v>
      </c>
      <c r="S208" s="5" t="n">
        <v>0</v>
      </c>
      <c r="T208" s="5" t="n">
        <v>0.0849537037037037</v>
      </c>
      <c r="U208" s="5" t="n">
        <v>0.0790509259259259</v>
      </c>
      <c r="V208" s="5" t="n">
        <v>0.0366898148148148</v>
      </c>
      <c r="W208" s="5" t="n">
        <v>0</v>
      </c>
      <c r="X208" s="5" t="n">
        <v>0</v>
      </c>
      <c r="Y208" s="5" t="n">
        <v>0</v>
      </c>
      <c r="Z208" s="0" t="n">
        <v>0</v>
      </c>
      <c r="AA208" s="0" t="n">
        <v>0</v>
      </c>
      <c r="AB208" s="0" t="n">
        <v>0</v>
      </c>
      <c r="AC208" s="4" t="s">
        <v>75</v>
      </c>
      <c r="AD208" s="4" t="s">
        <v>864</v>
      </c>
      <c r="AE208" s="4" t="s">
        <v>865</v>
      </c>
      <c r="AF208" s="4" t="s">
        <v>866</v>
      </c>
      <c r="AG208" s="5" t="n">
        <v>0.148599537037037</v>
      </c>
      <c r="AH208" s="5" t="n">
        <v>0.207581018518519</v>
      </c>
      <c r="AI208" s="5" t="n">
        <v>0</v>
      </c>
      <c r="AJ208" s="5" t="n">
        <v>0</v>
      </c>
      <c r="AK208" s="5" t="n">
        <v>0</v>
      </c>
      <c r="AL208" s="5" t="n">
        <v>0</v>
      </c>
      <c r="AM208" s="4" t="s">
        <v>78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M208" s="6" t="n">
        <f aca="false">IFERROR(VALUE(F208),"")</f>
        <v>180.67</v>
      </c>
      <c r="BN208" s="6" t="n">
        <f aca="false">IF(R208="-","",IFERROR(VALUE(LEFT(Q208,LEN(Q208)-2)),""))</f>
        <v>55.26</v>
      </c>
      <c r="BO208" s="6" t="n">
        <f aca="false">IF(R208="-","",IFERROR(VALUE(LEFT(R208,LEN(R208)-5)),""))</f>
        <v>3.27</v>
      </c>
      <c r="BP208" s="6" t="n">
        <f aca="false">IF(R208="-","",IFERROR(VALUE(F208),""))</f>
        <v>180.67</v>
      </c>
      <c r="BQ208" s="4" t="n">
        <f aca="false">IF(R208="-",1,0)</f>
        <v>0</v>
      </c>
    </row>
    <row r="209" customFormat="false" ht="15" hidden="false" customHeight="false" outlineLevel="0" collapsed="false">
      <c r="A209" s="0" t="s">
        <v>847</v>
      </c>
      <c r="B209" s="0" t="s">
        <v>848</v>
      </c>
      <c r="C209" s="0" t="s">
        <v>70</v>
      </c>
      <c r="D209" s="0" t="s">
        <v>867</v>
      </c>
      <c r="E209" s="3" t="n">
        <v>46276</v>
      </c>
      <c r="F209" s="4" t="s">
        <v>868</v>
      </c>
      <c r="G209" s="5" t="n">
        <v>0.433900462962963</v>
      </c>
      <c r="H209" s="5" t="n">
        <v>0.188125</v>
      </c>
      <c r="I209" s="5" t="n">
        <v>0.000451388888888889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5" t="n">
        <v>0</v>
      </c>
      <c r="P209" s="5" t="n">
        <v>0.0593287037037037</v>
      </c>
      <c r="Q209" s="4" t="s">
        <v>869</v>
      </c>
      <c r="R209" s="4" t="s">
        <v>870</v>
      </c>
      <c r="S209" s="5" t="n">
        <v>0.000115740740740741</v>
      </c>
      <c r="T209" s="5" t="n">
        <v>0.212615740740741</v>
      </c>
      <c r="U209" s="5" t="n">
        <v>0.152430555555556</v>
      </c>
      <c r="V209" s="5" t="n">
        <v>0.0572916666666667</v>
      </c>
      <c r="W209" s="5" t="n">
        <v>0</v>
      </c>
      <c r="X209" s="5" t="n">
        <v>0</v>
      </c>
      <c r="Y209" s="5" t="n">
        <v>0</v>
      </c>
      <c r="Z209" s="0" t="n">
        <v>0</v>
      </c>
      <c r="AA209" s="0" t="n">
        <v>0</v>
      </c>
      <c r="AB209" s="0" t="n">
        <v>0</v>
      </c>
      <c r="AC209" s="4" t="s">
        <v>871</v>
      </c>
      <c r="AD209" s="4" t="s">
        <v>864</v>
      </c>
      <c r="AE209" s="4" t="s">
        <v>866</v>
      </c>
      <c r="AF209" s="4" t="s">
        <v>872</v>
      </c>
      <c r="AG209" s="5" t="n">
        <v>0.297673611111111</v>
      </c>
      <c r="AH209" s="5" t="n">
        <v>0.202777777777778</v>
      </c>
      <c r="AI209" s="5" t="n">
        <v>0</v>
      </c>
      <c r="AJ209" s="5" t="n">
        <v>0</v>
      </c>
      <c r="AK209" s="5" t="n">
        <v>0</v>
      </c>
      <c r="AL209" s="5" t="n">
        <v>0</v>
      </c>
      <c r="AM209" s="4" t="s">
        <v>78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6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0</v>
      </c>
      <c r="BI209" s="0" t="n">
        <v>0</v>
      </c>
      <c r="BJ209" s="0" t="n">
        <v>0</v>
      </c>
      <c r="BK209" s="0" t="n">
        <v>0</v>
      </c>
      <c r="BM209" s="6" t="n">
        <f aca="false">IFERROR(VALUE(F209),"")</f>
        <v>333.24</v>
      </c>
      <c r="BN209" s="6" t="n">
        <f aca="false">IF(R209="-","",IFERROR(VALUE(LEFT(Q209,LEN(Q209)-2)),""))</f>
        <v>112.2</v>
      </c>
      <c r="BO209" s="6" t="n">
        <f aca="false">IF(R209="-","",IFERROR(VALUE(LEFT(R209,LEN(R209)-5)),""))</f>
        <v>2.97</v>
      </c>
      <c r="BP209" s="6" t="n">
        <f aca="false">IF(R209="-","",IFERROR(VALUE(F209),""))</f>
        <v>333.24</v>
      </c>
      <c r="BQ209" s="4" t="n">
        <f aca="false">IF(R209="-",1,0)</f>
        <v>0</v>
      </c>
    </row>
    <row r="210" customFormat="false" ht="15" hidden="false" customHeight="false" outlineLevel="0" collapsed="false">
      <c r="A210" s="0" t="s">
        <v>847</v>
      </c>
      <c r="B210" s="0" t="s">
        <v>848</v>
      </c>
      <c r="C210" s="0" t="s">
        <v>70</v>
      </c>
      <c r="D210" s="0" t="s">
        <v>873</v>
      </c>
      <c r="E210" s="3" t="n">
        <v>46277</v>
      </c>
      <c r="F210" s="4" t="s">
        <v>874</v>
      </c>
      <c r="G210" s="5" t="n">
        <v>0.478032407407407</v>
      </c>
      <c r="H210" s="5" t="n">
        <v>0.336006944444445</v>
      </c>
      <c r="I210" s="5" t="n">
        <v>0.000243055555555556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5" t="n">
        <v>0</v>
      </c>
      <c r="P210" s="5" t="n">
        <v>0.0071412037037037</v>
      </c>
      <c r="Q210" s="4" t="s">
        <v>875</v>
      </c>
      <c r="R210" s="4" t="s">
        <v>876</v>
      </c>
      <c r="S210" s="5" t="n">
        <v>0.000347222222222222</v>
      </c>
      <c r="T210" s="5" t="n">
        <v>0.172569444444444</v>
      </c>
      <c r="U210" s="5" t="n">
        <v>0.200578703703704</v>
      </c>
      <c r="V210" s="5" t="n">
        <v>0.0664351851851852</v>
      </c>
      <c r="W210" s="5" t="n">
        <v>0</v>
      </c>
      <c r="X210" s="5" t="n">
        <v>0</v>
      </c>
      <c r="Y210" s="5" t="n">
        <v>0</v>
      </c>
      <c r="Z210" s="0" t="n">
        <v>0</v>
      </c>
      <c r="AA210" s="0" t="n">
        <v>0</v>
      </c>
      <c r="AB210" s="0" t="n">
        <v>0</v>
      </c>
      <c r="AC210" s="4" t="s">
        <v>877</v>
      </c>
      <c r="AD210" s="4" t="s">
        <v>74</v>
      </c>
      <c r="AE210" s="4" t="s">
        <v>872</v>
      </c>
      <c r="AF210" s="4" t="s">
        <v>878</v>
      </c>
      <c r="AG210" s="5" t="n">
        <v>0.381759259259259</v>
      </c>
      <c r="AH210" s="5" t="n">
        <v>0.177141203703704</v>
      </c>
      <c r="AI210" s="5" t="n">
        <v>0</v>
      </c>
      <c r="AJ210" s="5" t="n">
        <v>0</v>
      </c>
      <c r="AK210" s="5" t="n">
        <v>0</v>
      </c>
      <c r="AL210" s="5" t="n">
        <v>0</v>
      </c>
      <c r="AM210" s="4" t="s">
        <v>78</v>
      </c>
      <c r="AN210" s="0" t="n">
        <v>0</v>
      </c>
      <c r="AO210" s="0" t="n">
        <v>1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6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M210" s="6" t="n">
        <f aca="false">IFERROR(VALUE(F210),"")</f>
        <v>388.49</v>
      </c>
      <c r="BN210" s="6" t="n">
        <f aca="false">IF(R210="-","",IFERROR(VALUE(LEFT(Q210,LEN(Q210)-2)),""))</f>
        <v>128.06</v>
      </c>
      <c r="BO210" s="6" t="n">
        <f aca="false">IF(R210="-","",IFERROR(VALUE(LEFT(R210,LEN(R210)-5)),""))</f>
        <v>3.03</v>
      </c>
      <c r="BP210" s="6" t="n">
        <f aca="false">IF(R210="-","",IFERROR(VALUE(F210),""))</f>
        <v>388.49</v>
      </c>
      <c r="BQ210" s="4" t="n">
        <f aca="false">IF(R210="-",1,0)</f>
        <v>0</v>
      </c>
    </row>
    <row r="211" customFormat="false" ht="15" hidden="false" customHeight="false" outlineLevel="0" collapsed="false">
      <c r="A211" s="0" t="s">
        <v>847</v>
      </c>
      <c r="B211" s="0" t="s">
        <v>848</v>
      </c>
      <c r="C211" s="0" t="s">
        <v>70</v>
      </c>
      <c r="D211" s="0" t="s">
        <v>879</v>
      </c>
      <c r="E211" s="3" t="n">
        <v>46278</v>
      </c>
      <c r="F211" s="4" t="s">
        <v>880</v>
      </c>
      <c r="G211" s="5" t="n">
        <v>0.398344907407407</v>
      </c>
      <c r="H211" s="5" t="n">
        <v>0.367222222222222</v>
      </c>
      <c r="I211" s="5" t="n">
        <v>0.00171296296296296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5" t="n">
        <v>0</v>
      </c>
      <c r="P211" s="5" t="n">
        <v>0.0188194444444444</v>
      </c>
      <c r="Q211" s="4" t="s">
        <v>881</v>
      </c>
      <c r="R211" s="4" t="s">
        <v>524</v>
      </c>
      <c r="S211" s="5" t="n">
        <v>0.000578703703703704</v>
      </c>
      <c r="T211" s="5" t="n">
        <v>0.145023148148148</v>
      </c>
      <c r="U211" s="5" t="n">
        <v>0.14224537037037</v>
      </c>
      <c r="V211" s="5" t="n">
        <v>0.0957175925925926</v>
      </c>
      <c r="W211" s="5" t="n">
        <v>0</v>
      </c>
      <c r="X211" s="5" t="n">
        <v>0</v>
      </c>
      <c r="Y211" s="5" t="n">
        <v>0</v>
      </c>
      <c r="Z211" s="0" t="n">
        <v>0</v>
      </c>
      <c r="AA211" s="0" t="n">
        <v>0</v>
      </c>
      <c r="AB211" s="0" t="n">
        <v>0</v>
      </c>
      <c r="AC211" s="4" t="s">
        <v>74</v>
      </c>
      <c r="AD211" s="4" t="s">
        <v>882</v>
      </c>
      <c r="AE211" s="4" t="s">
        <v>878</v>
      </c>
      <c r="AF211" s="4" t="s">
        <v>883</v>
      </c>
      <c r="AG211" s="5" t="n">
        <v>0.312268518518519</v>
      </c>
      <c r="AH211" s="5" t="n">
        <v>0.215231481481482</v>
      </c>
      <c r="AI211" s="5" t="n">
        <v>0</v>
      </c>
      <c r="AJ211" s="5" t="n">
        <v>0</v>
      </c>
      <c r="AK211" s="5" t="n">
        <v>0</v>
      </c>
      <c r="AL211" s="5" t="n">
        <v>0</v>
      </c>
      <c r="AM211" s="4" t="s">
        <v>78</v>
      </c>
      <c r="AN211" s="0" t="n">
        <v>0</v>
      </c>
      <c r="AO211" s="0" t="n">
        <v>1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5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M211" s="6" t="n">
        <f aca="false">IFERROR(VALUE(F211),"")</f>
        <v>367.95</v>
      </c>
      <c r="BN211" s="6" t="n">
        <f aca="false">IF(R211="-","",IFERROR(VALUE(LEFT(Q211,LEN(Q211)-2)),""))</f>
        <v>131.87</v>
      </c>
      <c r="BO211" s="6" t="n">
        <f aca="false">IF(R211="-","",IFERROR(VALUE(LEFT(R211,LEN(R211)-5)),""))</f>
        <v>2.79</v>
      </c>
      <c r="BP211" s="6" t="n">
        <f aca="false">IF(R211="-","",IFERROR(VALUE(F211),""))</f>
        <v>367.95</v>
      </c>
      <c r="BQ211" s="4" t="n">
        <f aca="false">IF(R211="-",1,0)</f>
        <v>0</v>
      </c>
    </row>
    <row r="212" customFormat="false" ht="15" hidden="false" customHeight="false" outlineLevel="0" collapsed="false">
      <c r="A212" s="0" t="s">
        <v>847</v>
      </c>
      <c r="B212" s="0" t="s">
        <v>848</v>
      </c>
      <c r="C212" s="0" t="s">
        <v>70</v>
      </c>
      <c r="D212" s="0" t="s">
        <v>884</v>
      </c>
      <c r="E212" s="3" t="n">
        <v>46279</v>
      </c>
      <c r="F212" s="4" t="s">
        <v>885</v>
      </c>
      <c r="G212" s="5" t="n">
        <v>0.503981481481482</v>
      </c>
      <c r="H212" s="5" t="n">
        <v>0.503113425925926</v>
      </c>
      <c r="I212" s="5" t="n">
        <v>6.94444444444444E-005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5" t="n">
        <v>0</v>
      </c>
      <c r="P212" s="5" t="n">
        <v>0</v>
      </c>
      <c r="Q212" s="4" t="s">
        <v>886</v>
      </c>
      <c r="R212" s="4" t="s">
        <v>346</v>
      </c>
      <c r="S212" s="5" t="n">
        <v>0.000810185185185185</v>
      </c>
      <c r="T212" s="5" t="n">
        <v>0.184490740740741</v>
      </c>
      <c r="U212" s="5" t="n">
        <v>0.193865740740741</v>
      </c>
      <c r="V212" s="5" t="n">
        <v>0.118287037037037</v>
      </c>
      <c r="W212" s="5" t="n">
        <v>0</v>
      </c>
      <c r="X212" s="5" t="n">
        <v>0</v>
      </c>
      <c r="Y212" s="5" t="n">
        <v>0</v>
      </c>
      <c r="Z212" s="0" t="n">
        <v>0</v>
      </c>
      <c r="AA212" s="0" t="n">
        <v>0</v>
      </c>
      <c r="AB212" s="0" t="n">
        <v>0</v>
      </c>
      <c r="AC212" s="4" t="s">
        <v>887</v>
      </c>
      <c r="AD212" s="4" t="s">
        <v>882</v>
      </c>
      <c r="AE212" s="4" t="s">
        <v>883</v>
      </c>
      <c r="AF212" s="4" t="s">
        <v>888</v>
      </c>
      <c r="AG212" s="5" t="n">
        <v>0.448159722222222</v>
      </c>
      <c r="AH212" s="5" t="n">
        <v>0.116863425925926</v>
      </c>
      <c r="AI212" s="5" t="n">
        <v>0</v>
      </c>
      <c r="AJ212" s="5" t="n">
        <v>0</v>
      </c>
      <c r="AK212" s="5" t="n">
        <v>0</v>
      </c>
      <c r="AL212" s="5" t="n">
        <v>0</v>
      </c>
      <c r="AM212" s="4" t="s">
        <v>78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1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M212" s="6" t="n">
        <f aca="false">IFERROR(VALUE(F212),"")</f>
        <v>506.99</v>
      </c>
      <c r="BN212" s="6" t="n">
        <f aca="false">IF(R212="-","",IFERROR(VALUE(LEFT(Q212,LEN(Q212)-2)),""))</f>
        <v>171.24</v>
      </c>
      <c r="BO212" s="6" t="n">
        <f aca="false">IF(R212="-","",IFERROR(VALUE(LEFT(R212,LEN(R212)-5)),""))</f>
        <v>2.96</v>
      </c>
      <c r="BP212" s="6" t="n">
        <f aca="false">IF(R212="-","",IFERROR(VALUE(F212),""))</f>
        <v>506.99</v>
      </c>
      <c r="BQ212" s="4" t="n">
        <f aca="false">IF(R212="-",1,0)</f>
        <v>0</v>
      </c>
    </row>
    <row r="213" customFormat="false" ht="15" hidden="false" customHeight="false" outlineLevel="0" collapsed="false">
      <c r="A213" s="0" t="s">
        <v>889</v>
      </c>
      <c r="B213" s="0" t="s">
        <v>890</v>
      </c>
      <c r="C213" s="0" t="s">
        <v>70</v>
      </c>
      <c r="D213" s="0" t="s">
        <v>891</v>
      </c>
      <c r="E213" s="3" t="n">
        <v>46273</v>
      </c>
      <c r="F213" s="4" t="s">
        <v>95</v>
      </c>
      <c r="G213" s="5" t="n">
        <v>0.467951388888889</v>
      </c>
      <c r="H213" s="5" t="n">
        <v>0.432581018518519</v>
      </c>
      <c r="I213" s="5" t="n">
        <v>0.000509259259259259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5" t="n">
        <v>0</v>
      </c>
      <c r="P213" s="5" t="n">
        <v>0.00703703703703704</v>
      </c>
      <c r="Q213" s="4" t="s">
        <v>892</v>
      </c>
      <c r="R213" s="4" t="s">
        <v>454</v>
      </c>
      <c r="S213" s="5" t="n">
        <v>0.000115740740740741</v>
      </c>
      <c r="T213" s="5" t="n">
        <v>0.155092592592593</v>
      </c>
      <c r="U213" s="5" t="n">
        <v>0.184143518518519</v>
      </c>
      <c r="V213" s="5" t="n">
        <v>0.112962962962963</v>
      </c>
      <c r="W213" s="5" t="n">
        <v>0</v>
      </c>
      <c r="X213" s="5" t="n">
        <v>0</v>
      </c>
      <c r="Y213" s="5" t="n">
        <v>0</v>
      </c>
      <c r="Z213" s="0" t="n">
        <v>0</v>
      </c>
      <c r="AA213" s="0" t="n">
        <v>0</v>
      </c>
      <c r="AB213" s="0" t="n">
        <v>0</v>
      </c>
      <c r="AC213" s="4" t="s">
        <v>893</v>
      </c>
      <c r="AD213" s="4" t="s">
        <v>208</v>
      </c>
      <c r="AE213" s="4" t="s">
        <v>894</v>
      </c>
      <c r="AF213" s="4" t="s">
        <v>894</v>
      </c>
      <c r="AG213" s="5" t="n">
        <v>0.389710648148148</v>
      </c>
      <c r="AH213" s="5" t="n">
        <v>0.229837962962963</v>
      </c>
      <c r="AI213" s="5" t="n">
        <v>0</v>
      </c>
      <c r="AJ213" s="5" t="n">
        <v>0</v>
      </c>
      <c r="AK213" s="5" t="n">
        <v>0</v>
      </c>
      <c r="AL213" s="5" t="n">
        <v>0</v>
      </c>
      <c r="AM213" s="4" t="s">
        <v>78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14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M213" s="6" t="n">
        <f aca="false">IFERROR(VALUE(F213),"")</f>
        <v>0</v>
      </c>
      <c r="BN213" s="6" t="n">
        <f aca="false">IF(R213="-","",IFERROR(VALUE(LEFT(Q213,LEN(Q213)-2)),""))</f>
        <v>154.9</v>
      </c>
      <c r="BO213" s="6" t="n">
        <f aca="false">IF(R213="-","",IFERROR(VALUE(LEFT(R213,LEN(R213)-5)),""))</f>
        <v>0</v>
      </c>
      <c r="BP213" s="6" t="n">
        <f aca="false">IF(R213="-","",IFERROR(VALUE(F213),""))</f>
        <v>0</v>
      </c>
      <c r="BQ213" s="4" t="n">
        <f aca="false">IF(R213="-",1,0)</f>
        <v>0</v>
      </c>
    </row>
    <row r="214" customFormat="false" ht="15" hidden="false" customHeight="false" outlineLevel="0" collapsed="false">
      <c r="A214" s="0" t="s">
        <v>889</v>
      </c>
      <c r="B214" s="0" t="s">
        <v>890</v>
      </c>
      <c r="C214" s="0" t="s">
        <v>70</v>
      </c>
      <c r="D214" s="0" t="s">
        <v>895</v>
      </c>
      <c r="E214" s="3" t="n">
        <v>46274</v>
      </c>
      <c r="F214" s="4" t="s">
        <v>95</v>
      </c>
      <c r="G214" s="5" t="n">
        <v>0.276527777777778</v>
      </c>
      <c r="H214" s="5" t="n">
        <v>0.25494212962963</v>
      </c>
      <c r="I214" s="5" t="n">
        <v>0.00341435185185185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5" t="n">
        <v>0</v>
      </c>
      <c r="P214" s="5" t="n">
        <v>0</v>
      </c>
      <c r="Q214" s="4" t="s">
        <v>896</v>
      </c>
      <c r="R214" s="4" t="s">
        <v>454</v>
      </c>
      <c r="S214" s="5" t="n">
        <v>0.000231481481481482</v>
      </c>
      <c r="T214" s="5" t="n">
        <v>0.0894675925925926</v>
      </c>
      <c r="U214" s="5" t="n">
        <v>0.0953703703703704</v>
      </c>
      <c r="V214" s="5" t="n">
        <v>0.0813657407407407</v>
      </c>
      <c r="W214" s="5" t="n">
        <v>0</v>
      </c>
      <c r="X214" s="5" t="n">
        <v>0</v>
      </c>
      <c r="Y214" s="5" t="n">
        <v>0</v>
      </c>
      <c r="Z214" s="0" t="n">
        <v>0</v>
      </c>
      <c r="AA214" s="0" t="n">
        <v>0</v>
      </c>
      <c r="AB214" s="0" t="n">
        <v>0</v>
      </c>
      <c r="AC214" s="4" t="s">
        <v>208</v>
      </c>
      <c r="AD214" s="4" t="s">
        <v>152</v>
      </c>
      <c r="AE214" s="4" t="s">
        <v>894</v>
      </c>
      <c r="AF214" s="4" t="s">
        <v>894</v>
      </c>
      <c r="AG214" s="5" t="n">
        <v>0.229456018518519</v>
      </c>
      <c r="AH214" s="5" t="n">
        <v>0.143599537037037</v>
      </c>
      <c r="AI214" s="5" t="n">
        <v>0</v>
      </c>
      <c r="AJ214" s="5" t="n">
        <v>0</v>
      </c>
      <c r="AK214" s="5" t="n">
        <v>0</v>
      </c>
      <c r="AL214" s="5" t="n">
        <v>0</v>
      </c>
      <c r="AM214" s="4" t="s">
        <v>78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M214" s="6" t="n">
        <f aca="false">IFERROR(VALUE(F214),"")</f>
        <v>0</v>
      </c>
      <c r="BN214" s="6" t="n">
        <f aca="false">IF(R214="-","",IFERROR(VALUE(LEFT(Q214,LEN(Q214)-2)),""))</f>
        <v>108</v>
      </c>
      <c r="BO214" s="6" t="n">
        <f aca="false">IF(R214="-","",IFERROR(VALUE(LEFT(R214,LEN(R214)-5)),""))</f>
        <v>0</v>
      </c>
      <c r="BP214" s="6" t="n">
        <f aca="false">IF(R214="-","",IFERROR(VALUE(F214),""))</f>
        <v>0</v>
      </c>
      <c r="BQ214" s="4" t="n">
        <f aca="false">IF(R214="-",1,0)</f>
        <v>0</v>
      </c>
    </row>
    <row r="215" customFormat="false" ht="15" hidden="false" customHeight="false" outlineLevel="0" collapsed="false">
      <c r="A215" s="0" t="s">
        <v>889</v>
      </c>
      <c r="B215" s="0" t="s">
        <v>890</v>
      </c>
      <c r="C215" s="0" t="s">
        <v>70</v>
      </c>
      <c r="D215" s="0" t="s">
        <v>897</v>
      </c>
      <c r="E215" s="3" t="n">
        <v>46275</v>
      </c>
      <c r="F215" s="4" t="s">
        <v>95</v>
      </c>
      <c r="G215" s="5" t="n">
        <v>0.167615740740741</v>
      </c>
      <c r="H215" s="5" t="n">
        <v>0.160856481481482</v>
      </c>
      <c r="I215" s="5" t="n">
        <v>5.78703703703704E-005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5" t="n">
        <v>0</v>
      </c>
      <c r="P215" s="5" t="n">
        <v>0</v>
      </c>
      <c r="Q215" s="4" t="s">
        <v>898</v>
      </c>
      <c r="R215" s="4" t="s">
        <v>454</v>
      </c>
      <c r="S215" s="5" t="n">
        <v>0.000115740740740741</v>
      </c>
      <c r="T215" s="5" t="n">
        <v>0.056712962962963</v>
      </c>
      <c r="U215" s="5" t="n">
        <v>0.0501157407407407</v>
      </c>
      <c r="V215" s="5" t="n">
        <v>0.0476851851851852</v>
      </c>
      <c r="W215" s="5" t="n">
        <v>0</v>
      </c>
      <c r="X215" s="5" t="n">
        <v>0</v>
      </c>
      <c r="Y215" s="5" t="n">
        <v>0</v>
      </c>
      <c r="Z215" s="0" t="n">
        <v>0</v>
      </c>
      <c r="AA215" s="0" t="n">
        <v>0</v>
      </c>
      <c r="AB215" s="0" t="n">
        <v>0</v>
      </c>
      <c r="AC215" s="4" t="s">
        <v>152</v>
      </c>
      <c r="AD215" s="4" t="s">
        <v>893</v>
      </c>
      <c r="AE215" s="4" t="s">
        <v>894</v>
      </c>
      <c r="AF215" s="4" t="s">
        <v>894</v>
      </c>
      <c r="AG215" s="5" t="n">
        <v>0.131354166666667</v>
      </c>
      <c r="AH215" s="5" t="n">
        <v>0.0539699074074074</v>
      </c>
      <c r="AI215" s="5" t="n">
        <v>0</v>
      </c>
      <c r="AJ215" s="5" t="n">
        <v>0</v>
      </c>
      <c r="AK215" s="5" t="n">
        <v>0</v>
      </c>
      <c r="AL215" s="5" t="n">
        <v>0</v>
      </c>
      <c r="AM215" s="4" t="s">
        <v>78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M215" s="6" t="n">
        <f aca="false">IFERROR(VALUE(F215),"")</f>
        <v>0</v>
      </c>
      <c r="BN215" s="6" t="n">
        <f aca="false">IF(R215="-","",IFERROR(VALUE(LEFT(Q215,LEN(Q215)-2)),""))</f>
        <v>52.43</v>
      </c>
      <c r="BO215" s="6" t="n">
        <f aca="false">IF(R215="-","",IFERROR(VALUE(LEFT(R215,LEN(R215)-5)),""))</f>
        <v>0</v>
      </c>
      <c r="BP215" s="6" t="n">
        <f aca="false">IF(R215="-","",IFERROR(VALUE(F215),""))</f>
        <v>0</v>
      </c>
      <c r="BQ215" s="4" t="n">
        <f aca="false">IF(R215="-",1,0)</f>
        <v>0</v>
      </c>
    </row>
    <row r="216" customFormat="false" ht="15" hidden="false" customHeight="false" outlineLevel="0" collapsed="false">
      <c r="A216" s="0" t="s">
        <v>889</v>
      </c>
      <c r="B216" s="0" t="s">
        <v>890</v>
      </c>
      <c r="C216" s="0" t="s">
        <v>70</v>
      </c>
      <c r="D216" s="0" t="s">
        <v>899</v>
      </c>
      <c r="E216" s="3" t="n">
        <v>46276</v>
      </c>
      <c r="F216" s="4" t="s">
        <v>95</v>
      </c>
      <c r="G216" s="5" t="n">
        <v>0.464953703703704</v>
      </c>
      <c r="H216" s="5" t="n">
        <v>0.420034722222222</v>
      </c>
      <c r="I216" s="5" t="n">
        <v>0.000185185185185185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7</v>
      </c>
      <c r="O216" s="5" t="n">
        <v>0</v>
      </c>
      <c r="P216" s="5" t="n">
        <v>0</v>
      </c>
      <c r="Q216" s="4" t="s">
        <v>900</v>
      </c>
      <c r="R216" s="4" t="s">
        <v>454</v>
      </c>
      <c r="S216" s="5" t="n">
        <v>0.000347222222222222</v>
      </c>
      <c r="T216" s="5" t="n">
        <v>0.14525462962963</v>
      </c>
      <c r="U216" s="5" t="n">
        <v>0.172685185185185</v>
      </c>
      <c r="V216" s="5" t="n">
        <v>0.112037037037037</v>
      </c>
      <c r="W216" s="5" t="n">
        <v>0</v>
      </c>
      <c r="X216" s="5" t="n">
        <v>0</v>
      </c>
      <c r="Y216" s="5" t="n">
        <v>0</v>
      </c>
      <c r="Z216" s="0" t="n">
        <v>0</v>
      </c>
      <c r="AA216" s="0" t="n">
        <v>0</v>
      </c>
      <c r="AB216" s="0" t="n">
        <v>0</v>
      </c>
      <c r="AC216" s="4" t="s">
        <v>893</v>
      </c>
      <c r="AD216" s="4" t="s">
        <v>208</v>
      </c>
      <c r="AE216" s="4" t="s">
        <v>894</v>
      </c>
      <c r="AF216" s="4" t="s">
        <v>894</v>
      </c>
      <c r="AG216" s="5" t="n">
        <v>0.373136574074074</v>
      </c>
      <c r="AH216" s="5" t="n">
        <v>0.225648148148148</v>
      </c>
      <c r="AI216" s="5" t="n">
        <v>0</v>
      </c>
      <c r="AJ216" s="5" t="n">
        <v>0</v>
      </c>
      <c r="AK216" s="5" t="n">
        <v>0</v>
      </c>
      <c r="AL216" s="5" t="n">
        <v>0</v>
      </c>
      <c r="AM216" s="4" t="s">
        <v>78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7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M216" s="6" t="n">
        <f aca="false">IFERROR(VALUE(F216),"")</f>
        <v>0</v>
      </c>
      <c r="BN216" s="6" t="n">
        <f aca="false">IF(R216="-","",IFERROR(VALUE(LEFT(Q216,LEN(Q216)-2)),""))</f>
        <v>152.35</v>
      </c>
      <c r="BO216" s="6" t="n">
        <f aca="false">IF(R216="-","",IFERROR(VALUE(LEFT(R216,LEN(R216)-5)),""))</f>
        <v>0</v>
      </c>
      <c r="BP216" s="6" t="n">
        <f aca="false">IF(R216="-","",IFERROR(VALUE(F216),""))</f>
        <v>0</v>
      </c>
      <c r="BQ216" s="4" t="n">
        <f aca="false">IF(R216="-",1,0)</f>
        <v>0</v>
      </c>
    </row>
    <row r="217" customFormat="false" ht="15" hidden="false" customHeight="false" outlineLevel="0" collapsed="false">
      <c r="A217" s="0" t="s">
        <v>889</v>
      </c>
      <c r="B217" s="0" t="s">
        <v>890</v>
      </c>
      <c r="C217" s="0" t="s">
        <v>70</v>
      </c>
      <c r="D217" s="0" t="s">
        <v>901</v>
      </c>
      <c r="E217" s="3" t="n">
        <v>46277</v>
      </c>
      <c r="F217" s="4" t="s">
        <v>95</v>
      </c>
      <c r="G217" s="5" t="n">
        <v>0.481099537037037</v>
      </c>
      <c r="H217" s="5" t="n">
        <v>0.401423611111111</v>
      </c>
      <c r="I217" s="5" t="n">
        <v>0.000787037037037037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5" t="n">
        <v>0</v>
      </c>
      <c r="P217" s="5" t="n">
        <v>0</v>
      </c>
      <c r="Q217" s="4" t="s">
        <v>902</v>
      </c>
      <c r="R217" s="4" t="s">
        <v>454</v>
      </c>
      <c r="S217" s="5" t="n">
        <v>0.000231481481481482</v>
      </c>
      <c r="T217" s="5" t="n">
        <v>0.167824074074074</v>
      </c>
      <c r="U217" s="5" t="n">
        <v>0.165393518518519</v>
      </c>
      <c r="V217" s="5" t="n">
        <v>0.0957175925925926</v>
      </c>
      <c r="W217" s="5" t="n">
        <v>0</v>
      </c>
      <c r="X217" s="5" t="n">
        <v>0</v>
      </c>
      <c r="Y217" s="5" t="n">
        <v>0</v>
      </c>
      <c r="Z217" s="0" t="n">
        <v>0</v>
      </c>
      <c r="AA217" s="0" t="n">
        <v>0</v>
      </c>
      <c r="AB217" s="0" t="n">
        <v>0</v>
      </c>
      <c r="AC217" s="4" t="s">
        <v>208</v>
      </c>
      <c r="AD217" s="4" t="s">
        <v>208</v>
      </c>
      <c r="AE217" s="4" t="s">
        <v>894</v>
      </c>
      <c r="AF217" s="4" t="s">
        <v>894</v>
      </c>
      <c r="AG217" s="5" t="n">
        <v>0.356631944444445</v>
      </c>
      <c r="AH217" s="5" t="n">
        <v>0.207905092592593</v>
      </c>
      <c r="AI217" s="5" t="n">
        <v>0</v>
      </c>
      <c r="AJ217" s="5" t="n">
        <v>0</v>
      </c>
      <c r="AK217" s="5" t="n">
        <v>0</v>
      </c>
      <c r="AL217" s="5" t="n">
        <v>0</v>
      </c>
      <c r="AM217" s="4" t="s">
        <v>78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1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M217" s="6" t="n">
        <f aca="false">IFERROR(VALUE(F217),"")</f>
        <v>0</v>
      </c>
      <c r="BN217" s="6" t="n">
        <f aca="false">IF(R217="-","",IFERROR(VALUE(LEFT(Q217,LEN(Q217)-2)),""))</f>
        <v>144.9</v>
      </c>
      <c r="BO217" s="6" t="n">
        <f aca="false">IF(R217="-","",IFERROR(VALUE(LEFT(R217,LEN(R217)-5)),""))</f>
        <v>0</v>
      </c>
      <c r="BP217" s="6" t="n">
        <f aca="false">IF(R217="-","",IFERROR(VALUE(F217),""))</f>
        <v>0</v>
      </c>
      <c r="BQ217" s="4" t="n">
        <f aca="false">IF(R217="-",1,0)</f>
        <v>0</v>
      </c>
    </row>
    <row r="218" customFormat="false" ht="15" hidden="false" customHeight="false" outlineLevel="0" collapsed="false">
      <c r="A218" s="0" t="s">
        <v>889</v>
      </c>
      <c r="B218" s="0" t="s">
        <v>890</v>
      </c>
      <c r="C218" s="0" t="s">
        <v>70</v>
      </c>
      <c r="D218" s="0" t="s">
        <v>903</v>
      </c>
      <c r="E218" s="3" t="n">
        <v>46278</v>
      </c>
      <c r="F218" s="4" t="s">
        <v>95</v>
      </c>
      <c r="G218" s="5" t="n">
        <v>0.427210648148148</v>
      </c>
      <c r="H218" s="5" t="n">
        <v>0.402581018518519</v>
      </c>
      <c r="I218" s="5" t="n">
        <v>0.000138888888888889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5" t="n">
        <v>0</v>
      </c>
      <c r="P218" s="5" t="n">
        <v>0.00800925925925926</v>
      </c>
      <c r="Q218" s="4" t="s">
        <v>904</v>
      </c>
      <c r="R218" s="4" t="s">
        <v>454</v>
      </c>
      <c r="S218" s="5" t="n">
        <v>0.000115740740740741</v>
      </c>
      <c r="T218" s="5" t="n">
        <v>0.135416666666667</v>
      </c>
      <c r="U218" s="5" t="n">
        <v>0.197453703703704</v>
      </c>
      <c r="V218" s="5" t="n">
        <v>0.078587962962963</v>
      </c>
      <c r="W218" s="5" t="n">
        <v>0</v>
      </c>
      <c r="X218" s="5" t="n">
        <v>0</v>
      </c>
      <c r="Y218" s="5" t="n">
        <v>0</v>
      </c>
      <c r="Z218" s="0" t="n">
        <v>0</v>
      </c>
      <c r="AA218" s="0" t="n">
        <v>0</v>
      </c>
      <c r="AB218" s="0" t="n">
        <v>0</v>
      </c>
      <c r="AC218" s="4" t="s">
        <v>208</v>
      </c>
      <c r="AD218" s="4" t="s">
        <v>208</v>
      </c>
      <c r="AE218" s="4" t="s">
        <v>894</v>
      </c>
      <c r="AF218" s="4" t="s">
        <v>894</v>
      </c>
      <c r="AG218" s="5" t="n">
        <v>0.348148148148148</v>
      </c>
      <c r="AH218" s="5" t="n">
        <v>0.272384259259259</v>
      </c>
      <c r="AI218" s="5" t="n">
        <v>0</v>
      </c>
      <c r="AJ218" s="5" t="n">
        <v>0</v>
      </c>
      <c r="AK218" s="5" t="n">
        <v>0</v>
      </c>
      <c r="AL218" s="5" t="n">
        <v>0</v>
      </c>
      <c r="AM218" s="4" t="s">
        <v>78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0</v>
      </c>
      <c r="BI218" s="0" t="n">
        <v>0</v>
      </c>
      <c r="BJ218" s="0" t="n">
        <v>0</v>
      </c>
      <c r="BK218" s="0" t="n">
        <v>0</v>
      </c>
      <c r="BM218" s="6" t="n">
        <f aca="false">IFERROR(VALUE(F218),"")</f>
        <v>0</v>
      </c>
      <c r="BN218" s="6" t="n">
        <f aca="false">IF(R218="-","",IFERROR(VALUE(LEFT(Q218,LEN(Q218)-2)),""))</f>
        <v>142.29</v>
      </c>
      <c r="BO218" s="6" t="n">
        <f aca="false">IF(R218="-","",IFERROR(VALUE(LEFT(R218,LEN(R218)-5)),""))</f>
        <v>0</v>
      </c>
      <c r="BP218" s="6" t="n">
        <f aca="false">IF(R218="-","",IFERROR(VALUE(F218),""))</f>
        <v>0</v>
      </c>
      <c r="BQ218" s="4" t="n">
        <f aca="false">IF(R218="-",1,0)</f>
        <v>0</v>
      </c>
    </row>
    <row r="219" customFormat="false" ht="15" hidden="false" customHeight="false" outlineLevel="0" collapsed="false">
      <c r="A219" s="0" t="s">
        <v>889</v>
      </c>
      <c r="B219" s="0" t="s">
        <v>890</v>
      </c>
      <c r="C219" s="0" t="s">
        <v>70</v>
      </c>
      <c r="D219" s="0" t="s">
        <v>905</v>
      </c>
      <c r="E219" s="3" t="n">
        <v>46279</v>
      </c>
      <c r="F219" s="4" t="s">
        <v>95</v>
      </c>
      <c r="G219" s="5" t="n">
        <v>0.250902777777778</v>
      </c>
      <c r="H219" s="5" t="n">
        <v>0.238414351851852</v>
      </c>
      <c r="I219" s="5" t="n">
        <v>0.00386574074074074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5</v>
      </c>
      <c r="O219" s="5" t="n">
        <v>0</v>
      </c>
      <c r="P219" s="5" t="n">
        <v>0</v>
      </c>
      <c r="Q219" s="4" t="s">
        <v>906</v>
      </c>
      <c r="R219" s="4" t="s">
        <v>454</v>
      </c>
      <c r="S219" s="5" t="n">
        <v>0.000231481481481482</v>
      </c>
      <c r="T219" s="5" t="n">
        <v>0.0623842592592593</v>
      </c>
      <c r="U219" s="5" t="n">
        <v>0.0965277777777778</v>
      </c>
      <c r="V219" s="5" t="n">
        <v>0.0784722222222222</v>
      </c>
      <c r="W219" s="5" t="n">
        <v>0</v>
      </c>
      <c r="X219" s="5" t="n">
        <v>0</v>
      </c>
      <c r="Y219" s="5" t="n">
        <v>0</v>
      </c>
      <c r="Z219" s="0" t="n">
        <v>0</v>
      </c>
      <c r="AA219" s="0" t="n">
        <v>0</v>
      </c>
      <c r="AB219" s="0" t="n">
        <v>0</v>
      </c>
      <c r="AC219" s="4" t="s">
        <v>208</v>
      </c>
      <c r="AD219" s="4" t="s">
        <v>152</v>
      </c>
      <c r="AE219" s="4" t="s">
        <v>894</v>
      </c>
      <c r="AF219" s="4" t="s">
        <v>894</v>
      </c>
      <c r="AG219" s="5" t="n">
        <v>0.216319444444445</v>
      </c>
      <c r="AH219" s="5" t="n">
        <v>0.117986111111111</v>
      </c>
      <c r="AI219" s="5" t="n">
        <v>0</v>
      </c>
      <c r="AJ219" s="5" t="n">
        <v>0</v>
      </c>
      <c r="AK219" s="5" t="n">
        <v>0</v>
      </c>
      <c r="AL219" s="5" t="n">
        <v>0</v>
      </c>
      <c r="AM219" s="4" t="s">
        <v>78</v>
      </c>
      <c r="AN219" s="0" t="n">
        <v>0</v>
      </c>
      <c r="AO219" s="0" t="n">
        <v>1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14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n">
        <v>0</v>
      </c>
      <c r="BF219" s="0" t="n">
        <v>0</v>
      </c>
      <c r="BG219" s="0" t="n">
        <v>0</v>
      </c>
      <c r="BH219" s="0" t="n">
        <v>0</v>
      </c>
      <c r="BI219" s="0" t="n">
        <v>0</v>
      </c>
      <c r="BJ219" s="0" t="n">
        <v>0</v>
      </c>
      <c r="BK219" s="0" t="n">
        <v>0</v>
      </c>
      <c r="BM219" s="6" t="n">
        <f aca="false">IFERROR(VALUE(F219),"")</f>
        <v>0</v>
      </c>
      <c r="BN219" s="6" t="n">
        <f aca="false">IF(R219="-","",IFERROR(VALUE(LEFT(Q219,LEN(Q219)-2)),""))</f>
        <v>101.63</v>
      </c>
      <c r="BO219" s="6" t="n">
        <f aca="false">IF(R219="-","",IFERROR(VALUE(LEFT(R219,LEN(R219)-5)),""))</f>
        <v>0</v>
      </c>
      <c r="BP219" s="6" t="n">
        <f aca="false">IF(R219="-","",IFERROR(VALUE(F219),""))</f>
        <v>0</v>
      </c>
      <c r="BQ219" s="4" t="n">
        <f aca="false">IF(R219="-",1,0)</f>
        <v>0</v>
      </c>
    </row>
    <row r="220" customFormat="false" ht="15" hidden="false" customHeight="false" outlineLevel="0" collapsed="false">
      <c r="A220" s="0" t="s">
        <v>907</v>
      </c>
      <c r="B220" s="0" t="s">
        <v>908</v>
      </c>
      <c r="C220" s="0" t="s">
        <v>70</v>
      </c>
      <c r="D220" s="0" t="s">
        <v>909</v>
      </c>
      <c r="E220" s="3" t="n">
        <v>46273</v>
      </c>
      <c r="F220" s="4" t="s">
        <v>910</v>
      </c>
      <c r="G220" s="5" t="n">
        <v>0.69775462962963</v>
      </c>
      <c r="H220" s="5" t="n">
        <v>0.675023148148148</v>
      </c>
      <c r="I220" s="5" t="n">
        <v>0.00543981481481482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5" t="n">
        <v>0</v>
      </c>
      <c r="P220" s="5" t="n">
        <v>0.0356828703703704</v>
      </c>
      <c r="Q220" s="4" t="s">
        <v>911</v>
      </c>
      <c r="R220" s="4" t="s">
        <v>385</v>
      </c>
      <c r="S220" s="5" t="n">
        <v>0.000462962962962963</v>
      </c>
      <c r="T220" s="5" t="n">
        <v>0.209027777777778</v>
      </c>
      <c r="U220" s="5" t="n">
        <v>0.294328703703704</v>
      </c>
      <c r="V220" s="5" t="n">
        <v>0.176041666666667</v>
      </c>
      <c r="W220" s="5" t="n">
        <v>0.000231481481481482</v>
      </c>
      <c r="X220" s="5" t="n">
        <v>0</v>
      </c>
      <c r="Y220" s="5" t="n">
        <v>0</v>
      </c>
      <c r="Z220" s="0" t="n">
        <v>0</v>
      </c>
      <c r="AA220" s="0" t="n">
        <v>0</v>
      </c>
      <c r="AB220" s="0" t="n">
        <v>0</v>
      </c>
      <c r="AC220" s="4" t="s">
        <v>912</v>
      </c>
      <c r="AD220" s="4" t="s">
        <v>158</v>
      </c>
      <c r="AE220" s="4" t="s">
        <v>913</v>
      </c>
      <c r="AF220" s="4" t="s">
        <v>914</v>
      </c>
      <c r="AG220" s="5" t="n">
        <v>0.59212962962963</v>
      </c>
      <c r="AH220" s="5" t="n">
        <v>0.220127314814815</v>
      </c>
      <c r="AI220" s="5" t="n">
        <v>0</v>
      </c>
      <c r="AJ220" s="5" t="n">
        <v>0</v>
      </c>
      <c r="AK220" s="5" t="n">
        <v>0</v>
      </c>
      <c r="AL220" s="5" t="n">
        <v>0</v>
      </c>
      <c r="AM220" s="4" t="s">
        <v>78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3</v>
      </c>
      <c r="AV220" s="0" t="n">
        <v>0</v>
      </c>
      <c r="AW220" s="0" t="n">
        <v>1</v>
      </c>
      <c r="AX220" s="0" t="n">
        <v>0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0</v>
      </c>
      <c r="BI220" s="0" t="n">
        <v>0</v>
      </c>
      <c r="BJ220" s="0" t="n">
        <v>0</v>
      </c>
      <c r="BK220" s="0" t="n">
        <v>0</v>
      </c>
      <c r="BM220" s="6" t="n">
        <f aca="false">IFERROR(VALUE(F220),"")</f>
        <v>725.76</v>
      </c>
      <c r="BN220" s="6" t="n">
        <f aca="false">IF(R220="-","",IFERROR(VALUE(LEFT(Q220,LEN(Q220)-2)),""))</f>
        <v>248.99</v>
      </c>
      <c r="BO220" s="6" t="n">
        <f aca="false">IF(R220="-","",IFERROR(VALUE(LEFT(R220,LEN(R220)-5)),""))</f>
        <v>2.91</v>
      </c>
      <c r="BP220" s="6" t="n">
        <f aca="false">IF(R220="-","",IFERROR(VALUE(F220),""))</f>
        <v>725.76</v>
      </c>
      <c r="BQ220" s="4" t="n">
        <f aca="false">IF(R220="-",1,0)</f>
        <v>0</v>
      </c>
    </row>
    <row r="221" customFormat="false" ht="15" hidden="false" customHeight="false" outlineLevel="0" collapsed="false">
      <c r="A221" s="0" t="s">
        <v>907</v>
      </c>
      <c r="B221" s="0" t="s">
        <v>908</v>
      </c>
      <c r="C221" s="0" t="s">
        <v>70</v>
      </c>
      <c r="D221" s="0" t="s">
        <v>905</v>
      </c>
      <c r="E221" s="3" t="n">
        <v>46274</v>
      </c>
      <c r="F221" s="4" t="s">
        <v>915</v>
      </c>
      <c r="G221" s="5" t="n">
        <v>0.294224537037037</v>
      </c>
      <c r="H221" s="5" t="n">
        <v>0.2465625</v>
      </c>
      <c r="I221" s="5" t="n">
        <v>0.00207175925925926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5" t="n">
        <v>0</v>
      </c>
      <c r="P221" s="5" t="n">
        <v>0</v>
      </c>
      <c r="Q221" s="4" t="s">
        <v>916</v>
      </c>
      <c r="R221" s="4" t="s">
        <v>365</v>
      </c>
      <c r="S221" s="5" t="n">
        <v>0.000810185185185185</v>
      </c>
      <c r="T221" s="5" t="n">
        <v>0.0829861111111111</v>
      </c>
      <c r="U221" s="5" t="n">
        <v>0.113888888888889</v>
      </c>
      <c r="V221" s="5" t="n">
        <v>0.0778935185185185</v>
      </c>
      <c r="W221" s="5" t="n">
        <v>0</v>
      </c>
      <c r="X221" s="5" t="n">
        <v>0</v>
      </c>
      <c r="Y221" s="5" t="n">
        <v>0</v>
      </c>
      <c r="Z221" s="0" t="n">
        <v>0</v>
      </c>
      <c r="AA221" s="0" t="n">
        <v>0</v>
      </c>
      <c r="AB221" s="0" t="n">
        <v>0</v>
      </c>
      <c r="AC221" s="4" t="s">
        <v>158</v>
      </c>
      <c r="AD221" s="4" t="s">
        <v>208</v>
      </c>
      <c r="AE221" s="4" t="s">
        <v>914</v>
      </c>
      <c r="AF221" s="4" t="s">
        <v>917</v>
      </c>
      <c r="AG221" s="5" t="n">
        <v>0.240613425925926</v>
      </c>
      <c r="AH221" s="5" t="n">
        <v>0.175405092592593</v>
      </c>
      <c r="AI221" s="5" t="n">
        <v>0</v>
      </c>
      <c r="AJ221" s="5" t="n">
        <v>0</v>
      </c>
      <c r="AK221" s="5" t="n">
        <v>0</v>
      </c>
      <c r="AL221" s="5" t="n">
        <v>0</v>
      </c>
      <c r="AM221" s="4" t="s">
        <v>78</v>
      </c>
      <c r="AN221" s="0" t="n">
        <v>0</v>
      </c>
      <c r="AO221" s="0" t="n">
        <v>1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7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M221" s="6" t="n">
        <f aca="false">IFERROR(VALUE(F221),"")</f>
        <v>288.87</v>
      </c>
      <c r="BN221" s="6" t="n">
        <f aca="false">IF(R221="-","",IFERROR(VALUE(LEFT(Q221,LEN(Q221)-2)),""))</f>
        <v>90.17</v>
      </c>
      <c r="BO221" s="6" t="n">
        <f aca="false">IF(R221="-","",IFERROR(VALUE(LEFT(R221,LEN(R221)-5)),""))</f>
        <v>3.2</v>
      </c>
      <c r="BP221" s="6" t="n">
        <f aca="false">IF(R221="-","",IFERROR(VALUE(F221),""))</f>
        <v>288.87</v>
      </c>
      <c r="BQ221" s="4" t="n">
        <f aca="false">IF(R221="-",1,0)</f>
        <v>0</v>
      </c>
    </row>
    <row r="222" customFormat="false" ht="15" hidden="false" customHeight="false" outlineLevel="0" collapsed="false">
      <c r="A222" s="0" t="s">
        <v>907</v>
      </c>
      <c r="B222" s="0" t="s">
        <v>908</v>
      </c>
      <c r="C222" s="0" t="s">
        <v>70</v>
      </c>
      <c r="D222" s="0" t="s">
        <v>918</v>
      </c>
      <c r="E222" s="3" t="n">
        <v>46275</v>
      </c>
      <c r="F222" s="4" t="s">
        <v>919</v>
      </c>
      <c r="G222" s="5" t="n">
        <v>0.563287037037037</v>
      </c>
      <c r="H222" s="5" t="n">
        <v>0.523333333333333</v>
      </c>
      <c r="I222" s="5" t="n">
        <v>0.00166666666666667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5" t="n">
        <v>0</v>
      </c>
      <c r="P222" s="5" t="n">
        <v>0.0201851851851852</v>
      </c>
      <c r="Q222" s="4" t="s">
        <v>920</v>
      </c>
      <c r="R222" s="4" t="s">
        <v>921</v>
      </c>
      <c r="S222" s="5" t="n">
        <v>0.000694444444444445</v>
      </c>
      <c r="T222" s="5" t="n">
        <v>0.184259259259259</v>
      </c>
      <c r="U222" s="5" t="n">
        <v>0.205555555555556</v>
      </c>
      <c r="V222" s="5" t="n">
        <v>0.159375</v>
      </c>
      <c r="W222" s="5" t="n">
        <v>0</v>
      </c>
      <c r="X222" s="5" t="n">
        <v>0</v>
      </c>
      <c r="Y222" s="5" t="n">
        <v>0</v>
      </c>
      <c r="Z222" s="0" t="n">
        <v>0</v>
      </c>
      <c r="AA222" s="0" t="n">
        <v>0</v>
      </c>
      <c r="AB222" s="0" t="n">
        <v>0</v>
      </c>
      <c r="AC222" s="4" t="s">
        <v>208</v>
      </c>
      <c r="AD222" s="4" t="s">
        <v>593</v>
      </c>
      <c r="AE222" s="4" t="s">
        <v>917</v>
      </c>
      <c r="AF222" s="4" t="s">
        <v>922</v>
      </c>
      <c r="AG222" s="5" t="n">
        <v>0.479872685185185</v>
      </c>
      <c r="AH222" s="5" t="n">
        <v>0.221805555555556</v>
      </c>
      <c r="AI222" s="5" t="n">
        <v>0</v>
      </c>
      <c r="AJ222" s="5" t="n">
        <v>0</v>
      </c>
      <c r="AK222" s="5" t="n">
        <v>0</v>
      </c>
      <c r="AL222" s="5" t="n">
        <v>0</v>
      </c>
      <c r="AM222" s="4" t="s">
        <v>78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1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0</v>
      </c>
      <c r="BE222" s="0" t="n">
        <v>0</v>
      </c>
      <c r="BF222" s="0" t="n">
        <v>0</v>
      </c>
      <c r="BG222" s="0" t="n">
        <v>0</v>
      </c>
      <c r="BH222" s="0" t="n">
        <v>0</v>
      </c>
      <c r="BI222" s="0" t="n">
        <v>0</v>
      </c>
      <c r="BJ222" s="0" t="n">
        <v>0</v>
      </c>
      <c r="BK222" s="0" t="n">
        <v>0</v>
      </c>
      <c r="BM222" s="6" t="n">
        <f aca="false">IFERROR(VALUE(F222),"")</f>
        <v>570.97</v>
      </c>
      <c r="BN222" s="6" t="n">
        <f aca="false">IF(R222="-","",IFERROR(VALUE(LEFT(Q222,LEN(Q222)-2)),""))</f>
        <v>186.73</v>
      </c>
      <c r="BO222" s="6" t="n">
        <f aca="false">IF(R222="-","",IFERROR(VALUE(LEFT(R222,LEN(R222)-5)),""))</f>
        <v>3.06</v>
      </c>
      <c r="BP222" s="6" t="n">
        <f aca="false">IF(R222="-","",IFERROR(VALUE(F222),""))</f>
        <v>570.97</v>
      </c>
      <c r="BQ222" s="4" t="n">
        <f aca="false">IF(R222="-",1,0)</f>
        <v>0</v>
      </c>
    </row>
    <row r="223" customFormat="false" ht="15" hidden="false" customHeight="false" outlineLevel="0" collapsed="false">
      <c r="A223" s="0" t="s">
        <v>907</v>
      </c>
      <c r="B223" s="0" t="s">
        <v>908</v>
      </c>
      <c r="C223" s="0" t="s">
        <v>70</v>
      </c>
      <c r="D223" s="0" t="s">
        <v>923</v>
      </c>
      <c r="E223" s="3" t="n">
        <v>46276</v>
      </c>
      <c r="F223" s="4" t="s">
        <v>924</v>
      </c>
      <c r="G223" s="5" t="n">
        <v>0.125416666666667</v>
      </c>
      <c r="H223" s="5" t="n">
        <v>0.0633680555555556</v>
      </c>
      <c r="I223" s="5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5" t="n">
        <v>0</v>
      </c>
      <c r="P223" s="5" t="n">
        <v>0.00987268518518519</v>
      </c>
      <c r="Q223" s="4" t="s">
        <v>925</v>
      </c>
      <c r="R223" s="4" t="s">
        <v>448</v>
      </c>
      <c r="S223" s="5" t="n">
        <v>0.000231481481481482</v>
      </c>
      <c r="T223" s="5" t="n">
        <v>0.0621527777777778</v>
      </c>
      <c r="U223" s="5" t="n">
        <v>0.0439814814814815</v>
      </c>
      <c r="V223" s="5" t="n">
        <v>0.00115740740740741</v>
      </c>
      <c r="W223" s="5" t="n">
        <v>0</v>
      </c>
      <c r="X223" s="5" t="n">
        <v>0</v>
      </c>
      <c r="Y223" s="5" t="n">
        <v>0</v>
      </c>
      <c r="Z223" s="0" t="n">
        <v>0</v>
      </c>
      <c r="AA223" s="0" t="n">
        <v>0</v>
      </c>
      <c r="AB223" s="0" t="n">
        <v>0</v>
      </c>
      <c r="AC223" s="4" t="s">
        <v>593</v>
      </c>
      <c r="AD223" s="4" t="s">
        <v>228</v>
      </c>
      <c r="AE223" s="4" t="s">
        <v>926</v>
      </c>
      <c r="AF223" s="4" t="s">
        <v>927</v>
      </c>
      <c r="AG223" s="5" t="n">
        <v>0.0634490740740741</v>
      </c>
      <c r="AH223" s="5" t="n">
        <v>0.213900462962963</v>
      </c>
      <c r="AI223" s="5" t="n">
        <v>0</v>
      </c>
      <c r="AJ223" s="5" t="n">
        <v>0</v>
      </c>
      <c r="AK223" s="5" t="n">
        <v>0</v>
      </c>
      <c r="AL223" s="5" t="n">
        <v>0</v>
      </c>
      <c r="AM223" s="4" t="s">
        <v>78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M223" s="6" t="n">
        <f aca="false">IFERROR(VALUE(F223),"")</f>
        <v>42.35</v>
      </c>
      <c r="BN223" s="6" t="n">
        <f aca="false">IF(R223="-","",IFERROR(VALUE(LEFT(Q223,LEN(Q223)-2)),""))</f>
        <v>16.01</v>
      </c>
      <c r="BO223" s="6" t="n">
        <f aca="false">IF(R223="-","",IFERROR(VALUE(LEFT(R223,LEN(R223)-5)),""))</f>
        <v>2.65</v>
      </c>
      <c r="BP223" s="6" t="n">
        <f aca="false">IF(R223="-","",IFERROR(VALUE(F223),""))</f>
        <v>42.35</v>
      </c>
      <c r="BQ223" s="4" t="n">
        <f aca="false">IF(R223="-",1,0)</f>
        <v>0</v>
      </c>
    </row>
    <row r="224" customFormat="false" ht="15" hidden="false" customHeight="false" outlineLevel="0" collapsed="false">
      <c r="A224" s="0" t="s">
        <v>907</v>
      </c>
      <c r="B224" s="0" t="s">
        <v>908</v>
      </c>
      <c r="C224" s="0" t="s">
        <v>70</v>
      </c>
      <c r="E224" s="3" t="n">
        <v>46277</v>
      </c>
      <c r="F224" s="4" t="s">
        <v>928</v>
      </c>
      <c r="G224" s="5" t="n">
        <v>0.00136574074074074</v>
      </c>
      <c r="H224" s="5" t="n">
        <v>0</v>
      </c>
      <c r="I224" s="5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5" t="n">
        <v>0</v>
      </c>
      <c r="P224" s="5" t="n">
        <v>0</v>
      </c>
      <c r="Q224" s="4" t="s">
        <v>929</v>
      </c>
      <c r="R224" s="4" t="s">
        <v>930</v>
      </c>
      <c r="S224" s="5" t="n">
        <v>0</v>
      </c>
      <c r="T224" s="5" t="n">
        <v>0.000810185185185185</v>
      </c>
      <c r="U224" s="5" t="n">
        <v>0.000462962962962963</v>
      </c>
      <c r="V224" s="5" t="n">
        <v>0</v>
      </c>
      <c r="W224" s="5" t="n">
        <v>0</v>
      </c>
      <c r="X224" s="5" t="n">
        <v>0</v>
      </c>
      <c r="Y224" s="5" t="n">
        <v>0</v>
      </c>
      <c r="Z224" s="0" t="n">
        <v>0</v>
      </c>
      <c r="AA224" s="0" t="n">
        <v>0</v>
      </c>
      <c r="AB224" s="0" t="n">
        <v>0</v>
      </c>
      <c r="AC224" s="4" t="s">
        <v>75</v>
      </c>
      <c r="AD224" s="4" t="s">
        <v>75</v>
      </c>
      <c r="AE224" s="4" t="s">
        <v>927</v>
      </c>
      <c r="AF224" s="4" t="s">
        <v>931</v>
      </c>
      <c r="AG224" s="5" t="n">
        <v>0.000972222222222222</v>
      </c>
      <c r="AH224" s="5" t="n">
        <v>0.0160416666666667</v>
      </c>
      <c r="AI224" s="5" t="n">
        <v>0</v>
      </c>
      <c r="AJ224" s="5" t="n">
        <v>0</v>
      </c>
      <c r="AK224" s="5" t="n">
        <v>0</v>
      </c>
      <c r="AL224" s="5" t="n">
        <v>0</v>
      </c>
      <c r="AM224" s="4" t="s">
        <v>78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0</v>
      </c>
      <c r="BJ224" s="0" t="n">
        <v>0</v>
      </c>
      <c r="BK224" s="0" t="n">
        <v>0</v>
      </c>
      <c r="BM224" s="6" t="n">
        <f aca="false">IFERROR(VALUE(F224),"")</f>
        <v>0.21</v>
      </c>
      <c r="BN224" s="6" t="n">
        <f aca="false">IF(R224="-","",IFERROR(VALUE(LEFT(Q224,LEN(Q224)-2)),""))</f>
        <v>0.16</v>
      </c>
      <c r="BO224" s="6" t="n">
        <f aca="false">IF(R224="-","",IFERROR(VALUE(LEFT(R224,LEN(R224)-5)),""))</f>
        <v>1.32</v>
      </c>
      <c r="BP224" s="6" t="n">
        <f aca="false">IF(R224="-","",IFERROR(VALUE(F224),""))</f>
        <v>0.21</v>
      </c>
      <c r="BQ224" s="4" t="n">
        <f aca="false">IF(R224="-",1,0)</f>
        <v>0</v>
      </c>
    </row>
    <row r="225" customFormat="false" ht="15" hidden="false" customHeight="false" outlineLevel="0" collapsed="false">
      <c r="A225" s="0" t="s">
        <v>932</v>
      </c>
      <c r="B225" s="0" t="s">
        <v>933</v>
      </c>
      <c r="C225" s="0" t="s">
        <v>70</v>
      </c>
      <c r="D225" s="0" t="s">
        <v>934</v>
      </c>
      <c r="E225" s="3" t="n">
        <v>46273</v>
      </c>
      <c r="F225" s="4" t="s">
        <v>935</v>
      </c>
      <c r="G225" s="5" t="n">
        <v>0.496759259259259</v>
      </c>
      <c r="H225" s="5" t="n">
        <v>0.48275462962963</v>
      </c>
      <c r="I225" s="5" t="n">
        <v>0.000914351851851852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5" t="n">
        <v>0</v>
      </c>
      <c r="P225" s="5" t="n">
        <v>0</v>
      </c>
      <c r="Q225" s="4" t="s">
        <v>936</v>
      </c>
      <c r="R225" s="4" t="s">
        <v>937</v>
      </c>
      <c r="S225" s="5" t="n">
        <v>0</v>
      </c>
      <c r="T225" s="5" t="n">
        <v>0.128703703703704</v>
      </c>
      <c r="U225" s="5" t="n">
        <v>0.334259259259259</v>
      </c>
      <c r="V225" s="5" t="n">
        <v>0.0155092592592593</v>
      </c>
      <c r="W225" s="5" t="n">
        <v>0</v>
      </c>
      <c r="X225" s="5" t="n">
        <v>0</v>
      </c>
      <c r="Y225" s="5" t="n">
        <v>0</v>
      </c>
      <c r="Z225" s="0" t="n">
        <v>0</v>
      </c>
      <c r="AA225" s="0" t="n">
        <v>0</v>
      </c>
      <c r="AB225" s="0" t="n">
        <v>0</v>
      </c>
      <c r="AC225" s="4" t="s">
        <v>158</v>
      </c>
      <c r="AD225" s="4" t="s">
        <v>152</v>
      </c>
      <c r="AE225" s="4" t="s">
        <v>938</v>
      </c>
      <c r="AF225" s="4" t="s">
        <v>939</v>
      </c>
      <c r="AG225" s="5" t="n">
        <v>0.446145833333333</v>
      </c>
      <c r="AH225" s="5" t="n">
        <v>0.150358796296296</v>
      </c>
      <c r="AI225" s="5" t="n">
        <v>0</v>
      </c>
      <c r="AJ225" s="5" t="n">
        <v>0</v>
      </c>
      <c r="AK225" s="5" t="n">
        <v>0</v>
      </c>
      <c r="AL225" s="5" t="n">
        <v>0</v>
      </c>
      <c r="AM225" s="4" t="s">
        <v>78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8</v>
      </c>
      <c r="AS225" s="0" t="n">
        <v>0</v>
      </c>
      <c r="AT225" s="0" t="n">
        <v>0</v>
      </c>
      <c r="AU225" s="0" t="n">
        <v>5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M225" s="6" t="n">
        <f aca="false">IFERROR(VALUE(F225),"")</f>
        <v>554.12</v>
      </c>
      <c r="BN225" s="6" t="n">
        <f aca="false">IF(R225="-","",IFERROR(VALUE(LEFT(Q225,LEN(Q225)-2)),""))</f>
        <v>166.54</v>
      </c>
      <c r="BO225" s="6" t="n">
        <f aca="false">IF(R225="-","",IFERROR(VALUE(LEFT(R225,LEN(R225)-5)),""))</f>
        <v>3.33</v>
      </c>
      <c r="BP225" s="6" t="n">
        <f aca="false">IF(R225="-","",IFERROR(VALUE(F225),""))</f>
        <v>554.12</v>
      </c>
      <c r="BQ225" s="4" t="n">
        <f aca="false">IF(R225="-",1,0)</f>
        <v>0</v>
      </c>
    </row>
    <row r="226" customFormat="false" ht="15" hidden="false" customHeight="false" outlineLevel="0" collapsed="false">
      <c r="A226" s="0" t="s">
        <v>932</v>
      </c>
      <c r="B226" s="0" t="s">
        <v>933</v>
      </c>
      <c r="C226" s="0" t="s">
        <v>70</v>
      </c>
      <c r="D226" s="0" t="s">
        <v>940</v>
      </c>
      <c r="E226" s="3" t="n">
        <v>46274</v>
      </c>
      <c r="F226" s="4" t="s">
        <v>941</v>
      </c>
      <c r="G226" s="5" t="n">
        <v>0.528032407407407</v>
      </c>
      <c r="H226" s="5" t="n">
        <v>0.487685185185185</v>
      </c>
      <c r="I226" s="5" t="n">
        <v>0.00306712962962963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5" t="n">
        <v>0</v>
      </c>
      <c r="P226" s="5" t="n">
        <v>0</v>
      </c>
      <c r="Q226" s="4" t="s">
        <v>942</v>
      </c>
      <c r="R226" s="4" t="s">
        <v>943</v>
      </c>
      <c r="S226" s="5" t="n">
        <v>0.000115740740740741</v>
      </c>
      <c r="T226" s="5" t="n">
        <v>0.146990740740741</v>
      </c>
      <c r="U226" s="5" t="n">
        <v>0.335185185185185</v>
      </c>
      <c r="V226" s="5" t="n">
        <v>0.0177083333333333</v>
      </c>
      <c r="W226" s="5" t="n">
        <v>0</v>
      </c>
      <c r="X226" s="5" t="n">
        <v>0</v>
      </c>
      <c r="Y226" s="5" t="n">
        <v>0</v>
      </c>
      <c r="Z226" s="0" t="n">
        <v>0</v>
      </c>
      <c r="AA226" s="0" t="n">
        <v>0</v>
      </c>
      <c r="AB226" s="0" t="n">
        <v>0</v>
      </c>
      <c r="AC226" s="4" t="s">
        <v>158</v>
      </c>
      <c r="AD226" s="4" t="s">
        <v>152</v>
      </c>
      <c r="AE226" s="4" t="s">
        <v>939</v>
      </c>
      <c r="AF226" s="4" t="s">
        <v>944</v>
      </c>
      <c r="AG226" s="5" t="n">
        <v>0.454270833333333</v>
      </c>
      <c r="AH226" s="5" t="n">
        <v>0.211631944444444</v>
      </c>
      <c r="AI226" s="5" t="n">
        <v>0</v>
      </c>
      <c r="AJ226" s="5" t="n">
        <v>0</v>
      </c>
      <c r="AK226" s="5" t="n">
        <v>0</v>
      </c>
      <c r="AL226" s="5" t="n">
        <v>0</v>
      </c>
      <c r="AM226" s="4" t="s">
        <v>78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20</v>
      </c>
      <c r="AS226" s="0" t="n">
        <v>0</v>
      </c>
      <c r="AT226" s="0" t="n">
        <v>0</v>
      </c>
      <c r="AU226" s="0" t="n">
        <v>11</v>
      </c>
      <c r="AV226" s="0" t="n">
        <v>0</v>
      </c>
      <c r="AW226" s="0" t="n">
        <v>1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M226" s="6" t="n">
        <f aca="false">IFERROR(VALUE(F226),"")</f>
        <v>561.91</v>
      </c>
      <c r="BN226" s="6" t="n">
        <f aca="false">IF(R226="-","",IFERROR(VALUE(LEFT(Q226,LEN(Q226)-2)),""))</f>
        <v>174.07</v>
      </c>
      <c r="BO226" s="6" t="n">
        <f aca="false">IF(R226="-","",IFERROR(VALUE(LEFT(R226,LEN(R226)-5)),""))</f>
        <v>3.23</v>
      </c>
      <c r="BP226" s="6" t="n">
        <f aca="false">IF(R226="-","",IFERROR(VALUE(F226),""))</f>
        <v>561.91</v>
      </c>
      <c r="BQ226" s="4" t="n">
        <f aca="false">IF(R226="-",1,0)</f>
        <v>0</v>
      </c>
    </row>
    <row r="227" customFormat="false" ht="15" hidden="false" customHeight="false" outlineLevel="0" collapsed="false">
      <c r="A227" s="0" t="s">
        <v>932</v>
      </c>
      <c r="B227" s="0" t="s">
        <v>933</v>
      </c>
      <c r="C227" s="0" t="s">
        <v>70</v>
      </c>
      <c r="D227" s="0" t="s">
        <v>945</v>
      </c>
      <c r="E227" s="3" t="n">
        <v>46275</v>
      </c>
      <c r="F227" s="4" t="s">
        <v>946</v>
      </c>
      <c r="G227" s="5" t="n">
        <v>0.502986111111111</v>
      </c>
      <c r="H227" s="5" t="n">
        <v>0.480844907407407</v>
      </c>
      <c r="I227" s="5" t="n">
        <v>0.00543981481481482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5" t="n">
        <v>0</v>
      </c>
      <c r="P227" s="5" t="n">
        <v>0.0179861111111111</v>
      </c>
      <c r="Q227" s="4" t="s">
        <v>947</v>
      </c>
      <c r="R227" s="4" t="s">
        <v>948</v>
      </c>
      <c r="S227" s="5" t="n">
        <v>0.000115740740740741</v>
      </c>
      <c r="T227" s="5" t="n">
        <v>0.149305555555556</v>
      </c>
      <c r="U227" s="5" t="n">
        <v>0.320949074074074</v>
      </c>
      <c r="V227" s="5" t="n">
        <v>0.0167824074074074</v>
      </c>
      <c r="W227" s="5" t="n">
        <v>0</v>
      </c>
      <c r="X227" s="5" t="n">
        <v>0</v>
      </c>
      <c r="Y227" s="5" t="n">
        <v>0</v>
      </c>
      <c r="Z227" s="0" t="n">
        <v>0</v>
      </c>
      <c r="AA227" s="0" t="n">
        <v>0</v>
      </c>
      <c r="AB227" s="0" t="n">
        <v>0</v>
      </c>
      <c r="AC227" s="4" t="s">
        <v>152</v>
      </c>
      <c r="AD227" s="4" t="s">
        <v>152</v>
      </c>
      <c r="AE227" s="4" t="s">
        <v>944</v>
      </c>
      <c r="AF227" s="4" t="s">
        <v>949</v>
      </c>
      <c r="AG227" s="5" t="n">
        <v>0.438541666666667</v>
      </c>
      <c r="AH227" s="5" t="n">
        <v>0.155706018518519</v>
      </c>
      <c r="AI227" s="5" t="n">
        <v>0</v>
      </c>
      <c r="AJ227" s="5" t="n">
        <v>0</v>
      </c>
      <c r="AK227" s="5" t="n">
        <v>0</v>
      </c>
      <c r="AL227" s="5" t="n">
        <v>0</v>
      </c>
      <c r="AM227" s="4" t="s">
        <v>78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17</v>
      </c>
      <c r="AV227" s="0" t="n">
        <v>0</v>
      </c>
      <c r="AW227" s="0" t="n">
        <v>2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M227" s="6" t="n">
        <f aca="false">IFERROR(VALUE(F227),"")</f>
        <v>561.99</v>
      </c>
      <c r="BN227" s="6" t="n">
        <f aca="false">IF(R227="-","",IFERROR(VALUE(LEFT(Q227,LEN(Q227)-2)),""))</f>
        <v>173.39</v>
      </c>
      <c r="BO227" s="6" t="n">
        <f aca="false">IF(R227="-","",IFERROR(VALUE(LEFT(R227,LEN(R227)-5)),""))</f>
        <v>3.24</v>
      </c>
      <c r="BP227" s="6" t="n">
        <f aca="false">IF(R227="-","",IFERROR(VALUE(F227),""))</f>
        <v>561.99</v>
      </c>
      <c r="BQ227" s="4" t="n">
        <f aca="false">IF(R227="-",1,0)</f>
        <v>0</v>
      </c>
    </row>
    <row r="228" customFormat="false" ht="15" hidden="false" customHeight="false" outlineLevel="0" collapsed="false">
      <c r="A228" s="0" t="s">
        <v>932</v>
      </c>
      <c r="B228" s="0" t="s">
        <v>933</v>
      </c>
      <c r="C228" s="0" t="s">
        <v>70</v>
      </c>
      <c r="D228" s="0" t="s">
        <v>950</v>
      </c>
      <c r="E228" s="3" t="n">
        <v>46276</v>
      </c>
      <c r="F228" s="4" t="s">
        <v>951</v>
      </c>
      <c r="G228" s="5" t="n">
        <v>0.498668981481482</v>
      </c>
      <c r="H228" s="5" t="n">
        <v>0.487523148148148</v>
      </c>
      <c r="I228" s="5" t="n">
        <v>0.00313657407407407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5" t="n">
        <v>0</v>
      </c>
      <c r="P228" s="5" t="n">
        <v>0</v>
      </c>
      <c r="Q228" s="4" t="s">
        <v>952</v>
      </c>
      <c r="R228" s="4" t="s">
        <v>953</v>
      </c>
      <c r="S228" s="5" t="n">
        <v>0.000347222222222222</v>
      </c>
      <c r="T228" s="5" t="n">
        <v>0.13125</v>
      </c>
      <c r="U228" s="5" t="n">
        <v>0.33912037037037</v>
      </c>
      <c r="V228" s="5" t="n">
        <v>0.0184027777777778</v>
      </c>
      <c r="W228" s="5" t="n">
        <v>0</v>
      </c>
      <c r="X228" s="5" t="n">
        <v>0</v>
      </c>
      <c r="Y228" s="5" t="n">
        <v>0</v>
      </c>
      <c r="Z228" s="0" t="n">
        <v>0</v>
      </c>
      <c r="AA228" s="0" t="n">
        <v>0</v>
      </c>
      <c r="AB228" s="0" t="n">
        <v>0</v>
      </c>
      <c r="AC228" s="4" t="s">
        <v>152</v>
      </c>
      <c r="AD228" s="4" t="s">
        <v>152</v>
      </c>
      <c r="AE228" s="4" t="s">
        <v>949</v>
      </c>
      <c r="AF228" s="4" t="s">
        <v>954</v>
      </c>
      <c r="AG228" s="5" t="n">
        <v>0.450520833333333</v>
      </c>
      <c r="AH228" s="5" t="n">
        <v>0.141354166666667</v>
      </c>
      <c r="AI228" s="5" t="n">
        <v>0</v>
      </c>
      <c r="AJ228" s="5" t="n">
        <v>0</v>
      </c>
      <c r="AK228" s="5" t="n">
        <v>0</v>
      </c>
      <c r="AL228" s="5" t="n">
        <v>0</v>
      </c>
      <c r="AM228" s="4" t="s">
        <v>78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6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M228" s="6" t="n">
        <f aca="false">IFERROR(VALUE(F228),"")</f>
        <v>560.52</v>
      </c>
      <c r="BN228" s="6" t="n">
        <f aca="false">IF(R228="-","",IFERROR(VALUE(LEFT(Q228,LEN(Q228)-2)),""))</f>
        <v>165.04</v>
      </c>
      <c r="BO228" s="6" t="n">
        <f aca="false">IF(R228="-","",IFERROR(VALUE(LEFT(R228,LEN(R228)-5)),""))</f>
        <v>3.4</v>
      </c>
      <c r="BP228" s="6" t="n">
        <f aca="false">IF(R228="-","",IFERROR(VALUE(F228),""))</f>
        <v>560.52</v>
      </c>
      <c r="BQ228" s="4" t="n">
        <f aca="false">IF(R228="-",1,0)</f>
        <v>0</v>
      </c>
    </row>
    <row r="229" customFormat="false" ht="15" hidden="false" customHeight="false" outlineLevel="0" collapsed="false">
      <c r="A229" s="0" t="s">
        <v>932</v>
      </c>
      <c r="B229" s="0" t="s">
        <v>933</v>
      </c>
      <c r="C229" s="0" t="s">
        <v>70</v>
      </c>
      <c r="D229" s="0" t="s">
        <v>955</v>
      </c>
      <c r="E229" s="3" t="n">
        <v>46277</v>
      </c>
      <c r="F229" s="4" t="s">
        <v>956</v>
      </c>
      <c r="G229" s="5" t="n">
        <v>0.499791666666667</v>
      </c>
      <c r="H229" s="5" t="n">
        <v>0.479409722222222</v>
      </c>
      <c r="I229" s="5" t="n">
        <v>0.00494212962962963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4</v>
      </c>
      <c r="O229" s="5" t="n">
        <v>0</v>
      </c>
      <c r="P229" s="5" t="n">
        <v>0</v>
      </c>
      <c r="Q229" s="4" t="s">
        <v>957</v>
      </c>
      <c r="R229" s="4" t="s">
        <v>958</v>
      </c>
      <c r="S229" s="5" t="n">
        <v>0.000231481481481482</v>
      </c>
      <c r="T229" s="5" t="n">
        <v>0.126157407407407</v>
      </c>
      <c r="U229" s="5" t="n">
        <v>0.319097222222222</v>
      </c>
      <c r="V229" s="5" t="n">
        <v>0.019212962962963</v>
      </c>
      <c r="W229" s="5" t="n">
        <v>0</v>
      </c>
      <c r="X229" s="5" t="n">
        <v>0</v>
      </c>
      <c r="Y229" s="5" t="n">
        <v>0</v>
      </c>
      <c r="Z229" s="0" t="n">
        <v>0</v>
      </c>
      <c r="AA229" s="0" t="n">
        <v>0</v>
      </c>
      <c r="AB229" s="0" t="n">
        <v>0</v>
      </c>
      <c r="AC229" s="4" t="s">
        <v>152</v>
      </c>
      <c r="AD229" s="4" t="s">
        <v>152</v>
      </c>
      <c r="AE229" s="4" t="s">
        <v>954</v>
      </c>
      <c r="AF229" s="4" t="s">
        <v>959</v>
      </c>
      <c r="AG229" s="5" t="n">
        <v>0.431631944444445</v>
      </c>
      <c r="AH229" s="5" t="n">
        <v>0.137256944444444</v>
      </c>
      <c r="AI229" s="5" t="n">
        <v>0</v>
      </c>
      <c r="AJ229" s="5" t="n">
        <v>0</v>
      </c>
      <c r="AK229" s="5" t="n">
        <v>0</v>
      </c>
      <c r="AL229" s="5" t="n">
        <v>0</v>
      </c>
      <c r="AM229" s="4" t="s">
        <v>78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9</v>
      </c>
      <c r="AV229" s="0" t="n">
        <v>0</v>
      </c>
      <c r="AW229" s="0" t="n">
        <v>1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0</v>
      </c>
      <c r="BI229" s="0" t="n">
        <v>0</v>
      </c>
      <c r="BJ229" s="0" t="n">
        <v>0</v>
      </c>
      <c r="BK229" s="0" t="n">
        <v>0</v>
      </c>
      <c r="BM229" s="6" t="n">
        <f aca="false">IFERROR(VALUE(F229),"")</f>
        <v>555.84</v>
      </c>
      <c r="BN229" s="6" t="n">
        <f aca="false">IF(R229="-","",IFERROR(VALUE(LEFT(Q229,LEN(Q229)-2)),""))</f>
        <v>165.67</v>
      </c>
      <c r="BO229" s="6" t="n">
        <f aca="false">IF(R229="-","",IFERROR(VALUE(LEFT(R229,LEN(R229)-5)),""))</f>
        <v>3.36</v>
      </c>
      <c r="BP229" s="6" t="n">
        <f aca="false">IF(R229="-","",IFERROR(VALUE(F229),""))</f>
        <v>555.84</v>
      </c>
      <c r="BQ229" s="4" t="n">
        <f aca="false">IF(R229="-",1,0)</f>
        <v>0</v>
      </c>
    </row>
    <row r="230" customFormat="false" ht="15" hidden="false" customHeight="false" outlineLevel="0" collapsed="false">
      <c r="A230" s="0" t="s">
        <v>932</v>
      </c>
      <c r="B230" s="0" t="s">
        <v>933</v>
      </c>
      <c r="C230" s="0" t="s">
        <v>70</v>
      </c>
      <c r="D230" s="0" t="s">
        <v>960</v>
      </c>
      <c r="E230" s="3" t="n">
        <v>46278</v>
      </c>
      <c r="F230" s="4" t="s">
        <v>961</v>
      </c>
      <c r="G230" s="5" t="n">
        <v>0.493993055555556</v>
      </c>
      <c r="H230" s="5" t="n">
        <v>0.473657407407407</v>
      </c>
      <c r="I230" s="5" t="n">
        <v>0.0141550925925926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5</v>
      </c>
      <c r="O230" s="5" t="n">
        <v>0</v>
      </c>
      <c r="P230" s="5" t="n">
        <v>0</v>
      </c>
      <c r="Q230" s="4" t="s">
        <v>962</v>
      </c>
      <c r="R230" s="4" t="s">
        <v>356</v>
      </c>
      <c r="S230" s="5" t="n">
        <v>0.000231481481481482</v>
      </c>
      <c r="T230" s="5" t="n">
        <v>0.128587962962963</v>
      </c>
      <c r="U230" s="5" t="n">
        <v>0.314699074074074</v>
      </c>
      <c r="V230" s="5" t="n">
        <v>0.0233796296296296</v>
      </c>
      <c r="W230" s="5" t="n">
        <v>0.000115740740740741</v>
      </c>
      <c r="X230" s="5" t="n">
        <v>0</v>
      </c>
      <c r="Y230" s="5" t="n">
        <v>0</v>
      </c>
      <c r="Z230" s="0" t="n">
        <v>0</v>
      </c>
      <c r="AA230" s="0" t="n">
        <v>0</v>
      </c>
      <c r="AB230" s="0" t="n">
        <v>0</v>
      </c>
      <c r="AC230" s="4" t="s">
        <v>152</v>
      </c>
      <c r="AD230" s="4" t="s">
        <v>152</v>
      </c>
      <c r="AE230" s="4" t="s">
        <v>959</v>
      </c>
      <c r="AF230" s="4" t="s">
        <v>963</v>
      </c>
      <c r="AG230" s="5" t="n">
        <v>0.418043981481482</v>
      </c>
      <c r="AH230" s="5" t="n">
        <v>0.167071759259259</v>
      </c>
      <c r="AI230" s="5" t="n">
        <v>0</v>
      </c>
      <c r="AJ230" s="5" t="n">
        <v>0</v>
      </c>
      <c r="AK230" s="5" t="n">
        <v>0</v>
      </c>
      <c r="AL230" s="5" t="n">
        <v>0</v>
      </c>
      <c r="AM230" s="4" t="s">
        <v>78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1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M230" s="6" t="n">
        <f aca="false">IFERROR(VALUE(F230),"")</f>
        <v>554.79</v>
      </c>
      <c r="BN230" s="6" t="n">
        <f aca="false">IF(R230="-","",IFERROR(VALUE(LEFT(Q230,LEN(Q230)-2)),""))</f>
        <v>174.01</v>
      </c>
      <c r="BO230" s="6" t="n">
        <f aca="false">IF(R230="-","",IFERROR(VALUE(LEFT(R230,LEN(R230)-5)),""))</f>
        <v>3.19</v>
      </c>
      <c r="BP230" s="6" t="n">
        <f aca="false">IF(R230="-","",IFERROR(VALUE(F230),""))</f>
        <v>554.79</v>
      </c>
      <c r="BQ230" s="4" t="n">
        <f aca="false">IF(R230="-",1,0)</f>
        <v>0</v>
      </c>
    </row>
    <row r="231" customFormat="false" ht="15" hidden="false" customHeight="false" outlineLevel="0" collapsed="false">
      <c r="A231" s="0" t="s">
        <v>932</v>
      </c>
      <c r="B231" s="0" t="s">
        <v>933</v>
      </c>
      <c r="C231" s="0" t="s">
        <v>70</v>
      </c>
      <c r="D231" s="0" t="s">
        <v>964</v>
      </c>
      <c r="E231" s="3" t="n">
        <v>46279</v>
      </c>
      <c r="F231" s="4" t="s">
        <v>965</v>
      </c>
      <c r="G231" s="5" t="n">
        <v>0.275856481481482</v>
      </c>
      <c r="H231" s="5" t="n">
        <v>0.267835648148148</v>
      </c>
      <c r="I231" s="5" t="n">
        <v>0.00641203703703704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5" t="n">
        <v>0</v>
      </c>
      <c r="P231" s="5" t="n">
        <v>0</v>
      </c>
      <c r="Q231" s="4" t="s">
        <v>966</v>
      </c>
      <c r="R231" s="4" t="s">
        <v>967</v>
      </c>
      <c r="S231" s="5" t="n">
        <v>0</v>
      </c>
      <c r="T231" s="5" t="n">
        <v>0.0809027777777778</v>
      </c>
      <c r="U231" s="5" t="n">
        <v>0.158217592592593</v>
      </c>
      <c r="V231" s="5" t="n">
        <v>0.0149305555555556</v>
      </c>
      <c r="W231" s="5" t="n">
        <v>0.000115740740740741</v>
      </c>
      <c r="X231" s="5" t="n">
        <v>0</v>
      </c>
      <c r="Y231" s="5" t="n">
        <v>0</v>
      </c>
      <c r="Z231" s="0" t="n">
        <v>0</v>
      </c>
      <c r="AA231" s="0" t="n">
        <v>0</v>
      </c>
      <c r="AB231" s="0" t="n">
        <v>0</v>
      </c>
      <c r="AC231" s="4" t="s">
        <v>152</v>
      </c>
      <c r="AD231" s="4" t="s">
        <v>208</v>
      </c>
      <c r="AE231" s="4" t="s">
        <v>963</v>
      </c>
      <c r="AF231" s="4" t="s">
        <v>968</v>
      </c>
      <c r="AG231" s="5" t="n">
        <v>0.220266203703704</v>
      </c>
      <c r="AH231" s="5" t="n">
        <v>0.0887384259259259</v>
      </c>
      <c r="AI231" s="5" t="n">
        <v>0</v>
      </c>
      <c r="AJ231" s="5" t="n">
        <v>0</v>
      </c>
      <c r="AK231" s="5" t="n">
        <v>0</v>
      </c>
      <c r="AL231" s="5" t="n">
        <v>0</v>
      </c>
      <c r="AM231" s="4" t="s">
        <v>78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M231" s="6" t="n">
        <f aca="false">IFERROR(VALUE(F231),"")</f>
        <v>287.54</v>
      </c>
      <c r="BN231" s="6" t="n">
        <f aca="false">IF(R231="-","",IFERROR(VALUE(LEFT(Q231,LEN(Q231)-2)),""))</f>
        <v>91.84</v>
      </c>
      <c r="BO231" s="6" t="n">
        <f aca="false">IF(R231="-","",IFERROR(VALUE(LEFT(R231,LEN(R231)-5)),""))</f>
        <v>3.13</v>
      </c>
      <c r="BP231" s="6" t="n">
        <f aca="false">IF(R231="-","",IFERROR(VALUE(F231),""))</f>
        <v>287.54</v>
      </c>
      <c r="BQ231" s="4" t="n">
        <f aca="false">IF(R231="-",1,0)</f>
        <v>0</v>
      </c>
    </row>
    <row r="232" customFormat="false" ht="15" hidden="false" customHeight="false" outlineLevel="0" collapsed="false">
      <c r="A232" s="0" t="s">
        <v>969</v>
      </c>
      <c r="B232" s="0" t="s">
        <v>970</v>
      </c>
      <c r="C232" s="0" t="s">
        <v>70</v>
      </c>
      <c r="E232" s="3" t="n">
        <v>46279</v>
      </c>
      <c r="F232" s="4" t="s">
        <v>95</v>
      </c>
      <c r="G232" s="5" t="n">
        <v>0.0568518518518519</v>
      </c>
      <c r="H232" s="5" t="n">
        <v>0</v>
      </c>
      <c r="I232" s="5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5" t="n">
        <v>0</v>
      </c>
      <c r="P232" s="5" t="n">
        <v>0</v>
      </c>
      <c r="Q232" s="4" t="s">
        <v>971</v>
      </c>
      <c r="R232" s="4" t="s">
        <v>454</v>
      </c>
      <c r="S232" s="5" t="n">
        <v>0.000115740740740741</v>
      </c>
      <c r="T232" s="5" t="n">
        <v>0.00416666666666667</v>
      </c>
      <c r="U232" s="5" t="n">
        <v>0.000925925925925926</v>
      </c>
      <c r="V232" s="5" t="n">
        <v>0</v>
      </c>
      <c r="W232" s="5" t="n">
        <v>0</v>
      </c>
      <c r="X232" s="5" t="n">
        <v>0</v>
      </c>
      <c r="Y232" s="5" t="n">
        <v>0</v>
      </c>
      <c r="Z232" s="0" t="n">
        <v>0</v>
      </c>
      <c r="AA232" s="0" t="n">
        <v>0</v>
      </c>
      <c r="AB232" s="0" t="n">
        <v>0</v>
      </c>
      <c r="AC232" s="4" t="s">
        <v>208</v>
      </c>
      <c r="AD232" s="4" t="s">
        <v>208</v>
      </c>
      <c r="AE232" s="4" t="s">
        <v>972</v>
      </c>
      <c r="AF232" s="4" t="s">
        <v>972</v>
      </c>
      <c r="AG232" s="5" t="n">
        <v>0.0015162037037037</v>
      </c>
      <c r="AH232" s="5" t="n">
        <v>0.0929166666666667</v>
      </c>
      <c r="AI232" s="5" t="n">
        <v>0</v>
      </c>
      <c r="AJ232" s="5" t="n">
        <v>0</v>
      </c>
      <c r="AK232" s="5" t="n">
        <v>0</v>
      </c>
      <c r="AL232" s="5" t="n">
        <v>0</v>
      </c>
      <c r="AM232" s="4" t="s">
        <v>78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0</v>
      </c>
      <c r="BJ232" s="0" t="n">
        <v>0</v>
      </c>
      <c r="BK232" s="0" t="n">
        <v>0</v>
      </c>
      <c r="BM232" s="6" t="n">
        <f aca="false">IFERROR(VALUE(F232),"")</f>
        <v>0</v>
      </c>
      <c r="BN232" s="6" t="n">
        <f aca="false">IF(R232="-","",IFERROR(VALUE(LEFT(Q232,LEN(Q232)-2)),""))</f>
        <v>0.5</v>
      </c>
      <c r="BO232" s="6" t="n">
        <f aca="false">IF(R232="-","",IFERROR(VALUE(LEFT(R232,LEN(R232)-5)),""))</f>
        <v>0</v>
      </c>
      <c r="BP232" s="6" t="n">
        <f aca="false">IF(R232="-","",IFERROR(VALUE(F232),""))</f>
        <v>0</v>
      </c>
      <c r="BQ232" s="4" t="n">
        <f aca="false">IF(R232="-",1,0)</f>
        <v>0</v>
      </c>
    </row>
    <row r="233" customFormat="false" ht="15" hidden="false" customHeight="false" outlineLevel="0" collapsed="false">
      <c r="A233" s="0" t="s">
        <v>973</v>
      </c>
      <c r="B233" s="0" t="s">
        <v>974</v>
      </c>
      <c r="C233" s="0" t="s">
        <v>70</v>
      </c>
      <c r="D233" s="0" t="s">
        <v>975</v>
      </c>
      <c r="E233" s="3" t="n">
        <v>46273</v>
      </c>
      <c r="F233" s="4" t="s">
        <v>976</v>
      </c>
      <c r="G233" s="5" t="n">
        <v>0.569085648148148</v>
      </c>
      <c r="H233" s="5" t="n">
        <v>0.542905092592593</v>
      </c>
      <c r="I233" s="5" t="n">
        <v>0.00533564814814815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2</v>
      </c>
      <c r="O233" s="5" t="n">
        <v>0</v>
      </c>
      <c r="P233" s="5" t="n">
        <v>0.0139236111111111</v>
      </c>
      <c r="Q233" s="4" t="s">
        <v>977</v>
      </c>
      <c r="R233" s="4" t="s">
        <v>978</v>
      </c>
      <c r="S233" s="5" t="n">
        <v>0.000231481481481482</v>
      </c>
      <c r="T233" s="5" t="n">
        <v>0.13125</v>
      </c>
      <c r="U233" s="5" t="n">
        <v>0.306597222222222</v>
      </c>
      <c r="V233" s="5" t="n">
        <v>0.117592592592593</v>
      </c>
      <c r="W233" s="5" t="n">
        <v>0</v>
      </c>
      <c r="X233" s="5" t="n">
        <v>0</v>
      </c>
      <c r="Y233" s="5" t="n">
        <v>0</v>
      </c>
      <c r="Z233" s="0" t="n">
        <v>0</v>
      </c>
      <c r="AA233" s="0" t="n">
        <v>0</v>
      </c>
      <c r="AB233" s="0" t="n">
        <v>0</v>
      </c>
      <c r="AC233" s="4" t="s">
        <v>208</v>
      </c>
      <c r="AD233" s="4" t="s">
        <v>208</v>
      </c>
      <c r="AE233" s="4" t="s">
        <v>979</v>
      </c>
      <c r="AF233" s="4" t="s">
        <v>980</v>
      </c>
      <c r="AG233" s="5" t="n">
        <v>0.501909722222222</v>
      </c>
      <c r="AH233" s="5" t="n">
        <v>0.192222222222222</v>
      </c>
      <c r="AI233" s="5" t="n">
        <v>0</v>
      </c>
      <c r="AJ233" s="5" t="n">
        <v>0</v>
      </c>
      <c r="AK233" s="5" t="n">
        <v>0</v>
      </c>
      <c r="AL233" s="5" t="n">
        <v>0</v>
      </c>
      <c r="AM233" s="4" t="s">
        <v>78</v>
      </c>
      <c r="AN233" s="0" t="n">
        <v>0</v>
      </c>
      <c r="AO233" s="0" t="n">
        <v>2</v>
      </c>
      <c r="AP233" s="0" t="n">
        <v>0</v>
      </c>
      <c r="AQ233" s="0" t="n">
        <v>0</v>
      </c>
      <c r="AR233" s="0" t="n">
        <v>1</v>
      </c>
      <c r="AS233" s="0" t="n">
        <v>0</v>
      </c>
      <c r="AT233" s="0" t="n">
        <v>0</v>
      </c>
      <c r="AU233" s="0" t="n">
        <v>5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M233" s="6" t="n">
        <f aca="false">IFERROR(VALUE(F233),"")</f>
        <v>643.89</v>
      </c>
      <c r="BN233" s="6" t="n">
        <f aca="false">IF(R233="-","",IFERROR(VALUE(LEFT(Q233,LEN(Q233)-2)),""))</f>
        <v>268.15</v>
      </c>
      <c r="BO233" s="6" t="n">
        <f aca="false">IF(R233="-","",IFERROR(VALUE(LEFT(R233,LEN(R233)-5)),""))</f>
        <v>2.4</v>
      </c>
      <c r="BP233" s="6" t="n">
        <f aca="false">IF(R233="-","",IFERROR(VALUE(F233),""))</f>
        <v>643.89</v>
      </c>
      <c r="BQ233" s="4" t="n">
        <f aca="false">IF(R233="-",1,0)</f>
        <v>0</v>
      </c>
    </row>
    <row r="234" customFormat="false" ht="15" hidden="false" customHeight="false" outlineLevel="0" collapsed="false">
      <c r="A234" s="0" t="s">
        <v>973</v>
      </c>
      <c r="B234" s="0" t="s">
        <v>974</v>
      </c>
      <c r="C234" s="0" t="s">
        <v>70</v>
      </c>
      <c r="D234" s="0" t="s">
        <v>981</v>
      </c>
      <c r="E234" s="3" t="n">
        <v>46274</v>
      </c>
      <c r="F234" s="4" t="s">
        <v>982</v>
      </c>
      <c r="G234" s="5" t="n">
        <v>0.515763888888889</v>
      </c>
      <c r="H234" s="5" t="n">
        <v>0.492604166666667</v>
      </c>
      <c r="I234" s="5" t="n">
        <v>0.0022337962962963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5" t="n">
        <v>0</v>
      </c>
      <c r="P234" s="5" t="n">
        <v>0.00740740740740741</v>
      </c>
      <c r="Q234" s="4" t="s">
        <v>983</v>
      </c>
      <c r="R234" s="4" t="s">
        <v>978</v>
      </c>
      <c r="S234" s="5" t="n">
        <v>0.000115740740740741</v>
      </c>
      <c r="T234" s="5" t="n">
        <v>0.137847222222222</v>
      </c>
      <c r="U234" s="5" t="n">
        <v>0.239930555555556</v>
      </c>
      <c r="V234" s="5" t="n">
        <v>0.123958333333333</v>
      </c>
      <c r="W234" s="5" t="n">
        <v>0</v>
      </c>
      <c r="X234" s="5" t="n">
        <v>0</v>
      </c>
      <c r="Y234" s="5" t="n">
        <v>0</v>
      </c>
      <c r="Z234" s="0" t="n">
        <v>0</v>
      </c>
      <c r="AA234" s="0" t="n">
        <v>0</v>
      </c>
      <c r="AB234" s="0" t="n">
        <v>0</v>
      </c>
      <c r="AC234" s="4" t="s">
        <v>208</v>
      </c>
      <c r="AD234" s="4" t="s">
        <v>208</v>
      </c>
      <c r="AE234" s="4" t="s">
        <v>980</v>
      </c>
      <c r="AF234" s="4" t="s">
        <v>984</v>
      </c>
      <c r="AG234" s="5" t="n">
        <v>0.441770833333333</v>
      </c>
      <c r="AH234" s="5" t="n">
        <v>0.207905092592593</v>
      </c>
      <c r="AI234" s="5" t="n">
        <v>0</v>
      </c>
      <c r="AJ234" s="5" t="n">
        <v>0</v>
      </c>
      <c r="AK234" s="5" t="n">
        <v>0</v>
      </c>
      <c r="AL234" s="5" t="n">
        <v>0</v>
      </c>
      <c r="AM234" s="4" t="s">
        <v>78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5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2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0</v>
      </c>
      <c r="BM234" s="6" t="n">
        <f aca="false">IFERROR(VALUE(F234),"")</f>
        <v>559.57</v>
      </c>
      <c r="BN234" s="6" t="n">
        <f aca="false">IF(R234="-","",IFERROR(VALUE(LEFT(Q234,LEN(Q234)-2)),""))</f>
        <v>232.8</v>
      </c>
      <c r="BO234" s="6" t="n">
        <f aca="false">IF(R234="-","",IFERROR(VALUE(LEFT(R234,LEN(R234)-5)),""))</f>
        <v>2.4</v>
      </c>
      <c r="BP234" s="6" t="n">
        <f aca="false">IF(R234="-","",IFERROR(VALUE(F234),""))</f>
        <v>559.57</v>
      </c>
      <c r="BQ234" s="4" t="n">
        <f aca="false">IF(R234="-",1,0)</f>
        <v>0</v>
      </c>
    </row>
    <row r="235" customFormat="false" ht="15" hidden="false" customHeight="false" outlineLevel="0" collapsed="false">
      <c r="A235" s="0" t="s">
        <v>973</v>
      </c>
      <c r="B235" s="0" t="s">
        <v>974</v>
      </c>
      <c r="C235" s="0" t="s">
        <v>70</v>
      </c>
      <c r="D235" s="0" t="s">
        <v>985</v>
      </c>
      <c r="E235" s="3" t="n">
        <v>46275</v>
      </c>
      <c r="F235" s="4" t="s">
        <v>986</v>
      </c>
      <c r="G235" s="5" t="n">
        <v>0.100011574074074</v>
      </c>
      <c r="H235" s="5" t="n">
        <v>0.0515509259259259</v>
      </c>
      <c r="I235" s="5" t="n">
        <v>0.00128472222222222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5" t="n">
        <v>0</v>
      </c>
      <c r="P235" s="5" t="n">
        <v>0.0071412037037037</v>
      </c>
      <c r="Q235" s="4" t="s">
        <v>987</v>
      </c>
      <c r="R235" s="4" t="s">
        <v>988</v>
      </c>
      <c r="S235" s="5" t="n">
        <v>0.000231481481481482</v>
      </c>
      <c r="T235" s="5" t="n">
        <v>0.0365740740740741</v>
      </c>
      <c r="U235" s="5" t="n">
        <v>0.0288194444444445</v>
      </c>
      <c r="V235" s="5" t="n">
        <v>0.00428240740740741</v>
      </c>
      <c r="W235" s="5" t="n">
        <v>0</v>
      </c>
      <c r="X235" s="5" t="n">
        <v>0</v>
      </c>
      <c r="Y235" s="5" t="n">
        <v>0</v>
      </c>
      <c r="Z235" s="0" t="n">
        <v>0</v>
      </c>
      <c r="AA235" s="0" t="n">
        <v>0</v>
      </c>
      <c r="AB235" s="0" t="n">
        <v>0</v>
      </c>
      <c r="AC235" s="4" t="s">
        <v>208</v>
      </c>
      <c r="AD235" s="4" t="s">
        <v>228</v>
      </c>
      <c r="AE235" s="4" t="s">
        <v>984</v>
      </c>
      <c r="AF235" s="4" t="s">
        <v>989</v>
      </c>
      <c r="AG235" s="5" t="n">
        <v>0.045474537037037</v>
      </c>
      <c r="AH235" s="5" t="n">
        <v>0.234479166666667</v>
      </c>
      <c r="AI235" s="5" t="n">
        <v>0</v>
      </c>
      <c r="AJ235" s="5" t="n">
        <v>0</v>
      </c>
      <c r="AK235" s="5" t="n">
        <v>0</v>
      </c>
      <c r="AL235" s="5" t="n">
        <v>0</v>
      </c>
      <c r="AM235" s="4" t="s">
        <v>78</v>
      </c>
      <c r="AN235" s="0" t="n">
        <v>0</v>
      </c>
      <c r="AO235" s="0" t="n">
        <v>1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0</v>
      </c>
      <c r="BH235" s="0" t="n">
        <v>0</v>
      </c>
      <c r="BI235" s="0" t="n">
        <v>0</v>
      </c>
      <c r="BJ235" s="0" t="n">
        <v>0</v>
      </c>
      <c r="BK235" s="0" t="n">
        <v>0</v>
      </c>
      <c r="BM235" s="6" t="n">
        <f aca="false">IFERROR(VALUE(F235),"")</f>
        <v>38.7</v>
      </c>
      <c r="BN235" s="6" t="n">
        <f aca="false">IF(R235="-","",IFERROR(VALUE(LEFT(Q235,LEN(Q235)-2)),""))</f>
        <v>22.03</v>
      </c>
      <c r="BO235" s="6" t="n">
        <f aca="false">IF(R235="-","",IFERROR(VALUE(LEFT(R235,LEN(R235)-5)),""))</f>
        <v>1.76</v>
      </c>
      <c r="BP235" s="6" t="n">
        <f aca="false">IF(R235="-","",IFERROR(VALUE(F235),""))</f>
        <v>38.7</v>
      </c>
      <c r="BQ235" s="4" t="n">
        <f aca="false">IF(R235="-",1,0)</f>
        <v>0</v>
      </c>
    </row>
    <row r="236" customFormat="false" ht="15" hidden="false" customHeight="false" outlineLevel="0" collapsed="false">
      <c r="A236" s="0" t="s">
        <v>973</v>
      </c>
      <c r="B236" s="0" t="s">
        <v>974</v>
      </c>
      <c r="C236" s="0" t="s">
        <v>70</v>
      </c>
      <c r="D236" s="0" t="s">
        <v>990</v>
      </c>
      <c r="E236" s="3" t="n">
        <v>46276</v>
      </c>
      <c r="F236" s="4" t="s">
        <v>991</v>
      </c>
      <c r="G236" s="5" t="n">
        <v>0.390740740740741</v>
      </c>
      <c r="H236" s="5" t="n">
        <v>0.378090277777778</v>
      </c>
      <c r="I236" s="5" t="n">
        <v>0.000115740740740741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5" t="n">
        <v>0</v>
      </c>
      <c r="P236" s="5" t="n">
        <v>0.0330092592592593</v>
      </c>
      <c r="Q236" s="4" t="s">
        <v>992</v>
      </c>
      <c r="R236" s="4" t="s">
        <v>993</v>
      </c>
      <c r="S236" s="5" t="n">
        <v>0</v>
      </c>
      <c r="T236" s="5" t="n">
        <v>0.148148148148148</v>
      </c>
      <c r="U236" s="5" t="n">
        <v>0.156134259259259</v>
      </c>
      <c r="V236" s="5" t="n">
        <v>0.0775462962962963</v>
      </c>
      <c r="W236" s="5" t="n">
        <v>0</v>
      </c>
      <c r="X236" s="5" t="n">
        <v>0</v>
      </c>
      <c r="Y236" s="5" t="n">
        <v>0</v>
      </c>
      <c r="Z236" s="0" t="n">
        <v>0</v>
      </c>
      <c r="AA236" s="0" t="n">
        <v>0</v>
      </c>
      <c r="AB236" s="0" t="n">
        <v>0</v>
      </c>
      <c r="AC236" s="4" t="s">
        <v>228</v>
      </c>
      <c r="AD236" s="4" t="s">
        <v>994</v>
      </c>
      <c r="AE236" s="4" t="s">
        <v>989</v>
      </c>
      <c r="AF236" s="4" t="s">
        <v>995</v>
      </c>
      <c r="AG236" s="5" t="n">
        <v>0.322615740740741</v>
      </c>
      <c r="AH236" s="5" t="n">
        <v>0.131053240740741</v>
      </c>
      <c r="AI236" s="5" t="n">
        <v>0</v>
      </c>
      <c r="AJ236" s="5" t="n">
        <v>0</v>
      </c>
      <c r="AK236" s="5" t="n">
        <v>0</v>
      </c>
      <c r="AL236" s="5" t="n">
        <v>0</v>
      </c>
      <c r="AM236" s="4" t="s">
        <v>78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7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M236" s="6" t="n">
        <f aca="false">IFERROR(VALUE(F236),"")</f>
        <v>365.38</v>
      </c>
      <c r="BN236" s="6" t="n">
        <f aca="false">IF(R236="-","",IFERROR(VALUE(LEFT(Q236,LEN(Q236)-2)),""))</f>
        <v>156.66</v>
      </c>
      <c r="BO236" s="6" t="n">
        <f aca="false">IF(R236="-","",IFERROR(VALUE(LEFT(R236,LEN(R236)-5)),""))</f>
        <v>2.33</v>
      </c>
      <c r="BP236" s="6" t="n">
        <f aca="false">IF(R236="-","",IFERROR(VALUE(F236),""))</f>
        <v>365.38</v>
      </c>
      <c r="BQ236" s="4" t="n">
        <f aca="false">IF(R236="-",1,0)</f>
        <v>0</v>
      </c>
    </row>
    <row r="237" customFormat="false" ht="15" hidden="false" customHeight="false" outlineLevel="0" collapsed="false">
      <c r="A237" s="0" t="s">
        <v>973</v>
      </c>
      <c r="B237" s="0" t="s">
        <v>974</v>
      </c>
      <c r="C237" s="0" t="s">
        <v>70</v>
      </c>
      <c r="D237" s="0" t="s">
        <v>990</v>
      </c>
      <c r="E237" s="3" t="n">
        <v>46277</v>
      </c>
      <c r="F237" s="4" t="s">
        <v>996</v>
      </c>
      <c r="G237" s="5" t="n">
        <v>0.060625</v>
      </c>
      <c r="H237" s="5" t="n">
        <v>0.0306597222222222</v>
      </c>
      <c r="I237" s="5" t="n">
        <v>4.62962962962963E-005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5" t="n">
        <v>0</v>
      </c>
      <c r="P237" s="5" t="n">
        <v>0.0181828703703704</v>
      </c>
      <c r="Q237" s="4" t="s">
        <v>997</v>
      </c>
      <c r="R237" s="4" t="s">
        <v>998</v>
      </c>
      <c r="S237" s="5" t="n">
        <v>0.000231481481481482</v>
      </c>
      <c r="T237" s="5" t="n">
        <v>0.0270833333333333</v>
      </c>
      <c r="U237" s="5" t="n">
        <v>0.0133101851851852</v>
      </c>
      <c r="V237" s="5" t="n">
        <v>0.0197916666666667</v>
      </c>
      <c r="W237" s="5" t="n">
        <v>0</v>
      </c>
      <c r="X237" s="5" t="n">
        <v>0</v>
      </c>
      <c r="Y237" s="5" t="n">
        <v>0</v>
      </c>
      <c r="Z237" s="0" t="n">
        <v>0</v>
      </c>
      <c r="AA237" s="0" t="n">
        <v>0</v>
      </c>
      <c r="AB237" s="0" t="n">
        <v>0</v>
      </c>
      <c r="AC237" s="4" t="s">
        <v>994</v>
      </c>
      <c r="AD237" s="4" t="s">
        <v>74</v>
      </c>
      <c r="AE237" s="4" t="s">
        <v>999</v>
      </c>
      <c r="AF237" s="4" t="s">
        <v>1000</v>
      </c>
      <c r="AG237" s="5" t="n">
        <v>0.0339467592592593</v>
      </c>
      <c r="AH237" s="5" t="n">
        <v>0.0545717592592593</v>
      </c>
      <c r="AI237" s="5" t="n">
        <v>0</v>
      </c>
      <c r="AJ237" s="5" t="n">
        <v>0</v>
      </c>
      <c r="AK237" s="5" t="n">
        <v>0</v>
      </c>
      <c r="AL237" s="5" t="n">
        <v>0</v>
      </c>
      <c r="AM237" s="4" t="s">
        <v>78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M237" s="6" t="n">
        <f aca="false">IFERROR(VALUE(F237),"")</f>
        <v>53.71</v>
      </c>
      <c r="BN237" s="6" t="n">
        <f aca="false">IF(R237="-","",IFERROR(VALUE(LEFT(Q237,LEN(Q237)-2)),""))</f>
        <v>20.13</v>
      </c>
      <c r="BO237" s="6" t="n">
        <f aca="false">IF(R237="-","",IFERROR(VALUE(LEFT(R237,LEN(R237)-5)),""))</f>
        <v>2.67</v>
      </c>
      <c r="BP237" s="6" t="n">
        <f aca="false">IF(R237="-","",IFERROR(VALUE(F237),""))</f>
        <v>53.71</v>
      </c>
      <c r="BQ237" s="4" t="n">
        <f aca="false">IF(R237="-",1,0)</f>
        <v>0</v>
      </c>
    </row>
    <row r="238" customFormat="false" ht="15" hidden="false" customHeight="false" outlineLevel="0" collapsed="false">
      <c r="A238" s="0" t="s">
        <v>973</v>
      </c>
      <c r="B238" s="0" t="s">
        <v>974</v>
      </c>
      <c r="C238" s="0" t="s">
        <v>70</v>
      </c>
      <c r="D238" s="0" t="s">
        <v>1001</v>
      </c>
      <c r="E238" s="3" t="n">
        <v>46278</v>
      </c>
      <c r="F238" s="4" t="s">
        <v>1002</v>
      </c>
      <c r="G238" s="5" t="n">
        <v>0.391203703703704</v>
      </c>
      <c r="H238" s="5" t="n">
        <v>0.346122685185185</v>
      </c>
      <c r="I238" s="5" t="n">
        <v>0.0003125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5" t="n">
        <v>0</v>
      </c>
      <c r="P238" s="5" t="n">
        <v>0</v>
      </c>
      <c r="Q238" s="4" t="s">
        <v>1003</v>
      </c>
      <c r="R238" s="4" t="s">
        <v>309</v>
      </c>
      <c r="S238" s="5" t="n">
        <v>0</v>
      </c>
      <c r="T238" s="5" t="n">
        <v>0.153819444444445</v>
      </c>
      <c r="U238" s="5" t="n">
        <v>0.163773148148148</v>
      </c>
      <c r="V238" s="5" t="n">
        <v>0.0429398148148148</v>
      </c>
      <c r="W238" s="5" t="n">
        <v>0</v>
      </c>
      <c r="X238" s="5" t="n">
        <v>0</v>
      </c>
      <c r="Y238" s="5" t="n">
        <v>0</v>
      </c>
      <c r="Z238" s="0" t="n">
        <v>0</v>
      </c>
      <c r="AA238" s="0" t="n">
        <v>0</v>
      </c>
      <c r="AB238" s="0" t="n">
        <v>0</v>
      </c>
      <c r="AC238" s="4" t="s">
        <v>75</v>
      </c>
      <c r="AD238" s="4" t="s">
        <v>75</v>
      </c>
      <c r="AE238" s="4" t="s">
        <v>1000</v>
      </c>
      <c r="AF238" s="4" t="s">
        <v>1004</v>
      </c>
      <c r="AG238" s="5" t="n">
        <v>0.304236111111111</v>
      </c>
      <c r="AH238" s="5" t="n">
        <v>0.143043981481482</v>
      </c>
      <c r="AI238" s="5" t="n">
        <v>0</v>
      </c>
      <c r="AJ238" s="5" t="n">
        <v>0</v>
      </c>
      <c r="AK238" s="5" t="n">
        <v>0</v>
      </c>
      <c r="AL238" s="5" t="n">
        <v>0</v>
      </c>
      <c r="AM238" s="4" t="s">
        <v>78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M238" s="6" t="n">
        <f aca="false">IFERROR(VALUE(F238),"")</f>
        <v>343.38</v>
      </c>
      <c r="BN238" s="6" t="n">
        <f aca="false">IF(R238="-","",IFERROR(VALUE(LEFT(Q238,LEN(Q238)-2)),""))</f>
        <v>138.61</v>
      </c>
      <c r="BO238" s="6" t="n">
        <f aca="false">IF(R238="-","",IFERROR(VALUE(LEFT(R238,LEN(R238)-5)),""))</f>
        <v>2.48</v>
      </c>
      <c r="BP238" s="6" t="n">
        <f aca="false">IF(R238="-","",IFERROR(VALUE(F238),""))</f>
        <v>343.38</v>
      </c>
      <c r="BQ238" s="4" t="n">
        <f aca="false">IF(R238="-",1,0)</f>
        <v>0</v>
      </c>
    </row>
    <row r="239" customFormat="false" ht="15" hidden="false" customHeight="false" outlineLevel="0" collapsed="false">
      <c r="A239" s="0" t="s">
        <v>973</v>
      </c>
      <c r="B239" s="0" t="s">
        <v>974</v>
      </c>
      <c r="C239" s="0" t="s">
        <v>70</v>
      </c>
      <c r="D239" s="0" t="s">
        <v>860</v>
      </c>
      <c r="E239" s="3" t="n">
        <v>46279</v>
      </c>
      <c r="F239" s="4" t="s">
        <v>1005</v>
      </c>
      <c r="G239" s="5" t="n">
        <v>0.281909722222222</v>
      </c>
      <c r="H239" s="5" t="n">
        <v>0.171006944444444</v>
      </c>
      <c r="I239" s="5" t="n">
        <v>0.00740740740740741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5" t="n">
        <v>0</v>
      </c>
      <c r="P239" s="5" t="n">
        <v>0.0691203703703704</v>
      </c>
      <c r="Q239" s="4" t="s">
        <v>1006</v>
      </c>
      <c r="R239" s="4" t="s">
        <v>1007</v>
      </c>
      <c r="S239" s="5" t="n">
        <v>0.000115740740740741</v>
      </c>
      <c r="T239" s="5" t="n">
        <v>0.12337962962963</v>
      </c>
      <c r="U239" s="5" t="n">
        <v>0.0975694444444444</v>
      </c>
      <c r="V239" s="5" t="n">
        <v>0.0143518518518519</v>
      </c>
      <c r="W239" s="5" t="n">
        <v>0</v>
      </c>
      <c r="X239" s="5" t="n">
        <v>0</v>
      </c>
      <c r="Y239" s="5" t="n">
        <v>0</v>
      </c>
      <c r="Z239" s="0" t="n">
        <v>0</v>
      </c>
      <c r="AA239" s="0" t="n">
        <v>0</v>
      </c>
      <c r="AB239" s="0" t="n">
        <v>0</v>
      </c>
      <c r="AC239" s="4" t="s">
        <v>75</v>
      </c>
      <c r="AD239" s="4" t="s">
        <v>228</v>
      </c>
      <c r="AE239" s="4" t="s">
        <v>1004</v>
      </c>
      <c r="AF239" s="4" t="s">
        <v>1008</v>
      </c>
      <c r="AG239" s="5" t="n">
        <v>0.157013888888889</v>
      </c>
      <c r="AH239" s="5" t="n">
        <v>0.126111111111111</v>
      </c>
      <c r="AI239" s="5" t="n">
        <v>0</v>
      </c>
      <c r="AJ239" s="5" t="n">
        <v>0</v>
      </c>
      <c r="AK239" s="5" t="n">
        <v>0</v>
      </c>
      <c r="AL239" s="5" t="n">
        <v>0</v>
      </c>
      <c r="AM239" s="4" t="s">
        <v>78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4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0</v>
      </c>
      <c r="BK239" s="0" t="n">
        <v>0</v>
      </c>
      <c r="BM239" s="6" t="n">
        <f aca="false">IFERROR(VALUE(F239),"")</f>
        <v>150.06</v>
      </c>
      <c r="BN239" s="6" t="n">
        <f aca="false">IF(R239="-","",IFERROR(VALUE(LEFT(Q239,LEN(Q239)-2)),""))</f>
        <v>68.85</v>
      </c>
      <c r="BO239" s="6" t="n">
        <f aca="false">IF(R239="-","",IFERROR(VALUE(LEFT(R239,LEN(R239)-5)),""))</f>
        <v>2.18</v>
      </c>
      <c r="BP239" s="6" t="n">
        <f aca="false">IF(R239="-","",IFERROR(VALUE(F239),""))</f>
        <v>150.06</v>
      </c>
      <c r="BQ239" s="4" t="n">
        <f aca="false">IF(R239="-",1,0)</f>
        <v>0</v>
      </c>
    </row>
    <row r="240" customFormat="false" ht="15" hidden="false" customHeight="false" outlineLevel="0" collapsed="false">
      <c r="A240" s="0" t="s">
        <v>1009</v>
      </c>
      <c r="B240" s="0" t="s">
        <v>1010</v>
      </c>
      <c r="C240" s="0" t="s">
        <v>70</v>
      </c>
      <c r="D240" s="0" t="s">
        <v>1011</v>
      </c>
      <c r="E240" s="3" t="n">
        <v>46273</v>
      </c>
      <c r="F240" s="4" t="s">
        <v>1012</v>
      </c>
      <c r="G240" s="5" t="n">
        <v>0.343171296296296</v>
      </c>
      <c r="H240" s="5" t="n">
        <v>0.294953703703704</v>
      </c>
      <c r="I240" s="5" t="n">
        <v>8.10185185185185E-005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5" t="n">
        <v>0</v>
      </c>
      <c r="P240" s="5" t="n">
        <v>0.0351041666666667</v>
      </c>
      <c r="Q240" s="4" t="s">
        <v>1013</v>
      </c>
      <c r="R240" s="4" t="s">
        <v>1014</v>
      </c>
      <c r="S240" s="5" t="n">
        <v>0.000231481481481482</v>
      </c>
      <c r="T240" s="5" t="n">
        <v>0.152314814814815</v>
      </c>
      <c r="U240" s="5" t="n">
        <v>0.150925925925926</v>
      </c>
      <c r="V240" s="5" t="n">
        <v>0.00972222222222222</v>
      </c>
      <c r="W240" s="5" t="n">
        <v>0</v>
      </c>
      <c r="X240" s="5" t="n">
        <v>0</v>
      </c>
      <c r="Y240" s="5" t="n">
        <v>0</v>
      </c>
      <c r="Z240" s="0" t="n">
        <v>0</v>
      </c>
      <c r="AA240" s="0" t="n">
        <v>0</v>
      </c>
      <c r="AB240" s="0" t="n">
        <v>0</v>
      </c>
      <c r="AC240" s="4" t="s">
        <v>81</v>
      </c>
      <c r="AD240" s="4" t="s">
        <v>75</v>
      </c>
      <c r="AE240" s="4" t="s">
        <v>1015</v>
      </c>
      <c r="AF240" s="4" t="s">
        <v>1016</v>
      </c>
      <c r="AG240" s="5" t="n">
        <v>0.257152777777778</v>
      </c>
      <c r="AH240" s="5" t="n">
        <v>0.21625</v>
      </c>
      <c r="AI240" s="5" t="n">
        <v>0</v>
      </c>
      <c r="AJ240" s="5" t="n">
        <v>0</v>
      </c>
      <c r="AK240" s="5" t="n">
        <v>0</v>
      </c>
      <c r="AL240" s="5" t="n">
        <v>0</v>
      </c>
      <c r="AM240" s="4" t="s">
        <v>78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2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M240" s="6" t="n">
        <f aca="false">IFERROR(VALUE(F240),"")</f>
        <v>208.99</v>
      </c>
      <c r="BN240" s="6" t="n">
        <f aca="false">IF(R240="-","",IFERROR(VALUE(LEFT(Q240,LEN(Q240)-2)),""))</f>
        <v>39.94</v>
      </c>
      <c r="BO240" s="6" t="n">
        <f aca="false">IF(R240="-","",IFERROR(VALUE(LEFT(R240,LEN(R240)-5)),""))</f>
        <v>5.23</v>
      </c>
      <c r="BP240" s="6" t="n">
        <f aca="false">IF(R240="-","",IFERROR(VALUE(F240),""))</f>
        <v>208.99</v>
      </c>
      <c r="BQ240" s="4" t="n">
        <f aca="false">IF(R240="-",1,0)</f>
        <v>0</v>
      </c>
    </row>
    <row r="241" customFormat="false" ht="15" hidden="false" customHeight="false" outlineLevel="0" collapsed="false">
      <c r="A241" s="0" t="s">
        <v>1009</v>
      </c>
      <c r="B241" s="0" t="s">
        <v>1010</v>
      </c>
      <c r="C241" s="0" t="s">
        <v>70</v>
      </c>
      <c r="D241" s="0" t="s">
        <v>1017</v>
      </c>
      <c r="E241" s="3" t="n">
        <v>46274</v>
      </c>
      <c r="F241" s="4" t="s">
        <v>1018</v>
      </c>
      <c r="G241" s="5" t="n">
        <v>0.30818287037037</v>
      </c>
      <c r="H241" s="5" t="n">
        <v>0.302800925925926</v>
      </c>
      <c r="I241" s="5" t="n">
        <v>3.47222222222222E-005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5" t="n">
        <v>0</v>
      </c>
      <c r="P241" s="5" t="n">
        <v>0.00697916666666667</v>
      </c>
      <c r="Q241" s="4" t="s">
        <v>1019</v>
      </c>
      <c r="R241" s="4" t="s">
        <v>1020</v>
      </c>
      <c r="S241" s="5" t="n">
        <v>0</v>
      </c>
      <c r="T241" s="5" t="n">
        <v>0.146296296296296</v>
      </c>
      <c r="U241" s="5" t="n">
        <v>0.144675925925926</v>
      </c>
      <c r="V241" s="5" t="n">
        <v>0.0122685185185185</v>
      </c>
      <c r="W241" s="5" t="n">
        <v>0</v>
      </c>
      <c r="X241" s="5" t="n">
        <v>0</v>
      </c>
      <c r="Y241" s="5" t="n">
        <v>0</v>
      </c>
      <c r="Z241" s="0" t="n">
        <v>0</v>
      </c>
      <c r="AA241" s="0" t="n">
        <v>0</v>
      </c>
      <c r="AB241" s="0" t="n">
        <v>0</v>
      </c>
      <c r="AC241" s="4" t="s">
        <v>75</v>
      </c>
      <c r="AD241" s="4" t="s">
        <v>228</v>
      </c>
      <c r="AE241" s="4" t="s">
        <v>1016</v>
      </c>
      <c r="AF241" s="4" t="s">
        <v>1021</v>
      </c>
      <c r="AG241" s="5" t="n">
        <v>0.260381944444445</v>
      </c>
      <c r="AH241" s="5" t="n">
        <v>0.114236111111111</v>
      </c>
      <c r="AI241" s="5" t="n">
        <v>0</v>
      </c>
      <c r="AJ241" s="5" t="n">
        <v>0</v>
      </c>
      <c r="AK241" s="5" t="n">
        <v>0</v>
      </c>
      <c r="AL241" s="5" t="n">
        <v>0</v>
      </c>
      <c r="AM241" s="4" t="s">
        <v>78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1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M241" s="6" t="n">
        <f aca="false">IFERROR(VALUE(F241),"")</f>
        <v>208.77</v>
      </c>
      <c r="BN241" s="6" t="n">
        <f aca="false">IF(R241="-","",IFERROR(VALUE(LEFT(Q241,LEN(Q241)-2)),""))</f>
        <v>39.18</v>
      </c>
      <c r="BO241" s="6" t="n">
        <f aca="false">IF(R241="-","",IFERROR(VALUE(LEFT(R241,LEN(R241)-5)),""))</f>
        <v>5.33</v>
      </c>
      <c r="BP241" s="6" t="n">
        <f aca="false">IF(R241="-","",IFERROR(VALUE(F241),""))</f>
        <v>208.77</v>
      </c>
      <c r="BQ241" s="4" t="n">
        <f aca="false">IF(R241="-",1,0)</f>
        <v>0</v>
      </c>
    </row>
    <row r="242" customFormat="false" ht="15" hidden="false" customHeight="false" outlineLevel="0" collapsed="false">
      <c r="A242" s="0" t="s">
        <v>1009</v>
      </c>
      <c r="B242" s="0" t="s">
        <v>1010</v>
      </c>
      <c r="C242" s="0" t="s">
        <v>70</v>
      </c>
      <c r="D242" s="0" t="s">
        <v>1022</v>
      </c>
      <c r="E242" s="3" t="n">
        <v>46275</v>
      </c>
      <c r="F242" s="4" t="s">
        <v>1023</v>
      </c>
      <c r="G242" s="5" t="n">
        <v>0.610474537037037</v>
      </c>
      <c r="H242" s="5" t="n">
        <v>0.315902777777778</v>
      </c>
      <c r="I242" s="5" t="n">
        <v>0.000162037037037037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5" t="n">
        <v>0</v>
      </c>
      <c r="P242" s="5" t="n">
        <v>0.0143055555555556</v>
      </c>
      <c r="Q242" s="4" t="s">
        <v>1024</v>
      </c>
      <c r="R242" s="4" t="s">
        <v>1025</v>
      </c>
      <c r="S242" s="5" t="n">
        <v>0.000462962962962963</v>
      </c>
      <c r="T242" s="5" t="n">
        <v>0.157523148148148</v>
      </c>
      <c r="U242" s="5" t="n">
        <v>0.258796296296296</v>
      </c>
      <c r="V242" s="5" t="n">
        <v>0.148032407407407</v>
      </c>
      <c r="W242" s="5" t="n">
        <v>0</v>
      </c>
      <c r="X242" s="5" t="n">
        <v>0</v>
      </c>
      <c r="Y242" s="5" t="n">
        <v>0</v>
      </c>
      <c r="Z242" s="0" t="n">
        <v>0</v>
      </c>
      <c r="AA242" s="0" t="n">
        <v>0</v>
      </c>
      <c r="AB242" s="0" t="n">
        <v>0</v>
      </c>
      <c r="AC242" s="4" t="s">
        <v>228</v>
      </c>
      <c r="AD242" s="4" t="s">
        <v>1026</v>
      </c>
      <c r="AE242" s="4" t="s">
        <v>1021</v>
      </c>
      <c r="AF242" s="4" t="s">
        <v>1027</v>
      </c>
      <c r="AG242" s="5" t="n">
        <v>0.490914351851852</v>
      </c>
      <c r="AH242" s="5" t="n">
        <v>0.297233796296296</v>
      </c>
      <c r="AI242" s="5" t="n">
        <v>0</v>
      </c>
      <c r="AJ242" s="5" t="n">
        <v>0</v>
      </c>
      <c r="AK242" s="5" t="n">
        <v>0</v>
      </c>
      <c r="AL242" s="5" t="n">
        <v>0</v>
      </c>
      <c r="AM242" s="4" t="s">
        <v>78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9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M242" s="6" t="n">
        <f aca="false">IFERROR(VALUE(F242),"")</f>
        <v>687</v>
      </c>
      <c r="BN242" s="6" t="n">
        <f aca="false">IF(R242="-","",IFERROR(VALUE(LEFT(Q242,LEN(Q242)-2)),""))</f>
        <v>106.99</v>
      </c>
      <c r="BO242" s="6" t="n">
        <f aca="false">IF(R242="-","",IFERROR(VALUE(LEFT(R242,LEN(R242)-5)),""))</f>
        <v>6.42</v>
      </c>
      <c r="BP242" s="6" t="n">
        <f aca="false">IF(R242="-","",IFERROR(VALUE(F242),""))</f>
        <v>687</v>
      </c>
      <c r="BQ242" s="4" t="n">
        <f aca="false">IF(R242="-",1,0)</f>
        <v>0</v>
      </c>
    </row>
    <row r="243" customFormat="false" ht="15" hidden="false" customHeight="false" outlineLevel="0" collapsed="false">
      <c r="A243" s="0" t="s">
        <v>1009</v>
      </c>
      <c r="B243" s="0" t="s">
        <v>1010</v>
      </c>
      <c r="C243" s="0" t="s">
        <v>70</v>
      </c>
      <c r="D243" s="0" t="s">
        <v>1028</v>
      </c>
      <c r="E243" s="3" t="n">
        <v>46276</v>
      </c>
      <c r="F243" s="4" t="s">
        <v>1029</v>
      </c>
      <c r="G243" s="5" t="n">
        <v>0.606631944444445</v>
      </c>
      <c r="H243" s="5" t="n">
        <v>0.601423611111111</v>
      </c>
      <c r="I243" s="5" t="n">
        <v>0.000127314814814815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3</v>
      </c>
      <c r="O243" s="5" t="n">
        <v>0</v>
      </c>
      <c r="P243" s="5" t="n">
        <v>0</v>
      </c>
      <c r="Q243" s="4" t="s">
        <v>1030</v>
      </c>
      <c r="R243" s="4" t="s">
        <v>1031</v>
      </c>
      <c r="S243" s="5" t="n">
        <v>0.000462962962962963</v>
      </c>
      <c r="T243" s="5" t="n">
        <v>0.128935185185185</v>
      </c>
      <c r="U243" s="5" t="n">
        <v>0.254050925925926</v>
      </c>
      <c r="V243" s="5" t="n">
        <v>0.153009259259259</v>
      </c>
      <c r="W243" s="5" t="n">
        <v>0</v>
      </c>
      <c r="X243" s="5" t="n">
        <v>0</v>
      </c>
      <c r="Y243" s="5" t="n">
        <v>0</v>
      </c>
      <c r="Z243" s="0" t="n">
        <v>0</v>
      </c>
      <c r="AA243" s="0" t="n">
        <v>0</v>
      </c>
      <c r="AB243" s="0" t="n">
        <v>0</v>
      </c>
      <c r="AC243" s="4" t="s">
        <v>1026</v>
      </c>
      <c r="AD243" s="4" t="s">
        <v>228</v>
      </c>
      <c r="AE243" s="4" t="s">
        <v>1027</v>
      </c>
      <c r="AF243" s="4" t="s">
        <v>1032</v>
      </c>
      <c r="AG243" s="5" t="n">
        <v>0.495162037037037</v>
      </c>
      <c r="AH243" s="5" t="n">
        <v>0.137314814814815</v>
      </c>
      <c r="AI243" s="5" t="n">
        <v>0</v>
      </c>
      <c r="AJ243" s="5" t="n">
        <v>0</v>
      </c>
      <c r="AK243" s="5" t="n">
        <v>0</v>
      </c>
      <c r="AL243" s="5" t="n">
        <v>0</v>
      </c>
      <c r="AM243" s="4" t="s">
        <v>78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1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M243" s="6" t="n">
        <f aca="false">IFERROR(VALUE(F243),"")</f>
        <v>683.05</v>
      </c>
      <c r="BN243" s="6" t="n">
        <f aca="false">IF(R243="-","",IFERROR(VALUE(LEFT(Q243,LEN(Q243)-2)),""))</f>
        <v>108.76</v>
      </c>
      <c r="BO243" s="6" t="n">
        <f aca="false">IF(R243="-","",IFERROR(VALUE(LEFT(R243,LEN(R243)-5)),""))</f>
        <v>6.28</v>
      </c>
      <c r="BP243" s="6" t="n">
        <f aca="false">IF(R243="-","",IFERROR(VALUE(F243),""))</f>
        <v>683.05</v>
      </c>
      <c r="BQ243" s="4" t="n">
        <f aca="false">IF(R243="-",1,0)</f>
        <v>0</v>
      </c>
    </row>
    <row r="244" customFormat="false" ht="15" hidden="false" customHeight="false" outlineLevel="0" collapsed="false">
      <c r="A244" s="0" t="s">
        <v>1009</v>
      </c>
      <c r="B244" s="0" t="s">
        <v>1010</v>
      </c>
      <c r="C244" s="0" t="s">
        <v>70</v>
      </c>
      <c r="D244" s="0" t="s">
        <v>1033</v>
      </c>
      <c r="E244" s="3" t="n">
        <v>46277</v>
      </c>
      <c r="F244" s="4" t="s">
        <v>1034</v>
      </c>
      <c r="G244" s="5" t="n">
        <v>0.285983796296296</v>
      </c>
      <c r="H244" s="5" t="n">
        <v>0.243634259259259</v>
      </c>
      <c r="I244" s="5" t="n">
        <v>0.00488425925925926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14</v>
      </c>
      <c r="O244" s="5" t="n">
        <v>0</v>
      </c>
      <c r="P244" s="5" t="n">
        <v>0.0371759259259259</v>
      </c>
      <c r="Q244" s="4" t="s">
        <v>1035</v>
      </c>
      <c r="R244" s="4" t="s">
        <v>1036</v>
      </c>
      <c r="S244" s="5" t="n">
        <v>0.000231481481481482</v>
      </c>
      <c r="T244" s="5" t="n">
        <v>0.103587962962963</v>
      </c>
      <c r="U244" s="5" t="n">
        <v>0.0886574074074074</v>
      </c>
      <c r="V244" s="5" t="n">
        <v>0.0864583333333333</v>
      </c>
      <c r="W244" s="5" t="n">
        <v>0</v>
      </c>
      <c r="X244" s="5" t="n">
        <v>0</v>
      </c>
      <c r="Y244" s="5" t="n">
        <v>0</v>
      </c>
      <c r="Z244" s="0" t="n">
        <v>0</v>
      </c>
      <c r="AA244" s="0" t="n">
        <v>0</v>
      </c>
      <c r="AB244" s="0" t="n">
        <v>0</v>
      </c>
      <c r="AC244" s="4" t="s">
        <v>228</v>
      </c>
      <c r="AD244" s="4" t="s">
        <v>432</v>
      </c>
      <c r="AE244" s="4" t="s">
        <v>1032</v>
      </c>
      <c r="AF244" s="4" t="s">
        <v>1037</v>
      </c>
      <c r="AG244" s="5" t="n">
        <v>0.205810185185185</v>
      </c>
      <c r="AH244" s="5" t="n">
        <v>0.188715277777778</v>
      </c>
      <c r="AI244" s="5" t="n">
        <v>0</v>
      </c>
      <c r="AJ244" s="5" t="n">
        <v>0</v>
      </c>
      <c r="AK244" s="5" t="n">
        <v>0</v>
      </c>
      <c r="AL244" s="5" t="n">
        <v>0</v>
      </c>
      <c r="AM244" s="4" t="s">
        <v>78</v>
      </c>
      <c r="AN244" s="0" t="n">
        <v>0</v>
      </c>
      <c r="AO244" s="0" t="n">
        <v>1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7</v>
      </c>
      <c r="AV244" s="0" t="n">
        <v>0</v>
      </c>
      <c r="AW244" s="0" t="n">
        <v>1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0</v>
      </c>
      <c r="BI244" s="0" t="n">
        <v>0</v>
      </c>
      <c r="BJ244" s="0" t="n">
        <v>0</v>
      </c>
      <c r="BK244" s="0" t="n">
        <v>0</v>
      </c>
      <c r="BM244" s="6" t="n">
        <f aca="false">IFERROR(VALUE(F244),"")</f>
        <v>294.3</v>
      </c>
      <c r="BN244" s="6" t="n">
        <f aca="false">IF(R244="-","",IFERROR(VALUE(LEFT(Q244,LEN(Q244)-2)),""))</f>
        <v>50</v>
      </c>
      <c r="BO244" s="6" t="n">
        <f aca="false">IF(R244="-","",IFERROR(VALUE(LEFT(R244,LEN(R244)-5)),""))</f>
        <v>5.89</v>
      </c>
      <c r="BP244" s="6" t="n">
        <f aca="false">IF(R244="-","",IFERROR(VALUE(F244),""))</f>
        <v>294.3</v>
      </c>
      <c r="BQ244" s="4" t="n">
        <f aca="false">IF(R244="-",1,0)</f>
        <v>0</v>
      </c>
    </row>
    <row r="245" customFormat="false" ht="15" hidden="false" customHeight="false" outlineLevel="0" collapsed="false">
      <c r="A245" s="0" t="s">
        <v>1009</v>
      </c>
      <c r="B245" s="0" t="s">
        <v>1010</v>
      </c>
      <c r="C245" s="0" t="s">
        <v>70</v>
      </c>
      <c r="D245" s="0" t="s">
        <v>1038</v>
      </c>
      <c r="E245" s="3" t="n">
        <v>46279</v>
      </c>
      <c r="F245" s="4" t="s">
        <v>1039</v>
      </c>
      <c r="G245" s="5" t="n">
        <v>0.371296296296296</v>
      </c>
      <c r="H245" s="5" t="n">
        <v>0.371296296296296</v>
      </c>
      <c r="I245" s="5" t="n">
        <v>0.00229166666666667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5" t="n">
        <v>0</v>
      </c>
      <c r="P245" s="5" t="n">
        <v>0.0170601851851852</v>
      </c>
      <c r="Q245" s="4" t="s">
        <v>1040</v>
      </c>
      <c r="R245" s="4" t="s">
        <v>1041</v>
      </c>
      <c r="S245" s="5" t="n">
        <v>0</v>
      </c>
      <c r="T245" s="5" t="n">
        <v>0.109490740740741</v>
      </c>
      <c r="U245" s="5" t="n">
        <v>0.169675925925926</v>
      </c>
      <c r="V245" s="5" t="n">
        <v>0.0850694444444445</v>
      </c>
      <c r="W245" s="5" t="n">
        <v>0.000115740740740741</v>
      </c>
      <c r="X245" s="5" t="n">
        <v>0</v>
      </c>
      <c r="Y245" s="5" t="n">
        <v>0</v>
      </c>
      <c r="Z245" s="0" t="n">
        <v>0</v>
      </c>
      <c r="AA245" s="0" t="n">
        <v>0</v>
      </c>
      <c r="AB245" s="0" t="n">
        <v>0</v>
      </c>
      <c r="AC245" s="4" t="s">
        <v>432</v>
      </c>
      <c r="AD245" s="4" t="s">
        <v>421</v>
      </c>
      <c r="AE245" s="4" t="s">
        <v>1037</v>
      </c>
      <c r="AF245" s="4" t="s">
        <v>1042</v>
      </c>
      <c r="AG245" s="5" t="n">
        <v>0.317025462962963</v>
      </c>
      <c r="AH245" s="5" t="n">
        <v>0.108645833333333</v>
      </c>
      <c r="AI245" s="5" t="n">
        <v>0</v>
      </c>
      <c r="AJ245" s="5" t="n">
        <v>0</v>
      </c>
      <c r="AK245" s="5" t="n">
        <v>0</v>
      </c>
      <c r="AL245" s="5" t="n">
        <v>0</v>
      </c>
      <c r="AM245" s="4" t="s">
        <v>78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1</v>
      </c>
      <c r="AV245" s="0" t="n">
        <v>0</v>
      </c>
      <c r="AW245" s="0" t="n">
        <v>1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0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M245" s="6" t="n">
        <f aca="false">IFERROR(VALUE(F245),"")</f>
        <v>394.96</v>
      </c>
      <c r="BN245" s="6" t="n">
        <f aca="false">IF(R245="-","",IFERROR(VALUE(LEFT(Q245,LEN(Q245)-2)),""))</f>
        <v>71.6</v>
      </c>
      <c r="BO245" s="6" t="n">
        <f aca="false">IF(R245="-","",IFERROR(VALUE(LEFT(R245,LEN(R245)-5)),""))</f>
        <v>5.52</v>
      </c>
      <c r="BP245" s="6" t="n">
        <f aca="false">IF(R245="-","",IFERROR(VALUE(F245),""))</f>
        <v>394.96</v>
      </c>
      <c r="BQ245" s="4" t="n">
        <f aca="false">IF(R245="-",1,0)</f>
        <v>0</v>
      </c>
    </row>
    <row r="246" customFormat="false" ht="15" hidden="false" customHeight="false" outlineLevel="0" collapsed="false">
      <c r="A246" s="0" t="s">
        <v>1043</v>
      </c>
      <c r="B246" s="0" t="s">
        <v>1044</v>
      </c>
      <c r="C246" s="0" t="s">
        <v>70</v>
      </c>
      <c r="D246" s="0" t="s">
        <v>1045</v>
      </c>
      <c r="E246" s="3" t="n">
        <v>46273</v>
      </c>
      <c r="F246" s="4" t="s">
        <v>1046</v>
      </c>
      <c r="G246" s="5" t="n">
        <v>0.277256944444444</v>
      </c>
      <c r="H246" s="5" t="n">
        <v>0.262581018518519</v>
      </c>
      <c r="I246" s="5" t="n">
        <v>0.000636574074074074</v>
      </c>
      <c r="J246" s="0" t="n">
        <v>0</v>
      </c>
      <c r="K246" s="0" t="n">
        <v>3</v>
      </c>
      <c r="L246" s="0" t="n">
        <v>0</v>
      </c>
      <c r="M246" s="0" t="n">
        <v>0</v>
      </c>
      <c r="N246" s="0" t="n">
        <v>0</v>
      </c>
      <c r="O246" s="5" t="n">
        <v>0</v>
      </c>
      <c r="P246" s="5" t="n">
        <v>0</v>
      </c>
      <c r="Q246" s="4" t="s">
        <v>1047</v>
      </c>
      <c r="R246" s="4" t="s">
        <v>391</v>
      </c>
      <c r="S246" s="5" t="n">
        <v>0.000462962962962963</v>
      </c>
      <c r="T246" s="5" t="n">
        <v>0.109837962962963</v>
      </c>
      <c r="U246" s="5" t="n">
        <v>0.131481481481482</v>
      </c>
      <c r="V246" s="5" t="n">
        <v>0.0299768518518519</v>
      </c>
      <c r="W246" s="5" t="n">
        <v>0.000115740740740741</v>
      </c>
      <c r="X246" s="5" t="n">
        <v>0</v>
      </c>
      <c r="Y246" s="5" t="n">
        <v>0</v>
      </c>
      <c r="Z246" s="0" t="n">
        <v>0</v>
      </c>
      <c r="AA246" s="0" t="n">
        <v>0</v>
      </c>
      <c r="AB246" s="0" t="n">
        <v>0</v>
      </c>
      <c r="AC246" s="4" t="s">
        <v>228</v>
      </c>
      <c r="AD246" s="4" t="s">
        <v>828</v>
      </c>
      <c r="AE246" s="4" t="s">
        <v>1048</v>
      </c>
      <c r="AF246" s="4" t="s">
        <v>1049</v>
      </c>
      <c r="AG246" s="5" t="n">
        <v>0.247928240740741</v>
      </c>
      <c r="AH246" s="5" t="n">
        <v>0.0524884259259259</v>
      </c>
      <c r="AI246" s="5" t="n">
        <v>0.00240740740740741</v>
      </c>
      <c r="AJ246" s="5" t="n">
        <v>0</v>
      </c>
      <c r="AK246" s="5" t="n">
        <v>0</v>
      </c>
      <c r="AL246" s="5" t="n">
        <v>0</v>
      </c>
      <c r="AM246" s="4" t="s">
        <v>78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0</v>
      </c>
      <c r="BM246" s="6" t="n">
        <f aca="false">IFERROR(VALUE(F246),"")</f>
        <v>212.82</v>
      </c>
      <c r="BN246" s="6" t="n">
        <f aca="false">IF(R246="-","",IFERROR(VALUE(LEFT(Q246,LEN(Q246)-2)),""))</f>
        <v>70.63</v>
      </c>
      <c r="BO246" s="6" t="n">
        <f aca="false">IF(R246="-","",IFERROR(VALUE(LEFT(R246,LEN(R246)-5)),""))</f>
        <v>3.01</v>
      </c>
      <c r="BP246" s="6" t="n">
        <f aca="false">IF(R246="-","",IFERROR(VALUE(F246),""))</f>
        <v>212.82</v>
      </c>
      <c r="BQ246" s="4" t="n">
        <f aca="false">IF(R246="-",1,0)</f>
        <v>0</v>
      </c>
    </row>
    <row r="247" customFormat="false" ht="15" hidden="false" customHeight="false" outlineLevel="0" collapsed="false">
      <c r="A247" s="0" t="s">
        <v>1043</v>
      </c>
      <c r="B247" s="0" t="s">
        <v>1044</v>
      </c>
      <c r="C247" s="0" t="s">
        <v>70</v>
      </c>
      <c r="D247" s="0" t="s">
        <v>1050</v>
      </c>
      <c r="E247" s="3" t="n">
        <v>46274</v>
      </c>
      <c r="F247" s="4" t="s">
        <v>1051</v>
      </c>
      <c r="G247" s="5" t="n">
        <v>0.525266203703704</v>
      </c>
      <c r="H247" s="5" t="n">
        <v>0.480775462962963</v>
      </c>
      <c r="I247" s="5" t="n">
        <v>0.000173611111111111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5" t="n">
        <v>0</v>
      </c>
      <c r="P247" s="5" t="n">
        <v>0.0150810185185185</v>
      </c>
      <c r="Q247" s="4" t="s">
        <v>1052</v>
      </c>
      <c r="R247" s="4" t="s">
        <v>385</v>
      </c>
      <c r="S247" s="5" t="n">
        <v>0</v>
      </c>
      <c r="T247" s="5" t="n">
        <v>0.202546296296296</v>
      </c>
      <c r="U247" s="5" t="n">
        <v>0.194675925925926</v>
      </c>
      <c r="V247" s="5" t="n">
        <v>0.120601851851852</v>
      </c>
      <c r="W247" s="5" t="n">
        <v>0.000115740740740741</v>
      </c>
      <c r="X247" s="5" t="n">
        <v>0</v>
      </c>
      <c r="Y247" s="5" t="n">
        <v>0</v>
      </c>
      <c r="Z247" s="0" t="n">
        <v>0</v>
      </c>
      <c r="AA247" s="0" t="n">
        <v>0</v>
      </c>
      <c r="AB247" s="0" t="n">
        <v>0</v>
      </c>
      <c r="AC247" s="4" t="s">
        <v>828</v>
      </c>
      <c r="AD247" s="4" t="s">
        <v>882</v>
      </c>
      <c r="AE247" s="4" t="s">
        <v>1049</v>
      </c>
      <c r="AF247" s="4" t="s">
        <v>1053</v>
      </c>
      <c r="AG247" s="5" t="n">
        <v>0.430509259259259</v>
      </c>
      <c r="AH247" s="5" t="n">
        <v>0.169398148148148</v>
      </c>
      <c r="AI247" s="5" t="n">
        <v>0.00877314814814815</v>
      </c>
      <c r="AJ247" s="5" t="n">
        <v>0</v>
      </c>
      <c r="AK247" s="5" t="n">
        <v>0</v>
      </c>
      <c r="AL247" s="5" t="n">
        <v>0</v>
      </c>
      <c r="AM247" s="4" t="s">
        <v>78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0</v>
      </c>
      <c r="BF247" s="0" t="n">
        <v>0</v>
      </c>
      <c r="BG247" s="0" t="n">
        <v>0</v>
      </c>
      <c r="BH247" s="0" t="n">
        <v>0</v>
      </c>
      <c r="BI247" s="0" t="n">
        <v>0</v>
      </c>
      <c r="BJ247" s="0" t="n">
        <v>0</v>
      </c>
      <c r="BK247" s="0" t="n">
        <v>0</v>
      </c>
      <c r="BM247" s="6" t="n">
        <f aca="false">IFERROR(VALUE(F247),"")</f>
        <v>437.74</v>
      </c>
      <c r="BN247" s="6" t="n">
        <f aca="false">IF(R247="-","",IFERROR(VALUE(LEFT(Q247,LEN(Q247)-2)),""))</f>
        <v>150.52</v>
      </c>
      <c r="BO247" s="6" t="n">
        <f aca="false">IF(R247="-","",IFERROR(VALUE(LEFT(R247,LEN(R247)-5)),""))</f>
        <v>2.91</v>
      </c>
      <c r="BP247" s="6" t="n">
        <f aca="false">IF(R247="-","",IFERROR(VALUE(F247),""))</f>
        <v>437.74</v>
      </c>
      <c r="BQ247" s="4" t="n">
        <f aca="false">IF(R247="-",1,0)</f>
        <v>0</v>
      </c>
    </row>
    <row r="248" customFormat="false" ht="15" hidden="false" customHeight="false" outlineLevel="0" collapsed="false">
      <c r="A248" s="0" t="s">
        <v>1043</v>
      </c>
      <c r="B248" s="0" t="s">
        <v>1044</v>
      </c>
      <c r="C248" s="0" t="s">
        <v>70</v>
      </c>
      <c r="D248" s="0" t="s">
        <v>1054</v>
      </c>
      <c r="E248" s="3" t="n">
        <v>46275</v>
      </c>
      <c r="F248" s="4" t="s">
        <v>1055</v>
      </c>
      <c r="G248" s="5" t="n">
        <v>0.4421875</v>
      </c>
      <c r="H248" s="5" t="n">
        <v>0.380775462962963</v>
      </c>
      <c r="I248" s="5" t="n">
        <v>0.000775462962962963</v>
      </c>
      <c r="J248" s="0" t="n">
        <v>0</v>
      </c>
      <c r="K248" s="0" t="n">
        <v>2</v>
      </c>
      <c r="L248" s="0" t="n">
        <v>0</v>
      </c>
      <c r="M248" s="0" t="n">
        <v>0</v>
      </c>
      <c r="N248" s="0" t="n">
        <v>2</v>
      </c>
      <c r="O248" s="5" t="n">
        <v>0</v>
      </c>
      <c r="P248" s="5" t="n">
        <v>0.0071875</v>
      </c>
      <c r="Q248" s="4" t="s">
        <v>1056</v>
      </c>
      <c r="R248" s="4" t="s">
        <v>921</v>
      </c>
      <c r="S248" s="5" t="n">
        <v>0.000231481481481482</v>
      </c>
      <c r="T248" s="5" t="n">
        <v>0.131018518518519</v>
      </c>
      <c r="U248" s="5" t="n">
        <v>0.161226851851852</v>
      </c>
      <c r="V248" s="5" t="n">
        <v>0.111921296296296</v>
      </c>
      <c r="W248" s="5" t="n">
        <v>0</v>
      </c>
      <c r="X248" s="5" t="n">
        <v>0</v>
      </c>
      <c r="Y248" s="5" t="n">
        <v>0</v>
      </c>
      <c r="Z248" s="0" t="n">
        <v>0</v>
      </c>
      <c r="AA248" s="0" t="n">
        <v>0</v>
      </c>
      <c r="AB248" s="0" t="n">
        <v>0</v>
      </c>
      <c r="AC248" s="4" t="s">
        <v>887</v>
      </c>
      <c r="AD248" s="4" t="s">
        <v>208</v>
      </c>
      <c r="AE248" s="4" t="s">
        <v>1053</v>
      </c>
      <c r="AF248" s="4" t="s">
        <v>1057</v>
      </c>
      <c r="AG248" s="5" t="n">
        <v>0.349016203703704</v>
      </c>
      <c r="AH248" s="5" t="n">
        <v>0.17869212962963</v>
      </c>
      <c r="AI248" s="5" t="n">
        <v>0.00326388888888889</v>
      </c>
      <c r="AJ248" s="5" t="n">
        <v>0</v>
      </c>
      <c r="AK248" s="5" t="n">
        <v>0</v>
      </c>
      <c r="AL248" s="5" t="n">
        <v>0</v>
      </c>
      <c r="AM248" s="4" t="s">
        <v>78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0</v>
      </c>
      <c r="BI248" s="0" t="n">
        <v>0</v>
      </c>
      <c r="BJ248" s="0" t="n">
        <v>0</v>
      </c>
      <c r="BK248" s="0" t="n">
        <v>0</v>
      </c>
      <c r="BM248" s="6" t="n">
        <f aca="false">IFERROR(VALUE(F248),"")</f>
        <v>388.6</v>
      </c>
      <c r="BN248" s="6" t="n">
        <f aca="false">IF(R248="-","",IFERROR(VALUE(LEFT(Q248,LEN(Q248)-2)),""))</f>
        <v>127.12</v>
      </c>
      <c r="BO248" s="6" t="n">
        <f aca="false">IF(R248="-","",IFERROR(VALUE(LEFT(R248,LEN(R248)-5)),""))</f>
        <v>3.06</v>
      </c>
      <c r="BP248" s="6" t="n">
        <f aca="false">IF(R248="-","",IFERROR(VALUE(F248),""))</f>
        <v>388.6</v>
      </c>
      <c r="BQ248" s="4" t="n">
        <f aca="false">IF(R248="-",1,0)</f>
        <v>0</v>
      </c>
    </row>
    <row r="249" customFormat="false" ht="15" hidden="false" customHeight="false" outlineLevel="0" collapsed="false">
      <c r="A249" s="0" t="s">
        <v>1043</v>
      </c>
      <c r="B249" s="0" t="s">
        <v>1044</v>
      </c>
      <c r="C249" s="0" t="s">
        <v>70</v>
      </c>
      <c r="D249" s="0" t="s">
        <v>1058</v>
      </c>
      <c r="E249" s="3" t="n">
        <v>46276</v>
      </c>
      <c r="F249" s="4" t="s">
        <v>1059</v>
      </c>
      <c r="G249" s="5" t="n">
        <v>0.287083333333333</v>
      </c>
      <c r="H249" s="5" t="n">
        <v>0.256759259259259</v>
      </c>
      <c r="I249" s="5" t="n">
        <v>0.000347222222222222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5" t="n">
        <v>0</v>
      </c>
      <c r="P249" s="5" t="n">
        <v>0</v>
      </c>
      <c r="Q249" s="4" t="s">
        <v>1060</v>
      </c>
      <c r="R249" s="4" t="s">
        <v>1061</v>
      </c>
      <c r="S249" s="5" t="n">
        <v>0.000115740740740741</v>
      </c>
      <c r="T249" s="5" t="n">
        <v>0.0789351851851852</v>
      </c>
      <c r="U249" s="5" t="n">
        <v>0.13275462962963</v>
      </c>
      <c r="V249" s="5" t="n">
        <v>0.0663194444444444</v>
      </c>
      <c r="W249" s="5" t="n">
        <v>0</v>
      </c>
      <c r="X249" s="5" t="n">
        <v>0</v>
      </c>
      <c r="Y249" s="5" t="n">
        <v>0</v>
      </c>
      <c r="Z249" s="0" t="n">
        <v>0</v>
      </c>
      <c r="AA249" s="0" t="n">
        <v>0</v>
      </c>
      <c r="AB249" s="0" t="n">
        <v>0</v>
      </c>
      <c r="AC249" s="4" t="s">
        <v>208</v>
      </c>
      <c r="AD249" s="4" t="s">
        <v>152</v>
      </c>
      <c r="AE249" s="4" t="s">
        <v>1057</v>
      </c>
      <c r="AF249" s="4" t="s">
        <v>1062</v>
      </c>
      <c r="AG249" s="5" t="n">
        <v>0.247164351851852</v>
      </c>
      <c r="AH249" s="5" t="n">
        <v>0.130798611111111</v>
      </c>
      <c r="AI249" s="5" t="n">
        <v>0.00798611111111111</v>
      </c>
      <c r="AJ249" s="5" t="n">
        <v>0</v>
      </c>
      <c r="AK249" s="5" t="n">
        <v>0</v>
      </c>
      <c r="AL249" s="5" t="n">
        <v>0</v>
      </c>
      <c r="AM249" s="4" t="s">
        <v>78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M249" s="6" t="n">
        <f aca="false">IFERROR(VALUE(F249),"")</f>
        <v>284.08</v>
      </c>
      <c r="BN249" s="6" t="n">
        <f aca="false">IF(R249="-","",IFERROR(VALUE(LEFT(Q249,LEN(Q249)-2)),""))</f>
        <v>93.52</v>
      </c>
      <c r="BO249" s="6" t="n">
        <f aca="false">IF(R249="-","",IFERROR(VALUE(LEFT(R249,LEN(R249)-5)),""))</f>
        <v>3.04</v>
      </c>
      <c r="BP249" s="6" t="n">
        <f aca="false">IF(R249="-","",IFERROR(VALUE(F249),""))</f>
        <v>284.08</v>
      </c>
      <c r="BQ249" s="4" t="n">
        <f aca="false">IF(R249="-",1,0)</f>
        <v>0</v>
      </c>
    </row>
    <row r="250" customFormat="false" ht="15" hidden="false" customHeight="false" outlineLevel="0" collapsed="false">
      <c r="A250" s="0" t="s">
        <v>1043</v>
      </c>
      <c r="B250" s="0" t="s">
        <v>1044</v>
      </c>
      <c r="C250" s="0" t="s">
        <v>70</v>
      </c>
      <c r="D250" s="0" t="s">
        <v>1063</v>
      </c>
      <c r="E250" s="3" t="n">
        <v>46277</v>
      </c>
      <c r="F250" s="4" t="s">
        <v>1064</v>
      </c>
      <c r="G250" s="5" t="n">
        <v>0.245706018518519</v>
      </c>
      <c r="H250" s="5" t="n">
        <v>0.241724537037037</v>
      </c>
      <c r="I250" s="5" t="n">
        <v>0.000219907407407407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5" t="n">
        <v>0</v>
      </c>
      <c r="P250" s="5" t="n">
        <v>0.00697916666666667</v>
      </c>
      <c r="Q250" s="4" t="s">
        <v>1065</v>
      </c>
      <c r="R250" s="4" t="s">
        <v>1066</v>
      </c>
      <c r="S250" s="5" t="n">
        <v>0.000115740740740741</v>
      </c>
      <c r="T250" s="5" t="n">
        <v>0.0686342592592593</v>
      </c>
      <c r="U250" s="5" t="n">
        <v>0.108564814814815</v>
      </c>
      <c r="V250" s="5" t="n">
        <v>0.0607638888888889</v>
      </c>
      <c r="W250" s="5" t="n">
        <v>0</v>
      </c>
      <c r="X250" s="5" t="n">
        <v>0</v>
      </c>
      <c r="Y250" s="5" t="n">
        <v>0</v>
      </c>
      <c r="Z250" s="0" t="n">
        <v>0</v>
      </c>
      <c r="AA250" s="0" t="n">
        <v>0</v>
      </c>
      <c r="AB250" s="0" t="n">
        <v>0</v>
      </c>
      <c r="AC250" s="4" t="s">
        <v>158</v>
      </c>
      <c r="AD250" s="4" t="s">
        <v>208</v>
      </c>
      <c r="AE250" s="4" t="s">
        <v>1062</v>
      </c>
      <c r="AF250" s="4" t="s">
        <v>1067</v>
      </c>
      <c r="AG250" s="5" t="n">
        <v>0.220810185185185</v>
      </c>
      <c r="AH250" s="5" t="n">
        <v>0.0372800925925926</v>
      </c>
      <c r="AI250" s="5" t="n">
        <v>0.00155092592592593</v>
      </c>
      <c r="AJ250" s="5" t="n">
        <v>0</v>
      </c>
      <c r="AK250" s="5" t="n">
        <v>0</v>
      </c>
      <c r="AL250" s="5" t="n">
        <v>0</v>
      </c>
      <c r="AM250" s="4" t="s">
        <v>78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0</v>
      </c>
      <c r="BJ250" s="0" t="n">
        <v>0</v>
      </c>
      <c r="BK250" s="0" t="n">
        <v>0</v>
      </c>
      <c r="BM250" s="6" t="n">
        <f aca="false">IFERROR(VALUE(F250),"")</f>
        <v>279.92</v>
      </c>
      <c r="BN250" s="6" t="n">
        <f aca="false">IF(R250="-","",IFERROR(VALUE(LEFT(Q250,LEN(Q250)-2)),""))</f>
        <v>78.01</v>
      </c>
      <c r="BO250" s="6" t="n">
        <f aca="false">IF(R250="-","",IFERROR(VALUE(LEFT(R250,LEN(R250)-5)),""))</f>
        <v>3.59</v>
      </c>
      <c r="BP250" s="6" t="n">
        <f aca="false">IF(R250="-","",IFERROR(VALUE(F250),""))</f>
        <v>279.92</v>
      </c>
      <c r="BQ250" s="4" t="n">
        <f aca="false">IF(R250="-",1,0)</f>
        <v>0</v>
      </c>
    </row>
    <row r="251" customFormat="false" ht="15" hidden="false" customHeight="false" outlineLevel="0" collapsed="false">
      <c r="A251" s="0" t="s">
        <v>1043</v>
      </c>
      <c r="B251" s="0" t="s">
        <v>1044</v>
      </c>
      <c r="C251" s="0" t="s">
        <v>70</v>
      </c>
      <c r="D251" s="0" t="s">
        <v>1068</v>
      </c>
      <c r="E251" s="3" t="n">
        <v>46278</v>
      </c>
      <c r="F251" s="4" t="s">
        <v>1069</v>
      </c>
      <c r="G251" s="5" t="n">
        <v>0.31412037037037</v>
      </c>
      <c r="H251" s="5" t="n">
        <v>0.274768518518519</v>
      </c>
      <c r="I251" s="5" t="n">
        <v>0.000162037037037037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2</v>
      </c>
      <c r="O251" s="5" t="n">
        <v>0</v>
      </c>
      <c r="P251" s="5" t="n">
        <v>0.017650462962963</v>
      </c>
      <c r="Q251" s="4" t="s">
        <v>1070</v>
      </c>
      <c r="R251" s="4" t="s">
        <v>346</v>
      </c>
      <c r="S251" s="5" t="n">
        <v>0</v>
      </c>
      <c r="T251" s="5" t="n">
        <v>0.111805555555556</v>
      </c>
      <c r="U251" s="5" t="n">
        <v>0.109143518518519</v>
      </c>
      <c r="V251" s="5" t="n">
        <v>0.0672453703703704</v>
      </c>
      <c r="W251" s="5" t="n">
        <v>0</v>
      </c>
      <c r="X251" s="5" t="n">
        <v>0</v>
      </c>
      <c r="Y251" s="5" t="n">
        <v>0</v>
      </c>
      <c r="Z251" s="0" t="n">
        <v>0</v>
      </c>
      <c r="AA251" s="0" t="n">
        <v>0</v>
      </c>
      <c r="AB251" s="0" t="n">
        <v>0</v>
      </c>
      <c r="AC251" s="4" t="s">
        <v>208</v>
      </c>
      <c r="AD251" s="4" t="s">
        <v>152</v>
      </c>
      <c r="AE251" s="4" t="s">
        <v>1067</v>
      </c>
      <c r="AF251" s="4" t="s">
        <v>1071</v>
      </c>
      <c r="AG251" s="5" t="n">
        <v>0.224363425925926</v>
      </c>
      <c r="AH251" s="5" t="n">
        <v>0.203159722222222</v>
      </c>
      <c r="AI251" s="5" t="n">
        <v>0.00613425925925926</v>
      </c>
      <c r="AJ251" s="5" t="n">
        <v>0</v>
      </c>
      <c r="AK251" s="5" t="n">
        <v>0</v>
      </c>
      <c r="AL251" s="5" t="n">
        <v>0</v>
      </c>
      <c r="AM251" s="4" t="s">
        <v>78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M251" s="6" t="n">
        <f aca="false">IFERROR(VALUE(F251),"")</f>
        <v>284.61</v>
      </c>
      <c r="BN251" s="6" t="n">
        <f aca="false">IF(R251="-","",IFERROR(VALUE(LEFT(Q251,LEN(Q251)-2)),""))</f>
        <v>96.09</v>
      </c>
      <c r="BO251" s="6" t="n">
        <f aca="false">IF(R251="-","",IFERROR(VALUE(LEFT(R251,LEN(R251)-5)),""))</f>
        <v>2.96</v>
      </c>
      <c r="BP251" s="6" t="n">
        <f aca="false">IF(R251="-","",IFERROR(VALUE(F251),""))</f>
        <v>284.61</v>
      </c>
      <c r="BQ251" s="4" t="n">
        <f aca="false">IF(R251="-",1,0)</f>
        <v>0</v>
      </c>
    </row>
    <row r="252" customFormat="false" ht="15" hidden="false" customHeight="false" outlineLevel="0" collapsed="false">
      <c r="A252" s="0" t="s">
        <v>1043</v>
      </c>
      <c r="B252" s="0" t="s">
        <v>1044</v>
      </c>
      <c r="C252" s="0" t="s">
        <v>70</v>
      </c>
      <c r="D252" s="0" t="s">
        <v>1072</v>
      </c>
      <c r="E252" s="3" t="n">
        <v>46279</v>
      </c>
      <c r="F252" s="4" t="s">
        <v>1073</v>
      </c>
      <c r="G252" s="5" t="n">
        <v>0.46900462962963</v>
      </c>
      <c r="H252" s="5" t="n">
        <v>0.446053240740741</v>
      </c>
      <c r="I252" s="5" t="n">
        <v>0.000474537037037037</v>
      </c>
      <c r="J252" s="0" t="n">
        <v>0</v>
      </c>
      <c r="K252" s="0" t="n">
        <v>3</v>
      </c>
      <c r="L252" s="0" t="n">
        <v>0</v>
      </c>
      <c r="M252" s="0" t="n">
        <v>0</v>
      </c>
      <c r="N252" s="0" t="n">
        <v>0</v>
      </c>
      <c r="O252" s="5" t="n">
        <v>0</v>
      </c>
      <c r="P252" s="5" t="n">
        <v>0.00800925925925926</v>
      </c>
      <c r="Q252" s="4" t="s">
        <v>1074</v>
      </c>
      <c r="R252" s="4" t="s">
        <v>1075</v>
      </c>
      <c r="S252" s="5" t="n">
        <v>0.000231481481481482</v>
      </c>
      <c r="T252" s="5" t="n">
        <v>0.163541666666667</v>
      </c>
      <c r="U252" s="5" t="n">
        <v>0.183449074074074</v>
      </c>
      <c r="V252" s="5" t="n">
        <v>0.0928240740740741</v>
      </c>
      <c r="W252" s="5" t="n">
        <v>0</v>
      </c>
      <c r="X252" s="5" t="n">
        <v>0</v>
      </c>
      <c r="Y252" s="5" t="n">
        <v>0</v>
      </c>
      <c r="Z252" s="0" t="n">
        <v>0</v>
      </c>
      <c r="AA252" s="0" t="n">
        <v>0</v>
      </c>
      <c r="AB252" s="0" t="n">
        <v>0</v>
      </c>
      <c r="AC252" s="4" t="s">
        <v>158</v>
      </c>
      <c r="AD252" s="4" t="s">
        <v>1076</v>
      </c>
      <c r="AE252" s="4" t="s">
        <v>1071</v>
      </c>
      <c r="AF252" s="4" t="s">
        <v>1077</v>
      </c>
      <c r="AG252" s="5" t="n">
        <v>0.379548611111111</v>
      </c>
      <c r="AH252" s="5" t="n">
        <v>0.168773148148148</v>
      </c>
      <c r="AI252" s="5" t="n">
        <v>0.00484953703703704</v>
      </c>
      <c r="AJ252" s="5" t="n">
        <v>0</v>
      </c>
      <c r="AK252" s="5" t="n">
        <v>0</v>
      </c>
      <c r="AL252" s="5" t="n">
        <v>0</v>
      </c>
      <c r="AM252" s="4" t="s">
        <v>78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n">
        <v>0</v>
      </c>
      <c r="BF252" s="0" t="n">
        <v>0</v>
      </c>
      <c r="BG252" s="0" t="n">
        <v>0</v>
      </c>
      <c r="BH252" s="0" t="n">
        <v>0</v>
      </c>
      <c r="BI252" s="0" t="n">
        <v>0</v>
      </c>
      <c r="BJ252" s="0" t="n">
        <v>0</v>
      </c>
      <c r="BK252" s="0" t="n">
        <v>0</v>
      </c>
      <c r="BM252" s="6" t="n">
        <f aca="false">IFERROR(VALUE(F252),"")</f>
        <v>404.91</v>
      </c>
      <c r="BN252" s="6" t="n">
        <f aca="false">IF(R252="-","",IFERROR(VALUE(LEFT(Q252,LEN(Q252)-2)),""))</f>
        <v>127.73</v>
      </c>
      <c r="BO252" s="6" t="n">
        <f aca="false">IF(R252="-","",IFERROR(VALUE(LEFT(R252,LEN(R252)-5)),""))</f>
        <v>3.17</v>
      </c>
      <c r="BP252" s="6" t="n">
        <f aca="false">IF(R252="-","",IFERROR(VALUE(F252),""))</f>
        <v>404.91</v>
      </c>
      <c r="BQ252" s="4" t="n">
        <f aca="false">IF(R252="-",1,0)</f>
        <v>0</v>
      </c>
    </row>
    <row r="253" customFormat="false" ht="15" hidden="false" customHeight="false" outlineLevel="0" collapsed="false">
      <c r="A253" s="0" t="s">
        <v>1078</v>
      </c>
      <c r="B253" s="0" t="s">
        <v>1079</v>
      </c>
      <c r="C253" s="0" t="s">
        <v>70</v>
      </c>
      <c r="D253" s="0" t="s">
        <v>1080</v>
      </c>
      <c r="E253" s="3" t="n">
        <v>46273</v>
      </c>
      <c r="F253" s="4" t="s">
        <v>1081</v>
      </c>
      <c r="G253" s="5" t="n">
        <v>0.392361111111111</v>
      </c>
      <c r="H253" s="5" t="n">
        <v>0.33125</v>
      </c>
      <c r="I253" s="5" t="n">
        <v>0.00112268518518519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5" t="n">
        <v>0</v>
      </c>
      <c r="P253" s="5" t="n">
        <v>0.0157291666666667</v>
      </c>
      <c r="Q253" s="4" t="s">
        <v>1082</v>
      </c>
      <c r="R253" s="4" t="s">
        <v>1083</v>
      </c>
      <c r="S253" s="5" t="n">
        <v>0.000231481481481482</v>
      </c>
      <c r="T253" s="5" t="n">
        <v>0.167361111111111</v>
      </c>
      <c r="U253" s="5" t="n">
        <v>0.125231481481482</v>
      </c>
      <c r="V253" s="5" t="n">
        <v>0.0737731481481481</v>
      </c>
      <c r="W253" s="5" t="n">
        <v>0.000231481481481482</v>
      </c>
      <c r="X253" s="5" t="n">
        <v>0</v>
      </c>
      <c r="Y253" s="5" t="n">
        <v>0.000115740740740741</v>
      </c>
      <c r="Z253" s="0" t="n">
        <v>0</v>
      </c>
      <c r="AA253" s="0" t="n">
        <v>0</v>
      </c>
      <c r="AB253" s="0" t="n">
        <v>0</v>
      </c>
      <c r="AC253" s="4" t="s">
        <v>770</v>
      </c>
      <c r="AD253" s="4" t="s">
        <v>152</v>
      </c>
      <c r="AE253" s="4" t="s">
        <v>1084</v>
      </c>
      <c r="AF253" s="4" t="s">
        <v>1085</v>
      </c>
      <c r="AG253" s="5" t="n">
        <v>0.293229166666667</v>
      </c>
      <c r="AH253" s="5" t="n">
        <v>0.230752314814815</v>
      </c>
      <c r="AI253" s="5" t="n">
        <v>0</v>
      </c>
      <c r="AJ253" s="5" t="n">
        <v>0</v>
      </c>
      <c r="AK253" s="5" t="n">
        <v>0</v>
      </c>
      <c r="AL253" s="5" t="n">
        <v>0</v>
      </c>
      <c r="AM253" s="4" t="s">
        <v>78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3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M253" s="6" t="n">
        <f aca="false">IFERROR(VALUE(F253),"")</f>
        <v>295.28</v>
      </c>
      <c r="BN253" s="6" t="n">
        <f aca="false">IF(R253="-","",IFERROR(VALUE(LEFT(Q253,LEN(Q253)-2)),""))</f>
        <v>136.13</v>
      </c>
      <c r="BO253" s="6" t="n">
        <f aca="false">IF(R253="-","",IFERROR(VALUE(LEFT(R253,LEN(R253)-5)),""))</f>
        <v>2.17</v>
      </c>
      <c r="BP253" s="6" t="n">
        <f aca="false">IF(R253="-","",IFERROR(VALUE(F253),""))</f>
        <v>295.28</v>
      </c>
      <c r="BQ253" s="4" t="n">
        <f aca="false">IF(R253="-",1,0)</f>
        <v>0</v>
      </c>
    </row>
    <row r="254" customFormat="false" ht="15" hidden="false" customHeight="false" outlineLevel="0" collapsed="false">
      <c r="A254" s="0" t="s">
        <v>1078</v>
      </c>
      <c r="B254" s="0" t="s">
        <v>1079</v>
      </c>
      <c r="C254" s="0" t="s">
        <v>70</v>
      </c>
      <c r="D254" s="0" t="s">
        <v>1086</v>
      </c>
      <c r="E254" s="3" t="n">
        <v>46274</v>
      </c>
      <c r="F254" s="4" t="s">
        <v>1087</v>
      </c>
      <c r="G254" s="5" t="n">
        <v>0.552152777777778</v>
      </c>
      <c r="H254" s="5" t="n">
        <v>0.45650462962963</v>
      </c>
      <c r="I254" s="5" t="n">
        <v>0.00185185185185185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5" t="n">
        <v>0</v>
      </c>
      <c r="P254" s="5" t="n">
        <v>0.0477777777777778</v>
      </c>
      <c r="Q254" s="4" t="s">
        <v>1088</v>
      </c>
      <c r="R254" s="4" t="s">
        <v>1089</v>
      </c>
      <c r="S254" s="5" t="n">
        <v>0.000694444444444445</v>
      </c>
      <c r="T254" s="5" t="n">
        <v>0.203587962962963</v>
      </c>
      <c r="U254" s="5" t="n">
        <v>0.168634259259259</v>
      </c>
      <c r="V254" s="5" t="n">
        <v>0.11712962962963</v>
      </c>
      <c r="W254" s="5" t="n">
        <v>0</v>
      </c>
      <c r="X254" s="5" t="n">
        <v>0</v>
      </c>
      <c r="Y254" s="5" t="n">
        <v>0</v>
      </c>
      <c r="Z254" s="0" t="n">
        <v>0</v>
      </c>
      <c r="AA254" s="0" t="n">
        <v>0</v>
      </c>
      <c r="AB254" s="0" t="n">
        <v>0</v>
      </c>
      <c r="AC254" s="4" t="s">
        <v>152</v>
      </c>
      <c r="AD254" s="4" t="s">
        <v>1090</v>
      </c>
      <c r="AE254" s="4" t="s">
        <v>1085</v>
      </c>
      <c r="AF254" s="4" t="s">
        <v>1091</v>
      </c>
      <c r="AG254" s="5" t="n">
        <v>0.388020833333333</v>
      </c>
      <c r="AH254" s="5" t="n">
        <v>0.245740740740741</v>
      </c>
      <c r="AI254" s="5" t="n">
        <v>0</v>
      </c>
      <c r="AJ254" s="5" t="n">
        <v>0</v>
      </c>
      <c r="AK254" s="5" t="n">
        <v>0</v>
      </c>
      <c r="AL254" s="5" t="n">
        <v>0</v>
      </c>
      <c r="AM254" s="4" t="s">
        <v>78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2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  <c r="BA254" s="0" t="n">
        <v>0</v>
      </c>
      <c r="BB254" s="0" t="n">
        <v>0</v>
      </c>
      <c r="BC254" s="0" t="n">
        <v>0</v>
      </c>
      <c r="BD254" s="0" t="n">
        <v>0</v>
      </c>
      <c r="BE254" s="0" t="n">
        <v>0</v>
      </c>
      <c r="BF254" s="0" t="n">
        <v>0</v>
      </c>
      <c r="BG254" s="0" t="n">
        <v>0</v>
      </c>
      <c r="BH254" s="0" t="n">
        <v>0</v>
      </c>
      <c r="BI254" s="0" t="n">
        <v>0</v>
      </c>
      <c r="BJ254" s="0" t="n">
        <v>0</v>
      </c>
      <c r="BK254" s="0" t="n">
        <v>0</v>
      </c>
      <c r="BM254" s="6" t="n">
        <f aca="false">IFERROR(VALUE(F254),"")</f>
        <v>429.17</v>
      </c>
      <c r="BN254" s="6" t="n">
        <f aca="false">IF(R254="-","",IFERROR(VALUE(LEFT(Q254,LEN(Q254)-2)),""))</f>
        <v>176.78</v>
      </c>
      <c r="BO254" s="6" t="n">
        <f aca="false">IF(R254="-","",IFERROR(VALUE(LEFT(R254,LEN(R254)-5)),""))</f>
        <v>2.43</v>
      </c>
      <c r="BP254" s="6" t="n">
        <f aca="false">IF(R254="-","",IFERROR(VALUE(F254),""))</f>
        <v>429.17</v>
      </c>
      <c r="BQ254" s="4" t="n">
        <f aca="false">IF(R254="-",1,0)</f>
        <v>0</v>
      </c>
    </row>
    <row r="255" customFormat="false" ht="15" hidden="false" customHeight="false" outlineLevel="0" collapsed="false">
      <c r="A255" s="0" t="s">
        <v>1078</v>
      </c>
      <c r="B255" s="0" t="s">
        <v>1079</v>
      </c>
      <c r="C255" s="0" t="s">
        <v>70</v>
      </c>
      <c r="D255" s="0" t="s">
        <v>584</v>
      </c>
      <c r="E255" s="3" t="n">
        <v>46275</v>
      </c>
      <c r="F255" s="4" t="s">
        <v>1092</v>
      </c>
      <c r="G255" s="5" t="n">
        <v>0.0647569444444445</v>
      </c>
      <c r="H255" s="5" t="n">
        <v>0.0141782407407407</v>
      </c>
      <c r="I255" s="5" t="n">
        <v>8.10185185185185E-005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5" t="n">
        <v>0</v>
      </c>
      <c r="P255" s="5" t="n">
        <v>0</v>
      </c>
      <c r="Q255" s="4" t="s">
        <v>1093</v>
      </c>
      <c r="R255" s="4" t="s">
        <v>1094</v>
      </c>
      <c r="S255" s="5" t="n">
        <v>0.000115740740740741</v>
      </c>
      <c r="T255" s="5" t="n">
        <v>0.0261574074074074</v>
      </c>
      <c r="U255" s="5" t="n">
        <v>0.0131944444444444</v>
      </c>
      <c r="V255" s="5" t="n">
        <v>0.000462962962962963</v>
      </c>
      <c r="W255" s="5" t="n">
        <v>0</v>
      </c>
      <c r="X255" s="5" t="n">
        <v>0</v>
      </c>
      <c r="Y255" s="5" t="n">
        <v>0</v>
      </c>
      <c r="Z255" s="0" t="n">
        <v>0</v>
      </c>
      <c r="AA255" s="0" t="n">
        <v>0</v>
      </c>
      <c r="AB255" s="0" t="n">
        <v>0</v>
      </c>
      <c r="AC255" s="4" t="s">
        <v>1090</v>
      </c>
      <c r="AD255" s="4" t="s">
        <v>208</v>
      </c>
      <c r="AE255" s="4" t="s">
        <v>1095</v>
      </c>
      <c r="AF255" s="4" t="s">
        <v>1096</v>
      </c>
      <c r="AG255" s="5" t="n">
        <v>0.0310416666666667</v>
      </c>
      <c r="AH255" s="5" t="n">
        <v>0.0959027777777778</v>
      </c>
      <c r="AI255" s="5" t="n">
        <v>0</v>
      </c>
      <c r="AJ255" s="5" t="n">
        <v>0</v>
      </c>
      <c r="AK255" s="5" t="n">
        <v>0</v>
      </c>
      <c r="AL255" s="5" t="n">
        <v>0</v>
      </c>
      <c r="AM255" s="4" t="s">
        <v>78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  <c r="BA255" s="0" t="n">
        <v>0</v>
      </c>
      <c r="BB255" s="0" t="n">
        <v>0</v>
      </c>
      <c r="BC255" s="0" t="n">
        <v>0</v>
      </c>
      <c r="BD255" s="0" t="n">
        <v>0</v>
      </c>
      <c r="BE255" s="0" t="n">
        <v>0</v>
      </c>
      <c r="BF255" s="0" t="n">
        <v>0</v>
      </c>
      <c r="BG255" s="0" t="n">
        <v>0</v>
      </c>
      <c r="BH255" s="0" t="n">
        <v>0</v>
      </c>
      <c r="BI255" s="0" t="n">
        <v>0</v>
      </c>
      <c r="BJ255" s="0" t="n">
        <v>0</v>
      </c>
      <c r="BK255" s="0" t="n">
        <v>0</v>
      </c>
      <c r="BM255" s="6" t="n">
        <f aca="false">IFERROR(VALUE(F255),"")</f>
        <v>12.04</v>
      </c>
      <c r="BN255" s="6" t="n">
        <f aca="false">IF(R255="-","",IFERROR(VALUE(LEFT(Q255,LEN(Q255)-2)),""))</f>
        <v>5.91</v>
      </c>
      <c r="BO255" s="6" t="n">
        <f aca="false">IF(R255="-","",IFERROR(VALUE(LEFT(R255,LEN(R255)-5)),""))</f>
        <v>2.04</v>
      </c>
      <c r="BP255" s="6" t="n">
        <f aca="false">IF(R255="-","",IFERROR(VALUE(F255),""))</f>
        <v>12.04</v>
      </c>
      <c r="BQ255" s="4" t="n">
        <f aca="false">IF(R255="-",1,0)</f>
        <v>0</v>
      </c>
    </row>
    <row r="256" customFormat="false" ht="15" hidden="false" customHeight="false" outlineLevel="0" collapsed="false">
      <c r="A256" s="0" t="s">
        <v>1078</v>
      </c>
      <c r="B256" s="0" t="s">
        <v>1079</v>
      </c>
      <c r="C256" s="0" t="s">
        <v>70</v>
      </c>
      <c r="D256" s="0" t="s">
        <v>1097</v>
      </c>
      <c r="E256" s="3" t="n">
        <v>46276</v>
      </c>
      <c r="F256" s="4" t="s">
        <v>1098</v>
      </c>
      <c r="G256" s="5" t="n">
        <v>0.472013888888889</v>
      </c>
      <c r="H256" s="5" t="n">
        <v>0.448275462962963</v>
      </c>
      <c r="I256" s="5" t="n">
        <v>0.000601851851851852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5" t="n">
        <v>0</v>
      </c>
      <c r="P256" s="5" t="n">
        <v>0</v>
      </c>
      <c r="Q256" s="4" t="s">
        <v>1099</v>
      </c>
      <c r="R256" s="4" t="s">
        <v>414</v>
      </c>
      <c r="S256" s="5" t="n">
        <v>0.000462962962962963</v>
      </c>
      <c r="T256" s="5" t="n">
        <v>0.156944444444444</v>
      </c>
      <c r="U256" s="5" t="n">
        <v>0.162268518518519</v>
      </c>
      <c r="V256" s="5" t="n">
        <v>0.119675925925926</v>
      </c>
      <c r="W256" s="5" t="n">
        <v>0</v>
      </c>
      <c r="X256" s="5" t="n">
        <v>0</v>
      </c>
      <c r="Y256" s="5" t="n">
        <v>0</v>
      </c>
      <c r="Z256" s="0" t="n">
        <v>0</v>
      </c>
      <c r="AA256" s="0" t="n">
        <v>0</v>
      </c>
      <c r="AB256" s="0" t="n">
        <v>0</v>
      </c>
      <c r="AC256" s="4" t="s">
        <v>208</v>
      </c>
      <c r="AD256" s="4" t="s">
        <v>893</v>
      </c>
      <c r="AE256" s="4" t="s">
        <v>1096</v>
      </c>
      <c r="AF256" s="4" t="s">
        <v>1100</v>
      </c>
      <c r="AG256" s="5" t="n">
        <v>0.37775462962963</v>
      </c>
      <c r="AH256" s="5" t="n">
        <v>0.174143518518519</v>
      </c>
      <c r="AI256" s="5" t="n">
        <v>0</v>
      </c>
      <c r="AJ256" s="5" t="n">
        <v>0</v>
      </c>
      <c r="AK256" s="5" t="n">
        <v>0</v>
      </c>
      <c r="AL256" s="5" t="n">
        <v>0</v>
      </c>
      <c r="AM256" s="4" t="s">
        <v>78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2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M256" s="6" t="n">
        <f aca="false">IFERROR(VALUE(F256),"")</f>
        <v>426.09</v>
      </c>
      <c r="BN256" s="6" t="n">
        <f aca="false">IF(R256="-","",IFERROR(VALUE(LEFT(Q256,LEN(Q256)-2)),""))</f>
        <v>181.2</v>
      </c>
      <c r="BO256" s="6" t="n">
        <f aca="false">IF(R256="-","",IFERROR(VALUE(LEFT(R256,LEN(R256)-5)),""))</f>
        <v>2.35</v>
      </c>
      <c r="BP256" s="6" t="n">
        <f aca="false">IF(R256="-","",IFERROR(VALUE(F256),""))</f>
        <v>426.09</v>
      </c>
      <c r="BQ256" s="4" t="n">
        <f aca="false">IF(R256="-",1,0)</f>
        <v>0</v>
      </c>
    </row>
    <row r="257" customFormat="false" ht="15" hidden="false" customHeight="false" outlineLevel="0" collapsed="false">
      <c r="A257" s="0" t="s">
        <v>1078</v>
      </c>
      <c r="B257" s="0" t="s">
        <v>1079</v>
      </c>
      <c r="C257" s="0" t="s">
        <v>70</v>
      </c>
      <c r="D257" s="0" t="s">
        <v>1101</v>
      </c>
      <c r="E257" s="3" t="n">
        <v>46277</v>
      </c>
      <c r="F257" s="4" t="s">
        <v>1102</v>
      </c>
      <c r="G257" s="5" t="n">
        <v>0.459490740740741</v>
      </c>
      <c r="H257" s="5" t="n">
        <v>0.394884259259259</v>
      </c>
      <c r="I257" s="5" t="n">
        <v>0.00284722222222222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5" t="n">
        <v>0</v>
      </c>
      <c r="P257" s="5" t="n">
        <v>0.00780092592592593</v>
      </c>
      <c r="Q257" s="4" t="s">
        <v>1103</v>
      </c>
      <c r="R257" s="4" t="s">
        <v>139</v>
      </c>
      <c r="S257" s="5" t="n">
        <v>0.000462962962962963</v>
      </c>
      <c r="T257" s="5" t="n">
        <v>0.137962962962963</v>
      </c>
      <c r="U257" s="5" t="n">
        <v>0.143287037037037</v>
      </c>
      <c r="V257" s="5" t="n">
        <v>0.134953703703704</v>
      </c>
      <c r="W257" s="5" t="n">
        <v>0</v>
      </c>
      <c r="X257" s="5" t="n">
        <v>0</v>
      </c>
      <c r="Y257" s="5" t="n">
        <v>0</v>
      </c>
      <c r="Z257" s="0" t="n">
        <v>0</v>
      </c>
      <c r="AA257" s="0" t="n">
        <v>0</v>
      </c>
      <c r="AB257" s="0" t="n">
        <v>0</v>
      </c>
      <c r="AC257" s="4" t="s">
        <v>893</v>
      </c>
      <c r="AD257" s="4" t="s">
        <v>208</v>
      </c>
      <c r="AE257" s="4" t="s">
        <v>1100</v>
      </c>
      <c r="AF257" s="4" t="s">
        <v>1104</v>
      </c>
      <c r="AG257" s="5" t="n">
        <v>0.349236111111111</v>
      </c>
      <c r="AH257" s="5" t="n">
        <v>0.259363425925926</v>
      </c>
      <c r="AI257" s="5" t="n">
        <v>0</v>
      </c>
      <c r="AJ257" s="5" t="n">
        <v>0</v>
      </c>
      <c r="AK257" s="5" t="n">
        <v>0</v>
      </c>
      <c r="AL257" s="5" t="n">
        <v>0</v>
      </c>
      <c r="AM257" s="4" t="s">
        <v>78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9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M257" s="6" t="n">
        <f aca="false">IFERROR(VALUE(F257),"")</f>
        <v>431.06</v>
      </c>
      <c r="BN257" s="6" t="n">
        <f aca="false">IF(R257="-","",IFERROR(VALUE(LEFT(Q257,LEN(Q257)-2)),""))</f>
        <v>175.1</v>
      </c>
      <c r="BO257" s="6" t="n">
        <f aca="false">IF(R257="-","",IFERROR(VALUE(LEFT(R257,LEN(R257)-5)),""))</f>
        <v>2.46</v>
      </c>
      <c r="BP257" s="6" t="n">
        <f aca="false">IF(R257="-","",IFERROR(VALUE(F257),""))</f>
        <v>431.06</v>
      </c>
      <c r="BQ257" s="4" t="n">
        <f aca="false">IF(R257="-",1,0)</f>
        <v>0</v>
      </c>
    </row>
    <row r="258" customFormat="false" ht="15" hidden="false" customHeight="false" outlineLevel="0" collapsed="false">
      <c r="A258" s="0" t="s">
        <v>1078</v>
      </c>
      <c r="B258" s="0" t="s">
        <v>1079</v>
      </c>
      <c r="C258" s="0" t="s">
        <v>70</v>
      </c>
      <c r="D258" s="0" t="s">
        <v>1105</v>
      </c>
      <c r="E258" s="3" t="n">
        <v>46278</v>
      </c>
      <c r="F258" s="4" t="s">
        <v>1106</v>
      </c>
      <c r="G258" s="5" t="n">
        <v>0.540393518518519</v>
      </c>
      <c r="H258" s="5" t="n">
        <v>0.506076388888889</v>
      </c>
      <c r="I258" s="5" t="n">
        <v>0.00172453703703704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3</v>
      </c>
      <c r="O258" s="5" t="n">
        <v>0</v>
      </c>
      <c r="P258" s="5" t="n">
        <v>0.018587962962963</v>
      </c>
      <c r="Q258" s="4" t="s">
        <v>1107</v>
      </c>
      <c r="R258" s="4" t="s">
        <v>1108</v>
      </c>
      <c r="S258" s="5" t="n">
        <v>0.000462962962962963</v>
      </c>
      <c r="T258" s="5" t="n">
        <v>0.135069444444444</v>
      </c>
      <c r="U258" s="5" t="n">
        <v>0.200810185185185</v>
      </c>
      <c r="V258" s="5" t="n">
        <v>0.161226851851852</v>
      </c>
      <c r="W258" s="5" t="n">
        <v>0</v>
      </c>
      <c r="X258" s="5" t="n">
        <v>0</v>
      </c>
      <c r="Y258" s="5" t="n">
        <v>0</v>
      </c>
      <c r="Z258" s="0" t="n">
        <v>0</v>
      </c>
      <c r="AA258" s="0" t="n">
        <v>0</v>
      </c>
      <c r="AB258" s="0" t="n">
        <v>0</v>
      </c>
      <c r="AC258" s="4" t="s">
        <v>208</v>
      </c>
      <c r="AD258" s="4" t="s">
        <v>593</v>
      </c>
      <c r="AE258" s="4" t="s">
        <v>1104</v>
      </c>
      <c r="AF258" s="4" t="s">
        <v>1109</v>
      </c>
      <c r="AG258" s="5" t="n">
        <v>0.440486111111111</v>
      </c>
      <c r="AH258" s="5" t="n">
        <v>0.186226851851852</v>
      </c>
      <c r="AI258" s="5" t="n">
        <v>0</v>
      </c>
      <c r="AJ258" s="5" t="n">
        <v>0</v>
      </c>
      <c r="AK258" s="5" t="n">
        <v>0</v>
      </c>
      <c r="AL258" s="5" t="n">
        <v>0</v>
      </c>
      <c r="AM258" s="4" t="s">
        <v>78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8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0</v>
      </c>
      <c r="BI258" s="0" t="n">
        <v>0</v>
      </c>
      <c r="BJ258" s="0" t="n">
        <v>0</v>
      </c>
      <c r="BK258" s="0" t="n">
        <v>0</v>
      </c>
      <c r="BM258" s="6" t="n">
        <f aca="false">IFERROR(VALUE(F258),"")</f>
        <v>555.41</v>
      </c>
      <c r="BN258" s="6" t="n">
        <f aca="false">IF(R258="-","",IFERROR(VALUE(LEFT(Q258,LEN(Q258)-2)),""))</f>
        <v>214.48</v>
      </c>
      <c r="BO258" s="6" t="n">
        <f aca="false">IF(R258="-","",IFERROR(VALUE(LEFT(R258,LEN(R258)-5)),""))</f>
        <v>2.59</v>
      </c>
      <c r="BP258" s="6" t="n">
        <f aca="false">IF(R258="-","",IFERROR(VALUE(F258),""))</f>
        <v>555.41</v>
      </c>
      <c r="BQ258" s="4" t="n">
        <f aca="false">IF(R258="-",1,0)</f>
        <v>0</v>
      </c>
    </row>
    <row r="259" customFormat="false" ht="15" hidden="false" customHeight="false" outlineLevel="0" collapsed="false">
      <c r="A259" s="0" t="s">
        <v>1078</v>
      </c>
      <c r="B259" s="0" t="s">
        <v>1079</v>
      </c>
      <c r="C259" s="0" t="s">
        <v>70</v>
      </c>
      <c r="D259" s="0" t="s">
        <v>1110</v>
      </c>
      <c r="E259" s="3" t="n">
        <v>46279</v>
      </c>
      <c r="F259" s="4" t="s">
        <v>1111</v>
      </c>
      <c r="G259" s="5" t="n">
        <v>0.419074074074074</v>
      </c>
      <c r="H259" s="5" t="n">
        <v>0.346759259259259</v>
      </c>
      <c r="I259" s="5" t="n">
        <v>0.00025462962962963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5" t="n">
        <v>0</v>
      </c>
      <c r="P259" s="5" t="n">
        <v>0</v>
      </c>
      <c r="Q259" s="4" t="s">
        <v>1112</v>
      </c>
      <c r="R259" s="4" t="s">
        <v>125</v>
      </c>
      <c r="S259" s="5" t="n">
        <v>0.000578703703703704</v>
      </c>
      <c r="T259" s="5" t="n">
        <v>0.128819444444444</v>
      </c>
      <c r="U259" s="5" t="n">
        <v>0.162152777777778</v>
      </c>
      <c r="V259" s="5" t="n">
        <v>0.109143518518519</v>
      </c>
      <c r="W259" s="5" t="n">
        <v>0</v>
      </c>
      <c r="X259" s="5" t="n">
        <v>0</v>
      </c>
      <c r="Y259" s="5" t="n">
        <v>0</v>
      </c>
      <c r="Z259" s="0" t="n">
        <v>0</v>
      </c>
      <c r="AA259" s="0" t="n">
        <v>0</v>
      </c>
      <c r="AB259" s="0" t="n">
        <v>0</v>
      </c>
      <c r="AC259" s="4" t="s">
        <v>1113</v>
      </c>
      <c r="AD259" s="4" t="s">
        <v>882</v>
      </c>
      <c r="AE259" s="4" t="s">
        <v>1114</v>
      </c>
      <c r="AF259" s="4" t="s">
        <v>1115</v>
      </c>
      <c r="AG259" s="5" t="n">
        <v>0.351979166666667</v>
      </c>
      <c r="AH259" s="5" t="n">
        <v>0.149224537037037</v>
      </c>
      <c r="AI259" s="5" t="n">
        <v>0</v>
      </c>
      <c r="AJ259" s="5" t="n">
        <v>0</v>
      </c>
      <c r="AK259" s="5" t="n">
        <v>0</v>
      </c>
      <c r="AL259" s="5" t="n">
        <v>0</v>
      </c>
      <c r="AM259" s="4" t="s">
        <v>78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5</v>
      </c>
      <c r="AV259" s="0" t="n">
        <v>0</v>
      </c>
      <c r="AW259" s="0" t="n">
        <v>1</v>
      </c>
      <c r="AX259" s="0" t="n">
        <v>0</v>
      </c>
      <c r="AY259" s="0" t="n">
        <v>0</v>
      </c>
      <c r="AZ259" s="0" t="n">
        <v>0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M259" s="6" t="n">
        <f aca="false">IFERROR(VALUE(F259),"")</f>
        <v>390.75</v>
      </c>
      <c r="BN259" s="6" t="n">
        <f aca="false">IF(R259="-","",IFERROR(VALUE(LEFT(Q259,LEN(Q259)-2)),""))</f>
        <v>152.37</v>
      </c>
      <c r="BO259" s="6" t="n">
        <f aca="false">IF(R259="-","",IFERROR(VALUE(LEFT(R259,LEN(R259)-5)),""))</f>
        <v>2.56</v>
      </c>
      <c r="BP259" s="6" t="n">
        <f aca="false">IF(R259="-","",IFERROR(VALUE(F259),""))</f>
        <v>390.75</v>
      </c>
      <c r="BQ259" s="4" t="n">
        <f aca="false">IF(R259="-",1,0)</f>
        <v>0</v>
      </c>
    </row>
    <row r="260" customFormat="false" ht="15" hidden="false" customHeight="false" outlineLevel="0" collapsed="false">
      <c r="A260" s="0" t="s">
        <v>1116</v>
      </c>
      <c r="B260" s="0" t="s">
        <v>1117</v>
      </c>
      <c r="C260" s="0" t="s">
        <v>70</v>
      </c>
      <c r="D260" s="0" t="s">
        <v>1118</v>
      </c>
      <c r="E260" s="3" t="n">
        <v>46273</v>
      </c>
      <c r="F260" s="4" t="s">
        <v>1119</v>
      </c>
      <c r="G260" s="5" t="n">
        <v>0.315300925925926</v>
      </c>
      <c r="H260" s="5" t="n">
        <v>0.297314814814815</v>
      </c>
      <c r="I260" s="5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5" t="n">
        <v>0</v>
      </c>
      <c r="P260" s="5" t="n">
        <v>0.00716435185185185</v>
      </c>
      <c r="Q260" s="4" t="s">
        <v>1120</v>
      </c>
      <c r="R260" s="4" t="s">
        <v>378</v>
      </c>
      <c r="S260" s="5" t="n">
        <v>0.000115740740740741</v>
      </c>
      <c r="T260" s="5" t="n">
        <v>0.129282407407407</v>
      </c>
      <c r="U260" s="5" t="n">
        <v>0.139814814814815</v>
      </c>
      <c r="V260" s="5" t="n">
        <v>0.0369212962962963</v>
      </c>
      <c r="W260" s="5" t="n">
        <v>0</v>
      </c>
      <c r="X260" s="5" t="n">
        <v>0</v>
      </c>
      <c r="Y260" s="5" t="n">
        <v>0</v>
      </c>
      <c r="Z260" s="0" t="n">
        <v>0</v>
      </c>
      <c r="AA260" s="0" t="n">
        <v>0</v>
      </c>
      <c r="AB260" s="0" t="n">
        <v>0</v>
      </c>
      <c r="AC260" s="4" t="s">
        <v>208</v>
      </c>
      <c r="AD260" s="4" t="s">
        <v>152</v>
      </c>
      <c r="AE260" s="4" t="s">
        <v>1121</v>
      </c>
      <c r="AF260" s="4" t="s">
        <v>1122</v>
      </c>
      <c r="AG260" s="5" t="n">
        <v>0.253425925925926</v>
      </c>
      <c r="AH260" s="5" t="n">
        <v>0.150960648148148</v>
      </c>
      <c r="AI260" s="5" t="n">
        <v>0</v>
      </c>
      <c r="AJ260" s="5" t="n">
        <v>0</v>
      </c>
      <c r="AK260" s="5" t="n">
        <v>0</v>
      </c>
      <c r="AL260" s="5" t="n">
        <v>0</v>
      </c>
      <c r="AM260" s="4" t="s">
        <v>78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2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0</v>
      </c>
      <c r="BI260" s="0" t="n">
        <v>0</v>
      </c>
      <c r="BJ260" s="0" t="n">
        <v>0</v>
      </c>
      <c r="BK260" s="0" t="n">
        <v>0</v>
      </c>
      <c r="BM260" s="6" t="n">
        <f aca="false">IFERROR(VALUE(F260),"")</f>
        <v>285.89</v>
      </c>
      <c r="BN260" s="6" t="n">
        <f aca="false">IF(R260="-","",IFERROR(VALUE(LEFT(Q260,LEN(Q260)-2)),""))</f>
        <v>105.42</v>
      </c>
      <c r="BO260" s="6" t="n">
        <f aca="false">IF(R260="-","",IFERROR(VALUE(LEFT(R260,LEN(R260)-5)),""))</f>
        <v>2.71</v>
      </c>
      <c r="BP260" s="6" t="n">
        <f aca="false">IF(R260="-","",IFERROR(VALUE(F260),""))</f>
        <v>285.89</v>
      </c>
      <c r="BQ260" s="4" t="n">
        <f aca="false">IF(R260="-",1,0)</f>
        <v>0</v>
      </c>
    </row>
    <row r="261" customFormat="false" ht="15" hidden="false" customHeight="false" outlineLevel="0" collapsed="false">
      <c r="A261" s="0" t="s">
        <v>1116</v>
      </c>
      <c r="B261" s="0" t="s">
        <v>1117</v>
      </c>
      <c r="C261" s="0" t="s">
        <v>70</v>
      </c>
      <c r="D261" s="0" t="s">
        <v>1123</v>
      </c>
      <c r="E261" s="3" t="n">
        <v>46274</v>
      </c>
      <c r="F261" s="4" t="s">
        <v>1124</v>
      </c>
      <c r="G261" s="5" t="n">
        <v>0.278032407407407</v>
      </c>
      <c r="H261" s="5" t="n">
        <v>0.224386574074074</v>
      </c>
      <c r="I261" s="5" t="n">
        <v>0.000243055555555556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5" t="n">
        <v>0</v>
      </c>
      <c r="P261" s="5" t="n">
        <v>0.0191087962962963</v>
      </c>
      <c r="Q261" s="4" t="s">
        <v>1125</v>
      </c>
      <c r="R261" s="4" t="s">
        <v>361</v>
      </c>
      <c r="S261" s="5" t="n">
        <v>0.000578703703703704</v>
      </c>
      <c r="T261" s="5" t="n">
        <v>0.102662037037037</v>
      </c>
      <c r="U261" s="5" t="n">
        <v>0.104976851851852</v>
      </c>
      <c r="V261" s="5" t="n">
        <v>0.0607638888888889</v>
      </c>
      <c r="W261" s="5" t="n">
        <v>0</v>
      </c>
      <c r="X261" s="5" t="n">
        <v>0</v>
      </c>
      <c r="Y261" s="5" t="n">
        <v>0</v>
      </c>
      <c r="Z261" s="0" t="n">
        <v>0</v>
      </c>
      <c r="AA261" s="0" t="n">
        <v>0</v>
      </c>
      <c r="AB261" s="0" t="n">
        <v>0</v>
      </c>
      <c r="AC261" s="4" t="s">
        <v>158</v>
      </c>
      <c r="AD261" s="4" t="s">
        <v>228</v>
      </c>
      <c r="AE261" s="4" t="s">
        <v>1122</v>
      </c>
      <c r="AF261" s="4" t="s">
        <v>1126</v>
      </c>
      <c r="AG261" s="5" t="n">
        <v>0.212719907407407</v>
      </c>
      <c r="AH261" s="5" t="n">
        <v>0.140428240740741</v>
      </c>
      <c r="AI261" s="5" t="n">
        <v>0</v>
      </c>
      <c r="AJ261" s="5" t="n">
        <v>0</v>
      </c>
      <c r="AK261" s="5" t="n">
        <v>0</v>
      </c>
      <c r="AL261" s="5" t="n">
        <v>0</v>
      </c>
      <c r="AM261" s="4" t="s">
        <v>78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M261" s="6" t="n">
        <f aca="false">IFERROR(VALUE(F261),"")</f>
        <v>252.36</v>
      </c>
      <c r="BN261" s="6" t="n">
        <f aca="false">IF(R261="-","",IFERROR(VALUE(LEFT(Q261,LEN(Q261)-2)),""))</f>
        <v>80.84</v>
      </c>
      <c r="BO261" s="6" t="n">
        <f aca="false">IF(R261="-","",IFERROR(VALUE(LEFT(R261,LEN(R261)-5)),""))</f>
        <v>3.12</v>
      </c>
      <c r="BP261" s="6" t="n">
        <f aca="false">IF(R261="-","",IFERROR(VALUE(F261),""))</f>
        <v>252.36</v>
      </c>
      <c r="BQ261" s="4" t="n">
        <f aca="false">IF(R261="-",1,0)</f>
        <v>0</v>
      </c>
    </row>
    <row r="262" customFormat="false" ht="15" hidden="false" customHeight="false" outlineLevel="0" collapsed="false">
      <c r="A262" s="0" t="s">
        <v>1116</v>
      </c>
      <c r="B262" s="0" t="s">
        <v>1117</v>
      </c>
      <c r="C262" s="0" t="s">
        <v>70</v>
      </c>
      <c r="D262" s="0" t="s">
        <v>1127</v>
      </c>
      <c r="E262" s="3" t="n">
        <v>46275</v>
      </c>
      <c r="F262" s="4" t="s">
        <v>1128</v>
      </c>
      <c r="G262" s="5" t="n">
        <v>0.0732523148148148</v>
      </c>
      <c r="H262" s="5" t="n">
        <v>0.00861111111111111</v>
      </c>
      <c r="I262" s="5" t="n">
        <v>0.000289351851851852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5" t="n">
        <v>0</v>
      </c>
      <c r="P262" s="5" t="n">
        <v>0</v>
      </c>
      <c r="Q262" s="4" t="s">
        <v>1129</v>
      </c>
      <c r="R262" s="4" t="s">
        <v>1130</v>
      </c>
      <c r="S262" s="5" t="n">
        <v>0</v>
      </c>
      <c r="T262" s="5" t="n">
        <v>0.0185185185185185</v>
      </c>
      <c r="U262" s="5" t="n">
        <v>0.0217592592592593</v>
      </c>
      <c r="V262" s="5" t="n">
        <v>0.0287037037037037</v>
      </c>
      <c r="W262" s="5" t="n">
        <v>0</v>
      </c>
      <c r="X262" s="5" t="n">
        <v>0</v>
      </c>
      <c r="Y262" s="5" t="n">
        <v>0</v>
      </c>
      <c r="Z262" s="0" t="n">
        <v>0</v>
      </c>
      <c r="AA262" s="0" t="n">
        <v>0</v>
      </c>
      <c r="AB262" s="0" t="n">
        <v>0</v>
      </c>
      <c r="AC262" s="4" t="s">
        <v>75</v>
      </c>
      <c r="AD262" s="4" t="s">
        <v>1131</v>
      </c>
      <c r="AE262" s="4" t="s">
        <v>1126</v>
      </c>
      <c r="AF262" s="4" t="s">
        <v>1132</v>
      </c>
      <c r="AG262" s="5" t="n">
        <v>0.0642939814814815</v>
      </c>
      <c r="AH262" s="5" t="n">
        <v>0.0134027777777778</v>
      </c>
      <c r="AI262" s="5" t="n">
        <v>0</v>
      </c>
      <c r="AJ262" s="5" t="n">
        <v>0</v>
      </c>
      <c r="AK262" s="5" t="n">
        <v>0</v>
      </c>
      <c r="AL262" s="5" t="n">
        <v>0</v>
      </c>
      <c r="AM262" s="4" t="s">
        <v>78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0</v>
      </c>
      <c r="BM262" s="6" t="n">
        <f aca="false">IFERROR(VALUE(F262),"")</f>
        <v>94.37</v>
      </c>
      <c r="BN262" s="6" t="n">
        <f aca="false">IF(R262="-","",IFERROR(VALUE(LEFT(Q262,LEN(Q262)-2)),""))</f>
        <v>27.9</v>
      </c>
      <c r="BO262" s="6" t="n">
        <f aca="false">IF(R262="-","",IFERROR(VALUE(LEFT(R262,LEN(R262)-5)),""))</f>
        <v>3.38</v>
      </c>
      <c r="BP262" s="6" t="n">
        <f aca="false">IF(R262="-","",IFERROR(VALUE(F262),""))</f>
        <v>94.37</v>
      </c>
      <c r="BQ262" s="4" t="n">
        <f aca="false">IF(R262="-",1,0)</f>
        <v>0</v>
      </c>
    </row>
    <row r="263" customFormat="false" ht="15" hidden="false" customHeight="false" outlineLevel="0" collapsed="false">
      <c r="A263" s="0" t="s">
        <v>1116</v>
      </c>
      <c r="B263" s="0" t="s">
        <v>1117</v>
      </c>
      <c r="C263" s="0" t="s">
        <v>70</v>
      </c>
      <c r="D263" s="0" t="s">
        <v>1133</v>
      </c>
      <c r="E263" s="3" t="n">
        <v>46276</v>
      </c>
      <c r="F263" s="4" t="s">
        <v>1134</v>
      </c>
      <c r="G263" s="5" t="n">
        <v>0.336018518518519</v>
      </c>
      <c r="H263" s="5" t="n">
        <v>0.296168981481482</v>
      </c>
      <c r="I263" s="5" t="n">
        <v>0.000115740740740741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5" t="n">
        <v>0</v>
      </c>
      <c r="P263" s="5" t="n">
        <v>0.0423032407407407</v>
      </c>
      <c r="Q263" s="4" t="s">
        <v>1135</v>
      </c>
      <c r="R263" s="4" t="s">
        <v>473</v>
      </c>
      <c r="S263" s="5" t="n">
        <v>0.000115740740740741</v>
      </c>
      <c r="T263" s="5" t="n">
        <v>0.173263888888889</v>
      </c>
      <c r="U263" s="5" t="n">
        <v>0.108449074074074</v>
      </c>
      <c r="V263" s="5" t="n">
        <v>0.0418981481481482</v>
      </c>
      <c r="W263" s="5" t="n">
        <v>0</v>
      </c>
      <c r="X263" s="5" t="n">
        <v>0</v>
      </c>
      <c r="Y263" s="5" t="n">
        <v>0</v>
      </c>
      <c r="Z263" s="0" t="n">
        <v>0</v>
      </c>
      <c r="AA263" s="0" t="n">
        <v>0</v>
      </c>
      <c r="AB263" s="0" t="n">
        <v>0</v>
      </c>
      <c r="AC263" s="4" t="s">
        <v>1131</v>
      </c>
      <c r="AD263" s="4" t="s">
        <v>1131</v>
      </c>
      <c r="AE263" s="4" t="s">
        <v>1132</v>
      </c>
      <c r="AF263" s="4" t="s">
        <v>1136</v>
      </c>
      <c r="AG263" s="5" t="n">
        <v>0.24912037037037</v>
      </c>
      <c r="AH263" s="5" t="n">
        <v>0.175972222222222</v>
      </c>
      <c r="AI263" s="5" t="n">
        <v>0</v>
      </c>
      <c r="AJ263" s="5" t="n">
        <v>0</v>
      </c>
      <c r="AK263" s="5" t="n">
        <v>0</v>
      </c>
      <c r="AL263" s="5" t="n">
        <v>0</v>
      </c>
      <c r="AM263" s="4" t="s">
        <v>78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6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</v>
      </c>
      <c r="BA263" s="0" t="n">
        <v>0</v>
      </c>
      <c r="BB263" s="0" t="n">
        <v>0</v>
      </c>
      <c r="BC263" s="0" t="n">
        <v>0</v>
      </c>
      <c r="BD263" s="0" t="n">
        <v>0</v>
      </c>
      <c r="BE263" s="0" t="n">
        <v>0</v>
      </c>
      <c r="BF263" s="0" t="n">
        <v>0</v>
      </c>
      <c r="BG263" s="0" t="n">
        <v>0</v>
      </c>
      <c r="BH263" s="0" t="n">
        <v>0</v>
      </c>
      <c r="BI263" s="0" t="n">
        <v>0</v>
      </c>
      <c r="BJ263" s="0" t="n">
        <v>0</v>
      </c>
      <c r="BK263" s="0" t="n">
        <v>0</v>
      </c>
      <c r="BM263" s="6" t="n">
        <f aca="false">IFERROR(VALUE(F263),"")</f>
        <v>207.44</v>
      </c>
      <c r="BN263" s="6" t="n">
        <f aca="false">IF(R263="-","",IFERROR(VALUE(LEFT(Q263,LEN(Q263)-2)),""))</f>
        <v>74.76</v>
      </c>
      <c r="BO263" s="6" t="n">
        <f aca="false">IF(R263="-","",IFERROR(VALUE(LEFT(R263,LEN(R263)-5)),""))</f>
        <v>2.77</v>
      </c>
      <c r="BP263" s="6" t="n">
        <f aca="false">IF(R263="-","",IFERROR(VALUE(F263),""))</f>
        <v>207.44</v>
      </c>
      <c r="BQ263" s="4" t="n">
        <f aca="false">IF(R263="-",1,0)</f>
        <v>0</v>
      </c>
    </row>
    <row r="264" customFormat="false" ht="15" hidden="false" customHeight="false" outlineLevel="0" collapsed="false">
      <c r="A264" s="0" t="s">
        <v>1116</v>
      </c>
      <c r="B264" s="0" t="s">
        <v>1117</v>
      </c>
      <c r="C264" s="0" t="s">
        <v>70</v>
      </c>
      <c r="D264" s="0" t="s">
        <v>1137</v>
      </c>
      <c r="E264" s="3" t="n">
        <v>46277</v>
      </c>
      <c r="F264" s="4" t="s">
        <v>1138</v>
      </c>
      <c r="G264" s="5" t="n">
        <v>0.348796296296296</v>
      </c>
      <c r="H264" s="5" t="n">
        <v>0.320127314814815</v>
      </c>
      <c r="I264" s="5" t="n">
        <v>0.000520833333333333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4</v>
      </c>
      <c r="O264" s="5" t="n">
        <v>0</v>
      </c>
      <c r="P264" s="5" t="n">
        <v>0.0367708333333333</v>
      </c>
      <c r="Q264" s="4" t="s">
        <v>1139</v>
      </c>
      <c r="R264" s="4" t="s">
        <v>487</v>
      </c>
      <c r="S264" s="5" t="n">
        <v>0.000115740740740741</v>
      </c>
      <c r="T264" s="5" t="n">
        <v>0.127083333333333</v>
      </c>
      <c r="U264" s="5" t="n">
        <v>0.10150462962963</v>
      </c>
      <c r="V264" s="5" t="n">
        <v>0.102893518518519</v>
      </c>
      <c r="W264" s="5" t="n">
        <v>0</v>
      </c>
      <c r="X264" s="5" t="n">
        <v>0</v>
      </c>
      <c r="Y264" s="5" t="n">
        <v>0</v>
      </c>
      <c r="Z264" s="0" t="n">
        <v>0</v>
      </c>
      <c r="AA264" s="0" t="n">
        <v>0</v>
      </c>
      <c r="AB264" s="0" t="n">
        <v>0</v>
      </c>
      <c r="AC264" s="4" t="s">
        <v>1131</v>
      </c>
      <c r="AD264" s="4" t="s">
        <v>152</v>
      </c>
      <c r="AE264" s="4" t="s">
        <v>1136</v>
      </c>
      <c r="AF264" s="4" t="s">
        <v>1140</v>
      </c>
      <c r="AG264" s="5" t="n">
        <v>0.266689814814815</v>
      </c>
      <c r="AH264" s="5" t="n">
        <v>0.131354166666667</v>
      </c>
      <c r="AI264" s="5" t="n">
        <v>0</v>
      </c>
      <c r="AJ264" s="5" t="n">
        <v>0</v>
      </c>
      <c r="AK264" s="5" t="n">
        <v>0</v>
      </c>
      <c r="AL264" s="5" t="n">
        <v>0</v>
      </c>
      <c r="AM264" s="4" t="s">
        <v>78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5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0</v>
      </c>
      <c r="BM264" s="6" t="n">
        <f aca="false">IFERROR(VALUE(F264),"")</f>
        <v>345.6</v>
      </c>
      <c r="BN264" s="6" t="n">
        <f aca="false">IF(R264="-","",IFERROR(VALUE(LEFT(Q264,LEN(Q264)-2)),""))</f>
        <v>126.83</v>
      </c>
      <c r="BO264" s="6" t="n">
        <f aca="false">IF(R264="-","",IFERROR(VALUE(LEFT(R264,LEN(R264)-5)),""))</f>
        <v>2.72</v>
      </c>
      <c r="BP264" s="6" t="n">
        <f aca="false">IF(R264="-","",IFERROR(VALUE(F264),""))</f>
        <v>345.6</v>
      </c>
      <c r="BQ264" s="4" t="n">
        <f aca="false">IF(R264="-",1,0)</f>
        <v>0</v>
      </c>
    </row>
    <row r="265" customFormat="false" ht="15" hidden="false" customHeight="false" outlineLevel="0" collapsed="false">
      <c r="A265" s="0" t="s">
        <v>1116</v>
      </c>
      <c r="B265" s="0" t="s">
        <v>1117</v>
      </c>
      <c r="C265" s="0" t="s">
        <v>70</v>
      </c>
      <c r="D265" s="0" t="s">
        <v>1141</v>
      </c>
      <c r="E265" s="3" t="n">
        <v>46278</v>
      </c>
      <c r="F265" s="4" t="s">
        <v>1142</v>
      </c>
      <c r="G265" s="5" t="n">
        <v>0.346516203703704</v>
      </c>
      <c r="H265" s="5" t="n">
        <v>0.309097222222222</v>
      </c>
      <c r="I265" s="5" t="n">
        <v>0.000763888888888889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5" t="n">
        <v>0</v>
      </c>
      <c r="P265" s="5" t="n">
        <v>0.0291319444444444</v>
      </c>
      <c r="Q265" s="4" t="s">
        <v>1143</v>
      </c>
      <c r="R265" s="4" t="s">
        <v>369</v>
      </c>
      <c r="S265" s="5" t="n">
        <v>0.000115740740740741</v>
      </c>
      <c r="T265" s="5" t="n">
        <v>0.133217592592593</v>
      </c>
      <c r="U265" s="5" t="n">
        <v>0.162268518518519</v>
      </c>
      <c r="V265" s="5" t="n">
        <v>0.0225694444444444</v>
      </c>
      <c r="W265" s="5" t="n">
        <v>0</v>
      </c>
      <c r="X265" s="5" t="n">
        <v>0</v>
      </c>
      <c r="Y265" s="5" t="n">
        <v>0</v>
      </c>
      <c r="Z265" s="0" t="n">
        <v>0</v>
      </c>
      <c r="AA265" s="0" t="n">
        <v>0</v>
      </c>
      <c r="AB265" s="0" t="n">
        <v>0</v>
      </c>
      <c r="AC265" s="4" t="s">
        <v>158</v>
      </c>
      <c r="AD265" s="4" t="s">
        <v>852</v>
      </c>
      <c r="AE265" s="4" t="s">
        <v>1140</v>
      </c>
      <c r="AF265" s="4" t="s">
        <v>1144</v>
      </c>
      <c r="AG265" s="5" t="n">
        <v>0.240381944444444</v>
      </c>
      <c r="AH265" s="5" t="n">
        <v>0.180416666666667</v>
      </c>
      <c r="AI265" s="5" t="n">
        <v>0</v>
      </c>
      <c r="AJ265" s="5" t="n">
        <v>0</v>
      </c>
      <c r="AK265" s="5" t="n">
        <v>0</v>
      </c>
      <c r="AL265" s="5" t="n">
        <v>0</v>
      </c>
      <c r="AM265" s="4" t="s">
        <v>78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2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0</v>
      </c>
      <c r="BI265" s="0" t="n">
        <v>0</v>
      </c>
      <c r="BJ265" s="0" t="n">
        <v>0</v>
      </c>
      <c r="BK265" s="0" t="n">
        <v>0</v>
      </c>
      <c r="BM265" s="6" t="n">
        <f aca="false">IFERROR(VALUE(F265),"")</f>
        <v>260.93</v>
      </c>
      <c r="BN265" s="6" t="n">
        <f aca="false">IF(R265="-","",IFERROR(VALUE(LEFT(Q265,LEN(Q265)-2)),""))</f>
        <v>84.37</v>
      </c>
      <c r="BO265" s="6" t="n">
        <f aca="false">IF(R265="-","",IFERROR(VALUE(LEFT(R265,LEN(R265)-5)),""))</f>
        <v>3.09</v>
      </c>
      <c r="BP265" s="6" t="n">
        <f aca="false">IF(R265="-","",IFERROR(VALUE(F265),""))</f>
        <v>260.93</v>
      </c>
      <c r="BQ265" s="4" t="n">
        <f aca="false">IF(R265="-",1,0)</f>
        <v>0</v>
      </c>
    </row>
    <row r="266" customFormat="false" ht="15" hidden="false" customHeight="false" outlineLevel="0" collapsed="false">
      <c r="A266" s="0" t="s">
        <v>1116</v>
      </c>
      <c r="B266" s="0" t="s">
        <v>1117</v>
      </c>
      <c r="C266" s="0" t="s">
        <v>70</v>
      </c>
      <c r="D266" s="0" t="s">
        <v>1145</v>
      </c>
      <c r="E266" s="3" t="n">
        <v>46279</v>
      </c>
      <c r="F266" s="4" t="s">
        <v>1146</v>
      </c>
      <c r="G266" s="5" t="n">
        <v>0.206631944444444</v>
      </c>
      <c r="H266" s="5" t="n">
        <v>0.170949074074074</v>
      </c>
      <c r="I266" s="5" t="n">
        <v>0.0016087962962963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5" t="n">
        <v>0</v>
      </c>
      <c r="P266" s="5" t="n">
        <v>0.0164930555555556</v>
      </c>
      <c r="Q266" s="4" t="s">
        <v>1147</v>
      </c>
      <c r="R266" s="4" t="s">
        <v>1148</v>
      </c>
      <c r="S266" s="5" t="n">
        <v>0.000578703703703704</v>
      </c>
      <c r="T266" s="5" t="n">
        <v>0.0868055555555556</v>
      </c>
      <c r="U266" s="5" t="n">
        <v>0.0695601851851852</v>
      </c>
      <c r="V266" s="5" t="n">
        <v>0.037962962962963</v>
      </c>
      <c r="W266" s="5" t="n">
        <v>0</v>
      </c>
      <c r="X266" s="5" t="n">
        <v>0</v>
      </c>
      <c r="Y266" s="5" t="n">
        <v>0</v>
      </c>
      <c r="Z266" s="0" t="n">
        <v>0</v>
      </c>
      <c r="AA266" s="0" t="n">
        <v>0</v>
      </c>
      <c r="AB266" s="0" t="n">
        <v>0</v>
      </c>
      <c r="AC266" s="4" t="s">
        <v>852</v>
      </c>
      <c r="AD266" s="4" t="s">
        <v>158</v>
      </c>
      <c r="AE266" s="4" t="s">
        <v>1149</v>
      </c>
      <c r="AF266" s="4" t="s">
        <v>1150</v>
      </c>
      <c r="AG266" s="5" t="n">
        <v>0.158622685185185</v>
      </c>
      <c r="AH266" s="5" t="n">
        <v>0.153622685185185</v>
      </c>
      <c r="AI266" s="5" t="n">
        <v>0</v>
      </c>
      <c r="AJ266" s="5" t="n">
        <v>0</v>
      </c>
      <c r="AK266" s="5" t="n">
        <v>0</v>
      </c>
      <c r="AL266" s="5" t="n">
        <v>0</v>
      </c>
      <c r="AM266" s="4" t="s">
        <v>78</v>
      </c>
      <c r="AN266" s="0" t="n">
        <v>0</v>
      </c>
      <c r="AO266" s="0" t="n">
        <v>1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2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M266" s="6" t="n">
        <f aca="false">IFERROR(VALUE(F266),"")</f>
        <v>143.02</v>
      </c>
      <c r="BN266" s="6" t="n">
        <f aca="false">IF(R266="-","",IFERROR(VALUE(LEFT(Q266,LEN(Q266)-2)),""))</f>
        <v>62.86</v>
      </c>
      <c r="BO266" s="6" t="n">
        <f aca="false">IF(R266="-","",IFERROR(VALUE(LEFT(R266,LEN(R266)-5)),""))</f>
        <v>2.28</v>
      </c>
      <c r="BP266" s="6" t="n">
        <f aca="false">IF(R266="-","",IFERROR(VALUE(F266),""))</f>
        <v>143.02</v>
      </c>
      <c r="BQ266" s="4" t="n">
        <f aca="false">IF(R266="-",1,0)</f>
        <v>0</v>
      </c>
    </row>
    <row r="267" customFormat="false" ht="15" hidden="false" customHeight="false" outlineLevel="0" collapsed="false">
      <c r="A267" s="0" t="s">
        <v>1151</v>
      </c>
      <c r="B267" s="0" t="s">
        <v>1152</v>
      </c>
      <c r="C267" s="0" t="s">
        <v>70</v>
      </c>
      <c r="E267" s="3" t="n">
        <v>46273</v>
      </c>
      <c r="F267" s="4" t="s">
        <v>1153</v>
      </c>
      <c r="G267" s="5" t="n">
        <v>0.034224537037037</v>
      </c>
      <c r="H267" s="5" t="n">
        <v>0</v>
      </c>
      <c r="I267" s="5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5" t="n">
        <v>0</v>
      </c>
      <c r="P267" s="5" t="n">
        <v>0</v>
      </c>
      <c r="Q267" s="4" t="s">
        <v>1154</v>
      </c>
      <c r="R267" s="4" t="s">
        <v>1155</v>
      </c>
      <c r="S267" s="5" t="n">
        <v>0.000115740740740741</v>
      </c>
      <c r="T267" s="5" t="n">
        <v>0.0101851851851852</v>
      </c>
      <c r="U267" s="5" t="n">
        <v>0.00127314814814815</v>
      </c>
      <c r="V267" s="5" t="n">
        <v>0</v>
      </c>
      <c r="W267" s="5" t="n">
        <v>0</v>
      </c>
      <c r="X267" s="5" t="n">
        <v>0</v>
      </c>
      <c r="Y267" s="5" t="n">
        <v>0</v>
      </c>
      <c r="Z267" s="0" t="n">
        <v>0</v>
      </c>
      <c r="AA267" s="0" t="n">
        <v>0</v>
      </c>
      <c r="AB267" s="0" t="n">
        <v>0</v>
      </c>
      <c r="AC267" s="4" t="s">
        <v>228</v>
      </c>
      <c r="AD267" s="4" t="s">
        <v>75</v>
      </c>
      <c r="AE267" s="4" t="s">
        <v>1156</v>
      </c>
      <c r="AF267" s="4" t="s">
        <v>1157</v>
      </c>
      <c r="AG267" s="5" t="n">
        <v>0.0019212962962963</v>
      </c>
      <c r="AH267" s="5" t="n">
        <v>0.0911921296296296</v>
      </c>
      <c r="AI267" s="5" t="n">
        <v>0</v>
      </c>
      <c r="AJ267" s="5" t="n">
        <v>0</v>
      </c>
      <c r="AK267" s="5" t="n">
        <v>0</v>
      </c>
      <c r="AL267" s="5" t="n">
        <v>0</v>
      </c>
      <c r="AM267" s="4" t="s">
        <v>78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M267" s="6" t="n">
        <f aca="false">IFERROR(VALUE(F267),"")</f>
        <v>0.15</v>
      </c>
      <c r="BN267" s="6" t="n">
        <f aca="false">IF(R267="-","",IFERROR(VALUE(LEFT(Q267,LEN(Q267)-2)),""))</f>
        <v>1.03</v>
      </c>
      <c r="BO267" s="6" t="n">
        <f aca="false">IF(R267="-","",IFERROR(VALUE(LEFT(R267,LEN(R267)-5)),""))</f>
        <v>0.15</v>
      </c>
      <c r="BP267" s="6" t="n">
        <f aca="false">IF(R267="-","",IFERROR(VALUE(F267),""))</f>
        <v>0.15</v>
      </c>
      <c r="BQ267" s="4" t="n">
        <f aca="false">IF(R267="-",1,0)</f>
        <v>0</v>
      </c>
    </row>
    <row r="268" customFormat="false" ht="15" hidden="false" customHeight="false" outlineLevel="0" collapsed="false">
      <c r="A268" s="0" t="s">
        <v>1151</v>
      </c>
      <c r="B268" s="0" t="s">
        <v>1152</v>
      </c>
      <c r="C268" s="0" t="s">
        <v>70</v>
      </c>
      <c r="E268" s="3" t="n">
        <v>46274</v>
      </c>
      <c r="F268" s="4" t="s">
        <v>1158</v>
      </c>
      <c r="G268" s="5" t="n">
        <v>0.0351041666666667</v>
      </c>
      <c r="H268" s="5" t="n">
        <v>0</v>
      </c>
      <c r="I268" s="5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5" t="n">
        <v>0</v>
      </c>
      <c r="P268" s="5" t="n">
        <v>0.0226736111111111</v>
      </c>
      <c r="Q268" s="4" t="s">
        <v>1159</v>
      </c>
      <c r="R268" s="4" t="s">
        <v>1160</v>
      </c>
      <c r="S268" s="5" t="n">
        <v>0</v>
      </c>
      <c r="T268" s="5" t="n">
        <v>0.0219907407407407</v>
      </c>
      <c r="U268" s="5" t="n">
        <v>0.000694444444444445</v>
      </c>
      <c r="V268" s="5" t="n">
        <v>0.003125</v>
      </c>
      <c r="W268" s="5" t="n">
        <v>0</v>
      </c>
      <c r="X268" s="5" t="n">
        <v>0</v>
      </c>
      <c r="Y268" s="5" t="n">
        <v>0</v>
      </c>
      <c r="Z268" s="0" t="n">
        <v>0</v>
      </c>
      <c r="AA268" s="0" t="n">
        <v>0</v>
      </c>
      <c r="AB268" s="0" t="n">
        <v>0</v>
      </c>
      <c r="AC268" s="4" t="s">
        <v>75</v>
      </c>
      <c r="AD268" s="4" t="s">
        <v>228</v>
      </c>
      <c r="AE268" s="4" t="s">
        <v>1157</v>
      </c>
      <c r="AF268" s="4" t="s">
        <v>1161</v>
      </c>
      <c r="AG268" s="5" t="n">
        <v>0.000451388888888889</v>
      </c>
      <c r="AH268" s="5" t="n">
        <v>0.106134259259259</v>
      </c>
      <c r="AI268" s="5" t="n">
        <v>0</v>
      </c>
      <c r="AJ268" s="5" t="n">
        <v>0</v>
      </c>
      <c r="AK268" s="5" t="n">
        <v>0</v>
      </c>
      <c r="AL268" s="5" t="n">
        <v>0</v>
      </c>
      <c r="AM268" s="4" t="s">
        <v>78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0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M268" s="6" t="n">
        <f aca="false">IFERROR(VALUE(F268),"")</f>
        <v>0.04</v>
      </c>
      <c r="BN268" s="6" t="n">
        <f aca="false">IF(R268="-","",IFERROR(VALUE(LEFT(Q268,LEN(Q268)-2)),""))</f>
        <v>2.81</v>
      </c>
      <c r="BO268" s="6" t="n">
        <f aca="false">IF(R268="-","",IFERROR(VALUE(LEFT(R268,LEN(R268)-5)),""))</f>
        <v>0.01</v>
      </c>
      <c r="BP268" s="6" t="n">
        <f aca="false">IF(R268="-","",IFERROR(VALUE(F268),""))</f>
        <v>0.04</v>
      </c>
      <c r="BQ268" s="4" t="n">
        <f aca="false">IF(R268="-",1,0)</f>
        <v>0</v>
      </c>
    </row>
    <row r="269" customFormat="false" ht="15" hidden="false" customHeight="false" outlineLevel="0" collapsed="false">
      <c r="A269" s="0" t="s">
        <v>1151</v>
      </c>
      <c r="B269" s="0" t="s">
        <v>1152</v>
      </c>
      <c r="C269" s="0" t="s">
        <v>70</v>
      </c>
      <c r="E269" s="3" t="n">
        <v>46275</v>
      </c>
      <c r="F269" s="4" t="s">
        <v>1162</v>
      </c>
      <c r="G269" s="5" t="n">
        <v>0.118090277777778</v>
      </c>
      <c r="H269" s="5" t="n">
        <v>0</v>
      </c>
      <c r="I269" s="5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5" t="n">
        <v>0</v>
      </c>
      <c r="P269" s="5" t="n">
        <v>0.0602083333333333</v>
      </c>
      <c r="Q269" s="4" t="s">
        <v>1163</v>
      </c>
      <c r="R269" s="4" t="s">
        <v>1164</v>
      </c>
      <c r="S269" s="5" t="n">
        <v>0.000115740740740741</v>
      </c>
      <c r="T269" s="5" t="n">
        <v>0.0657407407407407</v>
      </c>
      <c r="U269" s="5" t="n">
        <v>0.00127314814814815</v>
      </c>
      <c r="V269" s="5" t="n">
        <v>0</v>
      </c>
      <c r="W269" s="5" t="n">
        <v>0</v>
      </c>
      <c r="X269" s="5" t="n">
        <v>0</v>
      </c>
      <c r="Y269" s="5" t="n">
        <v>0</v>
      </c>
      <c r="Z269" s="0" t="n">
        <v>0</v>
      </c>
      <c r="AA269" s="0" t="n">
        <v>0</v>
      </c>
      <c r="AB269" s="0" t="n">
        <v>0</v>
      </c>
      <c r="AC269" s="4" t="s">
        <v>228</v>
      </c>
      <c r="AD269" s="4" t="s">
        <v>75</v>
      </c>
      <c r="AE269" s="4" t="s">
        <v>1161</v>
      </c>
      <c r="AF269" s="4" t="s">
        <v>1165</v>
      </c>
      <c r="AG269" s="5" t="n">
        <v>0.00394675925925926</v>
      </c>
      <c r="AH269" s="5" t="n">
        <v>0.180451388888889</v>
      </c>
      <c r="AI269" s="5" t="n">
        <v>0</v>
      </c>
      <c r="AJ269" s="5" t="n">
        <v>0</v>
      </c>
      <c r="AK269" s="5" t="n">
        <v>0</v>
      </c>
      <c r="AL269" s="5" t="n">
        <v>0</v>
      </c>
      <c r="AM269" s="4" t="s">
        <v>78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0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M269" s="6" t="n">
        <f aca="false">IFERROR(VALUE(F269),"")</f>
        <v>0.2</v>
      </c>
      <c r="BN269" s="6" t="n">
        <f aca="false">IF(R269="-","",IFERROR(VALUE(LEFT(Q269,LEN(Q269)-2)),""))</f>
        <v>6.51</v>
      </c>
      <c r="BO269" s="6" t="n">
        <f aca="false">IF(R269="-","",IFERROR(VALUE(LEFT(R269,LEN(R269)-5)),""))</f>
        <v>0.03</v>
      </c>
      <c r="BP269" s="6" t="n">
        <f aca="false">IF(R269="-","",IFERROR(VALUE(F269),""))</f>
        <v>0.2</v>
      </c>
      <c r="BQ269" s="4" t="n">
        <f aca="false">IF(R269="-",1,0)</f>
        <v>0</v>
      </c>
    </row>
    <row r="270" customFormat="false" ht="15" hidden="false" customHeight="false" outlineLevel="0" collapsed="false">
      <c r="A270" s="0" t="s">
        <v>1151</v>
      </c>
      <c r="B270" s="0" t="s">
        <v>1152</v>
      </c>
      <c r="C270" s="0" t="s">
        <v>70</v>
      </c>
      <c r="D270" s="0" t="s">
        <v>1166</v>
      </c>
      <c r="E270" s="3" t="n">
        <v>46276</v>
      </c>
      <c r="F270" s="4" t="s">
        <v>1167</v>
      </c>
      <c r="G270" s="5" t="n">
        <v>0.331030092592593</v>
      </c>
      <c r="H270" s="5" t="n">
        <v>0.242939814814815</v>
      </c>
      <c r="I270" s="5" t="n">
        <v>0.000416666666666667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5" t="n">
        <v>0</v>
      </c>
      <c r="P270" s="5" t="n">
        <v>0.0575694444444444</v>
      </c>
      <c r="Q270" s="4" t="s">
        <v>1168</v>
      </c>
      <c r="R270" s="4" t="s">
        <v>1169</v>
      </c>
      <c r="S270" s="5" t="n">
        <v>0.000231481481481482</v>
      </c>
      <c r="T270" s="5" t="n">
        <v>0.164236111111111</v>
      </c>
      <c r="U270" s="5" t="n">
        <v>0.12962962962963</v>
      </c>
      <c r="V270" s="5" t="n">
        <v>0.0196759259259259</v>
      </c>
      <c r="W270" s="5" t="n">
        <v>0</v>
      </c>
      <c r="X270" s="5" t="n">
        <v>0</v>
      </c>
      <c r="Y270" s="5" t="n">
        <v>0</v>
      </c>
      <c r="Z270" s="0" t="n">
        <v>0</v>
      </c>
      <c r="AA270" s="0" t="n">
        <v>0</v>
      </c>
      <c r="AB270" s="0" t="n">
        <v>0</v>
      </c>
      <c r="AC270" s="4" t="s">
        <v>75</v>
      </c>
      <c r="AD270" s="4" t="s">
        <v>421</v>
      </c>
      <c r="AE270" s="4" t="s">
        <v>1165</v>
      </c>
      <c r="AF270" s="4" t="s">
        <v>1170</v>
      </c>
      <c r="AG270" s="5" t="n">
        <v>0.214722222222222</v>
      </c>
      <c r="AH270" s="5" t="n">
        <v>0.233599537037037</v>
      </c>
      <c r="AI270" s="5" t="n">
        <v>0</v>
      </c>
      <c r="AJ270" s="5" t="n">
        <v>0</v>
      </c>
      <c r="AK270" s="5" t="n">
        <v>0</v>
      </c>
      <c r="AL270" s="5" t="n">
        <v>0</v>
      </c>
      <c r="AM270" s="4" t="s">
        <v>78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3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n">
        <v>0</v>
      </c>
      <c r="BF270" s="0" t="n">
        <v>0</v>
      </c>
      <c r="BG270" s="0" t="n">
        <v>0</v>
      </c>
      <c r="BH270" s="0" t="n">
        <v>0</v>
      </c>
      <c r="BI270" s="0" t="n">
        <v>0</v>
      </c>
      <c r="BJ270" s="0" t="n">
        <v>0</v>
      </c>
      <c r="BK270" s="0" t="n">
        <v>0</v>
      </c>
      <c r="BM270" s="6" t="n">
        <f aca="false">IFERROR(VALUE(F270),"")</f>
        <v>193.41</v>
      </c>
      <c r="BN270" s="6" t="n">
        <f aca="false">IF(R270="-","",IFERROR(VALUE(LEFT(Q270,LEN(Q270)-2)),""))</f>
        <v>73.41</v>
      </c>
      <c r="BO270" s="6" t="n">
        <f aca="false">IF(R270="-","",IFERROR(VALUE(LEFT(R270,LEN(R270)-5)),""))</f>
        <v>2.63</v>
      </c>
      <c r="BP270" s="6" t="n">
        <f aca="false">IF(R270="-","",IFERROR(VALUE(F270),""))</f>
        <v>193.41</v>
      </c>
      <c r="BQ270" s="4" t="n">
        <f aca="false">IF(R270="-",1,0)</f>
        <v>0</v>
      </c>
    </row>
    <row r="271" customFormat="false" ht="15" hidden="false" customHeight="false" outlineLevel="0" collapsed="false">
      <c r="A271" s="0" t="s">
        <v>1151</v>
      </c>
      <c r="B271" s="0" t="s">
        <v>1152</v>
      </c>
      <c r="C271" s="0" t="s">
        <v>70</v>
      </c>
      <c r="D271" s="0" t="s">
        <v>1171</v>
      </c>
      <c r="E271" s="3" t="n">
        <v>46277</v>
      </c>
      <c r="F271" s="4" t="s">
        <v>1172</v>
      </c>
      <c r="G271" s="5" t="n">
        <v>0.303240740740741</v>
      </c>
      <c r="H271" s="5" t="n">
        <v>0.251724537037037</v>
      </c>
      <c r="I271" s="5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5" t="n">
        <v>0</v>
      </c>
      <c r="P271" s="5" t="n">
        <v>0.00709490740740741</v>
      </c>
      <c r="Q271" s="4" t="s">
        <v>1173</v>
      </c>
      <c r="R271" s="4" t="s">
        <v>487</v>
      </c>
      <c r="S271" s="5" t="n">
        <v>0.000347222222222222</v>
      </c>
      <c r="T271" s="5" t="n">
        <v>0.109143518518519</v>
      </c>
      <c r="U271" s="5" t="n">
        <v>0.10474537037037</v>
      </c>
      <c r="V271" s="5" t="n">
        <v>0.0475694444444444</v>
      </c>
      <c r="W271" s="5" t="n">
        <v>0</v>
      </c>
      <c r="X271" s="5" t="n">
        <v>0</v>
      </c>
      <c r="Y271" s="5" t="n">
        <v>0</v>
      </c>
      <c r="Z271" s="0" t="n">
        <v>0</v>
      </c>
      <c r="AA271" s="0" t="n">
        <v>0</v>
      </c>
      <c r="AB271" s="0" t="n">
        <v>0</v>
      </c>
      <c r="AC271" s="4" t="s">
        <v>421</v>
      </c>
      <c r="AD271" s="4" t="s">
        <v>1174</v>
      </c>
      <c r="AE271" s="4" t="s">
        <v>1170</v>
      </c>
      <c r="AF271" s="4" t="s">
        <v>1175</v>
      </c>
      <c r="AG271" s="5" t="n">
        <v>0.225266203703704</v>
      </c>
      <c r="AH271" s="5" t="n">
        <v>0.126898148148148</v>
      </c>
      <c r="AI271" s="5" t="n">
        <v>0</v>
      </c>
      <c r="AJ271" s="5" t="n">
        <v>0</v>
      </c>
      <c r="AK271" s="5" t="n">
        <v>0</v>
      </c>
      <c r="AL271" s="5" t="n">
        <v>0</v>
      </c>
      <c r="AM271" s="4" t="s">
        <v>78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8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M271" s="6" t="n">
        <f aca="false">IFERROR(VALUE(F271),"")</f>
        <v>236.98</v>
      </c>
      <c r="BN271" s="6" t="n">
        <f aca="false">IF(R271="-","",IFERROR(VALUE(LEFT(Q271,LEN(Q271)-2)),""))</f>
        <v>87.19</v>
      </c>
      <c r="BO271" s="6" t="n">
        <f aca="false">IF(R271="-","",IFERROR(VALUE(LEFT(R271,LEN(R271)-5)),""))</f>
        <v>2.72</v>
      </c>
      <c r="BP271" s="6" t="n">
        <f aca="false">IF(R271="-","",IFERROR(VALUE(F271),""))</f>
        <v>236.98</v>
      </c>
      <c r="BQ271" s="4" t="n">
        <f aca="false">IF(R271="-",1,0)</f>
        <v>0</v>
      </c>
    </row>
    <row r="272" customFormat="false" ht="15" hidden="false" customHeight="false" outlineLevel="0" collapsed="false">
      <c r="A272" s="0" t="s">
        <v>1151</v>
      </c>
      <c r="B272" s="0" t="s">
        <v>1152</v>
      </c>
      <c r="C272" s="0" t="s">
        <v>70</v>
      </c>
      <c r="D272" s="0" t="s">
        <v>1176</v>
      </c>
      <c r="E272" s="3" t="n">
        <v>46278</v>
      </c>
      <c r="F272" s="4" t="s">
        <v>1177</v>
      </c>
      <c r="G272" s="5" t="n">
        <v>0.262731481481482</v>
      </c>
      <c r="H272" s="5" t="n">
        <v>0.241539351851852</v>
      </c>
      <c r="I272" s="5" t="n">
        <v>0.000150462962962963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5" t="n">
        <v>0</v>
      </c>
      <c r="P272" s="5" t="n">
        <v>0.00704861111111111</v>
      </c>
      <c r="Q272" s="4" t="s">
        <v>1178</v>
      </c>
      <c r="R272" s="4" t="s">
        <v>1179</v>
      </c>
      <c r="S272" s="5" t="n">
        <v>0</v>
      </c>
      <c r="T272" s="5" t="n">
        <v>0.0978009259259259</v>
      </c>
      <c r="U272" s="5" t="n">
        <v>0.104050925925926</v>
      </c>
      <c r="V272" s="5" t="n">
        <v>0.0532407407407407</v>
      </c>
      <c r="W272" s="5" t="n">
        <v>0</v>
      </c>
      <c r="X272" s="5" t="n">
        <v>0</v>
      </c>
      <c r="Y272" s="5" t="n">
        <v>0</v>
      </c>
      <c r="Z272" s="0" t="n">
        <v>0</v>
      </c>
      <c r="AA272" s="0" t="n">
        <v>0</v>
      </c>
      <c r="AB272" s="0" t="n">
        <v>0</v>
      </c>
      <c r="AC272" s="4" t="s">
        <v>1174</v>
      </c>
      <c r="AD272" s="4" t="s">
        <v>421</v>
      </c>
      <c r="AE272" s="4" t="s">
        <v>1175</v>
      </c>
      <c r="AF272" s="4" t="s">
        <v>1180</v>
      </c>
      <c r="AG272" s="5" t="n">
        <v>0.211168981481482</v>
      </c>
      <c r="AH272" s="5" t="n">
        <v>0.0845601851851852</v>
      </c>
      <c r="AI272" s="5" t="n">
        <v>0</v>
      </c>
      <c r="AJ272" s="5" t="n">
        <v>0</v>
      </c>
      <c r="AK272" s="5" t="n">
        <v>0</v>
      </c>
      <c r="AL272" s="5" t="n">
        <v>0</v>
      </c>
      <c r="AM272" s="4" t="s">
        <v>78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1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0</v>
      </c>
      <c r="BE272" s="0" t="n">
        <v>0</v>
      </c>
      <c r="BF272" s="0" t="n">
        <v>0</v>
      </c>
      <c r="BG272" s="0" t="n">
        <v>0</v>
      </c>
      <c r="BH272" s="0" t="n">
        <v>0</v>
      </c>
      <c r="BI272" s="0" t="n">
        <v>0</v>
      </c>
      <c r="BJ272" s="0" t="n">
        <v>0</v>
      </c>
      <c r="BK272" s="0" t="n">
        <v>0</v>
      </c>
      <c r="BM272" s="6" t="n">
        <f aca="false">IFERROR(VALUE(F272),"")</f>
        <v>243.06</v>
      </c>
      <c r="BN272" s="6" t="n">
        <f aca="false">IF(R272="-","",IFERROR(VALUE(LEFT(Q272,LEN(Q272)-2)),""))</f>
        <v>90.74</v>
      </c>
      <c r="BO272" s="6" t="n">
        <f aca="false">IF(R272="-","",IFERROR(VALUE(LEFT(R272,LEN(R272)-5)),""))</f>
        <v>2.68</v>
      </c>
      <c r="BP272" s="6" t="n">
        <f aca="false">IF(R272="-","",IFERROR(VALUE(F272),""))</f>
        <v>243.06</v>
      </c>
      <c r="BQ272" s="4" t="n">
        <f aca="false">IF(R272="-",1,0)</f>
        <v>0</v>
      </c>
    </row>
    <row r="273" customFormat="false" ht="15" hidden="false" customHeight="false" outlineLevel="0" collapsed="false">
      <c r="A273" s="0" t="s">
        <v>1151</v>
      </c>
      <c r="B273" s="0" t="s">
        <v>1152</v>
      </c>
      <c r="C273" s="0" t="s">
        <v>70</v>
      </c>
      <c r="D273" s="0" t="s">
        <v>1176</v>
      </c>
      <c r="E273" s="3" t="n">
        <v>46279</v>
      </c>
      <c r="F273" s="4" t="s">
        <v>1181</v>
      </c>
      <c r="G273" s="5" t="n">
        <v>0.541273148148148</v>
      </c>
      <c r="H273" s="5" t="n">
        <v>0.234398148148148</v>
      </c>
      <c r="I273" s="5" t="n">
        <v>0.000104166666666667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5" t="n">
        <v>0</v>
      </c>
      <c r="P273" s="5" t="n">
        <v>0.0395138888888889</v>
      </c>
      <c r="Q273" s="4" t="s">
        <v>1182</v>
      </c>
      <c r="R273" s="4" t="s">
        <v>1183</v>
      </c>
      <c r="S273" s="5" t="n">
        <v>0.000231481481481482</v>
      </c>
      <c r="T273" s="5" t="n">
        <v>0.219097222222222</v>
      </c>
      <c r="U273" s="5" t="n">
        <v>0.221759259259259</v>
      </c>
      <c r="V273" s="5" t="n">
        <v>0.0864583333333333</v>
      </c>
      <c r="W273" s="5" t="n">
        <v>0</v>
      </c>
      <c r="X273" s="5" t="n">
        <v>0</v>
      </c>
      <c r="Y273" s="5" t="n">
        <v>0</v>
      </c>
      <c r="Z273" s="0" t="n">
        <v>0</v>
      </c>
      <c r="AA273" s="0" t="n">
        <v>0</v>
      </c>
      <c r="AB273" s="0" t="n">
        <v>0</v>
      </c>
      <c r="AC273" s="4" t="s">
        <v>421</v>
      </c>
      <c r="AD273" s="4" t="s">
        <v>421</v>
      </c>
      <c r="AE273" s="4" t="s">
        <v>1180</v>
      </c>
      <c r="AF273" s="4" t="s">
        <v>1184</v>
      </c>
      <c r="AG273" s="5" t="n">
        <v>0.429907407407407</v>
      </c>
      <c r="AH273" s="5" t="n">
        <v>0.201481481481482</v>
      </c>
      <c r="AI273" s="5" t="n">
        <v>0</v>
      </c>
      <c r="AJ273" s="5" t="n">
        <v>0</v>
      </c>
      <c r="AK273" s="5" t="n">
        <v>0</v>
      </c>
      <c r="AL273" s="5" t="n">
        <v>0</v>
      </c>
      <c r="AM273" s="4" t="s">
        <v>78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3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n">
        <v>0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M273" s="6" t="n">
        <f aca="false">IFERROR(VALUE(F273),"")</f>
        <v>475.55</v>
      </c>
      <c r="BN273" s="6" t="n">
        <f aca="false">IF(R273="-","",IFERROR(VALUE(LEFT(Q273,LEN(Q273)-2)),""))</f>
        <v>180.38</v>
      </c>
      <c r="BO273" s="6" t="n">
        <f aca="false">IF(R273="-","",IFERROR(VALUE(LEFT(R273,LEN(R273)-5)),""))</f>
        <v>2.64</v>
      </c>
      <c r="BP273" s="6" t="n">
        <f aca="false">IF(R273="-","",IFERROR(VALUE(F273),""))</f>
        <v>475.55</v>
      </c>
      <c r="BQ273" s="4" t="n">
        <f aca="false">IF(R273="-",1,0)</f>
        <v>0</v>
      </c>
    </row>
    <row r="274" customFormat="false" ht="15" hidden="false" customHeight="false" outlineLevel="0" collapsed="false">
      <c r="A274" s="0" t="s">
        <v>1185</v>
      </c>
      <c r="B274" s="0" t="s">
        <v>1186</v>
      </c>
      <c r="C274" s="0" t="s">
        <v>70</v>
      </c>
      <c r="D274" s="0" t="s">
        <v>1187</v>
      </c>
      <c r="E274" s="3" t="n">
        <v>46273</v>
      </c>
      <c r="F274" s="4" t="s">
        <v>1188</v>
      </c>
      <c r="G274" s="5" t="n">
        <v>0.349189814814815</v>
      </c>
      <c r="H274" s="5" t="n">
        <v>0.269398148148148</v>
      </c>
      <c r="I274" s="5" t="n">
        <v>0.00116898148148148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5" t="n">
        <v>0</v>
      </c>
      <c r="P274" s="5" t="n">
        <v>0.0282638888888889</v>
      </c>
      <c r="Q274" s="4" t="s">
        <v>1189</v>
      </c>
      <c r="R274" s="4" t="s">
        <v>921</v>
      </c>
      <c r="S274" s="5" t="n">
        <v>0</v>
      </c>
      <c r="T274" s="5" t="n">
        <v>0.145717592592593</v>
      </c>
      <c r="U274" s="5" t="n">
        <v>0.14537037037037</v>
      </c>
      <c r="V274" s="5" t="n">
        <v>0.0385416666666667</v>
      </c>
      <c r="W274" s="5" t="n">
        <v>0</v>
      </c>
      <c r="X274" s="5" t="n">
        <v>0</v>
      </c>
      <c r="Y274" s="5" t="n">
        <v>0</v>
      </c>
      <c r="Z274" s="0" t="n">
        <v>0</v>
      </c>
      <c r="AA274" s="0" t="n">
        <v>0</v>
      </c>
      <c r="AB274" s="0" t="n">
        <v>0</v>
      </c>
      <c r="AC274" s="4" t="s">
        <v>432</v>
      </c>
      <c r="AD274" s="4" t="s">
        <v>228</v>
      </c>
      <c r="AE274" s="4" t="s">
        <v>1190</v>
      </c>
      <c r="AF274" s="4" t="s">
        <v>1191</v>
      </c>
      <c r="AG274" s="5" t="n">
        <v>0.248263888888889</v>
      </c>
      <c r="AH274" s="5" t="n">
        <v>0.15037037037037</v>
      </c>
      <c r="AI274" s="5" t="n">
        <v>0</v>
      </c>
      <c r="AJ274" s="5" t="n">
        <v>0</v>
      </c>
      <c r="AK274" s="5" t="n">
        <v>0</v>
      </c>
      <c r="AL274" s="5" t="n">
        <v>0</v>
      </c>
      <c r="AM274" s="4" t="s">
        <v>78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3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0</v>
      </c>
      <c r="BF274" s="0" t="n">
        <v>0</v>
      </c>
      <c r="BG274" s="0" t="n">
        <v>0</v>
      </c>
      <c r="BH274" s="0" t="n">
        <v>0</v>
      </c>
      <c r="BI274" s="0" t="n">
        <v>0</v>
      </c>
      <c r="BJ274" s="0" t="n">
        <v>0</v>
      </c>
      <c r="BK274" s="0" t="n">
        <v>0</v>
      </c>
      <c r="BM274" s="6" t="n">
        <f aca="false">IFERROR(VALUE(F274),"")</f>
        <v>295.6</v>
      </c>
      <c r="BN274" s="6" t="n">
        <f aca="false">IF(R274="-","",IFERROR(VALUE(LEFT(Q274,LEN(Q274)-2)),""))</f>
        <v>96.6</v>
      </c>
      <c r="BO274" s="6" t="n">
        <f aca="false">IF(R274="-","",IFERROR(VALUE(LEFT(R274,LEN(R274)-5)),""))</f>
        <v>3.06</v>
      </c>
      <c r="BP274" s="6" t="n">
        <f aca="false">IF(R274="-","",IFERROR(VALUE(F274),""))</f>
        <v>295.6</v>
      </c>
      <c r="BQ274" s="4" t="n">
        <f aca="false">IF(R274="-",1,0)</f>
        <v>0</v>
      </c>
    </row>
    <row r="275" customFormat="false" ht="15" hidden="false" customHeight="false" outlineLevel="0" collapsed="false">
      <c r="A275" s="0" t="s">
        <v>1185</v>
      </c>
      <c r="B275" s="0" t="s">
        <v>1186</v>
      </c>
      <c r="C275" s="0" t="s">
        <v>70</v>
      </c>
      <c r="E275" s="3" t="n">
        <v>46274</v>
      </c>
      <c r="F275" s="4" t="s">
        <v>1192</v>
      </c>
      <c r="G275" s="5" t="n">
        <v>0.0848611111111111</v>
      </c>
      <c r="H275" s="5" t="n">
        <v>0</v>
      </c>
      <c r="I275" s="5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5" t="n">
        <v>0</v>
      </c>
      <c r="P275" s="5" t="n">
        <v>0.0369791666666667</v>
      </c>
      <c r="Q275" s="4" t="s">
        <v>1193</v>
      </c>
      <c r="R275" s="4" t="s">
        <v>1194</v>
      </c>
      <c r="S275" s="5" t="n">
        <v>0</v>
      </c>
      <c r="T275" s="5" t="n">
        <v>0.0564814814814815</v>
      </c>
      <c r="U275" s="5" t="n">
        <v>0.00185185185185185</v>
      </c>
      <c r="V275" s="5" t="n">
        <v>0.000868055555555556</v>
      </c>
      <c r="W275" s="5" t="n">
        <v>0.000127314814814815</v>
      </c>
      <c r="X275" s="5" t="n">
        <v>0</v>
      </c>
      <c r="Y275" s="5" t="n">
        <v>0.000150462962962963</v>
      </c>
      <c r="Z275" s="0" t="n">
        <v>0</v>
      </c>
      <c r="AA275" s="0" t="n">
        <v>0</v>
      </c>
      <c r="AB275" s="0" t="n">
        <v>0</v>
      </c>
      <c r="AC275" s="4" t="s">
        <v>74</v>
      </c>
      <c r="AD275" s="4" t="s">
        <v>75</v>
      </c>
      <c r="AE275" s="4" t="s">
        <v>1191</v>
      </c>
      <c r="AF275" s="4" t="s">
        <v>1195</v>
      </c>
      <c r="AG275" s="5" t="n">
        <v>0.0124421296296296</v>
      </c>
      <c r="AH275" s="5" t="n">
        <v>0.185393518518519</v>
      </c>
      <c r="AI275" s="5" t="n">
        <v>0</v>
      </c>
      <c r="AJ275" s="5" t="n">
        <v>0</v>
      </c>
      <c r="AK275" s="5" t="n">
        <v>0</v>
      </c>
      <c r="AL275" s="5" t="n">
        <v>0</v>
      </c>
      <c r="AM275" s="4" t="s">
        <v>78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M275" s="6" t="n">
        <f aca="false">IFERROR(VALUE(F275),"")</f>
        <v>1.08</v>
      </c>
      <c r="BN275" s="6" t="n">
        <f aca="false">IF(R275="-","",IFERROR(VALUE(LEFT(Q275,LEN(Q275)-2)),""))</f>
        <v>4.43</v>
      </c>
      <c r="BO275" s="6" t="n">
        <f aca="false">IF(R275="-","",IFERROR(VALUE(LEFT(R275,LEN(R275)-5)),""))</f>
        <v>0.24</v>
      </c>
      <c r="BP275" s="6" t="n">
        <f aca="false">IF(R275="-","",IFERROR(VALUE(F275),""))</f>
        <v>1.08</v>
      </c>
      <c r="BQ275" s="4" t="n">
        <f aca="false">IF(R275="-",1,0)</f>
        <v>0</v>
      </c>
    </row>
    <row r="276" customFormat="false" ht="15" hidden="false" customHeight="false" outlineLevel="0" collapsed="false">
      <c r="A276" s="0" t="s">
        <v>1185</v>
      </c>
      <c r="B276" s="0" t="s">
        <v>1186</v>
      </c>
      <c r="C276" s="0" t="s">
        <v>70</v>
      </c>
      <c r="D276" s="0" t="s">
        <v>1196</v>
      </c>
      <c r="E276" s="3" t="n">
        <v>46275</v>
      </c>
      <c r="F276" s="4" t="s">
        <v>1197</v>
      </c>
      <c r="G276" s="5" t="n">
        <v>0.467662037037037</v>
      </c>
      <c r="H276" s="5" t="n">
        <v>0.455243055555556</v>
      </c>
      <c r="I276" s="5" t="n">
        <v>0.000173611111111111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5" t="n">
        <v>0</v>
      </c>
      <c r="P276" s="5" t="n">
        <v>0</v>
      </c>
      <c r="Q276" s="4" t="s">
        <v>1198</v>
      </c>
      <c r="R276" s="4" t="s">
        <v>1199</v>
      </c>
      <c r="S276" s="5" t="n">
        <v>0.000115740740740741</v>
      </c>
      <c r="T276" s="5" t="n">
        <v>0.141319444444444</v>
      </c>
      <c r="U276" s="5" t="n">
        <v>0.237384259259259</v>
      </c>
      <c r="V276" s="5" t="n">
        <v>0.0787037037037037</v>
      </c>
      <c r="W276" s="5" t="n">
        <v>0</v>
      </c>
      <c r="X276" s="5" t="n">
        <v>0</v>
      </c>
      <c r="Y276" s="5" t="n">
        <v>0</v>
      </c>
      <c r="Z276" s="0" t="n">
        <v>0</v>
      </c>
      <c r="AA276" s="0" t="n">
        <v>0</v>
      </c>
      <c r="AB276" s="0" t="n">
        <v>0</v>
      </c>
      <c r="AC276" s="4" t="s">
        <v>75</v>
      </c>
      <c r="AD276" s="4" t="s">
        <v>842</v>
      </c>
      <c r="AE276" s="4" t="s">
        <v>1195</v>
      </c>
      <c r="AF276" s="4" t="s">
        <v>1200</v>
      </c>
      <c r="AG276" s="5" t="n">
        <v>0.418414351851852</v>
      </c>
      <c r="AH276" s="5" t="n">
        <v>0.146608796296296</v>
      </c>
      <c r="AI276" s="5" t="n">
        <v>0</v>
      </c>
      <c r="AJ276" s="5" t="n">
        <v>0</v>
      </c>
      <c r="AK276" s="5" t="n">
        <v>0</v>
      </c>
      <c r="AL276" s="5" t="n">
        <v>0</v>
      </c>
      <c r="AM276" s="4" t="s">
        <v>78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5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0</v>
      </c>
      <c r="BI276" s="0" t="n">
        <v>0</v>
      </c>
      <c r="BJ276" s="0" t="n">
        <v>0</v>
      </c>
      <c r="BK276" s="0" t="n">
        <v>0</v>
      </c>
      <c r="BM276" s="6" t="n">
        <f aca="false">IFERROR(VALUE(F276),"")</f>
        <v>476.28</v>
      </c>
      <c r="BN276" s="6" t="n">
        <f aca="false">IF(R276="-","",IFERROR(VALUE(LEFT(Q276,LEN(Q276)-2)),""))</f>
        <v>164.58</v>
      </c>
      <c r="BO276" s="6" t="n">
        <f aca="false">IF(R276="-","",IFERROR(VALUE(LEFT(R276,LEN(R276)-5)),""))</f>
        <v>2.89</v>
      </c>
      <c r="BP276" s="6" t="n">
        <f aca="false">IF(R276="-","",IFERROR(VALUE(F276),""))</f>
        <v>476.28</v>
      </c>
      <c r="BQ276" s="4" t="n">
        <f aca="false">IF(R276="-",1,0)</f>
        <v>0</v>
      </c>
    </row>
    <row r="277" customFormat="false" ht="15" hidden="false" customHeight="false" outlineLevel="0" collapsed="false">
      <c r="A277" s="0" t="s">
        <v>1185</v>
      </c>
      <c r="B277" s="0" t="s">
        <v>1186</v>
      </c>
      <c r="C277" s="0" t="s">
        <v>70</v>
      </c>
      <c r="D277" s="0" t="s">
        <v>1201</v>
      </c>
      <c r="E277" s="3" t="n">
        <v>46276</v>
      </c>
      <c r="F277" s="4" t="s">
        <v>1202</v>
      </c>
      <c r="G277" s="5" t="n">
        <v>0.431967592592593</v>
      </c>
      <c r="H277" s="5" t="n">
        <v>0.42693287037037</v>
      </c>
      <c r="I277" s="5" t="n">
        <v>0.00821759259259259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5" t="n">
        <v>0</v>
      </c>
      <c r="P277" s="5" t="n">
        <v>0</v>
      </c>
      <c r="Q277" s="4" t="s">
        <v>1203</v>
      </c>
      <c r="R277" s="4" t="s">
        <v>750</v>
      </c>
      <c r="S277" s="5" t="n">
        <v>0</v>
      </c>
      <c r="T277" s="5" t="n">
        <v>0.145023148148148</v>
      </c>
      <c r="U277" s="5" t="n">
        <v>0.214236111111111</v>
      </c>
      <c r="V277" s="5" t="n">
        <v>0.0678240740740741</v>
      </c>
      <c r="W277" s="5" t="n">
        <v>0</v>
      </c>
      <c r="X277" s="5" t="n">
        <v>0</v>
      </c>
      <c r="Y277" s="5" t="n">
        <v>0</v>
      </c>
      <c r="Z277" s="0" t="n">
        <v>0</v>
      </c>
      <c r="AA277" s="0" t="n">
        <v>0</v>
      </c>
      <c r="AB277" s="0" t="n">
        <v>0</v>
      </c>
      <c r="AC277" s="4" t="s">
        <v>1204</v>
      </c>
      <c r="AD277" s="4" t="s">
        <v>842</v>
      </c>
      <c r="AE277" s="4" t="s">
        <v>1200</v>
      </c>
      <c r="AF277" s="4" t="s">
        <v>1205</v>
      </c>
      <c r="AG277" s="5" t="n">
        <v>0.376979166666667</v>
      </c>
      <c r="AH277" s="5" t="n">
        <v>0.0968287037037037</v>
      </c>
      <c r="AI277" s="5" t="n">
        <v>0</v>
      </c>
      <c r="AJ277" s="5" t="n">
        <v>0</v>
      </c>
      <c r="AK277" s="5" t="n">
        <v>0</v>
      </c>
      <c r="AL277" s="5" t="n">
        <v>0</v>
      </c>
      <c r="AM277" s="4" t="s">
        <v>78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0</v>
      </c>
      <c r="BI277" s="0" t="n">
        <v>0</v>
      </c>
      <c r="BJ277" s="0" t="n">
        <v>0</v>
      </c>
      <c r="BK277" s="0" t="n">
        <v>0</v>
      </c>
      <c r="BM277" s="6" t="n">
        <f aca="false">IFERROR(VALUE(F277),"")</f>
        <v>440.54</v>
      </c>
      <c r="BN277" s="6" t="n">
        <f aca="false">IF(R277="-","",IFERROR(VALUE(LEFT(Q277,LEN(Q277)-2)),""))</f>
        <v>150.66</v>
      </c>
      <c r="BO277" s="6" t="n">
        <f aca="false">IF(R277="-","",IFERROR(VALUE(LEFT(R277,LEN(R277)-5)),""))</f>
        <v>2.92</v>
      </c>
      <c r="BP277" s="6" t="n">
        <f aca="false">IF(R277="-","",IFERROR(VALUE(F277),""))</f>
        <v>440.54</v>
      </c>
      <c r="BQ277" s="4" t="n">
        <f aca="false">IF(R277="-",1,0)</f>
        <v>0</v>
      </c>
    </row>
    <row r="278" customFormat="false" ht="15" hidden="false" customHeight="false" outlineLevel="0" collapsed="false">
      <c r="A278" s="0" t="s">
        <v>1185</v>
      </c>
      <c r="B278" s="0" t="s">
        <v>1186</v>
      </c>
      <c r="C278" s="0" t="s">
        <v>70</v>
      </c>
      <c r="D278" s="0" t="s">
        <v>1206</v>
      </c>
      <c r="E278" s="3" t="n">
        <v>46277</v>
      </c>
      <c r="F278" s="4" t="s">
        <v>1207</v>
      </c>
      <c r="G278" s="5" t="n">
        <v>0.468657407407407</v>
      </c>
      <c r="H278" s="5" t="n">
        <v>0.442719907407407</v>
      </c>
      <c r="I278" s="5" t="n">
        <v>0.00449074074074074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5" t="n">
        <v>0</v>
      </c>
      <c r="P278" s="5" t="n">
        <v>0.00721064814814815</v>
      </c>
      <c r="Q278" s="4" t="s">
        <v>1208</v>
      </c>
      <c r="R278" s="4" t="s">
        <v>1209</v>
      </c>
      <c r="S278" s="5" t="n">
        <v>0.000115740740740741</v>
      </c>
      <c r="T278" s="5" t="n">
        <v>0.148726851851852</v>
      </c>
      <c r="U278" s="5" t="n">
        <v>0.170833333333333</v>
      </c>
      <c r="V278" s="5" t="n">
        <v>0.124305555555556</v>
      </c>
      <c r="W278" s="5" t="n">
        <v>0</v>
      </c>
      <c r="X278" s="5" t="n">
        <v>0</v>
      </c>
      <c r="Y278" s="5" t="n">
        <v>0</v>
      </c>
      <c r="Z278" s="0" t="n">
        <v>0</v>
      </c>
      <c r="AA278" s="0" t="n">
        <v>0</v>
      </c>
      <c r="AB278" s="0" t="n">
        <v>0</v>
      </c>
      <c r="AC278" s="4" t="s">
        <v>842</v>
      </c>
      <c r="AD278" s="4" t="s">
        <v>81</v>
      </c>
      <c r="AE278" s="4" t="s">
        <v>1205</v>
      </c>
      <c r="AF278" s="4" t="s">
        <v>1210</v>
      </c>
      <c r="AG278" s="5" t="n">
        <v>0.387418981481482</v>
      </c>
      <c r="AH278" s="5" t="n">
        <v>0.161666666666667</v>
      </c>
      <c r="AI278" s="5" t="n">
        <v>0</v>
      </c>
      <c r="AJ278" s="5" t="n">
        <v>0</v>
      </c>
      <c r="AK278" s="5" t="n">
        <v>0</v>
      </c>
      <c r="AL278" s="5" t="n">
        <v>0</v>
      </c>
      <c r="AM278" s="4" t="s">
        <v>78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1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n">
        <v>0</v>
      </c>
      <c r="BF278" s="0" t="n">
        <v>0</v>
      </c>
      <c r="BG278" s="0" t="n">
        <v>0</v>
      </c>
      <c r="BH278" s="0" t="n">
        <v>0</v>
      </c>
      <c r="BI278" s="0" t="n">
        <v>0</v>
      </c>
      <c r="BJ278" s="0" t="n">
        <v>0</v>
      </c>
      <c r="BK278" s="0" t="n">
        <v>0</v>
      </c>
      <c r="BM278" s="6" t="n">
        <f aca="false">IFERROR(VALUE(F278),"")</f>
        <v>470.29</v>
      </c>
      <c r="BN278" s="6" t="n">
        <f aca="false">IF(R278="-","",IFERROR(VALUE(LEFT(Q278,LEN(Q278)-2)),""))</f>
        <v>169.14</v>
      </c>
      <c r="BO278" s="6" t="n">
        <f aca="false">IF(R278="-","",IFERROR(VALUE(LEFT(R278,LEN(R278)-5)),""))</f>
        <v>2.78</v>
      </c>
      <c r="BP278" s="6" t="n">
        <f aca="false">IF(R278="-","",IFERROR(VALUE(F278),""))</f>
        <v>470.29</v>
      </c>
      <c r="BQ278" s="4" t="n">
        <f aca="false">IF(R278="-",1,0)</f>
        <v>0</v>
      </c>
    </row>
    <row r="279" customFormat="false" ht="15" hidden="false" customHeight="false" outlineLevel="0" collapsed="false">
      <c r="A279" s="0" t="s">
        <v>1185</v>
      </c>
      <c r="B279" s="0" t="s">
        <v>1186</v>
      </c>
      <c r="C279" s="0" t="s">
        <v>70</v>
      </c>
      <c r="D279" s="0" t="s">
        <v>1211</v>
      </c>
      <c r="E279" s="3" t="n">
        <v>46278</v>
      </c>
      <c r="F279" s="4" t="s">
        <v>1212</v>
      </c>
      <c r="G279" s="5" t="n">
        <v>0.557175925925926</v>
      </c>
      <c r="H279" s="5" t="n">
        <v>0.463680555555556</v>
      </c>
      <c r="I279" s="5" t="n">
        <v>0.000104166666666667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5" t="n">
        <v>0</v>
      </c>
      <c r="P279" s="5" t="n">
        <v>0.09875</v>
      </c>
      <c r="Q279" s="4" t="s">
        <v>1213</v>
      </c>
      <c r="R279" s="4" t="s">
        <v>487</v>
      </c>
      <c r="S279" s="5" t="n">
        <v>0.000462962962962963</v>
      </c>
      <c r="T279" s="5" t="n">
        <v>0.225810185185185</v>
      </c>
      <c r="U279" s="5" t="n">
        <v>0.239236111111111</v>
      </c>
      <c r="V279" s="5" t="n">
        <v>0.0792824074074074</v>
      </c>
      <c r="W279" s="5" t="n">
        <v>0</v>
      </c>
      <c r="X279" s="5" t="n">
        <v>0</v>
      </c>
      <c r="Y279" s="5" t="n">
        <v>0</v>
      </c>
      <c r="Z279" s="0" t="n">
        <v>0</v>
      </c>
      <c r="AA279" s="0" t="n">
        <v>0</v>
      </c>
      <c r="AB279" s="0" t="n">
        <v>0</v>
      </c>
      <c r="AC279" s="4" t="s">
        <v>75</v>
      </c>
      <c r="AD279" s="4" t="s">
        <v>842</v>
      </c>
      <c r="AE279" s="4" t="s">
        <v>1210</v>
      </c>
      <c r="AF279" s="4" t="s">
        <v>1214</v>
      </c>
      <c r="AG279" s="5" t="n">
        <v>0.409930555555556</v>
      </c>
      <c r="AH279" s="5" t="n">
        <v>0.185173611111111</v>
      </c>
      <c r="AI279" s="5" t="n">
        <v>0</v>
      </c>
      <c r="AJ279" s="5" t="n">
        <v>0</v>
      </c>
      <c r="AK279" s="5" t="n">
        <v>0</v>
      </c>
      <c r="AL279" s="5" t="n">
        <v>0</v>
      </c>
      <c r="AM279" s="4" t="s">
        <v>78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5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0</v>
      </c>
      <c r="BI279" s="0" t="n">
        <v>0</v>
      </c>
      <c r="BJ279" s="0" t="n">
        <v>0</v>
      </c>
      <c r="BK279" s="0" t="n">
        <v>0</v>
      </c>
      <c r="BM279" s="6" t="n">
        <f aca="false">IFERROR(VALUE(F279),"")</f>
        <v>476.11</v>
      </c>
      <c r="BN279" s="6" t="n">
        <f aca="false">IF(R279="-","",IFERROR(VALUE(LEFT(Q279,LEN(Q279)-2)),""))</f>
        <v>175.34</v>
      </c>
      <c r="BO279" s="6" t="n">
        <f aca="false">IF(R279="-","",IFERROR(VALUE(LEFT(R279,LEN(R279)-5)),""))</f>
        <v>2.72</v>
      </c>
      <c r="BP279" s="6" t="n">
        <f aca="false">IF(R279="-","",IFERROR(VALUE(F279),""))</f>
        <v>476.11</v>
      </c>
      <c r="BQ279" s="4" t="n">
        <f aca="false">IF(R279="-",1,0)</f>
        <v>0</v>
      </c>
    </row>
    <row r="280" customFormat="false" ht="15" hidden="false" customHeight="false" outlineLevel="0" collapsed="false">
      <c r="A280" s="0" t="s">
        <v>1185</v>
      </c>
      <c r="B280" s="0" t="s">
        <v>1186</v>
      </c>
      <c r="C280" s="0" t="s">
        <v>70</v>
      </c>
      <c r="D280" s="0" t="s">
        <v>1215</v>
      </c>
      <c r="E280" s="3" t="n">
        <v>46279</v>
      </c>
      <c r="F280" s="4" t="s">
        <v>1216</v>
      </c>
      <c r="G280" s="5" t="n">
        <v>0.467569444444444</v>
      </c>
      <c r="H280" s="5" t="n">
        <v>0.422048611111111</v>
      </c>
      <c r="I280" s="5" t="n">
        <v>0.0121296296296296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5" t="n">
        <v>0</v>
      </c>
      <c r="P280" s="5" t="n">
        <v>0</v>
      </c>
      <c r="Q280" s="4" t="s">
        <v>1217</v>
      </c>
      <c r="R280" s="4" t="s">
        <v>482</v>
      </c>
      <c r="S280" s="5" t="n">
        <v>0</v>
      </c>
      <c r="T280" s="5" t="n">
        <v>0.139814814814815</v>
      </c>
      <c r="U280" s="5" t="n">
        <v>0.165740740740741</v>
      </c>
      <c r="V280" s="5" t="n">
        <v>0.129050925925926</v>
      </c>
      <c r="W280" s="5" t="n">
        <v>0</v>
      </c>
      <c r="X280" s="5" t="n">
        <v>0</v>
      </c>
      <c r="Y280" s="5" t="n">
        <v>0</v>
      </c>
      <c r="Z280" s="0" t="n">
        <v>0</v>
      </c>
      <c r="AA280" s="0" t="n">
        <v>0</v>
      </c>
      <c r="AB280" s="0" t="n">
        <v>0</v>
      </c>
      <c r="AC280" s="4" t="s">
        <v>842</v>
      </c>
      <c r="AD280" s="4" t="s">
        <v>74</v>
      </c>
      <c r="AE280" s="4" t="s">
        <v>1214</v>
      </c>
      <c r="AF280" s="4" t="s">
        <v>1218</v>
      </c>
      <c r="AG280" s="5" t="n">
        <v>0.378831018518519</v>
      </c>
      <c r="AH280" s="5" t="n">
        <v>0.177511574074074</v>
      </c>
      <c r="AI280" s="5" t="n">
        <v>0</v>
      </c>
      <c r="AJ280" s="5" t="n">
        <v>0</v>
      </c>
      <c r="AK280" s="5" t="n">
        <v>0</v>
      </c>
      <c r="AL280" s="5" t="n">
        <v>0</v>
      </c>
      <c r="AM280" s="4" t="s">
        <v>78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2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n">
        <v>0</v>
      </c>
      <c r="BF280" s="0" t="n">
        <v>0</v>
      </c>
      <c r="BG280" s="0" t="n">
        <v>0</v>
      </c>
      <c r="BH280" s="0" t="n">
        <v>0</v>
      </c>
      <c r="BI280" s="0" t="n">
        <v>0</v>
      </c>
      <c r="BJ280" s="0" t="n">
        <v>0</v>
      </c>
      <c r="BK280" s="0" t="n">
        <v>0</v>
      </c>
      <c r="BM280" s="6" t="n">
        <f aca="false">IFERROR(VALUE(F280),"")</f>
        <v>470.51</v>
      </c>
      <c r="BN280" s="6" t="n">
        <f aca="false">IF(R280="-","",IFERROR(VALUE(LEFT(Q280,LEN(Q280)-2)),""))</f>
        <v>172.21</v>
      </c>
      <c r="BO280" s="6" t="n">
        <f aca="false">IF(R280="-","",IFERROR(VALUE(LEFT(R280,LEN(R280)-5)),""))</f>
        <v>2.73</v>
      </c>
      <c r="BP280" s="6" t="n">
        <f aca="false">IF(R280="-","",IFERROR(VALUE(F280),""))</f>
        <v>470.51</v>
      </c>
      <c r="BQ280" s="4" t="n">
        <f aca="false">IF(R280="-",1,0)</f>
        <v>0</v>
      </c>
    </row>
    <row r="281" customFormat="false" ht="15" hidden="false" customHeight="false" outlineLevel="0" collapsed="false">
      <c r="A281" s="0" t="s">
        <v>1219</v>
      </c>
      <c r="B281" s="0" t="s">
        <v>1220</v>
      </c>
      <c r="C281" s="0" t="s">
        <v>70</v>
      </c>
      <c r="D281" s="0" t="s">
        <v>1221</v>
      </c>
      <c r="E281" s="3" t="n">
        <v>46273</v>
      </c>
      <c r="F281" s="4" t="s">
        <v>1222</v>
      </c>
      <c r="G281" s="5" t="n">
        <v>0.238194444444444</v>
      </c>
      <c r="H281" s="5" t="n">
        <v>0.191597222222222</v>
      </c>
      <c r="I281" s="5" t="n">
        <v>0.00127314814814815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5" t="n">
        <v>0</v>
      </c>
      <c r="P281" s="5" t="n">
        <v>0.0233449074074074</v>
      </c>
      <c r="Q281" s="4" t="s">
        <v>1223</v>
      </c>
      <c r="R281" s="4" t="s">
        <v>858</v>
      </c>
      <c r="S281" s="5" t="n">
        <v>0</v>
      </c>
      <c r="T281" s="5" t="n">
        <v>0.0832175925925926</v>
      </c>
      <c r="U281" s="5" t="n">
        <v>0.087962962962963</v>
      </c>
      <c r="V281" s="5" t="n">
        <v>0.0383101851851852</v>
      </c>
      <c r="W281" s="5" t="n">
        <v>0</v>
      </c>
      <c r="X281" s="5" t="n">
        <v>0</v>
      </c>
      <c r="Y281" s="5" t="n">
        <v>0</v>
      </c>
      <c r="Z281" s="0" t="n">
        <v>0</v>
      </c>
      <c r="AA281" s="0" t="n">
        <v>0</v>
      </c>
      <c r="AB281" s="0" t="n">
        <v>0</v>
      </c>
      <c r="AC281" s="4" t="s">
        <v>852</v>
      </c>
      <c r="AD281" s="4" t="s">
        <v>882</v>
      </c>
      <c r="AE281" s="4" t="s">
        <v>1224</v>
      </c>
      <c r="AF281" s="4" t="s">
        <v>1225</v>
      </c>
      <c r="AG281" s="5" t="n">
        <v>0.168333333333333</v>
      </c>
      <c r="AH281" s="5" t="n">
        <v>0.168368055555556</v>
      </c>
      <c r="AI281" s="5" t="n">
        <v>0</v>
      </c>
      <c r="AJ281" s="5" t="n">
        <v>0</v>
      </c>
      <c r="AK281" s="5" t="n">
        <v>0</v>
      </c>
      <c r="AL281" s="5" t="n">
        <v>0</v>
      </c>
      <c r="AM281" s="4" t="s">
        <v>78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2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0</v>
      </c>
      <c r="BI281" s="0" t="n">
        <v>0</v>
      </c>
      <c r="BJ281" s="0" t="n">
        <v>0</v>
      </c>
      <c r="BK281" s="0" t="n">
        <v>0</v>
      </c>
      <c r="BM281" s="6" t="n">
        <f aca="false">IFERROR(VALUE(F281),"")</f>
        <v>183.12</v>
      </c>
      <c r="BN281" s="6" t="n">
        <f aca="false">IF(R281="-","",IFERROR(VALUE(LEFT(Q281,LEN(Q281)-2)),""))</f>
        <v>57.01</v>
      </c>
      <c r="BO281" s="6" t="n">
        <f aca="false">IF(R281="-","",IFERROR(VALUE(LEFT(R281,LEN(R281)-5)),""))</f>
        <v>3.21</v>
      </c>
      <c r="BP281" s="6" t="n">
        <f aca="false">IF(R281="-","",IFERROR(VALUE(F281),""))</f>
        <v>183.12</v>
      </c>
      <c r="BQ281" s="4" t="n">
        <f aca="false">IF(R281="-",1,0)</f>
        <v>0</v>
      </c>
    </row>
    <row r="282" customFormat="false" ht="15" hidden="false" customHeight="false" outlineLevel="0" collapsed="false">
      <c r="A282" s="0" t="s">
        <v>1219</v>
      </c>
      <c r="B282" s="0" t="s">
        <v>1220</v>
      </c>
      <c r="C282" s="0" t="s">
        <v>70</v>
      </c>
      <c r="D282" s="0" t="s">
        <v>1226</v>
      </c>
      <c r="E282" s="3" t="n">
        <v>46274</v>
      </c>
      <c r="F282" s="4" t="s">
        <v>1227</v>
      </c>
      <c r="G282" s="5" t="n">
        <v>0.530219907407407</v>
      </c>
      <c r="H282" s="5" t="n">
        <v>0.506840277777778</v>
      </c>
      <c r="I282" s="5" t="n">
        <v>0.000960648148148148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5" t="n">
        <v>0</v>
      </c>
      <c r="P282" s="5" t="n">
        <v>0</v>
      </c>
      <c r="Q282" s="4" t="s">
        <v>1228</v>
      </c>
      <c r="R282" s="4" t="s">
        <v>545</v>
      </c>
      <c r="S282" s="5" t="n">
        <v>0.000231481481481482</v>
      </c>
      <c r="T282" s="5" t="n">
        <v>0.145949074074074</v>
      </c>
      <c r="U282" s="5" t="n">
        <v>0.241782407407407</v>
      </c>
      <c r="V282" s="5" t="n">
        <v>0.113541666666667</v>
      </c>
      <c r="W282" s="5" t="n">
        <v>0</v>
      </c>
      <c r="X282" s="5" t="n">
        <v>0</v>
      </c>
      <c r="Y282" s="5" t="n">
        <v>0</v>
      </c>
      <c r="Z282" s="0" t="n">
        <v>0</v>
      </c>
      <c r="AA282" s="0" t="n">
        <v>0</v>
      </c>
      <c r="AB282" s="0" t="n">
        <v>0</v>
      </c>
      <c r="AC282" s="4" t="s">
        <v>882</v>
      </c>
      <c r="AD282" s="4" t="s">
        <v>1076</v>
      </c>
      <c r="AE282" s="4" t="s">
        <v>1225</v>
      </c>
      <c r="AF282" s="4" t="s">
        <v>1229</v>
      </c>
      <c r="AG282" s="5" t="n">
        <v>0.462384259259259</v>
      </c>
      <c r="AH282" s="5" t="n">
        <v>0.1690625</v>
      </c>
      <c r="AI282" s="5" t="n">
        <v>0</v>
      </c>
      <c r="AJ282" s="5" t="n">
        <v>0</v>
      </c>
      <c r="AK282" s="5" t="n">
        <v>0</v>
      </c>
      <c r="AL282" s="5" t="n">
        <v>0</v>
      </c>
      <c r="AM282" s="4" t="s">
        <v>78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9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0</v>
      </c>
      <c r="BJ282" s="0" t="n">
        <v>0</v>
      </c>
      <c r="BK282" s="0" t="n">
        <v>0</v>
      </c>
      <c r="BM282" s="6" t="n">
        <f aca="false">IFERROR(VALUE(F282),"")</f>
        <v>542.97</v>
      </c>
      <c r="BN282" s="6" t="n">
        <f aca="false">IF(R282="-","",IFERROR(VALUE(LEFT(Q282,LEN(Q282)-2)),""))</f>
        <v>178.01</v>
      </c>
      <c r="BO282" s="6" t="n">
        <f aca="false">IF(R282="-","",IFERROR(VALUE(LEFT(R282,LEN(R282)-5)),""))</f>
        <v>3.05</v>
      </c>
      <c r="BP282" s="6" t="n">
        <f aca="false">IF(R282="-","",IFERROR(VALUE(F282),""))</f>
        <v>542.97</v>
      </c>
      <c r="BQ282" s="4" t="n">
        <f aca="false">IF(R282="-",1,0)</f>
        <v>0</v>
      </c>
    </row>
    <row r="283" customFormat="false" ht="15" hidden="false" customHeight="false" outlineLevel="0" collapsed="false">
      <c r="A283" s="0" t="s">
        <v>1219</v>
      </c>
      <c r="B283" s="0" t="s">
        <v>1220</v>
      </c>
      <c r="C283" s="0" t="s">
        <v>70</v>
      </c>
      <c r="D283" s="0" t="s">
        <v>1230</v>
      </c>
      <c r="E283" s="3" t="n">
        <v>46275</v>
      </c>
      <c r="F283" s="4" t="s">
        <v>1231</v>
      </c>
      <c r="G283" s="5" t="n">
        <v>0.452037037037037</v>
      </c>
      <c r="H283" s="5" t="n">
        <v>0.402222222222222</v>
      </c>
      <c r="I283" s="5" t="n">
        <v>0.0012037037037037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5" t="n">
        <v>0</v>
      </c>
      <c r="P283" s="5" t="n">
        <v>0.0313541666666667</v>
      </c>
      <c r="Q283" s="4" t="s">
        <v>1232</v>
      </c>
      <c r="R283" s="4" t="s">
        <v>378</v>
      </c>
      <c r="S283" s="5" t="n">
        <v>0.000231481481481482</v>
      </c>
      <c r="T283" s="5" t="n">
        <v>0.156481481481482</v>
      </c>
      <c r="U283" s="5" t="n">
        <v>0.187268518518519</v>
      </c>
      <c r="V283" s="5" t="n">
        <v>0.0853009259259259</v>
      </c>
      <c r="W283" s="5" t="n">
        <v>0.000115740740740741</v>
      </c>
      <c r="X283" s="5" t="n">
        <v>0</v>
      </c>
      <c r="Y283" s="5" t="n">
        <v>0</v>
      </c>
      <c r="Z283" s="0" t="n">
        <v>0</v>
      </c>
      <c r="AA283" s="0" t="n">
        <v>0</v>
      </c>
      <c r="AB283" s="0" t="n">
        <v>0</v>
      </c>
      <c r="AC283" s="4" t="s">
        <v>1076</v>
      </c>
      <c r="AD283" s="4" t="s">
        <v>152</v>
      </c>
      <c r="AE283" s="4" t="s">
        <v>1229</v>
      </c>
      <c r="AF283" s="4" t="s">
        <v>1233</v>
      </c>
      <c r="AG283" s="5" t="n">
        <v>0.372569444444445</v>
      </c>
      <c r="AH283" s="5" t="n">
        <v>0.152407407407407</v>
      </c>
      <c r="AI283" s="5" t="n">
        <v>0</v>
      </c>
      <c r="AJ283" s="5" t="n">
        <v>0</v>
      </c>
      <c r="AK283" s="5" t="n">
        <v>0</v>
      </c>
      <c r="AL283" s="5" t="n">
        <v>0</v>
      </c>
      <c r="AM283" s="4" t="s">
        <v>78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3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M283" s="6" t="n">
        <f aca="false">IFERROR(VALUE(F283),"")</f>
        <v>412.13</v>
      </c>
      <c r="BN283" s="6" t="n">
        <f aca="false">IF(R283="-","",IFERROR(VALUE(LEFT(Q283,LEN(Q283)-2)),""))</f>
        <v>152.09</v>
      </c>
      <c r="BO283" s="6" t="n">
        <f aca="false">IF(R283="-","",IFERROR(VALUE(LEFT(R283,LEN(R283)-5)),""))</f>
        <v>2.71</v>
      </c>
      <c r="BP283" s="6" t="n">
        <f aca="false">IF(R283="-","",IFERROR(VALUE(F283),""))</f>
        <v>412.13</v>
      </c>
      <c r="BQ283" s="4" t="n">
        <f aca="false">IF(R283="-",1,0)</f>
        <v>0</v>
      </c>
    </row>
    <row r="284" customFormat="false" ht="15" hidden="false" customHeight="false" outlineLevel="0" collapsed="false">
      <c r="A284" s="0" t="s">
        <v>1219</v>
      </c>
      <c r="B284" s="0" t="s">
        <v>1220</v>
      </c>
      <c r="C284" s="0" t="s">
        <v>70</v>
      </c>
      <c r="D284" s="0" t="s">
        <v>1234</v>
      </c>
      <c r="E284" s="3" t="n">
        <v>46276</v>
      </c>
      <c r="F284" s="4" t="s">
        <v>1235</v>
      </c>
      <c r="G284" s="5" t="n">
        <v>0.438414351851852</v>
      </c>
      <c r="H284" s="5" t="n">
        <v>0.427523148148148</v>
      </c>
      <c r="I284" s="5" t="n">
        <v>0.00324074074074074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5" t="n">
        <v>0</v>
      </c>
      <c r="P284" s="5" t="n">
        <v>0.0087962962962963</v>
      </c>
      <c r="Q284" s="4" t="s">
        <v>1236</v>
      </c>
      <c r="R284" s="4" t="s">
        <v>1237</v>
      </c>
      <c r="S284" s="5" t="n">
        <v>0</v>
      </c>
      <c r="T284" s="5" t="n">
        <v>0.158449074074074</v>
      </c>
      <c r="U284" s="5" t="n">
        <v>0.168865740740741</v>
      </c>
      <c r="V284" s="5" t="n">
        <v>0.1</v>
      </c>
      <c r="W284" s="5" t="n">
        <v>0</v>
      </c>
      <c r="X284" s="5" t="n">
        <v>0</v>
      </c>
      <c r="Y284" s="5" t="n">
        <v>0</v>
      </c>
      <c r="Z284" s="0" t="n">
        <v>0</v>
      </c>
      <c r="AA284" s="0" t="n">
        <v>0</v>
      </c>
      <c r="AB284" s="0" t="n">
        <v>0</v>
      </c>
      <c r="AC284" s="4" t="s">
        <v>152</v>
      </c>
      <c r="AD284" s="4" t="s">
        <v>1076</v>
      </c>
      <c r="AE284" s="4" t="s">
        <v>1233</v>
      </c>
      <c r="AF284" s="4" t="s">
        <v>1238</v>
      </c>
      <c r="AG284" s="5" t="n">
        <v>0.366180555555556</v>
      </c>
      <c r="AH284" s="5" t="n">
        <v>0.140520833333333</v>
      </c>
      <c r="AI284" s="5" t="n">
        <v>0</v>
      </c>
      <c r="AJ284" s="5" t="n">
        <v>0</v>
      </c>
      <c r="AK284" s="5" t="n">
        <v>0</v>
      </c>
      <c r="AL284" s="5" t="n">
        <v>0</v>
      </c>
      <c r="AM284" s="4" t="s">
        <v>78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7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0</v>
      </c>
      <c r="BG284" s="0" t="n">
        <v>0</v>
      </c>
      <c r="BH284" s="0" t="n">
        <v>0</v>
      </c>
      <c r="BI284" s="0" t="n">
        <v>0</v>
      </c>
      <c r="BJ284" s="0" t="n">
        <v>0</v>
      </c>
      <c r="BK284" s="0" t="n">
        <v>0</v>
      </c>
      <c r="BM284" s="6" t="n">
        <f aca="false">IFERROR(VALUE(F284),"")</f>
        <v>414.06</v>
      </c>
      <c r="BN284" s="6" t="n">
        <f aca="false">IF(R284="-","",IFERROR(VALUE(LEFT(Q284,LEN(Q284)-2)),""))</f>
        <v>148.03</v>
      </c>
      <c r="BO284" s="6" t="n">
        <f aca="false">IF(R284="-","",IFERROR(VALUE(LEFT(R284,LEN(R284)-5)),""))</f>
        <v>2.8</v>
      </c>
      <c r="BP284" s="6" t="n">
        <f aca="false">IF(R284="-","",IFERROR(VALUE(F284),""))</f>
        <v>414.06</v>
      </c>
      <c r="BQ284" s="4" t="n">
        <f aca="false">IF(R284="-",1,0)</f>
        <v>0</v>
      </c>
    </row>
    <row r="285" customFormat="false" ht="15" hidden="false" customHeight="false" outlineLevel="0" collapsed="false">
      <c r="A285" s="0" t="s">
        <v>1219</v>
      </c>
      <c r="B285" s="0" t="s">
        <v>1220</v>
      </c>
      <c r="C285" s="0" t="s">
        <v>70</v>
      </c>
      <c r="D285" s="0" t="s">
        <v>1239</v>
      </c>
      <c r="E285" s="3" t="n">
        <v>46277</v>
      </c>
      <c r="F285" s="4" t="s">
        <v>1240</v>
      </c>
      <c r="G285" s="5" t="n">
        <v>0.410243055555556</v>
      </c>
      <c r="H285" s="5" t="n">
        <v>0.384837962962963</v>
      </c>
      <c r="I285" s="5" t="n">
        <v>0.00368055555555556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5" t="n">
        <v>0</v>
      </c>
      <c r="P285" s="5" t="n">
        <v>0.00899305555555556</v>
      </c>
      <c r="Q285" s="4" t="s">
        <v>1241</v>
      </c>
      <c r="R285" s="4" t="s">
        <v>401</v>
      </c>
      <c r="S285" s="5" t="n">
        <v>0</v>
      </c>
      <c r="T285" s="5" t="n">
        <v>0.130787037037037</v>
      </c>
      <c r="U285" s="5" t="n">
        <v>0.171990740740741</v>
      </c>
      <c r="V285" s="5" t="n">
        <v>0.0975694444444444</v>
      </c>
      <c r="W285" s="5" t="n">
        <v>0</v>
      </c>
      <c r="X285" s="5" t="n">
        <v>0</v>
      </c>
      <c r="Y285" s="5" t="n">
        <v>0</v>
      </c>
      <c r="Z285" s="0" t="n">
        <v>0</v>
      </c>
      <c r="AA285" s="0" t="n">
        <v>0</v>
      </c>
      <c r="AB285" s="0" t="n">
        <v>0</v>
      </c>
      <c r="AC285" s="4" t="s">
        <v>1076</v>
      </c>
      <c r="AD285" s="4" t="s">
        <v>152</v>
      </c>
      <c r="AE285" s="4" t="s">
        <v>1238</v>
      </c>
      <c r="AF285" s="4" t="s">
        <v>1242</v>
      </c>
      <c r="AG285" s="5" t="n">
        <v>0.356458333333333</v>
      </c>
      <c r="AH285" s="5" t="n">
        <v>0.0960763888888889</v>
      </c>
      <c r="AI285" s="5" t="n">
        <v>0</v>
      </c>
      <c r="AJ285" s="5" t="n">
        <v>0</v>
      </c>
      <c r="AK285" s="5" t="n">
        <v>0</v>
      </c>
      <c r="AL285" s="5" t="n">
        <v>0</v>
      </c>
      <c r="AM285" s="4" t="s">
        <v>78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1</v>
      </c>
      <c r="AS285" s="0" t="n">
        <v>0</v>
      </c>
      <c r="AT285" s="0" t="n">
        <v>0</v>
      </c>
      <c r="AU285" s="0" t="n">
        <v>1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0</v>
      </c>
      <c r="BF285" s="0" t="n">
        <v>0</v>
      </c>
      <c r="BG285" s="0" t="n">
        <v>0</v>
      </c>
      <c r="BH285" s="0" t="n">
        <v>0</v>
      </c>
      <c r="BI285" s="0" t="n">
        <v>0</v>
      </c>
      <c r="BJ285" s="0" t="n">
        <v>0</v>
      </c>
      <c r="BK285" s="0" t="n">
        <v>0</v>
      </c>
      <c r="BM285" s="6" t="n">
        <f aca="false">IFERROR(VALUE(F285),"")</f>
        <v>412.14</v>
      </c>
      <c r="BN285" s="6" t="n">
        <f aca="false">IF(R285="-","",IFERROR(VALUE(LEFT(Q285,LEN(Q285)-2)),""))</f>
        <v>144.35</v>
      </c>
      <c r="BO285" s="6" t="n">
        <f aca="false">IF(R285="-","",IFERROR(VALUE(LEFT(R285,LEN(R285)-5)),""))</f>
        <v>2.86</v>
      </c>
      <c r="BP285" s="6" t="n">
        <f aca="false">IF(R285="-","",IFERROR(VALUE(F285),""))</f>
        <v>412.14</v>
      </c>
      <c r="BQ285" s="4" t="n">
        <f aca="false">IF(R285="-",1,0)</f>
        <v>0</v>
      </c>
    </row>
    <row r="286" customFormat="false" ht="15" hidden="false" customHeight="false" outlineLevel="0" collapsed="false">
      <c r="A286" s="0" t="s">
        <v>1219</v>
      </c>
      <c r="B286" s="0" t="s">
        <v>1220</v>
      </c>
      <c r="C286" s="0" t="s">
        <v>70</v>
      </c>
      <c r="D286" s="0" t="s">
        <v>1243</v>
      </c>
      <c r="E286" s="3" t="n">
        <v>46278</v>
      </c>
      <c r="F286" s="4" t="s">
        <v>1244</v>
      </c>
      <c r="G286" s="5" t="n">
        <v>0.684837962962963</v>
      </c>
      <c r="H286" s="5" t="n">
        <v>0.678564814814815</v>
      </c>
      <c r="I286" s="5" t="n">
        <v>0.00178240740740741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5" t="n">
        <v>0</v>
      </c>
      <c r="P286" s="5" t="n">
        <v>0.022962962962963</v>
      </c>
      <c r="Q286" s="4" t="s">
        <v>1245</v>
      </c>
      <c r="R286" s="4" t="s">
        <v>1199</v>
      </c>
      <c r="S286" s="5" t="n">
        <v>0</v>
      </c>
      <c r="T286" s="5" t="n">
        <v>0.186342592592593</v>
      </c>
      <c r="U286" s="5" t="n">
        <v>0.31400462962963</v>
      </c>
      <c r="V286" s="5" t="n">
        <v>0.164351851851852</v>
      </c>
      <c r="W286" s="5" t="n">
        <v>0</v>
      </c>
      <c r="X286" s="5" t="n">
        <v>0</v>
      </c>
      <c r="Y286" s="5" t="n">
        <v>0</v>
      </c>
      <c r="Z286" s="0" t="n">
        <v>0</v>
      </c>
      <c r="AA286" s="0" t="n">
        <v>0</v>
      </c>
      <c r="AB286" s="0" t="n">
        <v>0</v>
      </c>
      <c r="AC286" s="4" t="s">
        <v>158</v>
      </c>
      <c r="AD286" s="4" t="s">
        <v>1246</v>
      </c>
      <c r="AE286" s="4" t="s">
        <v>1242</v>
      </c>
      <c r="AF286" s="4" t="s">
        <v>1247</v>
      </c>
      <c r="AG286" s="5" t="n">
        <v>0.595868055555556</v>
      </c>
      <c r="AH286" s="5" t="n">
        <v>0.152534722222222</v>
      </c>
      <c r="AI286" s="5" t="n">
        <v>0</v>
      </c>
      <c r="AJ286" s="5" t="n">
        <v>0</v>
      </c>
      <c r="AK286" s="5" t="n">
        <v>0</v>
      </c>
      <c r="AL286" s="5" t="n">
        <v>0</v>
      </c>
      <c r="AM286" s="4" t="s">
        <v>78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7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0</v>
      </c>
      <c r="BE286" s="0" t="n">
        <v>0</v>
      </c>
      <c r="BF286" s="0" t="n">
        <v>0</v>
      </c>
      <c r="BG286" s="0" t="n">
        <v>0</v>
      </c>
      <c r="BH286" s="0" t="n">
        <v>0</v>
      </c>
      <c r="BI286" s="0" t="n">
        <v>0</v>
      </c>
      <c r="BJ286" s="0" t="n">
        <v>0</v>
      </c>
      <c r="BK286" s="0" t="n">
        <v>0</v>
      </c>
      <c r="BM286" s="6" t="n">
        <f aca="false">IFERROR(VALUE(F286),"")</f>
        <v>715.86</v>
      </c>
      <c r="BN286" s="6" t="n">
        <f aca="false">IF(R286="-","",IFERROR(VALUE(LEFT(Q286,LEN(Q286)-2)),""))</f>
        <v>247.87</v>
      </c>
      <c r="BO286" s="6" t="n">
        <f aca="false">IF(R286="-","",IFERROR(VALUE(LEFT(R286,LEN(R286)-5)),""))</f>
        <v>2.89</v>
      </c>
      <c r="BP286" s="6" t="n">
        <f aca="false">IF(R286="-","",IFERROR(VALUE(F286),""))</f>
        <v>715.86</v>
      </c>
      <c r="BQ286" s="4" t="n">
        <f aca="false">IF(R286="-",1,0)</f>
        <v>0</v>
      </c>
    </row>
    <row r="287" customFormat="false" ht="15" hidden="false" customHeight="false" outlineLevel="0" collapsed="false">
      <c r="A287" s="0" t="s">
        <v>1219</v>
      </c>
      <c r="B287" s="0" t="s">
        <v>1220</v>
      </c>
      <c r="C287" s="0" t="s">
        <v>70</v>
      </c>
      <c r="D287" s="0" t="s">
        <v>1248</v>
      </c>
      <c r="E287" s="3" t="n">
        <v>46279</v>
      </c>
      <c r="F287" s="4" t="s">
        <v>1249</v>
      </c>
      <c r="G287" s="5" t="n">
        <v>0.723599537037037</v>
      </c>
      <c r="H287" s="5" t="n">
        <v>0.459178240740741</v>
      </c>
      <c r="I287" s="5" t="n">
        <v>0.00466435185185185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5" t="n">
        <v>0</v>
      </c>
      <c r="P287" s="5" t="n">
        <v>0.023599537037037</v>
      </c>
      <c r="Q287" s="4" t="s">
        <v>1250</v>
      </c>
      <c r="R287" s="4" t="s">
        <v>325</v>
      </c>
      <c r="S287" s="5" t="n">
        <v>0.000231481481481482</v>
      </c>
      <c r="T287" s="5" t="n">
        <v>0.205208333333333</v>
      </c>
      <c r="U287" s="5" t="n">
        <v>0.279282407407407</v>
      </c>
      <c r="V287" s="5" t="n">
        <v>0.201851851851852</v>
      </c>
      <c r="W287" s="5" t="n">
        <v>0.000231481481481482</v>
      </c>
      <c r="X287" s="5" t="n">
        <v>0</v>
      </c>
      <c r="Y287" s="5" t="n">
        <v>0</v>
      </c>
      <c r="Z287" s="0" t="n">
        <v>0</v>
      </c>
      <c r="AA287" s="0" t="n">
        <v>0</v>
      </c>
      <c r="AB287" s="0" t="n">
        <v>0</v>
      </c>
      <c r="AC287" s="4" t="s">
        <v>1246</v>
      </c>
      <c r="AD287" s="4" t="s">
        <v>152</v>
      </c>
      <c r="AE287" s="4" t="s">
        <v>1247</v>
      </c>
      <c r="AF287" s="4" t="s">
        <v>1251</v>
      </c>
      <c r="AG287" s="5" t="n">
        <v>0.602233796296296</v>
      </c>
      <c r="AH287" s="5" t="n">
        <v>0.247627314814815</v>
      </c>
      <c r="AI287" s="5" t="n">
        <v>0</v>
      </c>
      <c r="AJ287" s="5" t="n">
        <v>0</v>
      </c>
      <c r="AK287" s="5" t="n">
        <v>0</v>
      </c>
      <c r="AL287" s="5" t="n">
        <v>0</v>
      </c>
      <c r="AM287" s="4" t="s">
        <v>78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9</v>
      </c>
      <c r="AV287" s="0" t="n">
        <v>0</v>
      </c>
      <c r="AW287" s="0" t="n">
        <v>1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M287" s="6" t="n">
        <f aca="false">IFERROR(VALUE(F287),"")</f>
        <v>718.55</v>
      </c>
      <c r="BN287" s="6" t="n">
        <f aca="false">IF(R287="-","",IFERROR(VALUE(LEFT(Q287,LEN(Q287)-2)),""))</f>
        <v>250.63</v>
      </c>
      <c r="BO287" s="6" t="n">
        <f aca="false">IF(R287="-","",IFERROR(VALUE(LEFT(R287,LEN(R287)-5)),""))</f>
        <v>2.87</v>
      </c>
      <c r="BP287" s="6" t="n">
        <f aca="false">IF(R287="-","",IFERROR(VALUE(F287),""))</f>
        <v>718.55</v>
      </c>
      <c r="BQ287" s="4" t="n">
        <f aca="false">IF(R287="-",1,0)</f>
        <v>0</v>
      </c>
    </row>
    <row r="288" customFormat="false" ht="15" hidden="false" customHeight="false" outlineLevel="0" collapsed="false">
      <c r="A288" s="0" t="s">
        <v>1252</v>
      </c>
      <c r="B288" s="0" t="s">
        <v>1253</v>
      </c>
      <c r="C288" s="0" t="s">
        <v>70</v>
      </c>
      <c r="D288" s="0" t="s">
        <v>1254</v>
      </c>
      <c r="E288" s="3" t="n">
        <v>46273</v>
      </c>
      <c r="F288" s="4" t="s">
        <v>1255</v>
      </c>
      <c r="G288" s="5" t="n">
        <v>0.451851851851852</v>
      </c>
      <c r="H288" s="5" t="n">
        <v>0.424363425925926</v>
      </c>
      <c r="I288" s="5" t="n">
        <v>0.0024537037037037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5" t="n">
        <v>0</v>
      </c>
      <c r="P288" s="5" t="n">
        <v>0</v>
      </c>
      <c r="Q288" s="4" t="s">
        <v>1256</v>
      </c>
      <c r="R288" s="4" t="s">
        <v>378</v>
      </c>
      <c r="S288" s="5" t="n">
        <v>0.000115740740740741</v>
      </c>
      <c r="T288" s="5" t="n">
        <v>0.132175925925926</v>
      </c>
      <c r="U288" s="5" t="n">
        <v>0.173611111111111</v>
      </c>
      <c r="V288" s="5" t="n">
        <v>0.0971064814814815</v>
      </c>
      <c r="W288" s="5" t="n">
        <v>0</v>
      </c>
      <c r="X288" s="5" t="n">
        <v>0</v>
      </c>
      <c r="Y288" s="5" t="n">
        <v>0</v>
      </c>
      <c r="Z288" s="0" t="n">
        <v>0</v>
      </c>
      <c r="AA288" s="0" t="n">
        <v>0</v>
      </c>
      <c r="AB288" s="0" t="n">
        <v>0</v>
      </c>
      <c r="AC288" s="4" t="s">
        <v>887</v>
      </c>
      <c r="AD288" s="4" t="s">
        <v>208</v>
      </c>
      <c r="AE288" s="4" t="s">
        <v>1257</v>
      </c>
      <c r="AF288" s="4" t="s">
        <v>1258</v>
      </c>
      <c r="AG288" s="5" t="n">
        <v>0.35744212962963</v>
      </c>
      <c r="AH288" s="5" t="n">
        <v>0.25287037037037</v>
      </c>
      <c r="AI288" s="5" t="n">
        <v>0</v>
      </c>
      <c r="AJ288" s="5" t="n">
        <v>0</v>
      </c>
      <c r="AK288" s="5" t="n">
        <v>0</v>
      </c>
      <c r="AL288" s="5" t="n">
        <v>0</v>
      </c>
      <c r="AM288" s="4" t="s">
        <v>78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1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0</v>
      </c>
      <c r="BI288" s="0" t="n">
        <v>0</v>
      </c>
      <c r="BJ288" s="0" t="n">
        <v>0</v>
      </c>
      <c r="BK288" s="0" t="n">
        <v>0</v>
      </c>
      <c r="BM288" s="6" t="n">
        <f aca="false">IFERROR(VALUE(F288),"")</f>
        <v>403.93</v>
      </c>
      <c r="BN288" s="6" t="n">
        <f aca="false">IF(R288="-","",IFERROR(VALUE(LEFT(Q288,LEN(Q288)-2)),""))</f>
        <v>149.09</v>
      </c>
      <c r="BO288" s="6" t="n">
        <f aca="false">IF(R288="-","",IFERROR(VALUE(LEFT(R288,LEN(R288)-5)),""))</f>
        <v>2.71</v>
      </c>
      <c r="BP288" s="6" t="n">
        <f aca="false">IF(R288="-","",IFERROR(VALUE(F288),""))</f>
        <v>403.93</v>
      </c>
      <c r="BQ288" s="4" t="n">
        <f aca="false">IF(R288="-",1,0)</f>
        <v>0</v>
      </c>
    </row>
    <row r="289" customFormat="false" ht="15" hidden="false" customHeight="false" outlineLevel="0" collapsed="false">
      <c r="A289" s="0" t="s">
        <v>1252</v>
      </c>
      <c r="B289" s="0" t="s">
        <v>1253</v>
      </c>
      <c r="C289" s="0" t="s">
        <v>70</v>
      </c>
      <c r="D289" s="0" t="s">
        <v>1259</v>
      </c>
      <c r="E289" s="3" t="n">
        <v>46274</v>
      </c>
      <c r="F289" s="4" t="s">
        <v>1260</v>
      </c>
      <c r="G289" s="5" t="n">
        <v>0.4375</v>
      </c>
      <c r="H289" s="5" t="n">
        <v>0.436446759259259</v>
      </c>
      <c r="I289" s="5" t="n">
        <v>0.00113425925925926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5" t="n">
        <v>0</v>
      </c>
      <c r="P289" s="5" t="n">
        <v>0.00767361111111111</v>
      </c>
      <c r="Q289" s="4" t="s">
        <v>1261</v>
      </c>
      <c r="R289" s="4" t="s">
        <v>750</v>
      </c>
      <c r="S289" s="5" t="n">
        <v>0</v>
      </c>
      <c r="T289" s="5" t="n">
        <v>0.124884259259259</v>
      </c>
      <c r="U289" s="5" t="n">
        <v>0.196759259259259</v>
      </c>
      <c r="V289" s="5" t="n">
        <v>0.103819444444445</v>
      </c>
      <c r="W289" s="5" t="n">
        <v>0</v>
      </c>
      <c r="X289" s="5" t="n">
        <v>0</v>
      </c>
      <c r="Y289" s="5" t="n">
        <v>0</v>
      </c>
      <c r="Z289" s="0" t="n">
        <v>0</v>
      </c>
      <c r="AA289" s="0" t="n">
        <v>0</v>
      </c>
      <c r="AB289" s="0" t="n">
        <v>0</v>
      </c>
      <c r="AC289" s="4" t="s">
        <v>208</v>
      </c>
      <c r="AD289" s="4" t="s">
        <v>893</v>
      </c>
      <c r="AE289" s="4" t="s">
        <v>1258</v>
      </c>
      <c r="AF289" s="4" t="s">
        <v>1262</v>
      </c>
      <c r="AG289" s="5" t="n">
        <v>0.384837962962963</v>
      </c>
      <c r="AH289" s="5" t="n">
        <v>0.129143518518519</v>
      </c>
      <c r="AI289" s="5" t="n">
        <v>0</v>
      </c>
      <c r="AJ289" s="5" t="n">
        <v>0</v>
      </c>
      <c r="AK289" s="5" t="n">
        <v>0</v>
      </c>
      <c r="AL289" s="5" t="n">
        <v>0</v>
      </c>
      <c r="AM289" s="4" t="s">
        <v>78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6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n">
        <v>0</v>
      </c>
      <c r="BF289" s="0" t="n">
        <v>0</v>
      </c>
      <c r="BG289" s="0" t="n">
        <v>0</v>
      </c>
      <c r="BH289" s="0" t="n">
        <v>0</v>
      </c>
      <c r="BI289" s="0" t="n">
        <v>0</v>
      </c>
      <c r="BJ289" s="0" t="n">
        <v>0</v>
      </c>
      <c r="BK289" s="0" t="n">
        <v>0</v>
      </c>
      <c r="BM289" s="6" t="n">
        <f aca="false">IFERROR(VALUE(F289),"")</f>
        <v>446.36</v>
      </c>
      <c r="BN289" s="6" t="n">
        <f aca="false">IF(R289="-","",IFERROR(VALUE(LEFT(Q289,LEN(Q289)-2)),""))</f>
        <v>152.93</v>
      </c>
      <c r="BO289" s="6" t="n">
        <f aca="false">IF(R289="-","",IFERROR(VALUE(LEFT(R289,LEN(R289)-5)),""))</f>
        <v>2.92</v>
      </c>
      <c r="BP289" s="6" t="n">
        <f aca="false">IF(R289="-","",IFERROR(VALUE(F289),""))</f>
        <v>446.36</v>
      </c>
      <c r="BQ289" s="4" t="n">
        <f aca="false">IF(R289="-",1,0)</f>
        <v>0</v>
      </c>
    </row>
    <row r="290" customFormat="false" ht="15" hidden="false" customHeight="false" outlineLevel="0" collapsed="false">
      <c r="A290" s="0" t="s">
        <v>1252</v>
      </c>
      <c r="B290" s="0" t="s">
        <v>1253</v>
      </c>
      <c r="C290" s="0" t="s">
        <v>70</v>
      </c>
      <c r="D290" s="0" t="s">
        <v>1263</v>
      </c>
      <c r="E290" s="3" t="n">
        <v>46275</v>
      </c>
      <c r="F290" s="4" t="s">
        <v>1264</v>
      </c>
      <c r="G290" s="5" t="n">
        <v>0.474699074074074</v>
      </c>
      <c r="H290" s="5" t="n">
        <v>0.429814814814815</v>
      </c>
      <c r="I290" s="5" t="n">
        <v>0.000486111111111111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1</v>
      </c>
      <c r="O290" s="5" t="n">
        <v>0</v>
      </c>
      <c r="P290" s="5" t="n">
        <v>0</v>
      </c>
      <c r="Q290" s="4" t="s">
        <v>1265</v>
      </c>
      <c r="R290" s="4" t="s">
        <v>437</v>
      </c>
      <c r="S290" s="5" t="n">
        <v>0.000231481481481482</v>
      </c>
      <c r="T290" s="5" t="n">
        <v>0.124768518518519</v>
      </c>
      <c r="U290" s="5" t="n">
        <v>0.189930555555556</v>
      </c>
      <c r="V290" s="5" t="n">
        <v>0.109259259259259</v>
      </c>
      <c r="W290" s="5" t="n">
        <v>0</v>
      </c>
      <c r="X290" s="5" t="n">
        <v>0</v>
      </c>
      <c r="Y290" s="5" t="n">
        <v>0</v>
      </c>
      <c r="Z290" s="0" t="n">
        <v>0</v>
      </c>
      <c r="AA290" s="0" t="n">
        <v>0</v>
      </c>
      <c r="AB290" s="0" t="n">
        <v>0</v>
      </c>
      <c r="AC290" s="4" t="s">
        <v>893</v>
      </c>
      <c r="AD290" s="4" t="s">
        <v>208</v>
      </c>
      <c r="AE290" s="4" t="s">
        <v>1262</v>
      </c>
      <c r="AF290" s="4" t="s">
        <v>1266</v>
      </c>
      <c r="AG290" s="5" t="n">
        <v>0.39193287037037</v>
      </c>
      <c r="AH290" s="5" t="n">
        <v>0.153194444444444</v>
      </c>
      <c r="AI290" s="5" t="n">
        <v>0</v>
      </c>
      <c r="AJ290" s="5" t="n">
        <v>0</v>
      </c>
      <c r="AK290" s="5" t="n">
        <v>0</v>
      </c>
      <c r="AL290" s="5" t="n">
        <v>0</v>
      </c>
      <c r="AM290" s="4" t="s">
        <v>78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10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0</v>
      </c>
      <c r="BF290" s="0" t="n">
        <v>0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M290" s="6" t="n">
        <f aca="false">IFERROR(VALUE(F290),"")</f>
        <v>448.34</v>
      </c>
      <c r="BN290" s="6" t="n">
        <f aca="false">IF(R290="-","",IFERROR(VALUE(LEFT(Q290,LEN(Q290)-2)),""))</f>
        <v>152.17</v>
      </c>
      <c r="BO290" s="6" t="n">
        <f aca="false">IF(R290="-","",IFERROR(VALUE(LEFT(R290,LEN(R290)-5)),""))</f>
        <v>2.95</v>
      </c>
      <c r="BP290" s="6" t="n">
        <f aca="false">IF(R290="-","",IFERROR(VALUE(F290),""))</f>
        <v>448.34</v>
      </c>
      <c r="BQ290" s="4" t="n">
        <f aca="false">IF(R290="-",1,0)</f>
        <v>0</v>
      </c>
    </row>
    <row r="291" customFormat="false" ht="15" hidden="false" customHeight="false" outlineLevel="0" collapsed="false">
      <c r="A291" s="0" t="s">
        <v>1252</v>
      </c>
      <c r="B291" s="0" t="s">
        <v>1253</v>
      </c>
      <c r="C291" s="0" t="s">
        <v>70</v>
      </c>
      <c r="D291" s="0" t="s">
        <v>1267</v>
      </c>
      <c r="E291" s="3" t="n">
        <v>46276</v>
      </c>
      <c r="F291" s="4" t="s">
        <v>1268</v>
      </c>
      <c r="G291" s="5" t="n">
        <v>0.0885648148148148</v>
      </c>
      <c r="H291" s="5" t="n">
        <v>0.0542592592592593</v>
      </c>
      <c r="I291" s="5" t="n">
        <v>0.000196759259259259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5" t="n">
        <v>0</v>
      </c>
      <c r="P291" s="5" t="n">
        <v>0</v>
      </c>
      <c r="Q291" s="4" t="s">
        <v>1269</v>
      </c>
      <c r="R291" s="4" t="s">
        <v>1270</v>
      </c>
      <c r="S291" s="5" t="n">
        <v>0.000347222222222222</v>
      </c>
      <c r="T291" s="5" t="n">
        <v>0.0465277777777778</v>
      </c>
      <c r="U291" s="5" t="n">
        <v>0.0238425925925926</v>
      </c>
      <c r="V291" s="5" t="n">
        <v>0.00821759259259259</v>
      </c>
      <c r="W291" s="5" t="n">
        <v>0</v>
      </c>
      <c r="X291" s="5" t="n">
        <v>0</v>
      </c>
      <c r="Y291" s="5" t="n">
        <v>0</v>
      </c>
      <c r="Z291" s="0" t="n">
        <v>0</v>
      </c>
      <c r="AA291" s="0" t="n">
        <v>0</v>
      </c>
      <c r="AB291" s="0" t="n">
        <v>0</v>
      </c>
      <c r="AC291" s="4" t="s">
        <v>208</v>
      </c>
      <c r="AD291" s="4" t="s">
        <v>74</v>
      </c>
      <c r="AE291" s="4" t="s">
        <v>1266</v>
      </c>
      <c r="AF291" s="4" t="s">
        <v>1271</v>
      </c>
      <c r="AG291" s="5" t="n">
        <v>0.0496180555555556</v>
      </c>
      <c r="AH291" s="5" t="n">
        <v>0.063900462962963</v>
      </c>
      <c r="AI291" s="5" t="n">
        <v>0</v>
      </c>
      <c r="AJ291" s="5" t="n">
        <v>0</v>
      </c>
      <c r="AK291" s="5" t="n">
        <v>0</v>
      </c>
      <c r="AL291" s="5" t="n">
        <v>0</v>
      </c>
      <c r="AM291" s="4" t="s">
        <v>78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1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0</v>
      </c>
      <c r="BI291" s="0" t="n">
        <v>0</v>
      </c>
      <c r="BJ291" s="0" t="n">
        <v>0</v>
      </c>
      <c r="BK291" s="0" t="n">
        <v>0</v>
      </c>
      <c r="BM291" s="6" t="n">
        <f aca="false">IFERROR(VALUE(F291),"")</f>
        <v>34.25</v>
      </c>
      <c r="BN291" s="6" t="n">
        <f aca="false">IF(R291="-","",IFERROR(VALUE(LEFT(Q291,LEN(Q291)-2)),""))</f>
        <v>17.48</v>
      </c>
      <c r="BO291" s="6" t="n">
        <f aca="false">IF(R291="-","",IFERROR(VALUE(LEFT(R291,LEN(R291)-5)),""))</f>
        <v>1.96</v>
      </c>
      <c r="BP291" s="6" t="n">
        <f aca="false">IF(R291="-","",IFERROR(VALUE(F291),""))</f>
        <v>34.25</v>
      </c>
      <c r="BQ291" s="4" t="n">
        <f aca="false">IF(R291="-",1,0)</f>
        <v>0</v>
      </c>
    </row>
    <row r="292" customFormat="false" ht="15" hidden="false" customHeight="false" outlineLevel="0" collapsed="false">
      <c r="A292" s="0" t="s">
        <v>1252</v>
      </c>
      <c r="B292" s="0" t="s">
        <v>1253</v>
      </c>
      <c r="C292" s="0" t="s">
        <v>70</v>
      </c>
      <c r="E292" s="3" t="n">
        <v>46279</v>
      </c>
      <c r="F292" s="4" t="s">
        <v>95</v>
      </c>
      <c r="G292" s="5" t="n">
        <v>0.00417824074074074</v>
      </c>
      <c r="H292" s="5" t="n">
        <v>0</v>
      </c>
      <c r="I292" s="5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5" t="n">
        <v>0</v>
      </c>
      <c r="P292" s="5" t="n">
        <v>0</v>
      </c>
      <c r="Q292" s="4" t="s">
        <v>1272</v>
      </c>
      <c r="R292" s="4" t="s">
        <v>454</v>
      </c>
      <c r="S292" s="5" t="n">
        <v>0</v>
      </c>
      <c r="T292" s="5" t="n">
        <v>0.00405092592592593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0" t="n">
        <v>0</v>
      </c>
      <c r="AA292" s="0" t="n">
        <v>0</v>
      </c>
      <c r="AB292" s="0" t="n">
        <v>0</v>
      </c>
      <c r="AC292" s="4" t="s">
        <v>75</v>
      </c>
      <c r="AD292" s="4" t="s">
        <v>75</v>
      </c>
      <c r="AE292" s="4" t="s">
        <v>1271</v>
      </c>
      <c r="AF292" s="4" t="s">
        <v>1271</v>
      </c>
      <c r="AG292" s="5" t="n">
        <v>0</v>
      </c>
      <c r="AH292" s="5" t="n">
        <v>0.00461805555555556</v>
      </c>
      <c r="AI292" s="5" t="n">
        <v>0</v>
      </c>
      <c r="AJ292" s="5" t="n">
        <v>0</v>
      </c>
      <c r="AK292" s="5" t="n">
        <v>0</v>
      </c>
      <c r="AL292" s="5" t="n">
        <v>0</v>
      </c>
      <c r="AM292" s="4" t="s">
        <v>78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0</v>
      </c>
      <c r="BI292" s="0" t="n">
        <v>0</v>
      </c>
      <c r="BJ292" s="0" t="n">
        <v>0</v>
      </c>
      <c r="BK292" s="0" t="n">
        <v>0</v>
      </c>
      <c r="BM292" s="6" t="n">
        <f aca="false">IFERROR(VALUE(F292),"")</f>
        <v>0</v>
      </c>
      <c r="BN292" s="6" t="n">
        <f aca="false">IF(R292="-","",IFERROR(VALUE(LEFT(Q292,LEN(Q292)-2)),""))</f>
        <v>0.38</v>
      </c>
      <c r="BO292" s="6" t="n">
        <f aca="false">IF(R292="-","",IFERROR(VALUE(LEFT(R292,LEN(R292)-5)),""))</f>
        <v>0</v>
      </c>
      <c r="BP292" s="6" t="n">
        <f aca="false">IF(R292="-","",IFERROR(VALUE(F292),""))</f>
        <v>0</v>
      </c>
      <c r="BQ292" s="4" t="n">
        <f aca="false">IF(R292="-",1,0)</f>
        <v>0</v>
      </c>
    </row>
    <row r="293" customFormat="false" ht="15" hidden="false" customHeight="false" outlineLevel="0" collapsed="false">
      <c r="A293" s="0" t="s">
        <v>1273</v>
      </c>
      <c r="B293" s="0" t="s">
        <v>1274</v>
      </c>
      <c r="C293" s="0" t="s">
        <v>70</v>
      </c>
      <c r="E293" s="3" t="n">
        <v>46274</v>
      </c>
      <c r="F293" s="4" t="s">
        <v>95</v>
      </c>
      <c r="G293" s="5" t="n">
        <v>0.123460648148148</v>
      </c>
      <c r="H293" s="5" t="n">
        <v>0</v>
      </c>
      <c r="I293" s="5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5" t="n">
        <v>0</v>
      </c>
      <c r="P293" s="5" t="n">
        <v>0.104722222222222</v>
      </c>
      <c r="Q293" s="4" t="s">
        <v>1275</v>
      </c>
      <c r="R293" s="4" t="s">
        <v>454</v>
      </c>
      <c r="S293" s="5" t="n">
        <v>0</v>
      </c>
      <c r="T293" s="5" t="n">
        <v>0.105092592592593</v>
      </c>
      <c r="U293" s="5" t="n">
        <v>0.000578703703703704</v>
      </c>
      <c r="V293" s="5" t="n">
        <v>0.000231481481481482</v>
      </c>
      <c r="W293" s="5" t="n">
        <v>0</v>
      </c>
      <c r="X293" s="5" t="n">
        <v>0</v>
      </c>
      <c r="Y293" s="5" t="n">
        <v>0</v>
      </c>
      <c r="Z293" s="0" t="n">
        <v>0</v>
      </c>
      <c r="AA293" s="0" t="n">
        <v>0</v>
      </c>
      <c r="AB293" s="0" t="n">
        <v>0</v>
      </c>
      <c r="AC293" s="4" t="s">
        <v>1276</v>
      </c>
      <c r="AD293" s="4" t="s">
        <v>1276</v>
      </c>
      <c r="AE293" s="4" t="s">
        <v>1277</v>
      </c>
      <c r="AF293" s="4" t="s">
        <v>1277</v>
      </c>
      <c r="AG293" s="5" t="n">
        <v>0</v>
      </c>
      <c r="AH293" s="5" t="n">
        <v>0.123576388888889</v>
      </c>
      <c r="AI293" s="5" t="n">
        <v>0</v>
      </c>
      <c r="AJ293" s="5" t="n">
        <v>0</v>
      </c>
      <c r="AK293" s="5" t="n">
        <v>0</v>
      </c>
      <c r="AL293" s="5" t="n">
        <v>0</v>
      </c>
      <c r="AM293" s="4" t="s">
        <v>78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0</v>
      </c>
      <c r="BI293" s="0" t="n">
        <v>0</v>
      </c>
      <c r="BJ293" s="0" t="n">
        <v>0</v>
      </c>
      <c r="BK293" s="0" t="n">
        <v>0</v>
      </c>
      <c r="BM293" s="6" t="n">
        <f aca="false">IFERROR(VALUE(F293),"")</f>
        <v>0</v>
      </c>
      <c r="BN293" s="6" t="n">
        <f aca="false">IF(R293="-","",IFERROR(VALUE(LEFT(Q293,LEN(Q293)-2)),""))</f>
        <v>6.95</v>
      </c>
      <c r="BO293" s="6" t="n">
        <f aca="false">IF(R293="-","",IFERROR(VALUE(LEFT(R293,LEN(R293)-5)),""))</f>
        <v>0</v>
      </c>
      <c r="BP293" s="6" t="n">
        <f aca="false">IF(R293="-","",IFERROR(VALUE(F293),""))</f>
        <v>0</v>
      </c>
      <c r="BQ293" s="4" t="n">
        <f aca="false">IF(R293="-",1,0)</f>
        <v>0</v>
      </c>
    </row>
    <row r="294" customFormat="false" ht="15" hidden="false" customHeight="false" outlineLevel="0" collapsed="false">
      <c r="A294" s="0" t="s">
        <v>1273</v>
      </c>
      <c r="B294" s="0" t="s">
        <v>1274</v>
      </c>
      <c r="C294" s="0" t="s">
        <v>70</v>
      </c>
      <c r="E294" s="3" t="n">
        <v>46276</v>
      </c>
      <c r="F294" s="4" t="s">
        <v>95</v>
      </c>
      <c r="G294" s="5" t="n">
        <v>0.0090162037037037</v>
      </c>
      <c r="H294" s="5" t="n">
        <v>0</v>
      </c>
      <c r="I294" s="5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5" t="n">
        <v>0</v>
      </c>
      <c r="P294" s="5" t="n">
        <v>0.00899305555555556</v>
      </c>
      <c r="Q294" s="4" t="s">
        <v>1278</v>
      </c>
      <c r="R294" s="4" t="s">
        <v>454</v>
      </c>
      <c r="S294" s="5" t="n">
        <v>0.000115740740740741</v>
      </c>
      <c r="T294" s="5" t="n">
        <v>0.0087962962962963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0" t="n">
        <v>0</v>
      </c>
      <c r="AA294" s="0" t="n">
        <v>0</v>
      </c>
      <c r="AB294" s="0" t="n">
        <v>0</v>
      </c>
      <c r="AC294" s="4" t="s">
        <v>1276</v>
      </c>
      <c r="AD294" s="4" t="s">
        <v>1276</v>
      </c>
      <c r="AE294" s="4" t="s">
        <v>1277</v>
      </c>
      <c r="AF294" s="4" t="s">
        <v>1277</v>
      </c>
      <c r="AG294" s="5" t="n">
        <v>0</v>
      </c>
      <c r="AH294" s="5" t="n">
        <v>0.0204398148148148</v>
      </c>
      <c r="AI294" s="5" t="n">
        <v>0</v>
      </c>
      <c r="AJ294" s="5" t="n">
        <v>0</v>
      </c>
      <c r="AK294" s="5" t="n">
        <v>0</v>
      </c>
      <c r="AL294" s="5" t="n">
        <v>0</v>
      </c>
      <c r="AM294" s="4" t="s">
        <v>78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  <c r="BA294" s="0" t="n">
        <v>0</v>
      </c>
      <c r="BB294" s="0" t="n">
        <v>0</v>
      </c>
      <c r="BC294" s="0" t="n">
        <v>0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0</v>
      </c>
      <c r="BI294" s="0" t="n">
        <v>0</v>
      </c>
      <c r="BJ294" s="0" t="n">
        <v>0</v>
      </c>
      <c r="BK294" s="0" t="n">
        <v>0</v>
      </c>
      <c r="BM294" s="6" t="n">
        <f aca="false">IFERROR(VALUE(F294),"")</f>
        <v>0</v>
      </c>
      <c r="BN294" s="6" t="n">
        <f aca="false">IF(R294="-","",IFERROR(VALUE(LEFT(Q294,LEN(Q294)-2)),""))</f>
        <v>0.84</v>
      </c>
      <c r="BO294" s="6" t="n">
        <f aca="false">IF(R294="-","",IFERROR(VALUE(LEFT(R294,LEN(R294)-5)),""))</f>
        <v>0</v>
      </c>
      <c r="BP294" s="6" t="n">
        <f aca="false">IF(R294="-","",IFERROR(VALUE(F294),""))</f>
        <v>0</v>
      </c>
      <c r="BQ294" s="4" t="n">
        <f aca="false">IF(R294="-",1,0)</f>
        <v>0</v>
      </c>
    </row>
    <row r="295" customFormat="false" ht="15" hidden="false" customHeight="false" outlineLevel="0" collapsed="false">
      <c r="A295" s="0" t="s">
        <v>1273</v>
      </c>
      <c r="B295" s="0" t="s">
        <v>1274</v>
      </c>
      <c r="C295" s="0" t="s">
        <v>70</v>
      </c>
      <c r="E295" s="3" t="n">
        <v>46278</v>
      </c>
      <c r="F295" s="4" t="s">
        <v>95</v>
      </c>
      <c r="G295" s="5" t="n">
        <v>0.000706018518518519</v>
      </c>
      <c r="H295" s="5" t="n">
        <v>0</v>
      </c>
      <c r="I295" s="5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5" t="n">
        <v>0</v>
      </c>
      <c r="P295" s="5" t="n">
        <v>0</v>
      </c>
      <c r="Q295" s="4" t="s">
        <v>73</v>
      </c>
      <c r="R295" s="4" t="s">
        <v>73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0" t="n">
        <v>0</v>
      </c>
      <c r="AA295" s="0" t="n">
        <v>0</v>
      </c>
      <c r="AB295" s="0" t="n">
        <v>0</v>
      </c>
      <c r="AC295" s="4" t="s">
        <v>1276</v>
      </c>
      <c r="AD295" s="4" t="s">
        <v>1276</v>
      </c>
      <c r="AE295" s="4" t="s">
        <v>1277</v>
      </c>
      <c r="AF295" s="4" t="s">
        <v>1277</v>
      </c>
      <c r="AG295" s="5" t="n">
        <v>0</v>
      </c>
      <c r="AH295" s="5" t="n">
        <v>0.0186111111111111</v>
      </c>
      <c r="AI295" s="5" t="n">
        <v>0</v>
      </c>
      <c r="AJ295" s="5" t="n">
        <v>0</v>
      </c>
      <c r="AK295" s="5" t="n">
        <v>0</v>
      </c>
      <c r="AL295" s="5" t="n">
        <v>0</v>
      </c>
      <c r="AM295" s="4" t="s">
        <v>78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M295" s="6" t="n">
        <f aca="false">IFERROR(VALUE(F295),"")</f>
        <v>0</v>
      </c>
      <c r="BN295" s="6" t="str">
        <f aca="false">IF(R295="-","",IFERROR(VALUE(LEFT(Q295,LEN(Q295)-2)),""))</f>
        <v/>
      </c>
      <c r="BO295" s="6" t="str">
        <f aca="false">IF(R295="-","",IFERROR(VALUE(LEFT(R295,LEN(R295)-5)),""))</f>
        <v/>
      </c>
      <c r="BP295" s="6" t="str">
        <f aca="false">IF(R295="-","",IFERROR(VALUE(F295),""))</f>
        <v/>
      </c>
      <c r="BQ295" s="4" t="n">
        <f aca="false">IF(R295="-",1,0)</f>
        <v>1</v>
      </c>
    </row>
    <row r="296" customFormat="false" ht="15" hidden="false" customHeight="false" outlineLevel="0" collapsed="false">
      <c r="A296" s="0" t="s">
        <v>1279</v>
      </c>
      <c r="B296" s="0" t="s">
        <v>1280</v>
      </c>
      <c r="C296" s="0" t="s">
        <v>70</v>
      </c>
      <c r="D296" s="0" t="s">
        <v>1281</v>
      </c>
      <c r="E296" s="3" t="n">
        <v>46273</v>
      </c>
      <c r="F296" s="4" t="s">
        <v>1282</v>
      </c>
      <c r="G296" s="5" t="n">
        <v>0.57630787037037</v>
      </c>
      <c r="H296" s="5" t="n">
        <v>0.239293981481482</v>
      </c>
      <c r="I296" s="5" t="n">
        <v>0.00302083333333333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5" t="n">
        <v>0</v>
      </c>
      <c r="P296" s="5" t="n">
        <v>0</v>
      </c>
      <c r="Q296" s="4" t="s">
        <v>73</v>
      </c>
      <c r="R296" s="4" t="s">
        <v>73</v>
      </c>
      <c r="S296" s="5" t="n">
        <v>0.000115740740740741</v>
      </c>
      <c r="T296" s="5" t="n">
        <v>0.186689814814815</v>
      </c>
      <c r="U296" s="5" t="n">
        <v>0.244675925925926</v>
      </c>
      <c r="V296" s="5" t="n">
        <v>0.127083333333333</v>
      </c>
      <c r="W296" s="5" t="n">
        <v>0</v>
      </c>
      <c r="X296" s="5" t="n">
        <v>0</v>
      </c>
      <c r="Y296" s="5" t="n">
        <v>0</v>
      </c>
      <c r="Z296" s="0" t="n">
        <v>0</v>
      </c>
      <c r="AA296" s="0" t="n">
        <v>0</v>
      </c>
      <c r="AB296" s="0" t="n">
        <v>0</v>
      </c>
      <c r="AC296" s="4" t="s">
        <v>111</v>
      </c>
      <c r="AD296" s="4" t="s">
        <v>593</v>
      </c>
      <c r="AE296" s="4" t="s">
        <v>1283</v>
      </c>
      <c r="AF296" s="4" t="s">
        <v>1284</v>
      </c>
      <c r="AG296" s="5" t="n">
        <v>0.489375</v>
      </c>
      <c r="AH296" s="5" t="n">
        <v>0.190717592592593</v>
      </c>
      <c r="AI296" s="5" t="n">
        <v>0</v>
      </c>
      <c r="AJ296" s="5" t="n">
        <v>0</v>
      </c>
      <c r="AK296" s="5" t="n">
        <v>0</v>
      </c>
      <c r="AL296" s="5" t="n">
        <v>0</v>
      </c>
      <c r="AM296" s="4" t="s">
        <v>78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9</v>
      </c>
      <c r="BC296" s="0" t="n">
        <v>15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M296" s="6" t="n">
        <f aca="false">IFERROR(VALUE(F296),"")</f>
        <v>592.74</v>
      </c>
      <c r="BN296" s="6" t="str">
        <f aca="false">IF(R296="-","",IFERROR(VALUE(LEFT(Q296,LEN(Q296)-2)),""))</f>
        <v/>
      </c>
      <c r="BO296" s="6" t="str">
        <f aca="false">IF(R296="-","",IFERROR(VALUE(LEFT(R296,LEN(R296)-5)),""))</f>
        <v/>
      </c>
      <c r="BP296" s="6" t="str">
        <f aca="false">IF(R296="-","",IFERROR(VALUE(F296),""))</f>
        <v/>
      </c>
      <c r="BQ296" s="4" t="n">
        <f aca="false">IF(R296="-",1,0)</f>
        <v>1</v>
      </c>
    </row>
    <row r="297" customFormat="false" ht="15" hidden="false" customHeight="false" outlineLevel="0" collapsed="false">
      <c r="A297" s="0" t="s">
        <v>1279</v>
      </c>
      <c r="B297" s="0" t="s">
        <v>1280</v>
      </c>
      <c r="C297" s="0" t="s">
        <v>70</v>
      </c>
      <c r="D297" s="0" t="s">
        <v>1281</v>
      </c>
      <c r="E297" s="3" t="n">
        <v>46274</v>
      </c>
      <c r="F297" s="4" t="s">
        <v>1285</v>
      </c>
      <c r="G297" s="5" t="n">
        <v>0.363020833333333</v>
      </c>
      <c r="H297" s="5" t="n">
        <v>0.144247685185185</v>
      </c>
      <c r="I297" s="5" t="n">
        <v>0.00114583333333333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5" t="n">
        <v>0</v>
      </c>
      <c r="P297" s="5" t="n">
        <v>0.0172453703703704</v>
      </c>
      <c r="Q297" s="4" t="s">
        <v>73</v>
      </c>
      <c r="R297" s="4" t="s">
        <v>73</v>
      </c>
      <c r="S297" s="5" t="n">
        <v>0.000115740740740741</v>
      </c>
      <c r="T297" s="5" t="n">
        <v>0.135648148148148</v>
      </c>
      <c r="U297" s="5" t="n">
        <v>0.131597222222222</v>
      </c>
      <c r="V297" s="5" t="n">
        <v>0.0717592592592593</v>
      </c>
      <c r="W297" s="5" t="n">
        <v>0</v>
      </c>
      <c r="X297" s="5" t="n">
        <v>0</v>
      </c>
      <c r="Y297" s="5" t="n">
        <v>0</v>
      </c>
      <c r="Z297" s="0" t="n">
        <v>0</v>
      </c>
      <c r="AA297" s="0" t="n">
        <v>0</v>
      </c>
      <c r="AB297" s="0" t="n">
        <v>0</v>
      </c>
      <c r="AC297" s="4" t="s">
        <v>593</v>
      </c>
      <c r="AD297" s="4" t="s">
        <v>1286</v>
      </c>
      <c r="AE297" s="4" t="s">
        <v>1287</v>
      </c>
      <c r="AF297" s="4" t="s">
        <v>1288</v>
      </c>
      <c r="AG297" s="5" t="n">
        <v>0.266631944444444</v>
      </c>
      <c r="AH297" s="5" t="n">
        <v>0.219780092592593</v>
      </c>
      <c r="AI297" s="5" t="n">
        <v>0</v>
      </c>
      <c r="AJ297" s="5" t="n">
        <v>0</v>
      </c>
      <c r="AK297" s="5" t="n">
        <v>0</v>
      </c>
      <c r="AL297" s="5" t="n">
        <v>0</v>
      </c>
      <c r="AM297" s="4" t="s">
        <v>78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0</v>
      </c>
      <c r="BA297" s="0" t="n">
        <v>0</v>
      </c>
      <c r="BB297" s="0" t="n">
        <v>3</v>
      </c>
      <c r="BC297" s="0" t="n">
        <v>5</v>
      </c>
      <c r="BD297" s="0" t="n">
        <v>0</v>
      </c>
      <c r="BE297" s="0" t="n">
        <v>0</v>
      </c>
      <c r="BF297" s="0" t="n">
        <v>0</v>
      </c>
      <c r="BG297" s="0" t="n">
        <v>0</v>
      </c>
      <c r="BH297" s="0" t="n">
        <v>0</v>
      </c>
      <c r="BI297" s="0" t="n">
        <v>0</v>
      </c>
      <c r="BJ297" s="0" t="n">
        <v>0</v>
      </c>
      <c r="BK297" s="0" t="n">
        <v>0</v>
      </c>
      <c r="BM297" s="6" t="n">
        <f aca="false">IFERROR(VALUE(F297),"")</f>
        <v>308.46</v>
      </c>
      <c r="BN297" s="6" t="str">
        <f aca="false">IF(R297="-","",IFERROR(VALUE(LEFT(Q297,LEN(Q297)-2)),""))</f>
        <v/>
      </c>
      <c r="BO297" s="6" t="str">
        <f aca="false">IF(R297="-","",IFERROR(VALUE(LEFT(R297,LEN(R297)-5)),""))</f>
        <v/>
      </c>
      <c r="BP297" s="6" t="str">
        <f aca="false">IF(R297="-","",IFERROR(VALUE(F297),""))</f>
        <v/>
      </c>
      <c r="BQ297" s="4" t="n">
        <f aca="false">IF(R297="-",1,0)</f>
        <v>1</v>
      </c>
    </row>
    <row r="298" customFormat="false" ht="15" hidden="false" customHeight="false" outlineLevel="0" collapsed="false">
      <c r="A298" s="0" t="s">
        <v>1279</v>
      </c>
      <c r="B298" s="0" t="s">
        <v>1280</v>
      </c>
      <c r="C298" s="0" t="s">
        <v>70</v>
      </c>
      <c r="D298" s="0" t="s">
        <v>1281</v>
      </c>
      <c r="E298" s="3" t="n">
        <v>46275</v>
      </c>
      <c r="F298" s="4" t="s">
        <v>1289</v>
      </c>
      <c r="G298" s="5" t="n">
        <v>0.417476851851852</v>
      </c>
      <c r="H298" s="5" t="n">
        <v>0.153888888888889</v>
      </c>
      <c r="I298" s="5" t="n">
        <v>0.00100694444444444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5" t="n">
        <v>0</v>
      </c>
      <c r="P298" s="5" t="n">
        <v>0</v>
      </c>
      <c r="Q298" s="4" t="s">
        <v>73</v>
      </c>
      <c r="R298" s="4" t="s">
        <v>73</v>
      </c>
      <c r="S298" s="5" t="n">
        <v>0</v>
      </c>
      <c r="T298" s="5" t="n">
        <v>0.152546296296296</v>
      </c>
      <c r="U298" s="5" t="n">
        <v>0.150462962962963</v>
      </c>
      <c r="V298" s="5" t="n">
        <v>0.104398148148148</v>
      </c>
      <c r="W298" s="5" t="n">
        <v>0</v>
      </c>
      <c r="X298" s="5" t="n">
        <v>0</v>
      </c>
      <c r="Y298" s="5" t="n">
        <v>0</v>
      </c>
      <c r="Z298" s="0" t="n">
        <v>0</v>
      </c>
      <c r="AA298" s="0" t="n">
        <v>0</v>
      </c>
      <c r="AB298" s="0" t="n">
        <v>0</v>
      </c>
      <c r="AC298" s="4" t="s">
        <v>152</v>
      </c>
      <c r="AD298" s="4" t="s">
        <v>882</v>
      </c>
      <c r="AE298" s="4" t="s">
        <v>1288</v>
      </c>
      <c r="AF298" s="4" t="s">
        <v>1290</v>
      </c>
      <c r="AG298" s="5" t="n">
        <v>0.355324074074074</v>
      </c>
      <c r="AH298" s="5" t="n">
        <v>0.145150462962963</v>
      </c>
      <c r="AI298" s="5" t="n">
        <v>0</v>
      </c>
      <c r="AJ298" s="5" t="n">
        <v>0</v>
      </c>
      <c r="AK298" s="5" t="n">
        <v>0</v>
      </c>
      <c r="AL298" s="5" t="n">
        <v>0</v>
      </c>
      <c r="AM298" s="4" t="s">
        <v>78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7</v>
      </c>
      <c r="BC298" s="0" t="n">
        <v>5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M298" s="6" t="n">
        <f aca="false">IFERROR(VALUE(F298),"")</f>
        <v>406.61</v>
      </c>
      <c r="BN298" s="6" t="str">
        <f aca="false">IF(R298="-","",IFERROR(VALUE(LEFT(Q298,LEN(Q298)-2)),""))</f>
        <v/>
      </c>
      <c r="BO298" s="6" t="str">
        <f aca="false">IF(R298="-","",IFERROR(VALUE(LEFT(R298,LEN(R298)-5)),""))</f>
        <v/>
      </c>
      <c r="BP298" s="6" t="str">
        <f aca="false">IF(R298="-","",IFERROR(VALUE(F298),""))</f>
        <v/>
      </c>
      <c r="BQ298" s="4" t="n">
        <f aca="false">IF(R298="-",1,0)</f>
        <v>1</v>
      </c>
    </row>
    <row r="299" customFormat="false" ht="15" hidden="false" customHeight="false" outlineLevel="0" collapsed="false">
      <c r="A299" s="0" t="s">
        <v>1279</v>
      </c>
      <c r="B299" s="0" t="s">
        <v>1280</v>
      </c>
      <c r="C299" s="0" t="s">
        <v>70</v>
      </c>
      <c r="E299" s="3" t="n">
        <v>46276</v>
      </c>
      <c r="F299" s="4" t="s">
        <v>1291</v>
      </c>
      <c r="G299" s="5" t="n">
        <v>0.546168981481482</v>
      </c>
      <c r="H299" s="5" t="n">
        <v>0</v>
      </c>
      <c r="I299" s="5" t="n">
        <v>0.000115740740740741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5" t="n">
        <v>0</v>
      </c>
      <c r="P299" s="5" t="n">
        <v>0.00736111111111111</v>
      </c>
      <c r="Q299" s="4" t="s">
        <v>73</v>
      </c>
      <c r="R299" s="4" t="s">
        <v>73</v>
      </c>
      <c r="S299" s="5" t="n">
        <v>0.000231481481481482</v>
      </c>
      <c r="T299" s="5" t="n">
        <v>0.222337962962963</v>
      </c>
      <c r="U299" s="5" t="n">
        <v>0.199768518518519</v>
      </c>
      <c r="V299" s="5" t="n">
        <v>0.112893518518519</v>
      </c>
      <c r="W299" s="5" t="n">
        <v>0.000185185185185185</v>
      </c>
      <c r="X299" s="5" t="n">
        <v>0</v>
      </c>
      <c r="Y299" s="5" t="n">
        <v>6.94444444444444E-005</v>
      </c>
      <c r="Z299" s="0" t="n">
        <v>0</v>
      </c>
      <c r="AA299" s="0" t="n">
        <v>0</v>
      </c>
      <c r="AB299" s="0" t="n">
        <v>0</v>
      </c>
      <c r="AC299" s="4" t="s">
        <v>882</v>
      </c>
      <c r="AD299" s="4" t="s">
        <v>882</v>
      </c>
      <c r="AE299" s="4" t="s">
        <v>1290</v>
      </c>
      <c r="AF299" s="4" t="s">
        <v>1292</v>
      </c>
      <c r="AG299" s="5" t="n">
        <v>0.461956018518519</v>
      </c>
      <c r="AH299" s="5" t="n">
        <v>0.119467592592593</v>
      </c>
      <c r="AI299" s="5" t="n">
        <v>0</v>
      </c>
      <c r="AJ299" s="5" t="n">
        <v>0</v>
      </c>
      <c r="AK299" s="5" t="n">
        <v>0</v>
      </c>
      <c r="AL299" s="5" t="n">
        <v>0</v>
      </c>
      <c r="AM299" s="4" t="s">
        <v>78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1</v>
      </c>
      <c r="BC299" s="0" t="n">
        <v>2</v>
      </c>
      <c r="BD299" s="0" t="n">
        <v>0</v>
      </c>
      <c r="BE299" s="0" t="n">
        <v>0</v>
      </c>
      <c r="BF299" s="0" t="n">
        <v>0</v>
      </c>
      <c r="BG299" s="0" t="n">
        <v>0</v>
      </c>
      <c r="BH299" s="0" t="n">
        <v>0</v>
      </c>
      <c r="BI299" s="0" t="n">
        <v>0</v>
      </c>
      <c r="BJ299" s="0" t="n">
        <v>0</v>
      </c>
      <c r="BK299" s="0" t="n">
        <v>0</v>
      </c>
      <c r="BM299" s="6" t="n">
        <f aca="false">IFERROR(VALUE(F299),"")</f>
        <v>509.31</v>
      </c>
      <c r="BN299" s="6" t="str">
        <f aca="false">IF(R299="-","",IFERROR(VALUE(LEFT(Q299,LEN(Q299)-2)),""))</f>
        <v/>
      </c>
      <c r="BO299" s="6" t="str">
        <f aca="false">IF(R299="-","",IFERROR(VALUE(LEFT(R299,LEN(R299)-5)),""))</f>
        <v/>
      </c>
      <c r="BP299" s="6" t="str">
        <f aca="false">IF(R299="-","",IFERROR(VALUE(F299),""))</f>
        <v/>
      </c>
      <c r="BQ299" s="4" t="n">
        <f aca="false">IF(R299="-",1,0)</f>
        <v>1</v>
      </c>
    </row>
    <row r="300" customFormat="false" ht="15" hidden="false" customHeight="false" outlineLevel="0" collapsed="false">
      <c r="A300" s="0" t="s">
        <v>1279</v>
      </c>
      <c r="B300" s="0" t="s">
        <v>1280</v>
      </c>
      <c r="C300" s="0" t="s">
        <v>70</v>
      </c>
      <c r="E300" s="3" t="n">
        <v>46277</v>
      </c>
      <c r="F300" s="4" t="s">
        <v>1293</v>
      </c>
      <c r="G300" s="5" t="n">
        <v>0.470127314814815</v>
      </c>
      <c r="H300" s="5" t="n">
        <v>0</v>
      </c>
      <c r="I300" s="5" t="n">
        <v>0.00309027777777778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5" t="n">
        <v>0</v>
      </c>
      <c r="P300" s="5" t="n">
        <v>0</v>
      </c>
      <c r="Q300" s="4" t="s">
        <v>73</v>
      </c>
      <c r="R300" s="4" t="s">
        <v>73</v>
      </c>
      <c r="S300" s="5" t="n">
        <v>0.000347222222222222</v>
      </c>
      <c r="T300" s="5" t="n">
        <v>0.143402777777778</v>
      </c>
      <c r="U300" s="5" t="n">
        <v>0.18287037037037</v>
      </c>
      <c r="V300" s="5" t="n">
        <v>0.113541666666667</v>
      </c>
      <c r="W300" s="5" t="n">
        <v>0</v>
      </c>
      <c r="X300" s="5" t="n">
        <v>0</v>
      </c>
      <c r="Y300" s="5" t="n">
        <v>0</v>
      </c>
      <c r="Z300" s="0" t="n">
        <v>0</v>
      </c>
      <c r="AA300" s="0" t="n">
        <v>0</v>
      </c>
      <c r="AB300" s="0" t="n">
        <v>0</v>
      </c>
      <c r="AC300" s="4" t="s">
        <v>882</v>
      </c>
      <c r="AD300" s="4" t="s">
        <v>152</v>
      </c>
      <c r="AE300" s="4" t="s">
        <v>1292</v>
      </c>
      <c r="AF300" s="4" t="s">
        <v>1294</v>
      </c>
      <c r="AG300" s="5" t="n">
        <v>0.398333333333333</v>
      </c>
      <c r="AH300" s="5" t="n">
        <v>0.13525462962963</v>
      </c>
      <c r="AI300" s="5" t="n">
        <v>0</v>
      </c>
      <c r="AJ300" s="5" t="n">
        <v>0</v>
      </c>
      <c r="AK300" s="5" t="n">
        <v>0</v>
      </c>
      <c r="AL300" s="5" t="n">
        <v>0</v>
      </c>
      <c r="AM300" s="4" t="s">
        <v>78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M300" s="6" t="n">
        <f aca="false">IFERROR(VALUE(F300),"")</f>
        <v>464.41</v>
      </c>
      <c r="BN300" s="6" t="str">
        <f aca="false">IF(R300="-","",IFERROR(VALUE(LEFT(Q300,LEN(Q300)-2)),""))</f>
        <v/>
      </c>
      <c r="BO300" s="6" t="str">
        <f aca="false">IF(R300="-","",IFERROR(VALUE(LEFT(R300,LEN(R300)-5)),""))</f>
        <v/>
      </c>
      <c r="BP300" s="6" t="str">
        <f aca="false">IF(R300="-","",IFERROR(VALUE(F300),""))</f>
        <v/>
      </c>
      <c r="BQ300" s="4" t="n">
        <f aca="false">IF(R300="-",1,0)</f>
        <v>1</v>
      </c>
    </row>
    <row r="301" customFormat="false" ht="15" hidden="false" customHeight="false" outlineLevel="0" collapsed="false">
      <c r="A301" s="0" t="s">
        <v>1279</v>
      </c>
      <c r="B301" s="0" t="s">
        <v>1280</v>
      </c>
      <c r="C301" s="0" t="s">
        <v>70</v>
      </c>
      <c r="E301" s="3" t="n">
        <v>46278</v>
      </c>
      <c r="F301" s="4" t="s">
        <v>1295</v>
      </c>
      <c r="G301" s="5" t="n">
        <v>0.407986111111111</v>
      </c>
      <c r="H301" s="5" t="n">
        <v>0</v>
      </c>
      <c r="I301" s="5" t="n">
        <v>0.000243055555555556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5" t="n">
        <v>0</v>
      </c>
      <c r="P301" s="5" t="n">
        <v>0.0196643518518519</v>
      </c>
      <c r="Q301" s="4" t="s">
        <v>73</v>
      </c>
      <c r="R301" s="4" t="s">
        <v>73</v>
      </c>
      <c r="S301" s="5" t="n">
        <v>0</v>
      </c>
      <c r="T301" s="5" t="n">
        <v>0.137152777777778</v>
      </c>
      <c r="U301" s="5" t="n">
        <v>0.152314814814815</v>
      </c>
      <c r="V301" s="5" t="n">
        <v>0.112268518518519</v>
      </c>
      <c r="W301" s="5" t="n">
        <v>0</v>
      </c>
      <c r="X301" s="5" t="n">
        <v>0</v>
      </c>
      <c r="Y301" s="5" t="n">
        <v>0</v>
      </c>
      <c r="Z301" s="0" t="n">
        <v>0</v>
      </c>
      <c r="AA301" s="0" t="n">
        <v>0</v>
      </c>
      <c r="AB301" s="0" t="n">
        <v>0</v>
      </c>
      <c r="AC301" s="4" t="s">
        <v>158</v>
      </c>
      <c r="AD301" s="4" t="s">
        <v>1296</v>
      </c>
      <c r="AE301" s="4" t="s">
        <v>1294</v>
      </c>
      <c r="AF301" s="4" t="s">
        <v>1297</v>
      </c>
      <c r="AG301" s="5" t="n">
        <v>0.349212962962963</v>
      </c>
      <c r="AH301" s="5" t="n">
        <v>0.137175925925926</v>
      </c>
      <c r="AI301" s="5" t="n">
        <v>0</v>
      </c>
      <c r="AJ301" s="5" t="n">
        <v>0</v>
      </c>
      <c r="AK301" s="5" t="n">
        <v>0</v>
      </c>
      <c r="AL301" s="5" t="n">
        <v>0</v>
      </c>
      <c r="AM301" s="4" t="s">
        <v>78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  <c r="BA301" s="0" t="n">
        <v>0</v>
      </c>
      <c r="BB301" s="0" t="n">
        <v>0</v>
      </c>
      <c r="BC301" s="0" t="n">
        <v>3</v>
      </c>
      <c r="BD301" s="0" t="n">
        <v>0</v>
      </c>
      <c r="BE301" s="0" t="n">
        <v>0</v>
      </c>
      <c r="BF301" s="0" t="n">
        <v>0</v>
      </c>
      <c r="BG301" s="0" t="n">
        <v>0</v>
      </c>
      <c r="BH301" s="0" t="n">
        <v>0</v>
      </c>
      <c r="BI301" s="0" t="n">
        <v>0</v>
      </c>
      <c r="BJ301" s="0" t="n">
        <v>0</v>
      </c>
      <c r="BK301" s="0" t="n">
        <v>0</v>
      </c>
      <c r="BM301" s="6" t="n">
        <f aca="false">IFERROR(VALUE(F301),"")</f>
        <v>409.89</v>
      </c>
      <c r="BN301" s="6" t="str">
        <f aca="false">IF(R301="-","",IFERROR(VALUE(LEFT(Q301,LEN(Q301)-2)),""))</f>
        <v/>
      </c>
      <c r="BO301" s="6" t="str">
        <f aca="false">IF(R301="-","",IFERROR(VALUE(LEFT(R301,LEN(R301)-5)),""))</f>
        <v/>
      </c>
      <c r="BP301" s="6" t="str">
        <f aca="false">IF(R301="-","",IFERROR(VALUE(F301),""))</f>
        <v/>
      </c>
      <c r="BQ301" s="4" t="n">
        <f aca="false">IF(R301="-",1,0)</f>
        <v>1</v>
      </c>
    </row>
    <row r="302" customFormat="false" ht="15" hidden="false" customHeight="false" outlineLevel="0" collapsed="false">
      <c r="A302" s="0" t="s">
        <v>1279</v>
      </c>
      <c r="B302" s="0" t="s">
        <v>1280</v>
      </c>
      <c r="C302" s="0" t="s">
        <v>70</v>
      </c>
      <c r="D302" s="0" t="s">
        <v>1298</v>
      </c>
      <c r="E302" s="3" t="n">
        <v>46279</v>
      </c>
      <c r="F302" s="4" t="s">
        <v>1299</v>
      </c>
      <c r="G302" s="5" t="n">
        <v>0.283402777777778</v>
      </c>
      <c r="H302" s="5" t="n">
        <v>0.0677083333333333</v>
      </c>
      <c r="I302" s="5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5" t="n">
        <v>0</v>
      </c>
      <c r="P302" s="5" t="n">
        <v>0.020462962962963</v>
      </c>
      <c r="Q302" s="4" t="s">
        <v>73</v>
      </c>
      <c r="R302" s="4" t="s">
        <v>73</v>
      </c>
      <c r="S302" s="5" t="n">
        <v>0</v>
      </c>
      <c r="T302" s="5" t="n">
        <v>0.0976851851851852</v>
      </c>
      <c r="U302" s="5" t="n">
        <v>0.0472222222222222</v>
      </c>
      <c r="V302" s="5" t="n">
        <v>0.0450231481481482</v>
      </c>
      <c r="W302" s="5" t="n">
        <v>0</v>
      </c>
      <c r="X302" s="5" t="n">
        <v>0</v>
      </c>
      <c r="Y302" s="5" t="n">
        <v>0</v>
      </c>
      <c r="Z302" s="0" t="n">
        <v>0</v>
      </c>
      <c r="AA302" s="0" t="n">
        <v>0</v>
      </c>
      <c r="AB302" s="0" t="n">
        <v>0</v>
      </c>
      <c r="AC302" s="4" t="s">
        <v>882</v>
      </c>
      <c r="AD302" s="4" t="s">
        <v>770</v>
      </c>
      <c r="AE302" s="4" t="s">
        <v>1297</v>
      </c>
      <c r="AF302" s="4" t="s">
        <v>1300</v>
      </c>
      <c r="AG302" s="5" t="n">
        <v>0.196875</v>
      </c>
      <c r="AH302" s="5" t="n">
        <v>0.114594907407407</v>
      </c>
      <c r="AI302" s="5" t="n">
        <v>0</v>
      </c>
      <c r="AJ302" s="5" t="n">
        <v>0</v>
      </c>
      <c r="AK302" s="5" t="n">
        <v>0</v>
      </c>
      <c r="AL302" s="5" t="n">
        <v>0</v>
      </c>
      <c r="AM302" s="4" t="s">
        <v>78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2</v>
      </c>
      <c r="AT302" s="0" t="n">
        <v>0</v>
      </c>
      <c r="AU302" s="0" t="n">
        <v>3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  <c r="BA302" s="0" t="n">
        <v>0</v>
      </c>
      <c r="BB302" s="0" t="n">
        <v>1</v>
      </c>
      <c r="BC302" s="0" t="n">
        <v>1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M302" s="6" t="n">
        <f aca="false">IFERROR(VALUE(F302),"")</f>
        <v>202.36</v>
      </c>
      <c r="BN302" s="6" t="str">
        <f aca="false">IF(R302="-","",IFERROR(VALUE(LEFT(Q302,LEN(Q302)-2)),""))</f>
        <v/>
      </c>
      <c r="BO302" s="6" t="str">
        <f aca="false">IF(R302="-","",IFERROR(VALUE(LEFT(R302,LEN(R302)-5)),""))</f>
        <v/>
      </c>
      <c r="BP302" s="6" t="str">
        <f aca="false">IF(R302="-","",IFERROR(VALUE(F302),""))</f>
        <v/>
      </c>
      <c r="BQ302" s="4" t="n">
        <f aca="false">IF(R302="-",1,0)</f>
        <v>1</v>
      </c>
    </row>
    <row r="303" customFormat="false" ht="15" hidden="false" customHeight="false" outlineLevel="0" collapsed="false">
      <c r="A303" s="0" t="s">
        <v>1301</v>
      </c>
      <c r="B303" s="0" t="s">
        <v>1302</v>
      </c>
      <c r="C303" s="0" t="s">
        <v>70</v>
      </c>
      <c r="D303" s="0" t="s">
        <v>1303</v>
      </c>
      <c r="E303" s="3" t="n">
        <v>46273</v>
      </c>
      <c r="F303" s="4" t="s">
        <v>1304</v>
      </c>
      <c r="G303" s="5" t="n">
        <v>0.482905092592593</v>
      </c>
      <c r="H303" s="5" t="n">
        <v>0.467291666666667</v>
      </c>
      <c r="I303" s="5" t="n">
        <v>0.00168981481481482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5" t="n">
        <v>0</v>
      </c>
      <c r="P303" s="5" t="n">
        <v>0.00969907407407407</v>
      </c>
      <c r="Q303" s="4" t="s">
        <v>1305</v>
      </c>
      <c r="R303" s="4" t="s">
        <v>443</v>
      </c>
      <c r="S303" s="5" t="n">
        <v>0</v>
      </c>
      <c r="T303" s="5" t="n">
        <v>0.161226851851852</v>
      </c>
      <c r="U303" s="5" t="n">
        <v>0.199537037037037</v>
      </c>
      <c r="V303" s="5" t="n">
        <v>0.104513888888889</v>
      </c>
      <c r="W303" s="5" t="n">
        <v>0.000115740740740741</v>
      </c>
      <c r="X303" s="5" t="n">
        <v>0</v>
      </c>
      <c r="Y303" s="5" t="n">
        <v>0</v>
      </c>
      <c r="Z303" s="0" t="n">
        <v>0</v>
      </c>
      <c r="AA303" s="0" t="n">
        <v>0</v>
      </c>
      <c r="AB303" s="0" t="n">
        <v>0</v>
      </c>
      <c r="AC303" s="4" t="s">
        <v>208</v>
      </c>
      <c r="AD303" s="4" t="s">
        <v>893</v>
      </c>
      <c r="AE303" s="4" t="s">
        <v>1306</v>
      </c>
      <c r="AF303" s="4" t="s">
        <v>1307</v>
      </c>
      <c r="AG303" s="5" t="n">
        <v>0.404421296296296</v>
      </c>
      <c r="AH303" s="5" t="n">
        <v>0.157615740740741</v>
      </c>
      <c r="AI303" s="5" t="n">
        <v>0</v>
      </c>
      <c r="AJ303" s="5" t="n">
        <v>0</v>
      </c>
      <c r="AK303" s="5" t="n">
        <v>0</v>
      </c>
      <c r="AL303" s="5" t="n">
        <v>0</v>
      </c>
      <c r="AM303" s="4" t="s">
        <v>78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1</v>
      </c>
      <c r="AS303" s="0" t="n">
        <v>0</v>
      </c>
      <c r="AT303" s="0" t="n">
        <v>0</v>
      </c>
      <c r="AU303" s="0" t="n">
        <v>13</v>
      </c>
      <c r="AV303" s="0" t="n">
        <v>0</v>
      </c>
      <c r="AW303" s="0" t="n">
        <v>2</v>
      </c>
      <c r="AX303" s="0" t="n">
        <v>0</v>
      </c>
      <c r="AY303" s="0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0" t="n">
        <v>0</v>
      </c>
      <c r="BE303" s="0" t="n">
        <v>0</v>
      </c>
      <c r="BF303" s="0" t="n">
        <v>0</v>
      </c>
      <c r="BG303" s="0" t="n">
        <v>0</v>
      </c>
      <c r="BH303" s="0" t="n">
        <v>0</v>
      </c>
      <c r="BI303" s="0" t="n">
        <v>0</v>
      </c>
      <c r="BJ303" s="0" t="n">
        <v>0</v>
      </c>
      <c r="BK303" s="0" t="n">
        <v>0</v>
      </c>
      <c r="BM303" s="6" t="n">
        <f aca="false">IFERROR(VALUE(F303),"")</f>
        <v>457.03</v>
      </c>
      <c r="BN303" s="6" t="n">
        <f aca="false">IF(R303="-","",IFERROR(VALUE(LEFT(Q303,LEN(Q303)-2)),""))</f>
        <v>165.98</v>
      </c>
      <c r="BO303" s="6" t="n">
        <f aca="false">IF(R303="-","",IFERROR(VALUE(LEFT(R303,LEN(R303)-5)),""))</f>
        <v>2.75</v>
      </c>
      <c r="BP303" s="6" t="n">
        <f aca="false">IF(R303="-","",IFERROR(VALUE(F303),""))</f>
        <v>457.03</v>
      </c>
      <c r="BQ303" s="4" t="n">
        <f aca="false">IF(R303="-",1,0)</f>
        <v>0</v>
      </c>
    </row>
    <row r="304" customFormat="false" ht="15" hidden="false" customHeight="false" outlineLevel="0" collapsed="false">
      <c r="A304" s="0" t="s">
        <v>1301</v>
      </c>
      <c r="B304" s="0" t="s">
        <v>1302</v>
      </c>
      <c r="C304" s="0" t="s">
        <v>70</v>
      </c>
      <c r="D304" s="0" t="s">
        <v>897</v>
      </c>
      <c r="E304" s="3" t="n">
        <v>46274</v>
      </c>
      <c r="F304" s="4" t="s">
        <v>267</v>
      </c>
      <c r="G304" s="5" t="n">
        <v>0.245486111111111</v>
      </c>
      <c r="H304" s="5" t="n">
        <v>0.15494212962963</v>
      </c>
      <c r="I304" s="5" t="n">
        <v>0.00418981481481482</v>
      </c>
      <c r="J304" s="0" t="n">
        <v>0</v>
      </c>
      <c r="K304" s="0" t="n">
        <v>2</v>
      </c>
      <c r="L304" s="0" t="n">
        <v>0</v>
      </c>
      <c r="M304" s="0" t="n">
        <v>0</v>
      </c>
      <c r="N304" s="0" t="n">
        <v>0</v>
      </c>
      <c r="O304" s="5" t="n">
        <v>0</v>
      </c>
      <c r="P304" s="5" t="n">
        <v>0</v>
      </c>
      <c r="Q304" s="4" t="s">
        <v>1308</v>
      </c>
      <c r="R304" s="4" t="s">
        <v>299</v>
      </c>
      <c r="S304" s="5" t="n">
        <v>0.000347222222222222</v>
      </c>
      <c r="T304" s="5" t="n">
        <v>0.0601851851851852</v>
      </c>
      <c r="U304" s="5" t="n">
        <v>0.111689814814815</v>
      </c>
      <c r="V304" s="5" t="n">
        <v>0.0578703703703704</v>
      </c>
      <c r="W304" s="5" t="n">
        <v>0</v>
      </c>
      <c r="X304" s="5" t="n">
        <v>0</v>
      </c>
      <c r="Y304" s="5" t="n">
        <v>0</v>
      </c>
      <c r="Z304" s="0" t="n">
        <v>0</v>
      </c>
      <c r="AA304" s="0" t="n">
        <v>0</v>
      </c>
      <c r="AB304" s="0" t="n">
        <v>0</v>
      </c>
      <c r="AC304" s="4" t="s">
        <v>893</v>
      </c>
      <c r="AD304" s="4" t="s">
        <v>882</v>
      </c>
      <c r="AE304" s="4" t="s">
        <v>1307</v>
      </c>
      <c r="AF304" s="4" t="s">
        <v>1309</v>
      </c>
      <c r="AG304" s="5" t="n">
        <v>0.211365740740741</v>
      </c>
      <c r="AH304" s="5" t="n">
        <v>0.07875</v>
      </c>
      <c r="AI304" s="5" t="n">
        <v>0</v>
      </c>
      <c r="AJ304" s="5" t="n">
        <v>0</v>
      </c>
      <c r="AK304" s="5" t="n">
        <v>0</v>
      </c>
      <c r="AL304" s="5" t="n">
        <v>0</v>
      </c>
      <c r="AM304" s="4" t="s">
        <v>78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3</v>
      </c>
      <c r="AV304" s="0" t="n">
        <v>0</v>
      </c>
      <c r="AW304" s="0" t="n">
        <v>1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M304" s="6" t="n">
        <f aca="false">IFERROR(VALUE(F304),"")</f>
        <v>261.94</v>
      </c>
      <c r="BN304" s="6" t="n">
        <f aca="false">IF(R304="-","",IFERROR(VALUE(LEFT(Q304,LEN(Q304)-2)),""))</f>
        <v>87.52</v>
      </c>
      <c r="BO304" s="6" t="n">
        <f aca="false">IF(R304="-","",IFERROR(VALUE(LEFT(R304,LEN(R304)-5)),""))</f>
        <v>2.99</v>
      </c>
      <c r="BP304" s="6" t="n">
        <f aca="false">IF(R304="-","",IFERROR(VALUE(F304),""))</f>
        <v>261.94</v>
      </c>
      <c r="BQ304" s="4" t="n">
        <f aca="false">IF(R304="-",1,0)</f>
        <v>0</v>
      </c>
    </row>
    <row r="305" customFormat="false" ht="15" hidden="false" customHeight="false" outlineLevel="0" collapsed="false">
      <c r="A305" s="0" t="s">
        <v>1301</v>
      </c>
      <c r="B305" s="0" t="s">
        <v>1302</v>
      </c>
      <c r="C305" s="0" t="s">
        <v>70</v>
      </c>
      <c r="D305" s="0" t="s">
        <v>1310</v>
      </c>
      <c r="E305" s="3" t="n">
        <v>46276</v>
      </c>
      <c r="F305" s="4" t="s">
        <v>1311</v>
      </c>
      <c r="G305" s="5" t="n">
        <v>0.423935185185185</v>
      </c>
      <c r="H305" s="5" t="n">
        <v>0.310868055555556</v>
      </c>
      <c r="I305" s="5" t="n">
        <v>0.00025462962962963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5" t="n">
        <v>0</v>
      </c>
      <c r="P305" s="5" t="n">
        <v>0.156759259259259</v>
      </c>
      <c r="Q305" s="4" t="s">
        <v>1312</v>
      </c>
      <c r="R305" s="4" t="s">
        <v>426</v>
      </c>
      <c r="S305" s="5" t="n">
        <v>0</v>
      </c>
      <c r="T305" s="5" t="n">
        <v>0.250925925925926</v>
      </c>
      <c r="U305" s="5" t="n">
        <v>0.12962962962963</v>
      </c>
      <c r="V305" s="5" t="n">
        <v>0.0332175925925926</v>
      </c>
      <c r="W305" s="5" t="n">
        <v>0.000115740740740741</v>
      </c>
      <c r="X305" s="5" t="n">
        <v>0</v>
      </c>
      <c r="Y305" s="5" t="n">
        <v>0</v>
      </c>
      <c r="Z305" s="0" t="n">
        <v>0</v>
      </c>
      <c r="AA305" s="0" t="n">
        <v>0</v>
      </c>
      <c r="AB305" s="0" t="n">
        <v>0</v>
      </c>
      <c r="AC305" s="4" t="s">
        <v>864</v>
      </c>
      <c r="AD305" s="4" t="s">
        <v>320</v>
      </c>
      <c r="AE305" s="4" t="s">
        <v>1309</v>
      </c>
      <c r="AF305" s="4" t="s">
        <v>1313</v>
      </c>
      <c r="AG305" s="5" t="n">
        <v>0.227847222222222</v>
      </c>
      <c r="AH305" s="5" t="n">
        <v>0.265902777777778</v>
      </c>
      <c r="AI305" s="5" t="n">
        <v>0</v>
      </c>
      <c r="AJ305" s="5" t="n">
        <v>0</v>
      </c>
      <c r="AK305" s="5" t="n">
        <v>0</v>
      </c>
      <c r="AL305" s="5" t="n">
        <v>0</v>
      </c>
      <c r="AM305" s="4" t="s">
        <v>78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n">
        <v>0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M305" s="6" t="n">
        <f aca="false">IFERROR(VALUE(F305),"")</f>
        <v>240.38</v>
      </c>
      <c r="BN305" s="6" t="n">
        <f aca="false">IF(R305="-","",IFERROR(VALUE(LEFT(Q305,LEN(Q305)-2)),""))</f>
        <v>85.5</v>
      </c>
      <c r="BO305" s="6" t="n">
        <f aca="false">IF(R305="-","",IFERROR(VALUE(LEFT(R305,LEN(R305)-5)),""))</f>
        <v>2.81</v>
      </c>
      <c r="BP305" s="6" t="n">
        <f aca="false">IF(R305="-","",IFERROR(VALUE(F305),""))</f>
        <v>240.38</v>
      </c>
      <c r="BQ305" s="4" t="n">
        <f aca="false">IF(R305="-",1,0)</f>
        <v>0</v>
      </c>
    </row>
    <row r="306" customFormat="false" ht="15" hidden="false" customHeight="false" outlineLevel="0" collapsed="false">
      <c r="A306" s="0" t="s">
        <v>1301</v>
      </c>
      <c r="B306" s="0" t="s">
        <v>1302</v>
      </c>
      <c r="C306" s="0" t="s">
        <v>70</v>
      </c>
      <c r="D306" s="0" t="s">
        <v>1314</v>
      </c>
      <c r="E306" s="3" t="n">
        <v>46279</v>
      </c>
      <c r="F306" s="4" t="s">
        <v>1315</v>
      </c>
      <c r="G306" s="5" t="n">
        <v>0.637349537037037</v>
      </c>
      <c r="H306" s="5" t="n">
        <v>0.56625</v>
      </c>
      <c r="I306" s="5" t="n">
        <v>0.00482638888888889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5" t="n">
        <v>0</v>
      </c>
      <c r="P306" s="5" t="n">
        <v>0.0210648148148148</v>
      </c>
      <c r="Q306" s="4" t="s">
        <v>1316</v>
      </c>
      <c r="R306" s="4" t="s">
        <v>1317</v>
      </c>
      <c r="S306" s="5" t="n">
        <v>0.000115740740740741</v>
      </c>
      <c r="T306" s="5" t="n">
        <v>0.208680555555556</v>
      </c>
      <c r="U306" s="5" t="n">
        <v>0.281597222222222</v>
      </c>
      <c r="V306" s="5" t="n">
        <v>0.124421296296296</v>
      </c>
      <c r="W306" s="5" t="n">
        <v>0.000115740740740741</v>
      </c>
      <c r="X306" s="5" t="n">
        <v>0</v>
      </c>
      <c r="Y306" s="5" t="n">
        <v>0</v>
      </c>
      <c r="Z306" s="0" t="n">
        <v>0</v>
      </c>
      <c r="AA306" s="0" t="n">
        <v>0</v>
      </c>
      <c r="AB306" s="0" t="n">
        <v>0</v>
      </c>
      <c r="AC306" s="4" t="s">
        <v>320</v>
      </c>
      <c r="AD306" s="4" t="s">
        <v>432</v>
      </c>
      <c r="AE306" s="4" t="s">
        <v>1313</v>
      </c>
      <c r="AF306" s="4" t="s">
        <v>1318</v>
      </c>
      <c r="AG306" s="5" t="n">
        <v>0.531446759259259</v>
      </c>
      <c r="AH306" s="5" t="n">
        <v>0.155300925925926</v>
      </c>
      <c r="AI306" s="5" t="n">
        <v>0</v>
      </c>
      <c r="AJ306" s="5" t="n">
        <v>0</v>
      </c>
      <c r="AK306" s="5" t="n">
        <v>0</v>
      </c>
      <c r="AL306" s="5" t="n">
        <v>0</v>
      </c>
      <c r="AM306" s="4" t="s">
        <v>78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9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M306" s="6" t="n">
        <f aca="false">IFERROR(VALUE(F306),"")</f>
        <v>584.35</v>
      </c>
      <c r="BN306" s="6" t="n">
        <f aca="false">IF(R306="-","",IFERROR(VALUE(LEFT(Q306,LEN(Q306)-2)),""))</f>
        <v>193.5</v>
      </c>
      <c r="BO306" s="6" t="n">
        <f aca="false">IF(R306="-","",IFERROR(VALUE(LEFT(R306,LEN(R306)-5)),""))</f>
        <v>3.02</v>
      </c>
      <c r="BP306" s="6" t="n">
        <f aca="false">IF(R306="-","",IFERROR(VALUE(F306),""))</f>
        <v>584.35</v>
      </c>
      <c r="BQ306" s="4" t="n">
        <f aca="false">IF(R306="-",1,0)</f>
        <v>0</v>
      </c>
    </row>
    <row r="307" customFormat="false" ht="15" hidden="false" customHeight="false" outlineLevel="0" collapsed="false">
      <c r="A307" s="0" t="s">
        <v>1319</v>
      </c>
      <c r="B307" s="0" t="s">
        <v>1320</v>
      </c>
      <c r="C307" s="0" t="s">
        <v>70</v>
      </c>
      <c r="D307" s="0" t="s">
        <v>1321</v>
      </c>
      <c r="E307" s="3" t="n">
        <v>46273</v>
      </c>
      <c r="F307" s="4" t="s">
        <v>1322</v>
      </c>
      <c r="G307" s="5" t="n">
        <v>0.764571759259259</v>
      </c>
      <c r="H307" s="5" t="n">
        <v>0.780648148148148</v>
      </c>
      <c r="I307" s="5" t="n">
        <v>0.000243055555555556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5" t="n">
        <v>0</v>
      </c>
      <c r="P307" s="5" t="n">
        <v>0</v>
      </c>
      <c r="Q307" s="4" t="s">
        <v>1323</v>
      </c>
      <c r="R307" s="4" t="s">
        <v>299</v>
      </c>
      <c r="S307" s="5" t="n">
        <v>0</v>
      </c>
      <c r="T307" s="5" t="n">
        <v>0.172916666666667</v>
      </c>
      <c r="U307" s="5" t="n">
        <v>0.138541666666667</v>
      </c>
      <c r="V307" s="5" t="n">
        <v>0.148842592592593</v>
      </c>
      <c r="W307" s="5" t="n">
        <v>0</v>
      </c>
      <c r="X307" s="5" t="n">
        <v>0</v>
      </c>
      <c r="Y307" s="5" t="n">
        <v>0</v>
      </c>
      <c r="Z307" s="0" t="n">
        <v>0</v>
      </c>
      <c r="AA307" s="0" t="n">
        <v>0</v>
      </c>
      <c r="AB307" s="0" t="n">
        <v>0</v>
      </c>
      <c r="AC307" s="4" t="s">
        <v>887</v>
      </c>
      <c r="AD307" s="4" t="s">
        <v>882</v>
      </c>
      <c r="AE307" s="4" t="s">
        <v>1324</v>
      </c>
      <c r="AF307" s="4" t="s">
        <v>1325</v>
      </c>
      <c r="AG307" s="5" t="n">
        <v>0.426678240740741</v>
      </c>
      <c r="AH307" s="5" t="n">
        <v>0.0500231481481482</v>
      </c>
      <c r="AI307" s="5" t="n">
        <v>0</v>
      </c>
      <c r="AJ307" s="5" t="n">
        <v>0</v>
      </c>
      <c r="AK307" s="5" t="n">
        <v>0</v>
      </c>
      <c r="AL307" s="5" t="n">
        <v>0</v>
      </c>
      <c r="AM307" s="4" t="s">
        <v>78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0</v>
      </c>
      <c r="BM307" s="6" t="n">
        <f aca="false">IFERROR(VALUE(F307),"")</f>
        <v>496.58</v>
      </c>
      <c r="BN307" s="6" t="n">
        <f aca="false">IF(R307="-","",IFERROR(VALUE(LEFT(Q307,LEN(Q307)-2)),""))</f>
        <v>165.86</v>
      </c>
      <c r="BO307" s="6" t="n">
        <f aca="false">IF(R307="-","",IFERROR(VALUE(LEFT(R307,LEN(R307)-5)),""))</f>
        <v>2.99</v>
      </c>
      <c r="BP307" s="6" t="n">
        <f aca="false">IF(R307="-","",IFERROR(VALUE(F307),""))</f>
        <v>496.58</v>
      </c>
      <c r="BQ307" s="4" t="n">
        <f aca="false">IF(R307="-",1,0)</f>
        <v>0</v>
      </c>
    </row>
    <row r="308" customFormat="false" ht="15" hidden="false" customHeight="false" outlineLevel="0" collapsed="false">
      <c r="A308" s="0" t="s">
        <v>1319</v>
      </c>
      <c r="B308" s="0" t="s">
        <v>1320</v>
      </c>
      <c r="C308" s="0" t="s">
        <v>70</v>
      </c>
      <c r="D308" s="0" t="s">
        <v>1326</v>
      </c>
      <c r="E308" s="3" t="n">
        <v>46274</v>
      </c>
      <c r="F308" s="4" t="s">
        <v>1327</v>
      </c>
      <c r="G308" s="5" t="n">
        <v>0.721331018518519</v>
      </c>
      <c r="H308" s="5" t="n">
        <v>0.6646875</v>
      </c>
      <c r="I308" s="5" t="n">
        <v>0.000266203703703704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5" t="n">
        <v>0</v>
      </c>
      <c r="P308" s="5" t="n">
        <v>0.00758101851851852</v>
      </c>
      <c r="Q308" s="4" t="s">
        <v>1328</v>
      </c>
      <c r="R308" s="4" t="s">
        <v>967</v>
      </c>
      <c r="S308" s="5" t="n">
        <v>0</v>
      </c>
      <c r="T308" s="5" t="n">
        <v>0.203587962962963</v>
      </c>
      <c r="U308" s="5" t="n">
        <v>0.296990740740741</v>
      </c>
      <c r="V308" s="5" t="n">
        <v>0.102893518518519</v>
      </c>
      <c r="W308" s="5" t="n">
        <v>0</v>
      </c>
      <c r="X308" s="5" t="n">
        <v>0</v>
      </c>
      <c r="Y308" s="5" t="n">
        <v>0</v>
      </c>
      <c r="Z308" s="0" t="n">
        <v>0</v>
      </c>
      <c r="AA308" s="0" t="n">
        <v>0</v>
      </c>
      <c r="AB308" s="0" t="n">
        <v>0</v>
      </c>
      <c r="AC308" s="4" t="s">
        <v>887</v>
      </c>
      <c r="AD308" s="4" t="s">
        <v>152</v>
      </c>
      <c r="AE308" s="4" t="s">
        <v>1325</v>
      </c>
      <c r="AF308" s="4" t="s">
        <v>1329</v>
      </c>
      <c r="AG308" s="5" t="n">
        <v>0.546539351851852</v>
      </c>
      <c r="AH308" s="5" t="n">
        <v>0.0824305555555556</v>
      </c>
      <c r="AI308" s="5" t="n">
        <v>0.00141203703703704</v>
      </c>
      <c r="AJ308" s="5" t="n">
        <v>0</v>
      </c>
      <c r="AK308" s="5" t="n">
        <v>0</v>
      </c>
      <c r="AL308" s="5" t="n">
        <v>0</v>
      </c>
      <c r="AM308" s="4" t="s">
        <v>78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0</v>
      </c>
      <c r="BC308" s="0" t="n">
        <v>0</v>
      </c>
      <c r="BD308" s="0" t="n">
        <v>0</v>
      </c>
      <c r="BE308" s="0" t="n">
        <v>0</v>
      </c>
      <c r="BF308" s="0" t="n">
        <v>0</v>
      </c>
      <c r="BG308" s="0" t="n">
        <v>0</v>
      </c>
      <c r="BH308" s="0" t="n">
        <v>0</v>
      </c>
      <c r="BI308" s="0" t="n">
        <v>0</v>
      </c>
      <c r="BJ308" s="0" t="n">
        <v>0</v>
      </c>
      <c r="BK308" s="0" t="n">
        <v>0</v>
      </c>
      <c r="BM308" s="6" t="n">
        <f aca="false">IFERROR(VALUE(F308),"")</f>
        <v>602.88</v>
      </c>
      <c r="BN308" s="6" t="n">
        <f aca="false">IF(R308="-","",IFERROR(VALUE(LEFT(Q308,LEN(Q308)-2)),""))</f>
        <v>192.61</v>
      </c>
      <c r="BO308" s="6" t="n">
        <f aca="false">IF(R308="-","",IFERROR(VALUE(LEFT(R308,LEN(R308)-5)),""))</f>
        <v>3.13</v>
      </c>
      <c r="BP308" s="6" t="n">
        <f aca="false">IF(R308="-","",IFERROR(VALUE(F308),""))</f>
        <v>602.88</v>
      </c>
      <c r="BQ308" s="4" t="n">
        <f aca="false">IF(R308="-",1,0)</f>
        <v>0</v>
      </c>
    </row>
    <row r="309" customFormat="false" ht="15" hidden="false" customHeight="false" outlineLevel="0" collapsed="false">
      <c r="A309" s="0" t="s">
        <v>1319</v>
      </c>
      <c r="B309" s="0" t="s">
        <v>1320</v>
      </c>
      <c r="C309" s="0" t="s">
        <v>70</v>
      </c>
      <c r="D309" s="0" t="s">
        <v>1330</v>
      </c>
      <c r="E309" s="3" t="n">
        <v>46275</v>
      </c>
      <c r="F309" s="4" t="s">
        <v>1331</v>
      </c>
      <c r="G309" s="5" t="n">
        <v>0.991712962962963</v>
      </c>
      <c r="H309" s="5" t="n">
        <v>0.440104166666667</v>
      </c>
      <c r="I309" s="5" t="n">
        <v>0.0021412037037037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5" t="n">
        <v>0</v>
      </c>
      <c r="P309" s="5" t="n">
        <v>0</v>
      </c>
      <c r="Q309" s="4" t="s">
        <v>1332</v>
      </c>
      <c r="R309" s="4" t="s">
        <v>431</v>
      </c>
      <c r="S309" s="5" t="n">
        <v>0</v>
      </c>
      <c r="T309" s="5" t="n">
        <v>0.144675925925926</v>
      </c>
      <c r="U309" s="5" t="n">
        <v>0.194675925925926</v>
      </c>
      <c r="V309" s="5" t="n">
        <v>0.0582175925925926</v>
      </c>
      <c r="W309" s="5" t="n">
        <v>0</v>
      </c>
      <c r="X309" s="5" t="n">
        <v>0</v>
      </c>
      <c r="Y309" s="5" t="n">
        <v>0</v>
      </c>
      <c r="Z309" s="0" t="n">
        <v>0</v>
      </c>
      <c r="AA309" s="0" t="n">
        <v>0</v>
      </c>
      <c r="AB309" s="0" t="n">
        <v>0</v>
      </c>
      <c r="AC309" s="4" t="s">
        <v>152</v>
      </c>
      <c r="AD309" s="4" t="s">
        <v>1076</v>
      </c>
      <c r="AE309" s="4" t="s">
        <v>1329</v>
      </c>
      <c r="AF309" s="4" t="s">
        <v>1333</v>
      </c>
      <c r="AG309" s="5" t="n">
        <v>0.374097222222222</v>
      </c>
      <c r="AH309" s="5" t="n">
        <v>0.0781712962962963</v>
      </c>
      <c r="AI309" s="5" t="n">
        <v>0.000752314814814815</v>
      </c>
      <c r="AJ309" s="5" t="n">
        <v>0</v>
      </c>
      <c r="AK309" s="5" t="n">
        <v>0</v>
      </c>
      <c r="AL309" s="5" t="n">
        <v>0</v>
      </c>
      <c r="AM309" s="4" t="s">
        <v>78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6</v>
      </c>
      <c r="AT309" s="0" t="n">
        <v>0</v>
      </c>
      <c r="AU309" s="0" t="n">
        <v>2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M309" s="6" t="n">
        <f aca="false">IFERROR(VALUE(F309),"")</f>
        <v>407.93</v>
      </c>
      <c r="BN309" s="6" t="n">
        <f aca="false">IF(R309="-","",IFERROR(VALUE(LEFT(Q309,LEN(Q309)-2)),""))</f>
        <v>122.18</v>
      </c>
      <c r="BO309" s="6" t="n">
        <f aca="false">IF(R309="-","",IFERROR(VALUE(LEFT(R309,LEN(R309)-5)),""))</f>
        <v>3.34</v>
      </c>
      <c r="BP309" s="6" t="n">
        <f aca="false">IF(R309="-","",IFERROR(VALUE(F309),""))</f>
        <v>407.93</v>
      </c>
      <c r="BQ309" s="4" t="n">
        <f aca="false">IF(R309="-",1,0)</f>
        <v>0</v>
      </c>
    </row>
    <row r="310" customFormat="false" ht="15" hidden="false" customHeight="false" outlineLevel="0" collapsed="false">
      <c r="A310" s="0" t="s">
        <v>1319</v>
      </c>
      <c r="B310" s="0" t="s">
        <v>1320</v>
      </c>
      <c r="C310" s="0" t="s">
        <v>70</v>
      </c>
      <c r="D310" s="0" t="s">
        <v>1334</v>
      </c>
      <c r="E310" s="3" t="n">
        <v>46276</v>
      </c>
      <c r="F310" s="4" t="s">
        <v>1335</v>
      </c>
      <c r="G310" s="5" t="n">
        <v>0.441539351851852</v>
      </c>
      <c r="H310" s="5" t="n">
        <v>0.185324074074074</v>
      </c>
      <c r="I310" s="5" t="n">
        <v>0.00310185185185185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1</v>
      </c>
      <c r="O310" s="5" t="n">
        <v>0</v>
      </c>
      <c r="P310" s="5" t="n">
        <v>0.00790509259259259</v>
      </c>
      <c r="Q310" s="4" t="s">
        <v>1336</v>
      </c>
      <c r="R310" s="4" t="s">
        <v>401</v>
      </c>
      <c r="S310" s="5" t="n">
        <v>0.000115740740740741</v>
      </c>
      <c r="T310" s="5" t="n">
        <v>0.149189814814815</v>
      </c>
      <c r="U310" s="5" t="n">
        <v>0.155555555555556</v>
      </c>
      <c r="V310" s="5" t="n">
        <v>0.108217592592593</v>
      </c>
      <c r="W310" s="5" t="n">
        <v>0</v>
      </c>
      <c r="X310" s="5" t="n">
        <v>0</v>
      </c>
      <c r="Y310" s="5" t="n">
        <v>0</v>
      </c>
      <c r="Z310" s="0" t="n">
        <v>0</v>
      </c>
      <c r="AA310" s="0" t="n">
        <v>0</v>
      </c>
      <c r="AB310" s="0" t="n">
        <v>0</v>
      </c>
      <c r="AC310" s="4" t="s">
        <v>1076</v>
      </c>
      <c r="AD310" s="4" t="s">
        <v>152</v>
      </c>
      <c r="AE310" s="4" t="s">
        <v>1337</v>
      </c>
      <c r="AF310" s="4" t="s">
        <v>1338</v>
      </c>
      <c r="AG310" s="5" t="n">
        <v>0.362013888888889</v>
      </c>
      <c r="AH310" s="5" t="n">
        <v>0.0608449074074074</v>
      </c>
      <c r="AI310" s="5" t="n">
        <v>0.00619212962962963</v>
      </c>
      <c r="AJ310" s="5" t="n">
        <v>0</v>
      </c>
      <c r="AK310" s="5" t="n">
        <v>0</v>
      </c>
      <c r="AL310" s="5" t="n">
        <v>0</v>
      </c>
      <c r="AM310" s="4" t="s">
        <v>78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5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0</v>
      </c>
      <c r="BI310" s="0" t="n">
        <v>0</v>
      </c>
      <c r="BJ310" s="0" t="n">
        <v>0</v>
      </c>
      <c r="BK310" s="0" t="n">
        <v>0</v>
      </c>
      <c r="BM310" s="6" t="n">
        <f aca="false">IFERROR(VALUE(F310),"")</f>
        <v>404.37</v>
      </c>
      <c r="BN310" s="6" t="n">
        <f aca="false">IF(R310="-","",IFERROR(VALUE(LEFT(Q310,LEN(Q310)-2)),""))</f>
        <v>141.41</v>
      </c>
      <c r="BO310" s="6" t="n">
        <f aca="false">IF(R310="-","",IFERROR(VALUE(LEFT(R310,LEN(R310)-5)),""))</f>
        <v>2.86</v>
      </c>
      <c r="BP310" s="6" t="n">
        <f aca="false">IF(R310="-","",IFERROR(VALUE(F310),""))</f>
        <v>404.37</v>
      </c>
      <c r="BQ310" s="4" t="n">
        <f aca="false">IF(R310="-",1,0)</f>
        <v>0</v>
      </c>
    </row>
    <row r="311" customFormat="false" ht="15" hidden="false" customHeight="false" outlineLevel="0" collapsed="false">
      <c r="A311" s="0" t="s">
        <v>1319</v>
      </c>
      <c r="B311" s="0" t="s">
        <v>1320</v>
      </c>
      <c r="C311" s="0" t="s">
        <v>70</v>
      </c>
      <c r="D311" s="0" t="s">
        <v>1330</v>
      </c>
      <c r="E311" s="3" t="n">
        <v>46277</v>
      </c>
      <c r="F311" s="4" t="s">
        <v>1339</v>
      </c>
      <c r="G311" s="5" t="n">
        <v>0.75119212962963</v>
      </c>
      <c r="H311" s="5" t="n">
        <v>0.75119212962963</v>
      </c>
      <c r="I311" s="5" t="n">
        <v>0.00287037037037037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7</v>
      </c>
      <c r="O311" s="5" t="n">
        <v>0</v>
      </c>
      <c r="P311" s="5" t="n">
        <v>0.0234953703703704</v>
      </c>
      <c r="Q311" s="4" t="s">
        <v>1340</v>
      </c>
      <c r="R311" s="4" t="s">
        <v>1341</v>
      </c>
      <c r="S311" s="5" t="n">
        <v>0</v>
      </c>
      <c r="T311" s="5" t="n">
        <v>0.249421296296296</v>
      </c>
      <c r="U311" s="5" t="n">
        <v>0.324074074074074</v>
      </c>
      <c r="V311" s="5" t="n">
        <v>0.131944444444444</v>
      </c>
      <c r="W311" s="5" t="n">
        <v>0</v>
      </c>
      <c r="X311" s="5" t="n">
        <v>0</v>
      </c>
      <c r="Y311" s="5" t="n">
        <v>0</v>
      </c>
      <c r="Z311" s="0" t="n">
        <v>0</v>
      </c>
      <c r="AA311" s="0" t="n">
        <v>0</v>
      </c>
      <c r="AB311" s="0" t="n">
        <v>0</v>
      </c>
      <c r="AC311" s="4" t="s">
        <v>152</v>
      </c>
      <c r="AD311" s="4" t="s">
        <v>1246</v>
      </c>
      <c r="AE311" s="4" t="s">
        <v>1338</v>
      </c>
      <c r="AF311" s="4" t="s">
        <v>1342</v>
      </c>
      <c r="AG311" s="5" t="n">
        <v>0.609143518518519</v>
      </c>
      <c r="AH311" s="5" t="n">
        <v>0.125787037037037</v>
      </c>
      <c r="AI311" s="5" t="n">
        <v>0.00116898148148148</v>
      </c>
      <c r="AJ311" s="5" t="n">
        <v>0</v>
      </c>
      <c r="AK311" s="5" t="n">
        <v>0</v>
      </c>
      <c r="AL311" s="5" t="n">
        <v>0</v>
      </c>
      <c r="AM311" s="4" t="s">
        <v>78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4</v>
      </c>
      <c r="AT311" s="0" t="n">
        <v>0</v>
      </c>
      <c r="AU311" s="0" t="n">
        <v>2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0</v>
      </c>
      <c r="BM311" s="6" t="n">
        <f aca="false">IFERROR(VALUE(F311),"")</f>
        <v>711.07</v>
      </c>
      <c r="BN311" s="6" t="n">
        <f aca="false">IF(R311="-","",IFERROR(VALUE(LEFT(Q311,LEN(Q311)-2)),""))</f>
        <v>237.38</v>
      </c>
      <c r="BO311" s="6" t="n">
        <f aca="false">IF(R311="-","",IFERROR(VALUE(LEFT(R311,LEN(R311)-5)),""))</f>
        <v>3</v>
      </c>
      <c r="BP311" s="6" t="n">
        <f aca="false">IF(R311="-","",IFERROR(VALUE(F311),""))</f>
        <v>711.07</v>
      </c>
      <c r="BQ311" s="4" t="n">
        <f aca="false">IF(R311="-",1,0)</f>
        <v>0</v>
      </c>
    </row>
    <row r="312" customFormat="false" ht="15" hidden="false" customHeight="false" outlineLevel="0" collapsed="false">
      <c r="A312" s="0" t="s">
        <v>1319</v>
      </c>
      <c r="B312" s="0" t="s">
        <v>1320</v>
      </c>
      <c r="C312" s="0" t="s">
        <v>70</v>
      </c>
      <c r="D312" s="0" t="s">
        <v>1343</v>
      </c>
      <c r="E312" s="3" t="n">
        <v>46278</v>
      </c>
      <c r="F312" s="4" t="s">
        <v>1344</v>
      </c>
      <c r="G312" s="5" t="n">
        <v>0.994351851851852</v>
      </c>
      <c r="H312" s="5" t="n">
        <v>0.78337962962963</v>
      </c>
      <c r="I312" s="5" t="n">
        <v>0.000439814814814815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5" t="n">
        <v>0</v>
      </c>
      <c r="P312" s="5" t="n">
        <v>0</v>
      </c>
      <c r="Q312" s="4" t="s">
        <v>1345</v>
      </c>
      <c r="R312" s="4" t="s">
        <v>1346</v>
      </c>
      <c r="S312" s="5" t="n">
        <v>0.000115740740740741</v>
      </c>
      <c r="T312" s="5" t="n">
        <v>0.111342592592593</v>
      </c>
      <c r="U312" s="5" t="n">
        <v>0.183564814814815</v>
      </c>
      <c r="V312" s="5" t="n">
        <v>0.0820601851851852</v>
      </c>
      <c r="W312" s="5" t="n">
        <v>0</v>
      </c>
      <c r="X312" s="5" t="n">
        <v>0</v>
      </c>
      <c r="Y312" s="5" t="n">
        <v>0</v>
      </c>
      <c r="Z312" s="0" t="n">
        <v>0</v>
      </c>
      <c r="AA312" s="0" t="n">
        <v>0</v>
      </c>
      <c r="AB312" s="0" t="n">
        <v>0</v>
      </c>
      <c r="AC312" s="4" t="s">
        <v>1246</v>
      </c>
      <c r="AD312" s="4" t="s">
        <v>1076</v>
      </c>
      <c r="AE312" s="4" t="s">
        <v>1342</v>
      </c>
      <c r="AF312" s="4" t="s">
        <v>1347</v>
      </c>
      <c r="AG312" s="5" t="n">
        <v>0.362997685185185</v>
      </c>
      <c r="AH312" s="5" t="n">
        <v>0.0744560185185185</v>
      </c>
      <c r="AI312" s="5" t="n">
        <v>0.000625</v>
      </c>
      <c r="AJ312" s="5" t="n">
        <v>0</v>
      </c>
      <c r="AK312" s="5" t="n">
        <v>0</v>
      </c>
      <c r="AL312" s="5" t="n">
        <v>0</v>
      </c>
      <c r="AM312" s="4" t="s">
        <v>78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3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M312" s="6" t="n">
        <f aca="false">IFERROR(VALUE(F312),"")</f>
        <v>406.86</v>
      </c>
      <c r="BN312" s="6" t="n">
        <f aca="false">IF(R312="-","",IFERROR(VALUE(LEFT(Q312,LEN(Q312)-2)),""))</f>
        <v>122.62</v>
      </c>
      <c r="BO312" s="6" t="n">
        <f aca="false">IF(R312="-","",IFERROR(VALUE(LEFT(R312,LEN(R312)-5)),""))</f>
        <v>3.32</v>
      </c>
      <c r="BP312" s="6" t="n">
        <f aca="false">IF(R312="-","",IFERROR(VALUE(F312),""))</f>
        <v>406.86</v>
      </c>
      <c r="BQ312" s="4" t="n">
        <f aca="false">IF(R312="-",1,0)</f>
        <v>0</v>
      </c>
    </row>
    <row r="313" customFormat="false" ht="15" hidden="false" customHeight="false" outlineLevel="0" collapsed="false">
      <c r="A313" s="0" t="s">
        <v>1319</v>
      </c>
      <c r="B313" s="0" t="s">
        <v>1320</v>
      </c>
      <c r="C313" s="0" t="s">
        <v>70</v>
      </c>
      <c r="D313" s="0" t="s">
        <v>1348</v>
      </c>
      <c r="E313" s="3" t="n">
        <v>46279</v>
      </c>
      <c r="F313" s="4" t="s">
        <v>1349</v>
      </c>
      <c r="G313" s="5" t="n">
        <v>0.544108796296296</v>
      </c>
      <c r="H313" s="5" t="n">
        <v>0.417291666666667</v>
      </c>
      <c r="I313" s="5" t="n">
        <v>0.00172453703703704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5" t="n">
        <v>0</v>
      </c>
      <c r="P313" s="5" t="n">
        <v>0</v>
      </c>
      <c r="Q313" s="4" t="s">
        <v>1350</v>
      </c>
      <c r="R313" s="4" t="s">
        <v>395</v>
      </c>
      <c r="S313" s="5" t="n">
        <v>0</v>
      </c>
      <c r="T313" s="5" t="n">
        <v>0.158101851851852</v>
      </c>
      <c r="U313" s="5" t="n">
        <v>0.169907407407407</v>
      </c>
      <c r="V313" s="5" t="n">
        <v>0.0842592592592593</v>
      </c>
      <c r="W313" s="5" t="n">
        <v>0</v>
      </c>
      <c r="X313" s="5" t="n">
        <v>0</v>
      </c>
      <c r="Y313" s="5" t="n">
        <v>0</v>
      </c>
      <c r="Z313" s="0" t="n">
        <v>0</v>
      </c>
      <c r="AA313" s="0" t="n">
        <v>0</v>
      </c>
      <c r="AB313" s="0" t="n">
        <v>0</v>
      </c>
      <c r="AC313" s="4" t="s">
        <v>1076</v>
      </c>
      <c r="AD313" s="4" t="s">
        <v>152</v>
      </c>
      <c r="AE313" s="4" t="s">
        <v>1347</v>
      </c>
      <c r="AF313" s="4" t="s">
        <v>1351</v>
      </c>
      <c r="AG313" s="5" t="n">
        <v>0.36306712962963</v>
      </c>
      <c r="AH313" s="5" t="n">
        <v>0.0636921296296296</v>
      </c>
      <c r="AI313" s="5" t="n">
        <v>0.00217592592592593</v>
      </c>
      <c r="AJ313" s="5" t="n">
        <v>0</v>
      </c>
      <c r="AK313" s="5" t="n">
        <v>0</v>
      </c>
      <c r="AL313" s="5" t="n">
        <v>0</v>
      </c>
      <c r="AM313" s="4" t="s">
        <v>78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5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M313" s="6" t="n">
        <f aca="false">IFERROR(VALUE(F313),"")</f>
        <v>405.58</v>
      </c>
      <c r="BN313" s="6" t="n">
        <f aca="false">IF(R313="-","",IFERROR(VALUE(LEFT(Q313,LEN(Q313)-2)),""))</f>
        <v>138.14</v>
      </c>
      <c r="BO313" s="6" t="n">
        <f aca="false">IF(R313="-","",IFERROR(VALUE(LEFT(R313,LEN(R313)-5)),""))</f>
        <v>2.94</v>
      </c>
      <c r="BP313" s="6" t="n">
        <f aca="false">IF(R313="-","",IFERROR(VALUE(F313),""))</f>
        <v>405.58</v>
      </c>
      <c r="BQ313" s="4" t="n">
        <f aca="false">IF(R313="-",1,0)</f>
        <v>0</v>
      </c>
    </row>
    <row r="314" customFormat="false" ht="15" hidden="false" customHeight="false" outlineLevel="0" collapsed="false">
      <c r="A314" s="0" t="s">
        <v>1352</v>
      </c>
      <c r="B314" s="0" t="s">
        <v>1353</v>
      </c>
      <c r="C314" s="0" t="s">
        <v>70</v>
      </c>
      <c r="E314" s="3" t="n">
        <v>46273</v>
      </c>
      <c r="F314" s="4" t="s">
        <v>1354</v>
      </c>
      <c r="G314" s="5" t="n">
        <v>0.32337962962963</v>
      </c>
      <c r="H314" s="5" t="n">
        <v>0</v>
      </c>
      <c r="I314" s="5" t="n">
        <v>0.00119212962962963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7</v>
      </c>
      <c r="O314" s="5" t="n">
        <v>0</v>
      </c>
      <c r="P314" s="5" t="n">
        <v>0</v>
      </c>
      <c r="Q314" s="4" t="s">
        <v>1355</v>
      </c>
      <c r="R314" s="4" t="s">
        <v>492</v>
      </c>
      <c r="S314" s="5" t="n">
        <v>0</v>
      </c>
      <c r="T314" s="5" t="n">
        <v>0.0898148148148148</v>
      </c>
      <c r="U314" s="5" t="n">
        <v>0.20462962962963</v>
      </c>
      <c r="V314" s="5" t="n">
        <v>0.0240740740740741</v>
      </c>
      <c r="W314" s="5" t="n">
        <v>0</v>
      </c>
      <c r="X314" s="5" t="n">
        <v>0</v>
      </c>
      <c r="Y314" s="5" t="n">
        <v>0</v>
      </c>
      <c r="Z314" s="0" t="n">
        <v>0</v>
      </c>
      <c r="AA314" s="0" t="n">
        <v>0</v>
      </c>
      <c r="AB314" s="0" t="n">
        <v>0</v>
      </c>
      <c r="AC314" s="4" t="s">
        <v>1356</v>
      </c>
      <c r="AD314" s="4" t="s">
        <v>1357</v>
      </c>
      <c r="AE314" s="4" t="s">
        <v>1358</v>
      </c>
      <c r="AF314" s="4" t="s">
        <v>1359</v>
      </c>
      <c r="AG314" s="5" t="n">
        <v>0.308923611111111</v>
      </c>
      <c r="AH314" s="5" t="n">
        <v>0.108321759259259</v>
      </c>
      <c r="AI314" s="5" t="n">
        <v>0</v>
      </c>
      <c r="AJ314" s="5" t="n">
        <v>0</v>
      </c>
      <c r="AK314" s="5" t="n">
        <v>0</v>
      </c>
      <c r="AL314" s="5" t="n">
        <v>0</v>
      </c>
      <c r="AM314" s="4" t="s">
        <v>78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0</v>
      </c>
      <c r="BC314" s="0" t="n">
        <v>3</v>
      </c>
      <c r="BD314" s="0" t="n">
        <v>5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0</v>
      </c>
      <c r="BJ314" s="0" t="n">
        <v>0</v>
      </c>
      <c r="BK314" s="0" t="n">
        <v>0</v>
      </c>
      <c r="BM314" s="6" t="n">
        <f aca="false">IFERROR(VALUE(F314),"")</f>
        <v>180.69</v>
      </c>
      <c r="BN314" s="6" t="n">
        <f aca="false">IF(R314="-","",IFERROR(VALUE(LEFT(Q314,LEN(Q314)-2)),""))</f>
        <v>63.34</v>
      </c>
      <c r="BO314" s="6" t="n">
        <f aca="false">IF(R314="-","",IFERROR(VALUE(LEFT(R314,LEN(R314)-5)),""))</f>
        <v>2.85</v>
      </c>
      <c r="BP314" s="6" t="n">
        <f aca="false">IF(R314="-","",IFERROR(VALUE(F314),""))</f>
        <v>180.69</v>
      </c>
      <c r="BQ314" s="4" t="n">
        <f aca="false">IF(R314="-",1,0)</f>
        <v>0</v>
      </c>
    </row>
    <row r="315" customFormat="false" ht="15" hidden="false" customHeight="false" outlineLevel="0" collapsed="false">
      <c r="A315" s="0" t="s">
        <v>1352</v>
      </c>
      <c r="B315" s="0" t="s">
        <v>1353</v>
      </c>
      <c r="C315" s="0" t="s">
        <v>70</v>
      </c>
      <c r="E315" s="3" t="n">
        <v>46274</v>
      </c>
      <c r="F315" s="4" t="s">
        <v>1360</v>
      </c>
      <c r="G315" s="5" t="n">
        <v>0.517337962962963</v>
      </c>
      <c r="H315" s="5" t="n">
        <v>0</v>
      </c>
      <c r="I315" s="5" t="n">
        <v>0.00128472222222222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9</v>
      </c>
      <c r="O315" s="5" t="n">
        <v>0</v>
      </c>
      <c r="P315" s="5" t="n">
        <v>0.00707175925925926</v>
      </c>
      <c r="Q315" s="4" t="s">
        <v>1361</v>
      </c>
      <c r="R315" s="4" t="s">
        <v>1362</v>
      </c>
      <c r="S315" s="5" t="n">
        <v>0</v>
      </c>
      <c r="T315" s="5" t="n">
        <v>0.159027777777778</v>
      </c>
      <c r="U315" s="5" t="n">
        <v>0.258680555555556</v>
      </c>
      <c r="V315" s="5" t="n">
        <v>0.0644675925925926</v>
      </c>
      <c r="W315" s="5" t="n">
        <v>0</v>
      </c>
      <c r="X315" s="5" t="n">
        <v>0</v>
      </c>
      <c r="Y315" s="5" t="n">
        <v>0</v>
      </c>
      <c r="Z315" s="0" t="n">
        <v>0</v>
      </c>
      <c r="AA315" s="0" t="n">
        <v>0</v>
      </c>
      <c r="AB315" s="0" t="n">
        <v>0</v>
      </c>
      <c r="AC315" s="4" t="s">
        <v>1357</v>
      </c>
      <c r="AD315" s="4" t="s">
        <v>1113</v>
      </c>
      <c r="AE315" s="4" t="s">
        <v>1363</v>
      </c>
      <c r="AF315" s="4" t="s">
        <v>1364</v>
      </c>
      <c r="AG315" s="5" t="n">
        <v>0.457453703703704</v>
      </c>
      <c r="AH315" s="5" t="n">
        <v>0.203310185185185</v>
      </c>
      <c r="AI315" s="5" t="n">
        <v>0</v>
      </c>
      <c r="AJ315" s="5" t="n">
        <v>0</v>
      </c>
      <c r="AK315" s="5" t="n">
        <v>0</v>
      </c>
      <c r="AL315" s="5" t="n">
        <v>0</v>
      </c>
      <c r="AM315" s="4" t="s">
        <v>78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0</v>
      </c>
      <c r="AX315" s="0" t="n">
        <v>0</v>
      </c>
      <c r="AY315" s="0" t="n">
        <v>0</v>
      </c>
      <c r="AZ315" s="0" t="n">
        <v>0</v>
      </c>
      <c r="BA315" s="0" t="n">
        <v>0</v>
      </c>
      <c r="BB315" s="0" t="n">
        <v>0</v>
      </c>
      <c r="BC315" s="0" t="n">
        <v>0</v>
      </c>
      <c r="BD315" s="0" t="n">
        <v>3</v>
      </c>
      <c r="BE315" s="0" t="n">
        <v>0</v>
      </c>
      <c r="BF315" s="0" t="n">
        <v>0</v>
      </c>
      <c r="BG315" s="0" t="n">
        <v>0</v>
      </c>
      <c r="BH315" s="0" t="n">
        <v>0</v>
      </c>
      <c r="BI315" s="0" t="n">
        <v>0</v>
      </c>
      <c r="BJ315" s="0" t="n">
        <v>0</v>
      </c>
      <c r="BK315" s="0" t="n">
        <v>0</v>
      </c>
      <c r="BM315" s="6" t="n">
        <f aca="false">IFERROR(VALUE(F315),"")</f>
        <v>241.01</v>
      </c>
      <c r="BN315" s="6" t="n">
        <f aca="false">IF(R315="-","",IFERROR(VALUE(LEFT(Q315,LEN(Q315)-2)),""))</f>
        <v>96.81</v>
      </c>
      <c r="BO315" s="6" t="n">
        <f aca="false">IF(R315="-","",IFERROR(VALUE(LEFT(R315,LEN(R315)-5)),""))</f>
        <v>2.49</v>
      </c>
      <c r="BP315" s="6" t="n">
        <f aca="false">IF(R315="-","",IFERROR(VALUE(F315),""))</f>
        <v>241.01</v>
      </c>
      <c r="BQ315" s="4" t="n">
        <f aca="false">IF(R315="-",1,0)</f>
        <v>0</v>
      </c>
    </row>
    <row r="316" customFormat="false" ht="15" hidden="false" customHeight="false" outlineLevel="0" collapsed="false">
      <c r="A316" s="0" t="s">
        <v>1352</v>
      </c>
      <c r="B316" s="0" t="s">
        <v>1353</v>
      </c>
      <c r="C316" s="0" t="s">
        <v>70</v>
      </c>
      <c r="E316" s="3" t="n">
        <v>46275</v>
      </c>
      <c r="F316" s="4" t="s">
        <v>1365</v>
      </c>
      <c r="G316" s="5" t="n">
        <v>0.60369212962963</v>
      </c>
      <c r="H316" s="5" t="n">
        <v>0</v>
      </c>
      <c r="I316" s="5" t="n">
        <v>0.0041087962962963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17</v>
      </c>
      <c r="O316" s="5" t="n">
        <v>0</v>
      </c>
      <c r="P316" s="5" t="n">
        <v>0</v>
      </c>
      <c r="Q316" s="4" t="s">
        <v>1366</v>
      </c>
      <c r="R316" s="4" t="s">
        <v>448</v>
      </c>
      <c r="S316" s="5" t="n">
        <v>0</v>
      </c>
      <c r="T316" s="5" t="n">
        <v>0.224884259259259</v>
      </c>
      <c r="U316" s="5" t="n">
        <v>0.334259259259259</v>
      </c>
      <c r="V316" s="5" t="n">
        <v>0.0299768518518519</v>
      </c>
      <c r="W316" s="5" t="n">
        <v>0</v>
      </c>
      <c r="X316" s="5" t="n">
        <v>0</v>
      </c>
      <c r="Y316" s="5" t="n">
        <v>0</v>
      </c>
      <c r="Z316" s="0" t="n">
        <v>0</v>
      </c>
      <c r="AA316" s="0" t="n">
        <v>0</v>
      </c>
      <c r="AB316" s="0" t="n">
        <v>0</v>
      </c>
      <c r="AC316" s="4" t="s">
        <v>1113</v>
      </c>
      <c r="AD316" s="4" t="s">
        <v>1113</v>
      </c>
      <c r="AE316" s="4" t="s">
        <v>1367</v>
      </c>
      <c r="AF316" s="4" t="s">
        <v>1368</v>
      </c>
      <c r="AG316" s="5" t="n">
        <v>0.552071759259259</v>
      </c>
      <c r="AH316" s="5" t="n">
        <v>0.184363425925926</v>
      </c>
      <c r="AI316" s="5" t="n">
        <v>0</v>
      </c>
      <c r="AJ316" s="5" t="n">
        <v>0</v>
      </c>
      <c r="AK316" s="5" t="n">
        <v>0</v>
      </c>
      <c r="AL316" s="5" t="n">
        <v>0</v>
      </c>
      <c r="AM316" s="4" t="s">
        <v>78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2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2</v>
      </c>
      <c r="BD316" s="0" t="n">
        <v>7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0</v>
      </c>
      <c r="BJ316" s="0" t="n">
        <v>0</v>
      </c>
      <c r="BK316" s="0" t="n">
        <v>0</v>
      </c>
      <c r="BM316" s="6" t="n">
        <f aca="false">IFERROR(VALUE(F316),"")</f>
        <v>312.08</v>
      </c>
      <c r="BN316" s="6" t="n">
        <f aca="false">IF(R316="-","",IFERROR(VALUE(LEFT(Q316,LEN(Q316)-2)),""))</f>
        <v>117.84</v>
      </c>
      <c r="BO316" s="6" t="n">
        <f aca="false">IF(R316="-","",IFERROR(VALUE(LEFT(R316,LEN(R316)-5)),""))</f>
        <v>2.65</v>
      </c>
      <c r="BP316" s="6" t="n">
        <f aca="false">IF(R316="-","",IFERROR(VALUE(F316),""))</f>
        <v>312.08</v>
      </c>
      <c r="BQ316" s="4" t="n">
        <f aca="false">IF(R316="-",1,0)</f>
        <v>0</v>
      </c>
    </row>
    <row r="317" customFormat="false" ht="15" hidden="false" customHeight="false" outlineLevel="0" collapsed="false">
      <c r="A317" s="0" t="s">
        <v>1352</v>
      </c>
      <c r="B317" s="0" t="s">
        <v>1353</v>
      </c>
      <c r="C317" s="0" t="s">
        <v>70</v>
      </c>
      <c r="E317" s="3" t="n">
        <v>46276</v>
      </c>
      <c r="F317" s="4" t="s">
        <v>1369</v>
      </c>
      <c r="G317" s="5" t="n">
        <v>0.35337962962963</v>
      </c>
      <c r="H317" s="5" t="n">
        <v>0</v>
      </c>
      <c r="I317" s="5" t="n">
        <v>0.00142361111111111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6</v>
      </c>
      <c r="O317" s="5" t="n">
        <v>0</v>
      </c>
      <c r="P317" s="5" t="n">
        <v>0</v>
      </c>
      <c r="Q317" s="4" t="s">
        <v>1370</v>
      </c>
      <c r="R317" s="4" t="s">
        <v>378</v>
      </c>
      <c r="S317" s="5" t="n">
        <v>0</v>
      </c>
      <c r="T317" s="5" t="n">
        <v>0.103472222222222</v>
      </c>
      <c r="U317" s="5" t="n">
        <v>0.217013888888889</v>
      </c>
      <c r="V317" s="5" t="n">
        <v>0.0140046296296296</v>
      </c>
      <c r="W317" s="5" t="n">
        <v>0</v>
      </c>
      <c r="X317" s="5" t="n">
        <v>0</v>
      </c>
      <c r="Y317" s="5" t="n">
        <v>0</v>
      </c>
      <c r="Z317" s="0" t="n">
        <v>0</v>
      </c>
      <c r="AA317" s="0" t="n">
        <v>0</v>
      </c>
      <c r="AB317" s="0" t="n">
        <v>0</v>
      </c>
      <c r="AC317" s="4" t="s">
        <v>593</v>
      </c>
      <c r="AD317" s="4" t="s">
        <v>1356</v>
      </c>
      <c r="AE317" s="4" t="s">
        <v>1371</v>
      </c>
      <c r="AF317" s="4" t="s">
        <v>1372</v>
      </c>
      <c r="AG317" s="5" t="n">
        <v>0.318032407407407</v>
      </c>
      <c r="AH317" s="5" t="n">
        <v>0.140509259259259</v>
      </c>
      <c r="AI317" s="5" t="n">
        <v>0</v>
      </c>
      <c r="AJ317" s="5" t="n">
        <v>0</v>
      </c>
      <c r="AK317" s="5" t="n">
        <v>0</v>
      </c>
      <c r="AL317" s="5" t="n">
        <v>0</v>
      </c>
      <c r="AM317" s="4" t="s">
        <v>78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2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M317" s="6" t="n">
        <f aca="false">IFERROR(VALUE(F317),"")</f>
        <v>183</v>
      </c>
      <c r="BN317" s="6" t="n">
        <f aca="false">IF(R317="-","",IFERROR(VALUE(LEFT(Q317,LEN(Q317)-2)),""))</f>
        <v>67.61</v>
      </c>
      <c r="BO317" s="6" t="n">
        <f aca="false">IF(R317="-","",IFERROR(VALUE(LEFT(R317,LEN(R317)-5)),""))</f>
        <v>2.71</v>
      </c>
      <c r="BP317" s="6" t="n">
        <f aca="false">IF(R317="-","",IFERROR(VALUE(F317),""))</f>
        <v>183</v>
      </c>
      <c r="BQ317" s="4" t="n">
        <f aca="false">IF(R317="-",1,0)</f>
        <v>0</v>
      </c>
    </row>
    <row r="318" customFormat="false" ht="15" hidden="false" customHeight="false" outlineLevel="0" collapsed="false">
      <c r="A318" s="0" t="s">
        <v>1352</v>
      </c>
      <c r="B318" s="0" t="s">
        <v>1353</v>
      </c>
      <c r="C318" s="0" t="s">
        <v>70</v>
      </c>
      <c r="E318" s="3" t="n">
        <v>46277</v>
      </c>
      <c r="F318" s="4" t="s">
        <v>1373</v>
      </c>
      <c r="G318" s="5" t="n">
        <v>0.330023148148148</v>
      </c>
      <c r="H318" s="5" t="n">
        <v>0</v>
      </c>
      <c r="I318" s="5" t="n">
        <v>0.00229166666666667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5</v>
      </c>
      <c r="O318" s="5" t="n">
        <v>0</v>
      </c>
      <c r="P318" s="5" t="n">
        <v>0</v>
      </c>
      <c r="Q318" s="4" t="s">
        <v>1374</v>
      </c>
      <c r="R318" s="4" t="s">
        <v>1375</v>
      </c>
      <c r="S318" s="5" t="n">
        <v>0</v>
      </c>
      <c r="T318" s="5" t="n">
        <v>0.100578703703704</v>
      </c>
      <c r="U318" s="5" t="n">
        <v>0.196875</v>
      </c>
      <c r="V318" s="5" t="n">
        <v>0.0165509259259259</v>
      </c>
      <c r="W318" s="5" t="n">
        <v>0</v>
      </c>
      <c r="X318" s="5" t="n">
        <v>0</v>
      </c>
      <c r="Y318" s="5" t="n">
        <v>0</v>
      </c>
      <c r="Z318" s="0" t="n">
        <v>0</v>
      </c>
      <c r="AA318" s="0" t="n">
        <v>0</v>
      </c>
      <c r="AB318" s="0" t="n">
        <v>0</v>
      </c>
      <c r="AC318" s="4" t="s">
        <v>1356</v>
      </c>
      <c r="AD318" s="4" t="s">
        <v>1113</v>
      </c>
      <c r="AE318" s="4" t="s">
        <v>1376</v>
      </c>
      <c r="AF318" s="4" t="s">
        <v>1377</v>
      </c>
      <c r="AG318" s="5" t="n">
        <v>0.304988425925926</v>
      </c>
      <c r="AH318" s="5" t="n">
        <v>0.121770833333333</v>
      </c>
      <c r="AI318" s="5" t="n">
        <v>0</v>
      </c>
      <c r="AJ318" s="5" t="n">
        <v>0</v>
      </c>
      <c r="AK318" s="5" t="n">
        <v>0</v>
      </c>
      <c r="AL318" s="5" t="n">
        <v>0</v>
      </c>
      <c r="AM318" s="4" t="s">
        <v>78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3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M318" s="6" t="n">
        <f aca="false">IFERROR(VALUE(F318),"")</f>
        <v>178.97</v>
      </c>
      <c r="BN318" s="6" t="n">
        <f aca="false">IF(R318="-","",IFERROR(VALUE(LEFT(Q318,LEN(Q318)-2)),""))</f>
        <v>64.95</v>
      </c>
      <c r="BO318" s="6" t="n">
        <f aca="false">IF(R318="-","",IFERROR(VALUE(LEFT(R318,LEN(R318)-5)),""))</f>
        <v>2.76</v>
      </c>
      <c r="BP318" s="6" t="n">
        <f aca="false">IF(R318="-","",IFERROR(VALUE(F318),""))</f>
        <v>178.97</v>
      </c>
      <c r="BQ318" s="4" t="n">
        <f aca="false">IF(R318="-",1,0)</f>
        <v>0</v>
      </c>
    </row>
    <row r="319" customFormat="false" ht="15" hidden="false" customHeight="false" outlineLevel="0" collapsed="false">
      <c r="A319" s="0" t="s">
        <v>1352</v>
      </c>
      <c r="B319" s="0" t="s">
        <v>1353</v>
      </c>
      <c r="C319" s="0" t="s">
        <v>70</v>
      </c>
      <c r="E319" s="3" t="n">
        <v>46278</v>
      </c>
      <c r="F319" s="4" t="s">
        <v>1378</v>
      </c>
      <c r="G319" s="5" t="n">
        <v>0.32275462962963</v>
      </c>
      <c r="H319" s="5" t="n">
        <v>0</v>
      </c>
      <c r="I319" s="5" t="n">
        <v>0.00171296296296296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1</v>
      </c>
      <c r="O319" s="5" t="n">
        <v>0</v>
      </c>
      <c r="P319" s="5" t="n">
        <v>0</v>
      </c>
      <c r="Q319" s="4" t="s">
        <v>1379</v>
      </c>
      <c r="R319" s="4" t="s">
        <v>492</v>
      </c>
      <c r="S319" s="5" t="n">
        <v>0.000115740740740741</v>
      </c>
      <c r="T319" s="5" t="n">
        <v>0.106018518518519</v>
      </c>
      <c r="U319" s="5" t="n">
        <v>0.195138888888889</v>
      </c>
      <c r="V319" s="5" t="n">
        <v>0.0137731481481482</v>
      </c>
      <c r="W319" s="5" t="n">
        <v>0</v>
      </c>
      <c r="X319" s="5" t="n">
        <v>0</v>
      </c>
      <c r="Y319" s="5" t="n">
        <v>0</v>
      </c>
      <c r="Z319" s="0" t="n">
        <v>0</v>
      </c>
      <c r="AA319" s="0" t="n">
        <v>0</v>
      </c>
      <c r="AB319" s="0" t="n">
        <v>0</v>
      </c>
      <c r="AC319" s="4" t="s">
        <v>1113</v>
      </c>
      <c r="AD319" s="4" t="s">
        <v>1380</v>
      </c>
      <c r="AE319" s="4" t="s">
        <v>1381</v>
      </c>
      <c r="AF319" s="4" t="s">
        <v>1382</v>
      </c>
      <c r="AG319" s="5" t="n">
        <v>0.304340277777778</v>
      </c>
      <c r="AH319" s="5" t="n">
        <v>0.113703703703704</v>
      </c>
      <c r="AI319" s="5" t="n">
        <v>0</v>
      </c>
      <c r="AJ319" s="5" t="n">
        <v>0</v>
      </c>
      <c r="AK319" s="5" t="n">
        <v>0</v>
      </c>
      <c r="AL319" s="5" t="n">
        <v>0</v>
      </c>
      <c r="AM319" s="4" t="s">
        <v>78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1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1</v>
      </c>
      <c r="BD319" s="0" t="n">
        <v>4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0</v>
      </c>
      <c r="BM319" s="6" t="n">
        <f aca="false">IFERROR(VALUE(F319),"")</f>
        <v>177.61</v>
      </c>
      <c r="BN319" s="6" t="n">
        <f aca="false">IF(R319="-","",IFERROR(VALUE(LEFT(Q319,LEN(Q319)-2)),""))</f>
        <v>62.38</v>
      </c>
      <c r="BO319" s="6" t="n">
        <f aca="false">IF(R319="-","",IFERROR(VALUE(LEFT(R319,LEN(R319)-5)),""))</f>
        <v>2.85</v>
      </c>
      <c r="BP319" s="6" t="n">
        <f aca="false">IF(R319="-","",IFERROR(VALUE(F319),""))</f>
        <v>177.61</v>
      </c>
      <c r="BQ319" s="4" t="n">
        <f aca="false">IF(R319="-",1,0)</f>
        <v>0</v>
      </c>
    </row>
    <row r="320" customFormat="false" ht="15" hidden="false" customHeight="false" outlineLevel="0" collapsed="false">
      <c r="A320" s="0" t="s">
        <v>1352</v>
      </c>
      <c r="B320" s="0" t="s">
        <v>1353</v>
      </c>
      <c r="C320" s="0" t="s">
        <v>70</v>
      </c>
      <c r="E320" s="3" t="n">
        <v>46279</v>
      </c>
      <c r="F320" s="4" t="s">
        <v>1383</v>
      </c>
      <c r="G320" s="5" t="n">
        <v>0.550717592592593</v>
      </c>
      <c r="H320" s="5" t="n">
        <v>0</v>
      </c>
      <c r="I320" s="5" t="n">
        <v>0.00277777777777778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12</v>
      </c>
      <c r="O320" s="5" t="n">
        <v>0</v>
      </c>
      <c r="P320" s="5" t="n">
        <v>0.00835648148148148</v>
      </c>
      <c r="Q320" s="4" t="s">
        <v>1384</v>
      </c>
      <c r="R320" s="4" t="s">
        <v>1183</v>
      </c>
      <c r="S320" s="5" t="n">
        <v>0.000115740740740741</v>
      </c>
      <c r="T320" s="5" t="n">
        <v>0.211458333333333</v>
      </c>
      <c r="U320" s="5" t="n">
        <v>0.292824074074074</v>
      </c>
      <c r="V320" s="5" t="n">
        <v>0.0351851851851852</v>
      </c>
      <c r="W320" s="5" t="n">
        <v>0</v>
      </c>
      <c r="X320" s="5" t="n">
        <v>0</v>
      </c>
      <c r="Y320" s="5" t="n">
        <v>0</v>
      </c>
      <c r="Z320" s="0" t="n">
        <v>0</v>
      </c>
      <c r="AA320" s="0" t="n">
        <v>0</v>
      </c>
      <c r="AB320" s="0" t="n">
        <v>0</v>
      </c>
      <c r="AC320" s="4" t="s">
        <v>1380</v>
      </c>
      <c r="AD320" s="4" t="s">
        <v>593</v>
      </c>
      <c r="AE320" s="4" t="s">
        <v>1385</v>
      </c>
      <c r="AF320" s="4" t="s">
        <v>1386</v>
      </c>
      <c r="AG320" s="5" t="n">
        <v>0.511921296296296</v>
      </c>
      <c r="AH320" s="5" t="n">
        <v>0.128449074074074</v>
      </c>
      <c r="AI320" s="5" t="n">
        <v>0</v>
      </c>
      <c r="AJ320" s="5" t="n">
        <v>0</v>
      </c>
      <c r="AK320" s="5" t="n">
        <v>0</v>
      </c>
      <c r="AL320" s="5" t="n">
        <v>0</v>
      </c>
      <c r="AM320" s="4" t="s">
        <v>78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3</v>
      </c>
      <c r="BD320" s="0" t="n">
        <v>3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0</v>
      </c>
      <c r="BJ320" s="0" t="n">
        <v>0</v>
      </c>
      <c r="BK320" s="0" t="n">
        <v>0</v>
      </c>
      <c r="BM320" s="6" t="n">
        <f aca="false">IFERROR(VALUE(F320),"")</f>
        <v>281.89</v>
      </c>
      <c r="BN320" s="6" t="n">
        <f aca="false">IF(R320="-","",IFERROR(VALUE(LEFT(Q320,LEN(Q320)-2)),""))</f>
        <v>106.8</v>
      </c>
      <c r="BO320" s="6" t="n">
        <f aca="false">IF(R320="-","",IFERROR(VALUE(LEFT(R320,LEN(R320)-5)),""))</f>
        <v>2.64</v>
      </c>
      <c r="BP320" s="6" t="n">
        <f aca="false">IF(R320="-","",IFERROR(VALUE(F320),""))</f>
        <v>281.89</v>
      </c>
      <c r="BQ320" s="4" t="n">
        <f aca="false">IF(R320="-",1,0)</f>
        <v>0</v>
      </c>
    </row>
    <row r="321" customFormat="false" ht="15" hidden="false" customHeight="false" outlineLevel="0" collapsed="false">
      <c r="A321" s="0" t="s">
        <v>1387</v>
      </c>
      <c r="B321" s="0" t="s">
        <v>1388</v>
      </c>
      <c r="C321" s="0" t="s">
        <v>70</v>
      </c>
      <c r="D321" s="0" t="s">
        <v>1389</v>
      </c>
      <c r="E321" s="3" t="n">
        <v>46273</v>
      </c>
      <c r="F321" s="4" t="s">
        <v>359</v>
      </c>
      <c r="G321" s="5" t="n">
        <v>0.387268518518519</v>
      </c>
      <c r="H321" s="5" t="n">
        <v>0.362083333333333</v>
      </c>
      <c r="I321" s="5" t="n">
        <v>8.10185185185185E-005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5" t="n">
        <v>0</v>
      </c>
      <c r="P321" s="5" t="n">
        <v>0</v>
      </c>
      <c r="Q321" s="4" t="s">
        <v>1390</v>
      </c>
      <c r="R321" s="4" t="s">
        <v>346</v>
      </c>
      <c r="S321" s="5" t="n">
        <v>0</v>
      </c>
      <c r="T321" s="5" t="n">
        <v>0.117824074074074</v>
      </c>
      <c r="U321" s="5" t="n">
        <v>0.118634259259259</v>
      </c>
      <c r="V321" s="5" t="n">
        <v>0.134606481481482</v>
      </c>
      <c r="W321" s="5" t="n">
        <v>0</v>
      </c>
      <c r="X321" s="5" t="n">
        <v>0</v>
      </c>
      <c r="Y321" s="5" t="n">
        <v>0</v>
      </c>
      <c r="Z321" s="0" t="n">
        <v>0</v>
      </c>
      <c r="AA321" s="0" t="n">
        <v>0</v>
      </c>
      <c r="AB321" s="0" t="n">
        <v>0</v>
      </c>
      <c r="AC321" s="4" t="s">
        <v>1391</v>
      </c>
      <c r="AD321" s="4" t="s">
        <v>1391</v>
      </c>
      <c r="AE321" s="4" t="s">
        <v>1392</v>
      </c>
      <c r="AF321" s="4" t="s">
        <v>1393</v>
      </c>
      <c r="AG321" s="5" t="n">
        <v>0.318831018518519</v>
      </c>
      <c r="AH321" s="5" t="n">
        <v>0.148912037037037</v>
      </c>
      <c r="AI321" s="5" t="n">
        <v>0</v>
      </c>
      <c r="AJ321" s="5" t="n">
        <v>0</v>
      </c>
      <c r="AK321" s="5" t="n">
        <v>0</v>
      </c>
      <c r="AL321" s="5" t="n">
        <v>0</v>
      </c>
      <c r="AM321" s="4" t="s">
        <v>78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1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0</v>
      </c>
      <c r="BI321" s="0" t="n">
        <v>0</v>
      </c>
      <c r="BJ321" s="0" t="n">
        <v>0</v>
      </c>
      <c r="BK321" s="0" t="n">
        <v>0</v>
      </c>
      <c r="BM321" s="6" t="n">
        <f aca="false">IFERROR(VALUE(F321),"")</f>
        <v>301.47</v>
      </c>
      <c r="BN321" s="6" t="n">
        <f aca="false">IF(R321="-","",IFERROR(VALUE(LEFT(Q321,LEN(Q321)-2)),""))</f>
        <v>101.71</v>
      </c>
      <c r="BO321" s="6" t="n">
        <f aca="false">IF(R321="-","",IFERROR(VALUE(LEFT(R321,LEN(R321)-5)),""))</f>
        <v>2.96</v>
      </c>
      <c r="BP321" s="6" t="n">
        <f aca="false">IF(R321="-","",IFERROR(VALUE(F321),""))</f>
        <v>301.47</v>
      </c>
      <c r="BQ321" s="4" t="n">
        <f aca="false">IF(R321="-",1,0)</f>
        <v>0</v>
      </c>
    </row>
    <row r="322" customFormat="false" ht="15" hidden="false" customHeight="false" outlineLevel="0" collapsed="false">
      <c r="A322" s="0" t="s">
        <v>1387</v>
      </c>
      <c r="B322" s="0" t="s">
        <v>1388</v>
      </c>
      <c r="C322" s="0" t="s">
        <v>70</v>
      </c>
      <c r="D322" s="0" t="s">
        <v>1389</v>
      </c>
      <c r="E322" s="3" t="n">
        <v>46274</v>
      </c>
      <c r="F322" s="4" t="s">
        <v>1394</v>
      </c>
      <c r="G322" s="5" t="n">
        <v>0.354548611111111</v>
      </c>
      <c r="H322" s="5" t="n">
        <v>0.318784722222222</v>
      </c>
      <c r="I322" s="5" t="n">
        <v>6.94444444444444E-005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5" t="n">
        <v>0</v>
      </c>
      <c r="P322" s="5" t="n">
        <v>0</v>
      </c>
      <c r="Q322" s="4" t="s">
        <v>1395</v>
      </c>
      <c r="R322" s="4" t="s">
        <v>1396</v>
      </c>
      <c r="S322" s="5" t="n">
        <v>0</v>
      </c>
      <c r="T322" s="5" t="n">
        <v>0.0726851851851852</v>
      </c>
      <c r="U322" s="5" t="n">
        <v>0.115509259259259</v>
      </c>
      <c r="V322" s="5" t="n">
        <v>0.132986111111111</v>
      </c>
      <c r="W322" s="5" t="n">
        <v>0</v>
      </c>
      <c r="X322" s="5" t="n">
        <v>0</v>
      </c>
      <c r="Y322" s="5" t="n">
        <v>0</v>
      </c>
      <c r="Z322" s="0" t="n">
        <v>0</v>
      </c>
      <c r="AA322" s="0" t="n">
        <v>0</v>
      </c>
      <c r="AB322" s="0" t="n">
        <v>0</v>
      </c>
      <c r="AC322" s="4" t="s">
        <v>1391</v>
      </c>
      <c r="AD322" s="4" t="s">
        <v>1391</v>
      </c>
      <c r="AE322" s="4" t="s">
        <v>1393</v>
      </c>
      <c r="AF322" s="4" t="s">
        <v>1397</v>
      </c>
      <c r="AG322" s="5" t="n">
        <v>0.299861111111111</v>
      </c>
      <c r="AH322" s="5" t="n">
        <v>0.120196759259259</v>
      </c>
      <c r="AI322" s="5" t="n">
        <v>0</v>
      </c>
      <c r="AJ322" s="5" t="n">
        <v>0</v>
      </c>
      <c r="AK322" s="5" t="n">
        <v>0</v>
      </c>
      <c r="AL322" s="5" t="n">
        <v>0</v>
      </c>
      <c r="AM322" s="4" t="s">
        <v>78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M322" s="6" t="n">
        <f aca="false">IFERROR(VALUE(F322),"")</f>
        <v>301.16</v>
      </c>
      <c r="BN322" s="6" t="n">
        <f aca="false">IF(R322="-","",IFERROR(VALUE(LEFT(Q322,LEN(Q322)-2)),""))</f>
        <v>94.58</v>
      </c>
      <c r="BO322" s="6" t="n">
        <f aca="false">IF(R322="-","",IFERROR(VALUE(LEFT(R322,LEN(R322)-5)),""))</f>
        <v>3.18</v>
      </c>
      <c r="BP322" s="6" t="n">
        <f aca="false">IF(R322="-","",IFERROR(VALUE(F322),""))</f>
        <v>301.16</v>
      </c>
      <c r="BQ322" s="4" t="n">
        <f aca="false">IF(R322="-",1,0)</f>
        <v>0</v>
      </c>
    </row>
    <row r="323" customFormat="false" ht="15" hidden="false" customHeight="false" outlineLevel="0" collapsed="false">
      <c r="A323" s="0" t="s">
        <v>1387</v>
      </c>
      <c r="B323" s="0" t="s">
        <v>1388</v>
      </c>
      <c r="C323" s="0" t="s">
        <v>70</v>
      </c>
      <c r="D323" s="0" t="s">
        <v>1389</v>
      </c>
      <c r="E323" s="3" t="n">
        <v>46275</v>
      </c>
      <c r="F323" s="4" t="s">
        <v>1398</v>
      </c>
      <c r="G323" s="5" t="n">
        <v>0.353981481481482</v>
      </c>
      <c r="H323" s="5" t="n">
        <v>0.327175925925926</v>
      </c>
      <c r="I323" s="5" t="n">
        <v>4.62962962962963E-005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5" t="n">
        <v>0</v>
      </c>
      <c r="P323" s="5" t="n">
        <v>0</v>
      </c>
      <c r="Q323" s="4" t="s">
        <v>1399</v>
      </c>
      <c r="R323" s="4" t="s">
        <v>1400</v>
      </c>
      <c r="S323" s="5" t="n">
        <v>0</v>
      </c>
      <c r="T323" s="5" t="n">
        <v>0.0771990740740741</v>
      </c>
      <c r="U323" s="5" t="n">
        <v>0.120138888888889</v>
      </c>
      <c r="V323" s="5" t="n">
        <v>0.135300925925926</v>
      </c>
      <c r="W323" s="5" t="n">
        <v>0</v>
      </c>
      <c r="X323" s="5" t="n">
        <v>0</v>
      </c>
      <c r="Y323" s="5" t="n">
        <v>0</v>
      </c>
      <c r="Z323" s="0" t="n">
        <v>0</v>
      </c>
      <c r="AA323" s="0" t="n">
        <v>0</v>
      </c>
      <c r="AB323" s="0" t="n">
        <v>0</v>
      </c>
      <c r="AC323" s="4" t="s">
        <v>1391</v>
      </c>
      <c r="AD323" s="4" t="s">
        <v>1391</v>
      </c>
      <c r="AE323" s="4" t="s">
        <v>1397</v>
      </c>
      <c r="AF323" s="4" t="s">
        <v>1401</v>
      </c>
      <c r="AG323" s="5" t="n">
        <v>0.303333333333333</v>
      </c>
      <c r="AH323" s="5" t="n">
        <v>0.134918981481482</v>
      </c>
      <c r="AI323" s="5" t="n">
        <v>0</v>
      </c>
      <c r="AJ323" s="5" t="n">
        <v>0</v>
      </c>
      <c r="AK323" s="5" t="n">
        <v>0</v>
      </c>
      <c r="AL323" s="5" t="n">
        <v>0</v>
      </c>
      <c r="AM323" s="4" t="s">
        <v>78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n">
        <v>0</v>
      </c>
      <c r="BF323" s="0" t="n">
        <v>0</v>
      </c>
      <c r="BG323" s="0" t="n">
        <v>0</v>
      </c>
      <c r="BH323" s="0" t="n">
        <v>0</v>
      </c>
      <c r="BI323" s="0" t="n">
        <v>0</v>
      </c>
      <c r="BJ323" s="0" t="n">
        <v>0</v>
      </c>
      <c r="BK323" s="0" t="n">
        <v>0</v>
      </c>
      <c r="BM323" s="6" t="n">
        <f aca="false">IFERROR(VALUE(F323),"")</f>
        <v>301.01</v>
      </c>
      <c r="BN323" s="6" t="n">
        <f aca="false">IF(R323="-","",IFERROR(VALUE(LEFT(Q323,LEN(Q323)-2)),""))</f>
        <v>95.29</v>
      </c>
      <c r="BO323" s="6" t="n">
        <f aca="false">IF(R323="-","",IFERROR(VALUE(LEFT(R323,LEN(R323)-5)),""))</f>
        <v>3.16</v>
      </c>
      <c r="BP323" s="6" t="n">
        <f aca="false">IF(R323="-","",IFERROR(VALUE(F323),""))</f>
        <v>301.01</v>
      </c>
      <c r="BQ323" s="4" t="n">
        <f aca="false">IF(R323="-",1,0)</f>
        <v>0</v>
      </c>
    </row>
    <row r="324" customFormat="false" ht="15" hidden="false" customHeight="false" outlineLevel="0" collapsed="false">
      <c r="A324" s="0" t="s">
        <v>1387</v>
      </c>
      <c r="B324" s="0" t="s">
        <v>1388</v>
      </c>
      <c r="C324" s="0" t="s">
        <v>70</v>
      </c>
      <c r="D324" s="0" t="s">
        <v>1389</v>
      </c>
      <c r="E324" s="3" t="n">
        <v>46276</v>
      </c>
      <c r="F324" s="4" t="s">
        <v>1402</v>
      </c>
      <c r="G324" s="5" t="n">
        <v>0.35</v>
      </c>
      <c r="H324" s="5" t="n">
        <v>0.313900462962963</v>
      </c>
      <c r="I324" s="5" t="n">
        <v>5.78703703703704E-005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5" t="n">
        <v>0</v>
      </c>
      <c r="P324" s="5" t="n">
        <v>0</v>
      </c>
      <c r="Q324" s="4" t="s">
        <v>1403</v>
      </c>
      <c r="R324" s="4" t="s">
        <v>535</v>
      </c>
      <c r="S324" s="5" t="n">
        <v>0.000115740740740741</v>
      </c>
      <c r="T324" s="5" t="n">
        <v>0.0615740740740741</v>
      </c>
      <c r="U324" s="5" t="n">
        <v>0.127199074074074</v>
      </c>
      <c r="V324" s="5" t="n">
        <v>0.129976851851852</v>
      </c>
      <c r="W324" s="5" t="n">
        <v>0</v>
      </c>
      <c r="X324" s="5" t="n">
        <v>0</v>
      </c>
      <c r="Y324" s="5" t="n">
        <v>0</v>
      </c>
      <c r="Z324" s="0" t="n">
        <v>0</v>
      </c>
      <c r="AA324" s="0" t="n">
        <v>0</v>
      </c>
      <c r="AB324" s="0" t="n">
        <v>0</v>
      </c>
      <c r="AC324" s="4" t="s">
        <v>1391</v>
      </c>
      <c r="AD324" s="4" t="s">
        <v>1391</v>
      </c>
      <c r="AE324" s="4" t="s">
        <v>1401</v>
      </c>
      <c r="AF324" s="4" t="s">
        <v>1404</v>
      </c>
      <c r="AG324" s="5" t="n">
        <v>0.298854166666667</v>
      </c>
      <c r="AH324" s="5" t="n">
        <v>0.11974537037037</v>
      </c>
      <c r="AI324" s="5" t="n">
        <v>0</v>
      </c>
      <c r="AJ324" s="5" t="n">
        <v>0</v>
      </c>
      <c r="AK324" s="5" t="n">
        <v>0</v>
      </c>
      <c r="AL324" s="5" t="n">
        <v>0</v>
      </c>
      <c r="AM324" s="4" t="s">
        <v>78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1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0</v>
      </c>
      <c r="BI324" s="0" t="n">
        <v>0</v>
      </c>
      <c r="BJ324" s="0" t="n">
        <v>0</v>
      </c>
      <c r="BK324" s="0" t="n">
        <v>0</v>
      </c>
      <c r="BM324" s="6" t="n">
        <f aca="false">IFERROR(VALUE(F324),"")</f>
        <v>301.5</v>
      </c>
      <c r="BN324" s="6" t="n">
        <f aca="false">IF(R324="-","",IFERROR(VALUE(LEFT(Q324,LEN(Q324)-2)),""))</f>
        <v>95.67</v>
      </c>
      <c r="BO324" s="6" t="n">
        <f aca="false">IF(R324="-","",IFERROR(VALUE(LEFT(R324,LEN(R324)-5)),""))</f>
        <v>3.15</v>
      </c>
      <c r="BP324" s="6" t="n">
        <f aca="false">IF(R324="-","",IFERROR(VALUE(F324),""))</f>
        <v>301.5</v>
      </c>
      <c r="BQ324" s="4" t="n">
        <f aca="false">IF(R324="-",1,0)</f>
        <v>0</v>
      </c>
    </row>
    <row r="325" customFormat="false" ht="15" hidden="false" customHeight="false" outlineLevel="0" collapsed="false">
      <c r="A325" s="0" t="s">
        <v>1387</v>
      </c>
      <c r="B325" s="0" t="s">
        <v>1388</v>
      </c>
      <c r="C325" s="0" t="s">
        <v>70</v>
      </c>
      <c r="D325" s="0" t="s">
        <v>1389</v>
      </c>
      <c r="E325" s="3" t="n">
        <v>46277</v>
      </c>
      <c r="F325" s="4" t="s">
        <v>1405</v>
      </c>
      <c r="G325" s="5" t="n">
        <v>0.357013888888889</v>
      </c>
      <c r="H325" s="5" t="n">
        <v>0.344722222222222</v>
      </c>
      <c r="I325" s="5" t="n">
        <v>0.000405092592592593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5" t="n">
        <v>0</v>
      </c>
      <c r="P325" s="5" t="n">
        <v>0</v>
      </c>
      <c r="Q325" s="4" t="s">
        <v>1406</v>
      </c>
      <c r="R325" s="4" t="s">
        <v>876</v>
      </c>
      <c r="S325" s="5" t="n">
        <v>0</v>
      </c>
      <c r="T325" s="5" t="n">
        <v>0.0990740740740741</v>
      </c>
      <c r="U325" s="5" t="n">
        <v>0.113773148148148</v>
      </c>
      <c r="V325" s="5" t="n">
        <v>0.136805555555556</v>
      </c>
      <c r="W325" s="5" t="n">
        <v>0</v>
      </c>
      <c r="X325" s="5" t="n">
        <v>0</v>
      </c>
      <c r="Y325" s="5" t="n">
        <v>0</v>
      </c>
      <c r="Z325" s="0" t="n">
        <v>0</v>
      </c>
      <c r="AA325" s="0" t="n">
        <v>0</v>
      </c>
      <c r="AB325" s="0" t="n">
        <v>0</v>
      </c>
      <c r="AC325" s="4" t="s">
        <v>1391</v>
      </c>
      <c r="AD325" s="4" t="s">
        <v>1391</v>
      </c>
      <c r="AE325" s="4" t="s">
        <v>1404</v>
      </c>
      <c r="AF325" s="4" t="s">
        <v>1407</v>
      </c>
      <c r="AG325" s="5" t="n">
        <v>0.30724537037037</v>
      </c>
      <c r="AH325" s="5" t="n">
        <v>0.126689814814815</v>
      </c>
      <c r="AI325" s="5" t="n">
        <v>0</v>
      </c>
      <c r="AJ325" s="5" t="n">
        <v>0</v>
      </c>
      <c r="AK325" s="5" t="n">
        <v>0</v>
      </c>
      <c r="AL325" s="5" t="n">
        <v>0</v>
      </c>
      <c r="AM325" s="4" t="s">
        <v>78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1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  <c r="BA325" s="0" t="n">
        <v>0</v>
      </c>
      <c r="BB325" s="0" t="n">
        <v>0</v>
      </c>
      <c r="BC325" s="0" t="n">
        <v>0</v>
      </c>
      <c r="BD325" s="0" t="n">
        <v>0</v>
      </c>
      <c r="BE325" s="0" t="n">
        <v>0</v>
      </c>
      <c r="BF325" s="0" t="n">
        <v>0</v>
      </c>
      <c r="BG325" s="0" t="n">
        <v>0</v>
      </c>
      <c r="BH325" s="0" t="n">
        <v>0</v>
      </c>
      <c r="BI325" s="0" t="n">
        <v>0</v>
      </c>
      <c r="BJ325" s="0" t="n">
        <v>0</v>
      </c>
      <c r="BK325" s="0" t="n">
        <v>0</v>
      </c>
      <c r="BM325" s="6" t="n">
        <f aca="false">IFERROR(VALUE(F325),"")</f>
        <v>301.6</v>
      </c>
      <c r="BN325" s="6" t="n">
        <f aca="false">IF(R325="-","",IFERROR(VALUE(LEFT(Q325,LEN(Q325)-2)),""))</f>
        <v>99.42</v>
      </c>
      <c r="BO325" s="6" t="n">
        <f aca="false">IF(R325="-","",IFERROR(VALUE(LEFT(R325,LEN(R325)-5)),""))</f>
        <v>3.03</v>
      </c>
      <c r="BP325" s="6" t="n">
        <f aca="false">IF(R325="-","",IFERROR(VALUE(F325),""))</f>
        <v>301.6</v>
      </c>
      <c r="BQ325" s="4" t="n">
        <f aca="false">IF(R325="-",1,0)</f>
        <v>0</v>
      </c>
    </row>
    <row r="326" customFormat="false" ht="15" hidden="false" customHeight="false" outlineLevel="0" collapsed="false">
      <c r="A326" s="0" t="s">
        <v>1387</v>
      </c>
      <c r="B326" s="0" t="s">
        <v>1388</v>
      </c>
      <c r="C326" s="0" t="s">
        <v>70</v>
      </c>
      <c r="D326" s="0" t="s">
        <v>1389</v>
      </c>
      <c r="E326" s="3" t="n">
        <v>46279</v>
      </c>
      <c r="F326" s="4" t="s">
        <v>1408</v>
      </c>
      <c r="G326" s="5" t="n">
        <v>0.328703703703704</v>
      </c>
      <c r="H326" s="5" t="n">
        <v>0.317164351851852</v>
      </c>
      <c r="I326" s="5" t="n">
        <v>0.000115740740740741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5" t="n">
        <v>0</v>
      </c>
      <c r="P326" s="5" t="n">
        <v>0</v>
      </c>
      <c r="Q326" s="4" t="s">
        <v>1409</v>
      </c>
      <c r="R326" s="4" t="s">
        <v>188</v>
      </c>
      <c r="S326" s="5" t="n">
        <v>0</v>
      </c>
      <c r="T326" s="5" t="n">
        <v>0.0347222222222222</v>
      </c>
      <c r="U326" s="5" t="n">
        <v>0.0502314814814815</v>
      </c>
      <c r="V326" s="5" t="n">
        <v>0.071412037037037</v>
      </c>
      <c r="W326" s="5" t="n">
        <v>0</v>
      </c>
      <c r="X326" s="5" t="n">
        <v>0</v>
      </c>
      <c r="Y326" s="5" t="n">
        <v>0</v>
      </c>
      <c r="Z326" s="0" t="n">
        <v>0</v>
      </c>
      <c r="AA326" s="0" t="n">
        <v>0</v>
      </c>
      <c r="AB326" s="0" t="n">
        <v>0</v>
      </c>
      <c r="AC326" s="4" t="s">
        <v>1391</v>
      </c>
      <c r="AD326" s="4" t="s">
        <v>1391</v>
      </c>
      <c r="AE326" s="4" t="s">
        <v>1407</v>
      </c>
      <c r="AF326" s="4" t="s">
        <v>1410</v>
      </c>
      <c r="AG326" s="5" t="n">
        <v>0.298923611111111</v>
      </c>
      <c r="AH326" s="5" t="n">
        <v>0.112453703703704</v>
      </c>
      <c r="AI326" s="5" t="n">
        <v>0</v>
      </c>
      <c r="AJ326" s="5" t="n">
        <v>0</v>
      </c>
      <c r="AK326" s="5" t="n">
        <v>0</v>
      </c>
      <c r="AL326" s="5" t="n">
        <v>0</v>
      </c>
      <c r="AM326" s="4" t="s">
        <v>78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1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n">
        <v>0</v>
      </c>
      <c r="BF326" s="0" t="n">
        <v>0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M326" s="6" t="n">
        <f aca="false">IFERROR(VALUE(F326),"")</f>
        <v>299.91</v>
      </c>
      <c r="BN326" s="6" t="n">
        <f aca="false">IF(R326="-","",IFERROR(VALUE(LEFT(Q326,LEN(Q326)-2)),""))</f>
        <v>51.33</v>
      </c>
      <c r="BO326" s="6" t="n">
        <f aca="false">IF(R326="-","",IFERROR(VALUE(LEFT(R326,LEN(R326)-5)),""))</f>
        <v>5.84</v>
      </c>
      <c r="BP326" s="6" t="n">
        <f aca="false">IF(R326="-","",IFERROR(VALUE(F326),""))</f>
        <v>299.91</v>
      </c>
      <c r="BQ326" s="4" t="n">
        <f aca="false">IF(R326="-",1,0)</f>
        <v>0</v>
      </c>
    </row>
    <row r="327" customFormat="false" ht="15" hidden="false" customHeight="false" outlineLevel="0" collapsed="false">
      <c r="A327" s="0" t="s">
        <v>1411</v>
      </c>
      <c r="B327" s="0" t="s">
        <v>1412</v>
      </c>
      <c r="C327" s="0" t="s">
        <v>70</v>
      </c>
      <c r="D327" s="0" t="s">
        <v>1413</v>
      </c>
      <c r="E327" s="3" t="n">
        <v>46273</v>
      </c>
      <c r="F327" s="4" t="s">
        <v>1414</v>
      </c>
      <c r="G327" s="5" t="n">
        <v>0.242800925925926</v>
      </c>
      <c r="H327" s="5" t="n">
        <v>0.219224537037037</v>
      </c>
      <c r="I327" s="5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5" t="n">
        <v>0</v>
      </c>
      <c r="P327" s="5" t="n">
        <v>0.00983796296296296</v>
      </c>
      <c r="Q327" s="4" t="s">
        <v>1415</v>
      </c>
      <c r="R327" s="4" t="s">
        <v>139</v>
      </c>
      <c r="S327" s="5" t="n">
        <v>0.000115740740740741</v>
      </c>
      <c r="T327" s="5" t="n">
        <v>0.0864583333333333</v>
      </c>
      <c r="U327" s="5" t="n">
        <v>0.111342592592593</v>
      </c>
      <c r="V327" s="5" t="n">
        <v>0.0364583333333333</v>
      </c>
      <c r="W327" s="5" t="n">
        <v>0</v>
      </c>
      <c r="X327" s="5" t="n">
        <v>0</v>
      </c>
      <c r="Y327" s="5" t="n">
        <v>0</v>
      </c>
      <c r="Z327" s="0" t="n">
        <v>0</v>
      </c>
      <c r="AA327" s="0" t="n">
        <v>0</v>
      </c>
      <c r="AB327" s="0" t="n">
        <v>0</v>
      </c>
      <c r="AC327" s="4" t="s">
        <v>1416</v>
      </c>
      <c r="AD327" s="4" t="s">
        <v>1416</v>
      </c>
      <c r="AE327" s="4" t="s">
        <v>1417</v>
      </c>
      <c r="AF327" s="4" t="s">
        <v>1418</v>
      </c>
      <c r="AG327" s="5" t="n">
        <v>0.199212962962963</v>
      </c>
      <c r="AH327" s="5" t="n">
        <v>0.117708333333333</v>
      </c>
      <c r="AI327" s="5" t="n">
        <v>0</v>
      </c>
      <c r="AJ327" s="5" t="n">
        <v>0</v>
      </c>
      <c r="AK327" s="5" t="n">
        <v>0</v>
      </c>
      <c r="AL327" s="5" t="n">
        <v>0</v>
      </c>
      <c r="AM327" s="4" t="s">
        <v>78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  <c r="BA327" s="0" t="n">
        <v>0</v>
      </c>
      <c r="BB327" s="0" t="n">
        <v>0</v>
      </c>
      <c r="BC327" s="0" t="n">
        <v>0</v>
      </c>
      <c r="BD327" s="0" t="n">
        <v>0</v>
      </c>
      <c r="BE327" s="0" t="n">
        <v>0</v>
      </c>
      <c r="BF327" s="0" t="n">
        <v>0</v>
      </c>
      <c r="BG327" s="0" t="n">
        <v>0</v>
      </c>
      <c r="BH327" s="0" t="n">
        <v>0</v>
      </c>
      <c r="BI327" s="0" t="n">
        <v>0</v>
      </c>
      <c r="BJ327" s="0" t="n">
        <v>0</v>
      </c>
      <c r="BK327" s="0" t="n">
        <v>0</v>
      </c>
      <c r="BM327" s="6" t="n">
        <f aca="false">IFERROR(VALUE(F327),"")</f>
        <v>117.04</v>
      </c>
      <c r="BN327" s="6" t="n">
        <f aca="false">IF(R327="-","",IFERROR(VALUE(LEFT(Q327,LEN(Q327)-2)),""))</f>
        <v>47.59</v>
      </c>
      <c r="BO327" s="6" t="n">
        <f aca="false">IF(R327="-","",IFERROR(VALUE(LEFT(R327,LEN(R327)-5)),""))</f>
        <v>2.46</v>
      </c>
      <c r="BP327" s="6" t="n">
        <f aca="false">IF(R327="-","",IFERROR(VALUE(F327),""))</f>
        <v>117.04</v>
      </c>
      <c r="BQ327" s="4" t="n">
        <f aca="false">IF(R327="-",1,0)</f>
        <v>0</v>
      </c>
    </row>
    <row r="328" customFormat="false" ht="15" hidden="false" customHeight="false" outlineLevel="0" collapsed="false">
      <c r="A328" s="0" t="s">
        <v>1411</v>
      </c>
      <c r="B328" s="0" t="s">
        <v>1412</v>
      </c>
      <c r="C328" s="0" t="s">
        <v>70</v>
      </c>
      <c r="D328" s="0" t="s">
        <v>1413</v>
      </c>
      <c r="E328" s="3" t="n">
        <v>46274</v>
      </c>
      <c r="F328" s="4" t="s">
        <v>1419</v>
      </c>
      <c r="G328" s="5" t="n">
        <v>0.273055555555556</v>
      </c>
      <c r="H328" s="5" t="n">
        <v>0.211770833333333</v>
      </c>
      <c r="I328" s="5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5" t="n">
        <v>0</v>
      </c>
      <c r="P328" s="5" t="n">
        <v>0</v>
      </c>
      <c r="Q328" s="4" t="s">
        <v>1420</v>
      </c>
      <c r="R328" s="4" t="s">
        <v>1421</v>
      </c>
      <c r="S328" s="5" t="n">
        <v>0.000231481481481482</v>
      </c>
      <c r="T328" s="5" t="n">
        <v>0.0938657407407407</v>
      </c>
      <c r="U328" s="5" t="n">
        <v>0.125347222222222</v>
      </c>
      <c r="V328" s="5" t="n">
        <v>0.0490046296296296</v>
      </c>
      <c r="W328" s="5" t="n">
        <v>0.000300925925925926</v>
      </c>
      <c r="X328" s="5" t="n">
        <v>0</v>
      </c>
      <c r="Y328" s="5" t="n">
        <v>5.78703703703704E-005</v>
      </c>
      <c r="Z328" s="0" t="n">
        <v>0</v>
      </c>
      <c r="AA328" s="0" t="n">
        <v>0</v>
      </c>
      <c r="AB328" s="0" t="n">
        <v>0</v>
      </c>
      <c r="AC328" s="4" t="s">
        <v>1416</v>
      </c>
      <c r="AD328" s="4" t="s">
        <v>1416</v>
      </c>
      <c r="AE328" s="4" t="s">
        <v>1418</v>
      </c>
      <c r="AF328" s="4" t="s">
        <v>1422</v>
      </c>
      <c r="AG328" s="5" t="n">
        <v>0.2271875</v>
      </c>
      <c r="AH328" s="5" t="n">
        <v>0.121712962962963</v>
      </c>
      <c r="AI328" s="5" t="n">
        <v>0</v>
      </c>
      <c r="AJ328" s="5" t="n">
        <v>0</v>
      </c>
      <c r="AK328" s="5" t="n">
        <v>0</v>
      </c>
      <c r="AL328" s="5" t="n">
        <v>0</v>
      </c>
      <c r="AM328" s="4" t="s">
        <v>78</v>
      </c>
      <c r="AN328" s="0" t="n">
        <v>0</v>
      </c>
      <c r="AO328" s="0" t="n">
        <v>1</v>
      </c>
      <c r="AP328" s="0" t="n">
        <v>0</v>
      </c>
      <c r="AQ328" s="0" t="n">
        <v>0</v>
      </c>
      <c r="AR328" s="0" t="n">
        <v>0</v>
      </c>
      <c r="AS328" s="0" t="n">
        <v>1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M328" s="6" t="n">
        <f aca="false">IFERROR(VALUE(F328),"")</f>
        <v>147.84</v>
      </c>
      <c r="BN328" s="6" t="n">
        <f aca="false">IF(R328="-","",IFERROR(VALUE(LEFT(Q328,LEN(Q328)-2)),""))</f>
        <v>55.56</v>
      </c>
      <c r="BO328" s="6" t="n">
        <f aca="false">IF(R328="-","",IFERROR(VALUE(LEFT(R328,LEN(R328)-5)),""))</f>
        <v>2.66</v>
      </c>
      <c r="BP328" s="6" t="n">
        <f aca="false">IF(R328="-","",IFERROR(VALUE(F328),""))</f>
        <v>147.84</v>
      </c>
      <c r="BQ328" s="4" t="n">
        <f aca="false">IF(R328="-",1,0)</f>
        <v>0</v>
      </c>
    </row>
    <row r="329" customFormat="false" ht="15" hidden="false" customHeight="false" outlineLevel="0" collapsed="false">
      <c r="A329" s="0" t="s">
        <v>1411</v>
      </c>
      <c r="B329" s="0" t="s">
        <v>1412</v>
      </c>
      <c r="C329" s="0" t="s">
        <v>70</v>
      </c>
      <c r="D329" s="0" t="s">
        <v>1413</v>
      </c>
      <c r="E329" s="3" t="n">
        <v>46275</v>
      </c>
      <c r="F329" s="4" t="s">
        <v>1423</v>
      </c>
      <c r="G329" s="5" t="n">
        <v>0.213113425925926</v>
      </c>
      <c r="H329" s="5" t="n">
        <v>0.204710648148148</v>
      </c>
      <c r="I329" s="5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5" t="n">
        <v>0</v>
      </c>
      <c r="P329" s="5" t="n">
        <v>0</v>
      </c>
      <c r="Q329" s="4" t="s">
        <v>1424</v>
      </c>
      <c r="R329" s="4" t="s">
        <v>332</v>
      </c>
      <c r="S329" s="5" t="n">
        <v>0.000231481481481482</v>
      </c>
      <c r="T329" s="5" t="n">
        <v>0.0578703703703704</v>
      </c>
      <c r="U329" s="5" t="n">
        <v>0.12349537037037</v>
      </c>
      <c r="V329" s="5" t="n">
        <v>0.0274305555555556</v>
      </c>
      <c r="W329" s="5" t="n">
        <v>0</v>
      </c>
      <c r="X329" s="5" t="n">
        <v>0</v>
      </c>
      <c r="Y329" s="5" t="n">
        <v>0</v>
      </c>
      <c r="Z329" s="0" t="n">
        <v>0</v>
      </c>
      <c r="AA329" s="0" t="n">
        <v>0</v>
      </c>
      <c r="AB329" s="0" t="n">
        <v>0</v>
      </c>
      <c r="AC329" s="4" t="s">
        <v>1416</v>
      </c>
      <c r="AD329" s="4" t="s">
        <v>1416</v>
      </c>
      <c r="AE329" s="4" t="s">
        <v>1422</v>
      </c>
      <c r="AF329" s="4" t="s">
        <v>1425</v>
      </c>
      <c r="AG329" s="5" t="n">
        <v>0.198888888888889</v>
      </c>
      <c r="AH329" s="5" t="n">
        <v>0.119976851851852</v>
      </c>
      <c r="AI329" s="5" t="n">
        <v>0</v>
      </c>
      <c r="AJ329" s="5" t="n">
        <v>0</v>
      </c>
      <c r="AK329" s="5" t="n">
        <v>0</v>
      </c>
      <c r="AL329" s="5" t="n">
        <v>0</v>
      </c>
      <c r="AM329" s="4" t="s">
        <v>78</v>
      </c>
      <c r="AN329" s="0" t="n">
        <v>0</v>
      </c>
      <c r="AO329" s="0" t="n">
        <v>1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M329" s="6" t="n">
        <f aca="false">IFERROR(VALUE(F329),"")</f>
        <v>117.02</v>
      </c>
      <c r="BN329" s="6" t="n">
        <f aca="false">IF(R329="-","",IFERROR(VALUE(LEFT(Q329,LEN(Q329)-2)),""))</f>
        <v>41.16</v>
      </c>
      <c r="BO329" s="6" t="n">
        <f aca="false">IF(R329="-","",IFERROR(VALUE(LEFT(R329,LEN(R329)-5)),""))</f>
        <v>2.84</v>
      </c>
      <c r="BP329" s="6" t="n">
        <f aca="false">IF(R329="-","",IFERROR(VALUE(F329),""))</f>
        <v>117.02</v>
      </c>
      <c r="BQ329" s="4" t="n">
        <f aca="false">IF(R329="-",1,0)</f>
        <v>0</v>
      </c>
    </row>
    <row r="330" customFormat="false" ht="15" hidden="false" customHeight="false" outlineLevel="0" collapsed="false">
      <c r="A330" s="0" t="s">
        <v>1411</v>
      </c>
      <c r="B330" s="0" t="s">
        <v>1412</v>
      </c>
      <c r="C330" s="0" t="s">
        <v>70</v>
      </c>
      <c r="D330" s="0" t="s">
        <v>1413</v>
      </c>
      <c r="E330" s="3" t="n">
        <v>46276</v>
      </c>
      <c r="F330" s="4" t="s">
        <v>1426</v>
      </c>
      <c r="G330" s="5" t="n">
        <v>0.421203703703704</v>
      </c>
      <c r="H330" s="5" t="n">
        <v>0.400231481481482</v>
      </c>
      <c r="I330" s="5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2</v>
      </c>
      <c r="O330" s="5" t="n">
        <v>0</v>
      </c>
      <c r="P330" s="5" t="n">
        <v>0</v>
      </c>
      <c r="Q330" s="4" t="s">
        <v>1427</v>
      </c>
      <c r="R330" s="4" t="s">
        <v>1209</v>
      </c>
      <c r="S330" s="5" t="n">
        <v>0.000115740740740741</v>
      </c>
      <c r="T330" s="5" t="n">
        <v>0.117708333333333</v>
      </c>
      <c r="U330" s="5" t="n">
        <v>0.22662037037037</v>
      </c>
      <c r="V330" s="5" t="n">
        <v>0.0623842592592593</v>
      </c>
      <c r="W330" s="5" t="n">
        <v>0</v>
      </c>
      <c r="X330" s="5" t="n">
        <v>0</v>
      </c>
      <c r="Y330" s="5" t="n">
        <v>0</v>
      </c>
      <c r="Z330" s="0" t="n">
        <v>0</v>
      </c>
      <c r="AA330" s="0" t="n">
        <v>0</v>
      </c>
      <c r="AB330" s="0" t="n">
        <v>0</v>
      </c>
      <c r="AC330" s="4" t="s">
        <v>1416</v>
      </c>
      <c r="AD330" s="4" t="s">
        <v>1416</v>
      </c>
      <c r="AE330" s="4" t="s">
        <v>1425</v>
      </c>
      <c r="AF330" s="4" t="s">
        <v>1428</v>
      </c>
      <c r="AG330" s="5" t="n">
        <v>0.371157407407407</v>
      </c>
      <c r="AH330" s="5" t="n">
        <v>0.0984490740740741</v>
      </c>
      <c r="AI330" s="5" t="n">
        <v>0</v>
      </c>
      <c r="AJ330" s="5" t="n">
        <v>0</v>
      </c>
      <c r="AK330" s="5" t="n">
        <v>0</v>
      </c>
      <c r="AL330" s="5" t="n">
        <v>0</v>
      </c>
      <c r="AM330" s="4" t="s">
        <v>78</v>
      </c>
      <c r="AN330" s="0" t="n">
        <v>0</v>
      </c>
      <c r="AO330" s="0" t="n">
        <v>1</v>
      </c>
      <c r="AP330" s="0" t="n">
        <v>0</v>
      </c>
      <c r="AQ330" s="0" t="n">
        <v>0</v>
      </c>
      <c r="AR330" s="0" t="n">
        <v>0</v>
      </c>
      <c r="AS330" s="0" t="n">
        <v>1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M330" s="6" t="n">
        <f aca="false">IFERROR(VALUE(F330),"")</f>
        <v>230.97</v>
      </c>
      <c r="BN330" s="6" t="n">
        <f aca="false">IF(R330="-","",IFERROR(VALUE(LEFT(Q330,LEN(Q330)-2)),""))</f>
        <v>83.08</v>
      </c>
      <c r="BO330" s="6" t="n">
        <f aca="false">IF(R330="-","",IFERROR(VALUE(LEFT(R330,LEN(R330)-5)),""))</f>
        <v>2.78</v>
      </c>
      <c r="BP330" s="6" t="n">
        <f aca="false">IF(R330="-","",IFERROR(VALUE(F330),""))</f>
        <v>230.97</v>
      </c>
      <c r="BQ330" s="4" t="n">
        <f aca="false">IF(R330="-",1,0)</f>
        <v>0</v>
      </c>
    </row>
    <row r="331" customFormat="false" ht="15" hidden="false" customHeight="false" outlineLevel="0" collapsed="false">
      <c r="A331" s="0" t="s">
        <v>1411</v>
      </c>
      <c r="B331" s="0" t="s">
        <v>1412</v>
      </c>
      <c r="C331" s="0" t="s">
        <v>70</v>
      </c>
      <c r="D331" s="0" t="s">
        <v>1429</v>
      </c>
      <c r="E331" s="3" t="n">
        <v>46277</v>
      </c>
      <c r="F331" s="4" t="s">
        <v>1430</v>
      </c>
      <c r="G331" s="5" t="n">
        <v>0.41150462962963</v>
      </c>
      <c r="H331" s="5" t="n">
        <v>0.356828703703704</v>
      </c>
      <c r="I331" s="5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4</v>
      </c>
      <c r="O331" s="5" t="n">
        <v>0</v>
      </c>
      <c r="P331" s="5" t="n">
        <v>0.0127662037037037</v>
      </c>
      <c r="Q331" s="4" t="s">
        <v>1431</v>
      </c>
      <c r="R331" s="4" t="s">
        <v>332</v>
      </c>
      <c r="S331" s="5" t="n">
        <v>0.000347222222222222</v>
      </c>
      <c r="T331" s="5" t="n">
        <v>0.114236111111111</v>
      </c>
      <c r="U331" s="5" t="n">
        <v>0.212615740740741</v>
      </c>
      <c r="V331" s="5" t="n">
        <v>0.0675925925925926</v>
      </c>
      <c r="W331" s="5" t="n">
        <v>0</v>
      </c>
      <c r="X331" s="5" t="n">
        <v>0</v>
      </c>
      <c r="Y331" s="5" t="n">
        <v>0</v>
      </c>
      <c r="Z331" s="0" t="n">
        <v>0</v>
      </c>
      <c r="AA331" s="0" t="n">
        <v>0</v>
      </c>
      <c r="AB331" s="0" t="n">
        <v>0</v>
      </c>
      <c r="AC331" s="4" t="s">
        <v>1416</v>
      </c>
      <c r="AD331" s="4" t="s">
        <v>1416</v>
      </c>
      <c r="AE331" s="4" t="s">
        <v>1428</v>
      </c>
      <c r="AF331" s="4" t="s">
        <v>1432</v>
      </c>
      <c r="AG331" s="5" t="n">
        <v>0.355856481481482</v>
      </c>
      <c r="AH331" s="5" t="n">
        <v>0.108680555555556</v>
      </c>
      <c r="AI331" s="5" t="n">
        <v>0</v>
      </c>
      <c r="AJ331" s="5" t="n">
        <v>0</v>
      </c>
      <c r="AK331" s="5" t="n">
        <v>0</v>
      </c>
      <c r="AL331" s="5" t="n">
        <v>0</v>
      </c>
      <c r="AM331" s="4" t="s">
        <v>78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  <c r="BA331" s="0" t="n">
        <v>0</v>
      </c>
      <c r="BB331" s="0" t="n">
        <v>0</v>
      </c>
      <c r="BC331" s="0" t="n">
        <v>0</v>
      </c>
      <c r="BD331" s="0" t="n">
        <v>0</v>
      </c>
      <c r="BE331" s="0" t="n">
        <v>0</v>
      </c>
      <c r="BF331" s="0" t="n">
        <v>0</v>
      </c>
      <c r="BG331" s="0" t="n">
        <v>0</v>
      </c>
      <c r="BH331" s="0" t="n">
        <v>0</v>
      </c>
      <c r="BI331" s="0" t="n">
        <v>0</v>
      </c>
      <c r="BJ331" s="0" t="n">
        <v>0</v>
      </c>
      <c r="BK331" s="0" t="n">
        <v>0</v>
      </c>
      <c r="BM331" s="6" t="n">
        <f aca="false">IFERROR(VALUE(F331),"")</f>
        <v>229.53</v>
      </c>
      <c r="BN331" s="6" t="n">
        <f aca="false">IF(R331="-","",IFERROR(VALUE(LEFT(Q331,LEN(Q331)-2)),""))</f>
        <v>80.91</v>
      </c>
      <c r="BO331" s="6" t="n">
        <f aca="false">IF(R331="-","",IFERROR(VALUE(LEFT(R331,LEN(R331)-5)),""))</f>
        <v>2.84</v>
      </c>
      <c r="BP331" s="6" t="n">
        <f aca="false">IF(R331="-","",IFERROR(VALUE(F331),""))</f>
        <v>229.53</v>
      </c>
      <c r="BQ331" s="4" t="n">
        <f aca="false">IF(R331="-",1,0)</f>
        <v>0</v>
      </c>
    </row>
    <row r="332" customFormat="false" ht="15" hidden="false" customHeight="false" outlineLevel="0" collapsed="false">
      <c r="A332" s="0" t="s">
        <v>1411</v>
      </c>
      <c r="B332" s="0" t="s">
        <v>1412</v>
      </c>
      <c r="C332" s="0" t="s">
        <v>70</v>
      </c>
      <c r="E332" s="3" t="n">
        <v>46278</v>
      </c>
      <c r="F332" s="4" t="s">
        <v>95</v>
      </c>
      <c r="G332" s="5" t="n">
        <v>0</v>
      </c>
      <c r="H332" s="5" t="n">
        <v>0</v>
      </c>
      <c r="I332" s="5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5" t="n">
        <v>0</v>
      </c>
      <c r="P332" s="5" t="n">
        <v>0</v>
      </c>
      <c r="Q332" s="4" t="s">
        <v>73</v>
      </c>
      <c r="R332" s="4" t="s">
        <v>73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0" t="n">
        <v>0</v>
      </c>
      <c r="AA332" s="0" t="n">
        <v>0</v>
      </c>
      <c r="AB332" s="0" t="n">
        <v>0</v>
      </c>
      <c r="AE332" s="4" t="s">
        <v>1432</v>
      </c>
      <c r="AF332" s="4" t="s">
        <v>1432</v>
      </c>
      <c r="AG332" s="5" t="n">
        <v>0</v>
      </c>
      <c r="AH332" s="5" t="n">
        <v>0</v>
      </c>
      <c r="AI332" s="5" t="n">
        <v>0</v>
      </c>
      <c r="AJ332" s="5" t="n">
        <v>0</v>
      </c>
      <c r="AK332" s="5" t="n">
        <v>0</v>
      </c>
      <c r="AL332" s="5" t="n">
        <v>0</v>
      </c>
      <c r="AM332" s="4" t="s">
        <v>78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0</v>
      </c>
      <c r="BF332" s="0" t="n">
        <v>0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M332" s="6" t="n">
        <f aca="false">IFERROR(VALUE(F332),"")</f>
        <v>0</v>
      </c>
      <c r="BN332" s="6" t="str">
        <f aca="false">IF(R332="-","",IFERROR(VALUE(LEFT(Q332,LEN(Q332)-2)),""))</f>
        <v/>
      </c>
      <c r="BO332" s="6" t="str">
        <f aca="false">IF(R332="-","",IFERROR(VALUE(LEFT(R332,LEN(R332)-5)),""))</f>
        <v/>
      </c>
      <c r="BP332" s="6" t="str">
        <f aca="false">IF(R332="-","",IFERROR(VALUE(F332),""))</f>
        <v/>
      </c>
      <c r="BQ332" s="4" t="n">
        <f aca="false">IF(R332="-",1,0)</f>
        <v>1</v>
      </c>
    </row>
    <row r="333" customFormat="false" ht="15" hidden="false" customHeight="false" outlineLevel="0" collapsed="false">
      <c r="A333" s="0" t="s">
        <v>1411</v>
      </c>
      <c r="B333" s="0" t="s">
        <v>1412</v>
      </c>
      <c r="C333" s="0" t="s">
        <v>70</v>
      </c>
      <c r="D333" s="0" t="s">
        <v>1413</v>
      </c>
      <c r="E333" s="3" t="n">
        <v>46279</v>
      </c>
      <c r="F333" s="4" t="s">
        <v>1433</v>
      </c>
      <c r="G333" s="5" t="n">
        <v>0.422858796296296</v>
      </c>
      <c r="H333" s="5" t="n">
        <v>0.38599537037037</v>
      </c>
      <c r="I333" s="5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5" t="n">
        <v>0</v>
      </c>
      <c r="P333" s="5" t="n">
        <v>0</v>
      </c>
      <c r="Q333" s="4" t="s">
        <v>1434</v>
      </c>
      <c r="R333" s="4" t="s">
        <v>492</v>
      </c>
      <c r="S333" s="5" t="n">
        <v>0</v>
      </c>
      <c r="T333" s="5" t="n">
        <v>0.104166666666667</v>
      </c>
      <c r="U333" s="5" t="n">
        <v>0.205555555555556</v>
      </c>
      <c r="V333" s="5" t="n">
        <v>0.0744212962962963</v>
      </c>
      <c r="W333" s="5" t="n">
        <v>0</v>
      </c>
      <c r="X333" s="5" t="n">
        <v>0</v>
      </c>
      <c r="Y333" s="5" t="n">
        <v>0</v>
      </c>
      <c r="Z333" s="0" t="n">
        <v>0</v>
      </c>
      <c r="AA333" s="0" t="n">
        <v>0</v>
      </c>
      <c r="AB333" s="0" t="n">
        <v>0</v>
      </c>
      <c r="AC333" s="4" t="s">
        <v>1416</v>
      </c>
      <c r="AD333" s="4" t="s">
        <v>1416</v>
      </c>
      <c r="AE333" s="4" t="s">
        <v>1432</v>
      </c>
      <c r="AF333" s="4" t="s">
        <v>1435</v>
      </c>
      <c r="AG333" s="5" t="n">
        <v>0.354560185185185</v>
      </c>
      <c r="AH333" s="5" t="n">
        <v>0.154583333333333</v>
      </c>
      <c r="AI333" s="5" t="n">
        <v>0</v>
      </c>
      <c r="AJ333" s="5" t="n">
        <v>0</v>
      </c>
      <c r="AK333" s="5" t="n">
        <v>0</v>
      </c>
      <c r="AL333" s="5" t="n">
        <v>0</v>
      </c>
      <c r="AM333" s="4" t="s">
        <v>78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M333" s="6" t="n">
        <f aca="false">IFERROR(VALUE(F333),"")</f>
        <v>230.84</v>
      </c>
      <c r="BN333" s="6" t="n">
        <f aca="false">IF(R333="-","",IFERROR(VALUE(LEFT(Q333,LEN(Q333)-2)),""))</f>
        <v>80.86</v>
      </c>
      <c r="BO333" s="6" t="n">
        <f aca="false">IF(R333="-","",IFERROR(VALUE(LEFT(R333,LEN(R333)-5)),""))</f>
        <v>2.85</v>
      </c>
      <c r="BP333" s="6" t="n">
        <f aca="false">IF(R333="-","",IFERROR(VALUE(F333),""))</f>
        <v>230.84</v>
      </c>
      <c r="BQ333" s="4" t="n">
        <f aca="false">IF(R333="-",1,0)</f>
        <v>0</v>
      </c>
    </row>
    <row r="334" customFormat="false" ht="15" hidden="false" customHeight="false" outlineLevel="0" collapsed="false">
      <c r="A334" s="0" t="s">
        <v>1436</v>
      </c>
      <c r="B334" s="0" t="s">
        <v>1437</v>
      </c>
      <c r="C334" s="0" t="s">
        <v>70</v>
      </c>
      <c r="E334" s="3" t="n">
        <v>46273</v>
      </c>
      <c r="F334" s="4" t="s">
        <v>95</v>
      </c>
      <c r="G334" s="5" t="n">
        <v>0.00155092592592593</v>
      </c>
      <c r="H334" s="5" t="n">
        <v>0</v>
      </c>
      <c r="I334" s="5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5" t="n">
        <v>0</v>
      </c>
      <c r="P334" s="5" t="n">
        <v>0</v>
      </c>
      <c r="Q334" s="4" t="s">
        <v>1438</v>
      </c>
      <c r="R334" s="4" t="s">
        <v>454</v>
      </c>
      <c r="S334" s="5" t="n">
        <v>0</v>
      </c>
      <c r="T334" s="5" t="n">
        <v>0.000810185185185185</v>
      </c>
      <c r="U334" s="5" t="n">
        <v>0.000694444444444445</v>
      </c>
      <c r="V334" s="5" t="n">
        <v>0</v>
      </c>
      <c r="W334" s="5" t="n">
        <v>0</v>
      </c>
      <c r="X334" s="5" t="n">
        <v>0</v>
      </c>
      <c r="Y334" s="5" t="n">
        <v>0</v>
      </c>
      <c r="Z334" s="0" t="n">
        <v>0</v>
      </c>
      <c r="AA334" s="0" t="n">
        <v>0</v>
      </c>
      <c r="AB334" s="0" t="n">
        <v>0</v>
      </c>
      <c r="AC334" s="4" t="s">
        <v>158</v>
      </c>
      <c r="AD334" s="4" t="s">
        <v>158</v>
      </c>
      <c r="AE334" s="4" t="s">
        <v>1439</v>
      </c>
      <c r="AF334" s="4" t="s">
        <v>1439</v>
      </c>
      <c r="AG334" s="5" t="n">
        <v>0</v>
      </c>
      <c r="AH334" s="5" t="n">
        <v>0.00199074074074074</v>
      </c>
      <c r="AI334" s="5" t="n">
        <v>0</v>
      </c>
      <c r="AJ334" s="5" t="n">
        <v>0</v>
      </c>
      <c r="AK334" s="5" t="n">
        <v>0</v>
      </c>
      <c r="AL334" s="5" t="n">
        <v>0</v>
      </c>
      <c r="AM334" s="4" t="s">
        <v>78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0</v>
      </c>
      <c r="BI334" s="0" t="n">
        <v>0</v>
      </c>
      <c r="BJ334" s="0" t="n">
        <v>0</v>
      </c>
      <c r="BK334" s="0" t="n">
        <v>0</v>
      </c>
      <c r="BM334" s="6" t="n">
        <f aca="false">IFERROR(VALUE(F334),"")</f>
        <v>0</v>
      </c>
      <c r="BN334" s="6" t="n">
        <f aca="false">IF(R334="-","",IFERROR(VALUE(LEFT(Q334,LEN(Q334)-2)),""))</f>
        <v>0.1</v>
      </c>
      <c r="BO334" s="6" t="n">
        <f aca="false">IF(R334="-","",IFERROR(VALUE(LEFT(R334,LEN(R334)-5)),""))</f>
        <v>0</v>
      </c>
      <c r="BP334" s="6" t="n">
        <f aca="false">IF(R334="-","",IFERROR(VALUE(F334),""))</f>
        <v>0</v>
      </c>
      <c r="BQ334" s="4" t="n">
        <f aca="false">IF(R334="-",1,0)</f>
        <v>0</v>
      </c>
    </row>
    <row r="335" customFormat="false" ht="15" hidden="false" customHeight="false" outlineLevel="0" collapsed="false">
      <c r="A335" s="0" t="s">
        <v>1436</v>
      </c>
      <c r="B335" s="0" t="s">
        <v>1437</v>
      </c>
      <c r="C335" s="0" t="s">
        <v>70</v>
      </c>
      <c r="E335" s="3" t="n">
        <v>46274</v>
      </c>
      <c r="F335" s="4" t="s">
        <v>1440</v>
      </c>
      <c r="G335" s="5" t="n">
        <v>0.00737268518518519</v>
      </c>
      <c r="H335" s="5" t="n">
        <v>0</v>
      </c>
      <c r="I335" s="5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5" t="n">
        <v>0</v>
      </c>
      <c r="P335" s="5" t="n">
        <v>0</v>
      </c>
      <c r="Q335" s="4" t="s">
        <v>1441</v>
      </c>
      <c r="R335" s="4" t="s">
        <v>1442</v>
      </c>
      <c r="S335" s="5" t="n">
        <v>0</v>
      </c>
      <c r="T335" s="5" t="n">
        <v>0.00462962962962963</v>
      </c>
      <c r="U335" s="5" t="n">
        <v>0.00185185185185185</v>
      </c>
      <c r="V335" s="5" t="n">
        <v>0.000462962962962963</v>
      </c>
      <c r="W335" s="5" t="n">
        <v>0</v>
      </c>
      <c r="X335" s="5" t="n">
        <v>0</v>
      </c>
      <c r="Y335" s="5" t="n">
        <v>0</v>
      </c>
      <c r="Z335" s="0" t="n">
        <v>0</v>
      </c>
      <c r="AA335" s="0" t="n">
        <v>0</v>
      </c>
      <c r="AB335" s="0" t="n">
        <v>0</v>
      </c>
      <c r="AC335" s="4" t="s">
        <v>158</v>
      </c>
      <c r="AD335" s="4" t="s">
        <v>158</v>
      </c>
      <c r="AE335" s="4" t="s">
        <v>1439</v>
      </c>
      <c r="AF335" s="4" t="s">
        <v>1443</v>
      </c>
      <c r="AG335" s="5" t="n">
        <v>0.00246527777777778</v>
      </c>
      <c r="AH335" s="5" t="n">
        <v>0.0313888888888889</v>
      </c>
      <c r="AI335" s="5" t="n">
        <v>0</v>
      </c>
      <c r="AJ335" s="5" t="n">
        <v>0</v>
      </c>
      <c r="AK335" s="5" t="n">
        <v>0</v>
      </c>
      <c r="AL335" s="5" t="n">
        <v>0</v>
      </c>
      <c r="AM335" s="4" t="s">
        <v>78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0</v>
      </c>
      <c r="BI335" s="0" t="n">
        <v>0</v>
      </c>
      <c r="BJ335" s="0" t="n">
        <v>0</v>
      </c>
      <c r="BK335" s="0" t="n">
        <v>0</v>
      </c>
      <c r="BM335" s="6" t="n">
        <f aca="false">IFERROR(VALUE(F335),"")</f>
        <v>0.22</v>
      </c>
      <c r="BN335" s="6" t="n">
        <f aca="false">IF(R335="-","",IFERROR(VALUE(LEFT(Q335,LEN(Q335)-2)),""))</f>
        <v>0.37</v>
      </c>
      <c r="BO335" s="6" t="n">
        <f aca="false">IF(R335="-","",IFERROR(VALUE(LEFT(R335,LEN(R335)-5)),""))</f>
        <v>0.59</v>
      </c>
      <c r="BP335" s="6" t="n">
        <f aca="false">IF(R335="-","",IFERROR(VALUE(F335),""))</f>
        <v>0.22</v>
      </c>
      <c r="BQ335" s="4" t="n">
        <f aca="false">IF(R335="-",1,0)</f>
        <v>0</v>
      </c>
    </row>
    <row r="336" customFormat="false" ht="15" hidden="false" customHeight="false" outlineLevel="0" collapsed="false">
      <c r="A336" s="0" t="s">
        <v>1436</v>
      </c>
      <c r="B336" s="0" t="s">
        <v>1437</v>
      </c>
      <c r="C336" s="0" t="s">
        <v>70</v>
      </c>
      <c r="E336" s="3" t="n">
        <v>46275</v>
      </c>
      <c r="F336" s="4" t="s">
        <v>1444</v>
      </c>
      <c r="G336" s="5" t="n">
        <v>0.00631944444444444</v>
      </c>
      <c r="H336" s="5" t="n">
        <v>0</v>
      </c>
      <c r="I336" s="5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5" t="n">
        <v>0</v>
      </c>
      <c r="P336" s="5" t="n">
        <v>0</v>
      </c>
      <c r="Q336" s="4" t="s">
        <v>1445</v>
      </c>
      <c r="R336" s="4" t="s">
        <v>1446</v>
      </c>
      <c r="S336" s="5" t="n">
        <v>0</v>
      </c>
      <c r="T336" s="5" t="n">
        <v>0.00509259259259259</v>
      </c>
      <c r="U336" s="5" t="n">
        <v>0.00104166666666667</v>
      </c>
      <c r="V336" s="5" t="n">
        <v>0</v>
      </c>
      <c r="W336" s="5" t="n">
        <v>0</v>
      </c>
      <c r="X336" s="5" t="n">
        <v>0</v>
      </c>
      <c r="Y336" s="5" t="n">
        <v>0</v>
      </c>
      <c r="Z336" s="0" t="n">
        <v>0</v>
      </c>
      <c r="AA336" s="0" t="n">
        <v>0</v>
      </c>
      <c r="AB336" s="0" t="n">
        <v>0</v>
      </c>
      <c r="AC336" s="4" t="s">
        <v>158</v>
      </c>
      <c r="AD336" s="4" t="s">
        <v>152</v>
      </c>
      <c r="AE336" s="4" t="s">
        <v>1443</v>
      </c>
      <c r="AF336" s="4" t="s">
        <v>1447</v>
      </c>
      <c r="AG336" s="5" t="n">
        <v>0.00269675925925926</v>
      </c>
      <c r="AH336" s="5" t="n">
        <v>0.00454861111111111</v>
      </c>
      <c r="AI336" s="5" t="n">
        <v>0</v>
      </c>
      <c r="AJ336" s="5" t="n">
        <v>0</v>
      </c>
      <c r="AK336" s="5" t="n">
        <v>0</v>
      </c>
      <c r="AL336" s="5" t="n">
        <v>0</v>
      </c>
      <c r="AM336" s="4" t="s">
        <v>78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0</v>
      </c>
      <c r="BI336" s="0" t="n">
        <v>0</v>
      </c>
      <c r="BJ336" s="0" t="n">
        <v>0</v>
      </c>
      <c r="BK336" s="0" t="n">
        <v>0</v>
      </c>
      <c r="BM336" s="6" t="n">
        <f aca="false">IFERROR(VALUE(F336),"")</f>
        <v>0.33</v>
      </c>
      <c r="BN336" s="6" t="n">
        <f aca="false">IF(R336="-","",IFERROR(VALUE(LEFT(Q336,LEN(Q336)-2)),""))</f>
        <v>0.29</v>
      </c>
      <c r="BO336" s="6" t="n">
        <f aca="false">IF(R336="-","",IFERROR(VALUE(LEFT(R336,LEN(R336)-5)),""))</f>
        <v>1.13</v>
      </c>
      <c r="BP336" s="6" t="n">
        <f aca="false">IF(R336="-","",IFERROR(VALUE(F336),""))</f>
        <v>0.33</v>
      </c>
      <c r="BQ336" s="4" t="n">
        <f aca="false">IF(R336="-",1,0)</f>
        <v>0</v>
      </c>
    </row>
    <row r="337" customFormat="false" ht="15" hidden="false" customHeight="false" outlineLevel="0" collapsed="false">
      <c r="A337" s="0" t="s">
        <v>1436</v>
      </c>
      <c r="B337" s="0" t="s">
        <v>1437</v>
      </c>
      <c r="C337" s="0" t="s">
        <v>70</v>
      </c>
      <c r="D337" s="0" t="s">
        <v>1448</v>
      </c>
      <c r="E337" s="3" t="n">
        <v>46276</v>
      </c>
      <c r="F337" s="4" t="s">
        <v>1449</v>
      </c>
      <c r="G337" s="5" t="n">
        <v>0.00199074074074074</v>
      </c>
      <c r="H337" s="5" t="n">
        <v>0.00199074074074074</v>
      </c>
      <c r="I337" s="5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5" t="n">
        <v>0</v>
      </c>
      <c r="P337" s="5" t="n">
        <v>0</v>
      </c>
      <c r="Q337" s="4" t="s">
        <v>1450</v>
      </c>
      <c r="R337" s="4" t="s">
        <v>1451</v>
      </c>
      <c r="S337" s="5" t="n">
        <v>0</v>
      </c>
      <c r="T337" s="5" t="n">
        <v>0.00115740740740741</v>
      </c>
      <c r="U337" s="5" t="n">
        <v>0.000694444444444445</v>
      </c>
      <c r="V337" s="5" t="n">
        <v>0</v>
      </c>
      <c r="W337" s="5" t="n">
        <v>0</v>
      </c>
      <c r="X337" s="5" t="n">
        <v>0</v>
      </c>
      <c r="Y337" s="5" t="n">
        <v>0</v>
      </c>
      <c r="Z337" s="0" t="n">
        <v>0</v>
      </c>
      <c r="AA337" s="0" t="n">
        <v>0</v>
      </c>
      <c r="AB337" s="0" t="n">
        <v>0</v>
      </c>
      <c r="AC337" s="4" t="s">
        <v>152</v>
      </c>
      <c r="AD337" s="4" t="s">
        <v>152</v>
      </c>
      <c r="AE337" s="4" t="s">
        <v>1447</v>
      </c>
      <c r="AF337" s="4" t="s">
        <v>1452</v>
      </c>
      <c r="AG337" s="5" t="n">
        <v>0.000914351851851852</v>
      </c>
      <c r="AH337" s="5" t="n">
        <v>0.00153935185185185</v>
      </c>
      <c r="AI337" s="5" t="n">
        <v>0</v>
      </c>
      <c r="AJ337" s="5" t="n">
        <v>0</v>
      </c>
      <c r="AK337" s="5" t="n">
        <v>0</v>
      </c>
      <c r="AL337" s="5" t="n">
        <v>0</v>
      </c>
      <c r="AM337" s="4" t="s">
        <v>78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s="0" t="n">
        <v>0</v>
      </c>
      <c r="BB337" s="0" t="n">
        <v>0</v>
      </c>
      <c r="BC337" s="0" t="n">
        <v>0</v>
      </c>
      <c r="BD337" s="0" t="n">
        <v>0</v>
      </c>
      <c r="BE337" s="0" t="n">
        <v>0</v>
      </c>
      <c r="BF337" s="0" t="n">
        <v>0</v>
      </c>
      <c r="BG337" s="0" t="n">
        <v>0</v>
      </c>
      <c r="BH337" s="0" t="n">
        <v>0</v>
      </c>
      <c r="BI337" s="0" t="n">
        <v>0</v>
      </c>
      <c r="BJ337" s="0" t="n">
        <v>0</v>
      </c>
      <c r="BK337" s="0" t="n">
        <v>0</v>
      </c>
      <c r="BM337" s="6" t="n">
        <f aca="false">IFERROR(VALUE(F337),"")</f>
        <v>0.05</v>
      </c>
      <c r="BN337" s="6" t="n">
        <f aca="false">IF(R337="-","",IFERROR(VALUE(LEFT(Q337,LEN(Q337)-2)),""))</f>
        <v>0.11</v>
      </c>
      <c r="BO337" s="6" t="n">
        <f aca="false">IF(R337="-","",IFERROR(VALUE(LEFT(R337,LEN(R337)-5)),""))</f>
        <v>0.46</v>
      </c>
      <c r="BP337" s="6" t="n">
        <f aca="false">IF(R337="-","",IFERROR(VALUE(F337),""))</f>
        <v>0.05</v>
      </c>
      <c r="BQ337" s="4" t="n">
        <f aca="false">IF(R337="-",1,0)</f>
        <v>0</v>
      </c>
    </row>
    <row r="338" customFormat="false" ht="15" hidden="false" customHeight="false" outlineLevel="0" collapsed="false">
      <c r="A338" s="0" t="s">
        <v>1436</v>
      </c>
      <c r="B338" s="0" t="s">
        <v>1437</v>
      </c>
      <c r="C338" s="0" t="s">
        <v>70</v>
      </c>
      <c r="D338" s="0" t="s">
        <v>1453</v>
      </c>
      <c r="E338" s="3" t="n">
        <v>46279</v>
      </c>
      <c r="F338" s="4" t="s">
        <v>1454</v>
      </c>
      <c r="G338" s="5" t="n">
        <v>0.290462962962963</v>
      </c>
      <c r="H338" s="5" t="n">
        <v>0.16275462962963</v>
      </c>
      <c r="I338" s="5" t="n">
        <v>8.10185185185185E-005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5" t="n">
        <v>0</v>
      </c>
      <c r="P338" s="5" t="n">
        <v>0</v>
      </c>
      <c r="Q338" s="4" t="s">
        <v>1455</v>
      </c>
      <c r="R338" s="4" t="s">
        <v>1456</v>
      </c>
      <c r="S338" s="5" t="n">
        <v>0</v>
      </c>
      <c r="T338" s="5" t="n">
        <v>0.0605324074074074</v>
      </c>
      <c r="U338" s="5" t="n">
        <v>0.0710648148148148</v>
      </c>
      <c r="V338" s="5" t="n">
        <v>0.140219907407407</v>
      </c>
      <c r="W338" s="5" t="n">
        <v>0.000706018518518519</v>
      </c>
      <c r="X338" s="5" t="n">
        <v>0</v>
      </c>
      <c r="Y338" s="5" t="n">
        <v>0</v>
      </c>
      <c r="Z338" s="0" t="n">
        <v>0</v>
      </c>
      <c r="AA338" s="0" t="n">
        <v>0</v>
      </c>
      <c r="AB338" s="0" t="n">
        <v>0</v>
      </c>
      <c r="AC338" s="4" t="s">
        <v>152</v>
      </c>
      <c r="AD338" s="4" t="s">
        <v>1457</v>
      </c>
      <c r="AE338" s="4" t="s">
        <v>1452</v>
      </c>
      <c r="AF338" s="4" t="s">
        <v>1458</v>
      </c>
      <c r="AG338" s="5" t="n">
        <v>0.25630787037037</v>
      </c>
      <c r="AH338" s="5" t="n">
        <v>0.0708912037037037</v>
      </c>
      <c r="AI338" s="5" t="n">
        <v>0</v>
      </c>
      <c r="AJ338" s="5" t="n">
        <v>0</v>
      </c>
      <c r="AK338" s="5" t="n">
        <v>0</v>
      </c>
      <c r="AL338" s="5" t="n">
        <v>0</v>
      </c>
      <c r="AM338" s="4" t="s">
        <v>78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  <c r="BA338" s="0" t="n">
        <v>0</v>
      </c>
      <c r="BB338" s="0" t="n">
        <v>0</v>
      </c>
      <c r="BC338" s="0" t="n">
        <v>0</v>
      </c>
      <c r="BD338" s="0" t="n">
        <v>0</v>
      </c>
      <c r="BE338" s="0" t="n">
        <v>0</v>
      </c>
      <c r="BF338" s="0" t="n">
        <v>0</v>
      </c>
      <c r="BG338" s="0" t="n">
        <v>0</v>
      </c>
      <c r="BH338" s="0" t="n">
        <v>0</v>
      </c>
      <c r="BI338" s="0" t="n">
        <v>0</v>
      </c>
      <c r="BJ338" s="0" t="n">
        <v>0</v>
      </c>
      <c r="BK338" s="0" t="n">
        <v>0</v>
      </c>
      <c r="BM338" s="6" t="n">
        <f aca="false">IFERROR(VALUE(F338),"")</f>
        <v>235.34</v>
      </c>
      <c r="BN338" s="6" t="n">
        <f aca="false">IF(R338="-","",IFERROR(VALUE(LEFT(Q338,LEN(Q338)-2)),""))</f>
        <v>69.91</v>
      </c>
      <c r="BO338" s="6" t="n">
        <f aca="false">IF(R338="-","",IFERROR(VALUE(LEFT(R338,LEN(R338)-5)),""))</f>
        <v>3.37</v>
      </c>
      <c r="BP338" s="6" t="n">
        <f aca="false">IF(R338="-","",IFERROR(VALUE(F338),""))</f>
        <v>235.34</v>
      </c>
      <c r="BQ338" s="4" t="n">
        <f aca="false">IF(R338="-",1,0)</f>
        <v>0</v>
      </c>
    </row>
    <row r="339" customFormat="false" ht="15" hidden="false" customHeight="false" outlineLevel="0" collapsed="false">
      <c r="A339" s="0" t="s">
        <v>1459</v>
      </c>
      <c r="B339" s="0" t="s">
        <v>1460</v>
      </c>
      <c r="C339" s="0" t="s">
        <v>70</v>
      </c>
      <c r="D339" s="0" t="s">
        <v>1453</v>
      </c>
      <c r="E339" s="3" t="n">
        <v>46273</v>
      </c>
      <c r="F339" s="4" t="s">
        <v>1461</v>
      </c>
      <c r="G339" s="5" t="n">
        <v>0.355405092592593</v>
      </c>
      <c r="H339" s="5" t="n">
        <v>0.346134259259259</v>
      </c>
      <c r="I339" s="5" t="n">
        <v>4.62962962962963E-005</v>
      </c>
      <c r="J339" s="0" t="n">
        <v>1</v>
      </c>
      <c r="K339" s="0" t="n">
        <v>1</v>
      </c>
      <c r="L339" s="0" t="n">
        <v>0</v>
      </c>
      <c r="M339" s="0" t="n">
        <v>0</v>
      </c>
      <c r="N339" s="0" t="n">
        <v>4</v>
      </c>
      <c r="O339" s="5" t="n">
        <v>0</v>
      </c>
      <c r="P339" s="5" t="n">
        <v>0</v>
      </c>
      <c r="Q339" s="4" t="s">
        <v>73</v>
      </c>
      <c r="R339" s="4" t="s">
        <v>73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0" t="n">
        <v>0</v>
      </c>
      <c r="AA339" s="0" t="n">
        <v>0</v>
      </c>
      <c r="AB339" s="0" t="n">
        <v>0</v>
      </c>
      <c r="AC339" s="4" t="s">
        <v>1462</v>
      </c>
      <c r="AD339" s="4" t="s">
        <v>1457</v>
      </c>
      <c r="AE339" s="4" t="s">
        <v>1463</v>
      </c>
      <c r="AF339" s="4" t="s">
        <v>1464</v>
      </c>
      <c r="AG339" s="5" t="n">
        <v>0.334733796296296</v>
      </c>
      <c r="AH339" s="5" t="n">
        <v>0.0859027777777778</v>
      </c>
      <c r="AI339" s="5" t="n">
        <v>0</v>
      </c>
      <c r="AJ339" s="5" t="n">
        <v>0</v>
      </c>
      <c r="AK339" s="5" t="n">
        <v>0</v>
      </c>
      <c r="AL339" s="5" t="n">
        <v>0</v>
      </c>
      <c r="AM339" s="4" t="s">
        <v>78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1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0</v>
      </c>
      <c r="BI339" s="0" t="n">
        <v>0</v>
      </c>
      <c r="BJ339" s="0" t="n">
        <v>0</v>
      </c>
      <c r="BK339" s="0" t="n">
        <v>0</v>
      </c>
      <c r="BM339" s="6" t="n">
        <f aca="false">IFERROR(VALUE(F339),"")</f>
        <v>285.17</v>
      </c>
      <c r="BN339" s="6" t="str">
        <f aca="false">IF(R339="-","",IFERROR(VALUE(LEFT(Q339,LEN(Q339)-2)),""))</f>
        <v/>
      </c>
      <c r="BO339" s="6" t="str">
        <f aca="false">IF(R339="-","",IFERROR(VALUE(LEFT(R339,LEN(R339)-5)),""))</f>
        <v/>
      </c>
      <c r="BP339" s="6" t="str">
        <f aca="false">IF(R339="-","",IFERROR(VALUE(F339),""))</f>
        <v/>
      </c>
      <c r="BQ339" s="4" t="n">
        <f aca="false">IF(R339="-",1,0)</f>
        <v>1</v>
      </c>
    </row>
    <row r="340" customFormat="false" ht="15" hidden="false" customHeight="false" outlineLevel="0" collapsed="false">
      <c r="A340" s="0" t="s">
        <v>1459</v>
      </c>
      <c r="B340" s="0" t="s">
        <v>1460</v>
      </c>
      <c r="C340" s="0" t="s">
        <v>70</v>
      </c>
      <c r="D340" s="0" t="s">
        <v>1453</v>
      </c>
      <c r="E340" s="3" t="n">
        <v>46274</v>
      </c>
      <c r="F340" s="4" t="s">
        <v>1465</v>
      </c>
      <c r="G340" s="5" t="n">
        <v>0.350138888888889</v>
      </c>
      <c r="H340" s="5" t="n">
        <v>0.336724537037037</v>
      </c>
      <c r="I340" s="5" t="n">
        <v>0</v>
      </c>
      <c r="J340" s="0" t="n">
        <v>1</v>
      </c>
      <c r="K340" s="0" t="n">
        <v>1</v>
      </c>
      <c r="L340" s="0" t="n">
        <v>0</v>
      </c>
      <c r="M340" s="0" t="n">
        <v>0</v>
      </c>
      <c r="N340" s="0" t="n">
        <v>3</v>
      </c>
      <c r="O340" s="5" t="n">
        <v>0</v>
      </c>
      <c r="P340" s="5" t="n">
        <v>0</v>
      </c>
      <c r="Q340" s="4" t="s">
        <v>73</v>
      </c>
      <c r="R340" s="4" t="s">
        <v>73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0" t="n">
        <v>0</v>
      </c>
      <c r="AA340" s="0" t="n">
        <v>0</v>
      </c>
      <c r="AB340" s="0" t="n">
        <v>0</v>
      </c>
      <c r="AC340" s="4" t="s">
        <v>1466</v>
      </c>
      <c r="AD340" s="4" t="s">
        <v>1457</v>
      </c>
      <c r="AE340" s="4" t="s">
        <v>1464</v>
      </c>
      <c r="AF340" s="4" t="s">
        <v>1467</v>
      </c>
      <c r="AG340" s="5" t="n">
        <v>0.33119212962963</v>
      </c>
      <c r="AH340" s="5" t="n">
        <v>0.0858564814814815</v>
      </c>
      <c r="AI340" s="5" t="n">
        <v>0</v>
      </c>
      <c r="AJ340" s="5" t="n">
        <v>0</v>
      </c>
      <c r="AK340" s="5" t="n">
        <v>0</v>
      </c>
      <c r="AL340" s="5" t="n">
        <v>0</v>
      </c>
      <c r="AM340" s="4" t="s">
        <v>78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  <c r="BA340" s="0" t="n">
        <v>0</v>
      </c>
      <c r="BB340" s="0" t="n">
        <v>0</v>
      </c>
      <c r="BC340" s="0" t="n">
        <v>0</v>
      </c>
      <c r="BD340" s="0" t="n">
        <v>0</v>
      </c>
      <c r="BE340" s="0" t="n">
        <v>0</v>
      </c>
      <c r="BF340" s="0" t="n">
        <v>0</v>
      </c>
      <c r="BG340" s="0" t="n">
        <v>0</v>
      </c>
      <c r="BH340" s="0" t="n">
        <v>0</v>
      </c>
      <c r="BI340" s="0" t="n">
        <v>0</v>
      </c>
      <c r="BJ340" s="0" t="n">
        <v>0</v>
      </c>
      <c r="BK340" s="0" t="n">
        <v>0</v>
      </c>
      <c r="BM340" s="6" t="n">
        <f aca="false">IFERROR(VALUE(F340),"")</f>
        <v>284.04</v>
      </c>
      <c r="BN340" s="6" t="str">
        <f aca="false">IF(R340="-","",IFERROR(VALUE(LEFT(Q340,LEN(Q340)-2)),""))</f>
        <v/>
      </c>
      <c r="BO340" s="6" t="str">
        <f aca="false">IF(R340="-","",IFERROR(VALUE(LEFT(R340,LEN(R340)-5)),""))</f>
        <v/>
      </c>
      <c r="BP340" s="6" t="str">
        <f aca="false">IF(R340="-","",IFERROR(VALUE(F340),""))</f>
        <v/>
      </c>
      <c r="BQ340" s="4" t="n">
        <f aca="false">IF(R340="-",1,0)</f>
        <v>1</v>
      </c>
    </row>
    <row r="341" customFormat="false" ht="15" hidden="false" customHeight="false" outlineLevel="0" collapsed="false">
      <c r="A341" s="0" t="s">
        <v>1459</v>
      </c>
      <c r="B341" s="0" t="s">
        <v>1460</v>
      </c>
      <c r="C341" s="0" t="s">
        <v>70</v>
      </c>
      <c r="D341" s="0" t="s">
        <v>1453</v>
      </c>
      <c r="E341" s="3" t="n">
        <v>46275</v>
      </c>
      <c r="F341" s="4" t="s">
        <v>1468</v>
      </c>
      <c r="G341" s="5" t="n">
        <v>0.357233796296296</v>
      </c>
      <c r="H341" s="5" t="n">
        <v>0.297997685185185</v>
      </c>
      <c r="I341" s="5" t="n">
        <v>5.78703703703704E-005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1</v>
      </c>
      <c r="O341" s="5" t="n">
        <v>0</v>
      </c>
      <c r="P341" s="5" t="n">
        <v>0</v>
      </c>
      <c r="Q341" s="4" t="s">
        <v>73</v>
      </c>
      <c r="R341" s="4" t="s">
        <v>73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0" t="n">
        <v>0</v>
      </c>
      <c r="AA341" s="0" t="n">
        <v>0</v>
      </c>
      <c r="AB341" s="0" t="n">
        <v>0</v>
      </c>
      <c r="AC341" s="4" t="s">
        <v>1462</v>
      </c>
      <c r="AD341" s="4" t="s">
        <v>1457</v>
      </c>
      <c r="AE341" s="4" t="s">
        <v>1467</v>
      </c>
      <c r="AF341" s="4" t="s">
        <v>1469</v>
      </c>
      <c r="AG341" s="5" t="n">
        <v>0.336226851851852</v>
      </c>
      <c r="AH341" s="5" t="n">
        <v>0.125775462962963</v>
      </c>
      <c r="AI341" s="5" t="n">
        <v>0</v>
      </c>
      <c r="AJ341" s="5" t="n">
        <v>0</v>
      </c>
      <c r="AK341" s="5" t="n">
        <v>0</v>
      </c>
      <c r="AL341" s="5" t="n">
        <v>0</v>
      </c>
      <c r="AM341" s="4" t="s">
        <v>78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M341" s="6" t="n">
        <f aca="false">IFERROR(VALUE(F341),"")</f>
        <v>292.85</v>
      </c>
      <c r="BN341" s="6" t="str">
        <f aca="false">IF(R341="-","",IFERROR(VALUE(LEFT(Q341,LEN(Q341)-2)),""))</f>
        <v/>
      </c>
      <c r="BO341" s="6" t="str">
        <f aca="false">IF(R341="-","",IFERROR(VALUE(LEFT(R341,LEN(R341)-5)),""))</f>
        <v/>
      </c>
      <c r="BP341" s="6" t="str">
        <f aca="false">IF(R341="-","",IFERROR(VALUE(F341),""))</f>
        <v/>
      </c>
      <c r="BQ341" s="4" t="n">
        <f aca="false">IF(R341="-",1,0)</f>
        <v>1</v>
      </c>
    </row>
    <row r="342" customFormat="false" ht="15" hidden="false" customHeight="false" outlineLevel="0" collapsed="false">
      <c r="A342" s="0" t="s">
        <v>1459</v>
      </c>
      <c r="B342" s="0" t="s">
        <v>1460</v>
      </c>
      <c r="C342" s="0" t="s">
        <v>70</v>
      </c>
      <c r="D342" s="0" t="s">
        <v>1453</v>
      </c>
      <c r="E342" s="3" t="n">
        <v>46276</v>
      </c>
      <c r="F342" s="4" t="s">
        <v>1470</v>
      </c>
      <c r="G342" s="5" t="n">
        <v>0.36400462962963</v>
      </c>
      <c r="H342" s="5" t="n">
        <v>0.355439814814815</v>
      </c>
      <c r="I342" s="5" t="n">
        <v>0.000324074074074074</v>
      </c>
      <c r="J342" s="0" t="n">
        <v>0</v>
      </c>
      <c r="K342" s="0" t="n">
        <v>3</v>
      </c>
      <c r="L342" s="0" t="n">
        <v>0</v>
      </c>
      <c r="M342" s="0" t="n">
        <v>0</v>
      </c>
      <c r="N342" s="0" t="n">
        <v>0</v>
      </c>
      <c r="O342" s="5" t="n">
        <v>0</v>
      </c>
      <c r="P342" s="5" t="n">
        <v>0</v>
      </c>
      <c r="Q342" s="4" t="s">
        <v>73</v>
      </c>
      <c r="R342" s="4" t="s">
        <v>73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0" t="n">
        <v>0</v>
      </c>
      <c r="AA342" s="0" t="n">
        <v>0</v>
      </c>
      <c r="AB342" s="0" t="n">
        <v>0</v>
      </c>
      <c r="AC342" s="4" t="s">
        <v>1457</v>
      </c>
      <c r="AD342" s="4" t="s">
        <v>1457</v>
      </c>
      <c r="AE342" s="4" t="s">
        <v>1469</v>
      </c>
      <c r="AF342" s="4" t="s">
        <v>1471</v>
      </c>
      <c r="AG342" s="5" t="n">
        <v>0.338078703703704</v>
      </c>
      <c r="AH342" s="5" t="n">
        <v>0.0920023148148148</v>
      </c>
      <c r="AI342" s="5" t="n">
        <v>0</v>
      </c>
      <c r="AJ342" s="5" t="n">
        <v>0</v>
      </c>
      <c r="AK342" s="5" t="n">
        <v>0</v>
      </c>
      <c r="AL342" s="5" t="n">
        <v>0</v>
      </c>
      <c r="AM342" s="4" t="s">
        <v>78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0</v>
      </c>
      <c r="BI342" s="0" t="n">
        <v>0</v>
      </c>
      <c r="BJ342" s="0" t="n">
        <v>0</v>
      </c>
      <c r="BK342" s="0" t="n">
        <v>0</v>
      </c>
      <c r="BM342" s="6" t="n">
        <f aca="false">IFERROR(VALUE(F342),"")</f>
        <v>285.4</v>
      </c>
      <c r="BN342" s="6" t="str">
        <f aca="false">IF(R342="-","",IFERROR(VALUE(LEFT(Q342,LEN(Q342)-2)),""))</f>
        <v/>
      </c>
      <c r="BO342" s="6" t="str">
        <f aca="false">IF(R342="-","",IFERROR(VALUE(LEFT(R342,LEN(R342)-5)),""))</f>
        <v/>
      </c>
      <c r="BP342" s="6" t="str">
        <f aca="false">IF(R342="-","",IFERROR(VALUE(F342),""))</f>
        <v/>
      </c>
      <c r="BQ342" s="4" t="n">
        <f aca="false">IF(R342="-",1,0)</f>
        <v>1</v>
      </c>
    </row>
    <row r="343" customFormat="false" ht="15" hidden="false" customHeight="false" outlineLevel="0" collapsed="false">
      <c r="A343" s="0" t="s">
        <v>1459</v>
      </c>
      <c r="B343" s="0" t="s">
        <v>1460</v>
      </c>
      <c r="C343" s="0" t="s">
        <v>70</v>
      </c>
      <c r="D343" s="0" t="s">
        <v>1453</v>
      </c>
      <c r="E343" s="3" t="n">
        <v>46277</v>
      </c>
      <c r="F343" s="4" t="s">
        <v>1472</v>
      </c>
      <c r="G343" s="5" t="n">
        <v>0.350590277777778</v>
      </c>
      <c r="H343" s="5" t="n">
        <v>0.339328703703704</v>
      </c>
      <c r="I343" s="5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2</v>
      </c>
      <c r="O343" s="5" t="n">
        <v>0</v>
      </c>
      <c r="P343" s="5" t="n">
        <v>0</v>
      </c>
      <c r="Q343" s="4" t="s">
        <v>73</v>
      </c>
      <c r="R343" s="4" t="s">
        <v>73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0" t="n">
        <v>0</v>
      </c>
      <c r="AA343" s="0" t="n">
        <v>0</v>
      </c>
      <c r="AB343" s="0" t="n">
        <v>0</v>
      </c>
      <c r="AC343" s="4" t="s">
        <v>1473</v>
      </c>
      <c r="AD343" s="4" t="s">
        <v>1457</v>
      </c>
      <c r="AE343" s="4" t="s">
        <v>1471</v>
      </c>
      <c r="AF343" s="4" t="s">
        <v>1474</v>
      </c>
      <c r="AG343" s="5" t="n">
        <v>0.329212962962963</v>
      </c>
      <c r="AH343" s="5" t="n">
        <v>0.115729166666667</v>
      </c>
      <c r="AI343" s="5" t="n">
        <v>0</v>
      </c>
      <c r="AJ343" s="5" t="n">
        <v>0</v>
      </c>
      <c r="AK343" s="5" t="n">
        <v>0</v>
      </c>
      <c r="AL343" s="5" t="n">
        <v>0</v>
      </c>
      <c r="AM343" s="4" t="s">
        <v>78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1</v>
      </c>
      <c r="BC343" s="0" t="n">
        <v>0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M343" s="6" t="n">
        <f aca="false">IFERROR(VALUE(F343),"")</f>
        <v>284.58</v>
      </c>
      <c r="BN343" s="6" t="str">
        <f aca="false">IF(R343="-","",IFERROR(VALUE(LEFT(Q343,LEN(Q343)-2)),""))</f>
        <v/>
      </c>
      <c r="BO343" s="6" t="str">
        <f aca="false">IF(R343="-","",IFERROR(VALUE(LEFT(R343,LEN(R343)-5)),""))</f>
        <v/>
      </c>
      <c r="BP343" s="6" t="str">
        <f aca="false">IF(R343="-","",IFERROR(VALUE(F343),""))</f>
        <v/>
      </c>
      <c r="BQ343" s="4" t="n">
        <f aca="false">IF(R343="-",1,0)</f>
        <v>1</v>
      </c>
    </row>
    <row r="344" customFormat="false" ht="15" hidden="false" customHeight="false" outlineLevel="0" collapsed="false">
      <c r="A344" s="0" t="s">
        <v>1459</v>
      </c>
      <c r="B344" s="0" t="s">
        <v>1460</v>
      </c>
      <c r="C344" s="0" t="s">
        <v>70</v>
      </c>
      <c r="D344" s="0" t="s">
        <v>1475</v>
      </c>
      <c r="E344" s="3" t="n">
        <v>46279</v>
      </c>
      <c r="F344" s="4" t="s">
        <v>1476</v>
      </c>
      <c r="G344" s="5" t="n">
        <v>0.287581018518519</v>
      </c>
      <c r="H344" s="5" t="n">
        <v>0.271435185185185</v>
      </c>
      <c r="I344" s="5" t="n">
        <v>3.47222222222222E-005</v>
      </c>
      <c r="J344" s="0" t="n">
        <v>0</v>
      </c>
      <c r="K344" s="0" t="n">
        <v>3</v>
      </c>
      <c r="L344" s="0" t="n">
        <v>0</v>
      </c>
      <c r="M344" s="0" t="n">
        <v>0</v>
      </c>
      <c r="N344" s="0" t="n">
        <v>1</v>
      </c>
      <c r="O344" s="5" t="n">
        <v>0</v>
      </c>
      <c r="P344" s="5" t="n">
        <v>0</v>
      </c>
      <c r="Q344" s="4" t="s">
        <v>73</v>
      </c>
      <c r="R344" s="4" t="s">
        <v>73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0" t="n">
        <v>0</v>
      </c>
      <c r="AA344" s="0" t="n">
        <v>0</v>
      </c>
      <c r="AB344" s="0" t="n">
        <v>0</v>
      </c>
      <c r="AC344" s="4" t="s">
        <v>1457</v>
      </c>
      <c r="AD344" s="4" t="s">
        <v>158</v>
      </c>
      <c r="AE344" s="4" t="s">
        <v>1474</v>
      </c>
      <c r="AF344" s="4" t="s">
        <v>1477</v>
      </c>
      <c r="AG344" s="5" t="n">
        <v>0.265543981481482</v>
      </c>
      <c r="AH344" s="5" t="n">
        <v>0.120532407407407</v>
      </c>
      <c r="AI344" s="5" t="n">
        <v>0</v>
      </c>
      <c r="AJ344" s="5" t="n">
        <v>0</v>
      </c>
      <c r="AK344" s="5" t="n">
        <v>0</v>
      </c>
      <c r="AL344" s="5" t="n">
        <v>0</v>
      </c>
      <c r="AM344" s="4" t="s">
        <v>78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0</v>
      </c>
      <c r="BF344" s="0" t="n">
        <v>0</v>
      </c>
      <c r="BG344" s="0" t="n">
        <v>0</v>
      </c>
      <c r="BH344" s="0" t="n">
        <v>0</v>
      </c>
      <c r="BI344" s="0" t="n">
        <v>0</v>
      </c>
      <c r="BJ344" s="0" t="n">
        <v>0</v>
      </c>
      <c r="BK344" s="0" t="n">
        <v>0</v>
      </c>
      <c r="BM344" s="6" t="n">
        <f aca="false">IFERROR(VALUE(F344),"")</f>
        <v>245.9</v>
      </c>
      <c r="BN344" s="6" t="str">
        <f aca="false">IF(R344="-","",IFERROR(VALUE(LEFT(Q344,LEN(Q344)-2)),""))</f>
        <v/>
      </c>
      <c r="BO344" s="6" t="str">
        <f aca="false">IF(R344="-","",IFERROR(VALUE(LEFT(R344,LEN(R344)-5)),""))</f>
        <v/>
      </c>
      <c r="BP344" s="6" t="str">
        <f aca="false">IF(R344="-","",IFERROR(VALUE(F344),""))</f>
        <v/>
      </c>
      <c r="BQ344" s="4" t="n">
        <f aca="false">IF(R344="-",1,0)</f>
        <v>1</v>
      </c>
    </row>
    <row r="345" customFormat="false" ht="15" hidden="false" customHeight="false" outlineLevel="0" collapsed="false">
      <c r="A345" s="0" t="s">
        <v>1478</v>
      </c>
      <c r="B345" s="0" t="s">
        <v>1479</v>
      </c>
      <c r="C345" s="0" t="s">
        <v>70</v>
      </c>
      <c r="D345" s="0" t="s">
        <v>1480</v>
      </c>
      <c r="E345" s="3" t="n">
        <v>46273</v>
      </c>
      <c r="F345" s="4" t="s">
        <v>1481</v>
      </c>
      <c r="G345" s="5" t="n">
        <v>0.431087962962963</v>
      </c>
      <c r="H345" s="5" t="n">
        <v>0.407881944444444</v>
      </c>
      <c r="I345" s="5" t="n">
        <v>0.000393518518518519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2</v>
      </c>
      <c r="O345" s="5" t="n">
        <v>0</v>
      </c>
      <c r="P345" s="5" t="n">
        <v>0.00752314814814815</v>
      </c>
      <c r="Q345" s="4" t="s">
        <v>1482</v>
      </c>
      <c r="R345" s="4" t="s">
        <v>948</v>
      </c>
      <c r="S345" s="5" t="n">
        <v>0</v>
      </c>
      <c r="T345" s="5" t="n">
        <v>0.113657407407407</v>
      </c>
      <c r="U345" s="5" t="n">
        <v>0.130439814814815</v>
      </c>
      <c r="V345" s="5" t="n">
        <v>0.163541666666667</v>
      </c>
      <c r="W345" s="5" t="n">
        <v>0.00127314814814815</v>
      </c>
      <c r="X345" s="5" t="n">
        <v>0.000115740740740741</v>
      </c>
      <c r="Y345" s="5" t="n">
        <v>0</v>
      </c>
      <c r="Z345" s="0" t="n">
        <v>0</v>
      </c>
      <c r="AA345" s="0" t="n">
        <v>0</v>
      </c>
      <c r="AB345" s="0" t="n">
        <v>0</v>
      </c>
      <c r="AC345" s="4" t="s">
        <v>1483</v>
      </c>
      <c r="AD345" s="4" t="s">
        <v>1483</v>
      </c>
      <c r="AE345" s="4" t="s">
        <v>1484</v>
      </c>
      <c r="AF345" s="4" t="s">
        <v>1485</v>
      </c>
      <c r="AG345" s="5" t="n">
        <v>0.374131944444444</v>
      </c>
      <c r="AH345" s="5" t="n">
        <v>0.118796296296296</v>
      </c>
      <c r="AI345" s="5" t="n">
        <v>0</v>
      </c>
      <c r="AJ345" s="5" t="n">
        <v>0</v>
      </c>
      <c r="AK345" s="5" t="n">
        <v>0</v>
      </c>
      <c r="AL345" s="5" t="n">
        <v>0</v>
      </c>
      <c r="AM345" s="4" t="s">
        <v>78</v>
      </c>
      <c r="AN345" s="0" t="n">
        <v>0</v>
      </c>
      <c r="AO345" s="0" t="n">
        <v>1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6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0</v>
      </c>
      <c r="BI345" s="0" t="n">
        <v>0</v>
      </c>
      <c r="BJ345" s="0" t="n">
        <v>0</v>
      </c>
      <c r="BK345" s="0" t="n">
        <v>0</v>
      </c>
      <c r="BM345" s="6" t="n">
        <f aca="false">IFERROR(VALUE(F345),"")</f>
        <v>294.81</v>
      </c>
      <c r="BN345" s="6" t="n">
        <f aca="false">IF(R345="-","",IFERROR(VALUE(LEFT(Q345,LEN(Q345)-2)),""))</f>
        <v>91</v>
      </c>
      <c r="BO345" s="6" t="n">
        <f aca="false">IF(R345="-","",IFERROR(VALUE(LEFT(R345,LEN(R345)-5)),""))</f>
        <v>3.24</v>
      </c>
      <c r="BP345" s="6" t="n">
        <f aca="false">IF(R345="-","",IFERROR(VALUE(F345),""))</f>
        <v>294.81</v>
      </c>
      <c r="BQ345" s="4" t="n">
        <f aca="false">IF(R345="-",1,0)</f>
        <v>0</v>
      </c>
    </row>
    <row r="346" customFormat="false" ht="15" hidden="false" customHeight="false" outlineLevel="0" collapsed="false">
      <c r="A346" s="0" t="s">
        <v>1478</v>
      </c>
      <c r="B346" s="0" t="s">
        <v>1479</v>
      </c>
      <c r="C346" s="0" t="s">
        <v>70</v>
      </c>
      <c r="D346" s="0" t="s">
        <v>1486</v>
      </c>
      <c r="E346" s="3" t="n">
        <v>46274</v>
      </c>
      <c r="F346" s="4" t="s">
        <v>1487</v>
      </c>
      <c r="G346" s="5" t="n">
        <v>0.388055555555556</v>
      </c>
      <c r="H346" s="5" t="n">
        <v>0.3665625</v>
      </c>
      <c r="I346" s="5" t="n">
        <v>0.000474537037037037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1</v>
      </c>
      <c r="O346" s="5" t="n">
        <v>0</v>
      </c>
      <c r="P346" s="5" t="n">
        <v>0.0134259259259259</v>
      </c>
      <c r="Q346" s="4" t="s">
        <v>1488</v>
      </c>
      <c r="R346" s="4" t="s">
        <v>1489</v>
      </c>
      <c r="S346" s="5" t="n">
        <v>0</v>
      </c>
      <c r="T346" s="5" t="n">
        <v>0.106365740740741</v>
      </c>
      <c r="U346" s="5" t="n">
        <v>0.143518518518519</v>
      </c>
      <c r="V346" s="5" t="n">
        <v>0.129930555555556</v>
      </c>
      <c r="W346" s="5" t="n">
        <v>0.00118055555555556</v>
      </c>
      <c r="X346" s="5" t="n">
        <v>0</v>
      </c>
      <c r="Y346" s="5" t="n">
        <v>0.000196759259259259</v>
      </c>
      <c r="Z346" s="0" t="n">
        <v>0</v>
      </c>
      <c r="AA346" s="0" t="n">
        <v>0</v>
      </c>
      <c r="AB346" s="0" t="n">
        <v>0</v>
      </c>
      <c r="AC346" s="4" t="s">
        <v>1483</v>
      </c>
      <c r="AD346" s="4" t="s">
        <v>1483</v>
      </c>
      <c r="AE346" s="4" t="s">
        <v>1485</v>
      </c>
      <c r="AF346" s="4" t="s">
        <v>1490</v>
      </c>
      <c r="AG346" s="5" t="n">
        <v>0.357013888888889</v>
      </c>
      <c r="AH346" s="5" t="n">
        <v>0.112800925925926</v>
      </c>
      <c r="AI346" s="5" t="n">
        <v>0</v>
      </c>
      <c r="AJ346" s="5" t="n">
        <v>0</v>
      </c>
      <c r="AK346" s="5" t="n">
        <v>0</v>
      </c>
      <c r="AL346" s="5" t="n">
        <v>0</v>
      </c>
      <c r="AM346" s="4" t="s">
        <v>78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11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  <c r="BA346" s="0" t="n">
        <v>0</v>
      </c>
      <c r="BB346" s="0" t="n">
        <v>0</v>
      </c>
      <c r="BC346" s="0" t="n">
        <v>0</v>
      </c>
      <c r="BD346" s="0" t="n">
        <v>0</v>
      </c>
      <c r="BE346" s="0" t="n">
        <v>0</v>
      </c>
      <c r="BF346" s="0" t="n">
        <v>0</v>
      </c>
      <c r="BG346" s="0" t="n">
        <v>0</v>
      </c>
      <c r="BH346" s="0" t="n">
        <v>0</v>
      </c>
      <c r="BI346" s="0" t="n">
        <v>0</v>
      </c>
      <c r="BJ346" s="0" t="n">
        <v>0</v>
      </c>
      <c r="BK346" s="0" t="n">
        <v>0</v>
      </c>
      <c r="BM346" s="6" t="n">
        <f aca="false">IFERROR(VALUE(F346),"")</f>
        <v>293.44</v>
      </c>
      <c r="BN346" s="6" t="n">
        <f aca="false">IF(R346="-","",IFERROR(VALUE(LEFT(Q346,LEN(Q346)-2)),""))</f>
        <v>85.68</v>
      </c>
      <c r="BO346" s="6" t="n">
        <f aca="false">IF(R346="-","",IFERROR(VALUE(LEFT(R346,LEN(R346)-5)),""))</f>
        <v>3.42</v>
      </c>
      <c r="BP346" s="6" t="n">
        <f aca="false">IF(R346="-","",IFERROR(VALUE(F346),""))</f>
        <v>293.44</v>
      </c>
      <c r="BQ346" s="4" t="n">
        <f aca="false">IF(R346="-",1,0)</f>
        <v>0</v>
      </c>
    </row>
    <row r="347" customFormat="false" ht="15" hidden="false" customHeight="false" outlineLevel="0" collapsed="false">
      <c r="A347" s="0" t="s">
        <v>1478</v>
      </c>
      <c r="B347" s="0" t="s">
        <v>1479</v>
      </c>
      <c r="C347" s="0" t="s">
        <v>70</v>
      </c>
      <c r="D347" s="0" t="s">
        <v>1480</v>
      </c>
      <c r="E347" s="3" t="n">
        <v>46275</v>
      </c>
      <c r="F347" s="4" t="s">
        <v>1491</v>
      </c>
      <c r="G347" s="5" t="n">
        <v>0.476539351851852</v>
      </c>
      <c r="H347" s="5" t="n">
        <v>0.435821759259259</v>
      </c>
      <c r="I347" s="5" t="n">
        <v>0.000162037037037037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2</v>
      </c>
      <c r="O347" s="5" t="n">
        <v>0</v>
      </c>
      <c r="P347" s="5" t="n">
        <v>0.00810185185185185</v>
      </c>
      <c r="Q347" s="4" t="s">
        <v>1492</v>
      </c>
      <c r="R347" s="4" t="s">
        <v>535</v>
      </c>
      <c r="S347" s="5" t="n">
        <v>0</v>
      </c>
      <c r="T347" s="5" t="n">
        <v>0.136805555555556</v>
      </c>
      <c r="U347" s="5" t="n">
        <v>0.12037037037037</v>
      </c>
      <c r="V347" s="5" t="n">
        <v>0.184444444444444</v>
      </c>
      <c r="W347" s="5" t="n">
        <v>0.00284722222222222</v>
      </c>
      <c r="X347" s="5" t="n">
        <v>0</v>
      </c>
      <c r="Y347" s="5" t="n">
        <v>0.00025462962962963</v>
      </c>
      <c r="Z347" s="0" t="n">
        <v>0</v>
      </c>
      <c r="AA347" s="0" t="n">
        <v>0</v>
      </c>
      <c r="AB347" s="0" t="n">
        <v>0</v>
      </c>
      <c r="AC347" s="4" t="s">
        <v>1483</v>
      </c>
      <c r="AD347" s="4" t="s">
        <v>1483</v>
      </c>
      <c r="AE347" s="4" t="s">
        <v>1490</v>
      </c>
      <c r="AF347" s="4" t="s">
        <v>1493</v>
      </c>
      <c r="AG347" s="5" t="n">
        <v>0.393645833333333</v>
      </c>
      <c r="AH347" s="5" t="n">
        <v>0.152615740740741</v>
      </c>
      <c r="AI347" s="5" t="n">
        <v>0</v>
      </c>
      <c r="AJ347" s="5" t="n">
        <v>0</v>
      </c>
      <c r="AK347" s="5" t="n">
        <v>0</v>
      </c>
      <c r="AL347" s="5" t="n">
        <v>0</v>
      </c>
      <c r="AM347" s="4" t="s">
        <v>78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1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  <c r="BA347" s="0" t="n">
        <v>0</v>
      </c>
      <c r="BB347" s="0" t="n">
        <v>0</v>
      </c>
      <c r="BC347" s="0" t="n">
        <v>0</v>
      </c>
      <c r="BD347" s="0" t="n">
        <v>0</v>
      </c>
      <c r="BE347" s="0" t="n">
        <v>0</v>
      </c>
      <c r="BF347" s="0" t="n">
        <v>0</v>
      </c>
      <c r="BG347" s="0" t="n">
        <v>0</v>
      </c>
      <c r="BH347" s="0" t="n">
        <v>0</v>
      </c>
      <c r="BI347" s="0" t="n">
        <v>0</v>
      </c>
      <c r="BJ347" s="0" t="n">
        <v>0</v>
      </c>
      <c r="BK347" s="0" t="n">
        <v>0</v>
      </c>
      <c r="BM347" s="6" t="n">
        <f aca="false">IFERROR(VALUE(F347),"")</f>
        <v>295.09</v>
      </c>
      <c r="BN347" s="6" t="n">
        <f aca="false">IF(R347="-","",IFERROR(VALUE(LEFT(Q347,LEN(Q347)-2)),""))</f>
        <v>93.76</v>
      </c>
      <c r="BO347" s="6" t="n">
        <f aca="false">IF(R347="-","",IFERROR(VALUE(LEFT(R347,LEN(R347)-5)),""))</f>
        <v>3.15</v>
      </c>
      <c r="BP347" s="6" t="n">
        <f aca="false">IF(R347="-","",IFERROR(VALUE(F347),""))</f>
        <v>295.09</v>
      </c>
      <c r="BQ347" s="4" t="n">
        <f aca="false">IF(R347="-",1,0)</f>
        <v>0</v>
      </c>
    </row>
    <row r="348" customFormat="false" ht="15" hidden="false" customHeight="false" outlineLevel="0" collapsed="false">
      <c r="A348" s="0" t="s">
        <v>1478</v>
      </c>
      <c r="B348" s="0" t="s">
        <v>1479</v>
      </c>
      <c r="C348" s="0" t="s">
        <v>70</v>
      </c>
      <c r="D348" s="0" t="s">
        <v>1494</v>
      </c>
      <c r="E348" s="3" t="n">
        <v>46276</v>
      </c>
      <c r="F348" s="4" t="s">
        <v>1495</v>
      </c>
      <c r="G348" s="5" t="n">
        <v>0.469803240740741</v>
      </c>
      <c r="H348" s="5" t="n">
        <v>0.452384259259259</v>
      </c>
      <c r="I348" s="5" t="n">
        <v>0.000115740740740741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5" t="n">
        <v>0</v>
      </c>
      <c r="P348" s="5" t="n">
        <v>0</v>
      </c>
      <c r="Q348" s="4" t="s">
        <v>1496</v>
      </c>
      <c r="R348" s="4" t="s">
        <v>1396</v>
      </c>
      <c r="S348" s="5" t="n">
        <v>0.000115740740740741</v>
      </c>
      <c r="T348" s="5" t="n">
        <v>0.131365740740741</v>
      </c>
      <c r="U348" s="5" t="n">
        <v>0.121759259259259</v>
      </c>
      <c r="V348" s="5" t="n">
        <v>0.201226851851852</v>
      </c>
      <c r="W348" s="5" t="n">
        <v>0.00322916666666667</v>
      </c>
      <c r="X348" s="5" t="n">
        <v>0.000115740740740741</v>
      </c>
      <c r="Y348" s="5" t="n">
        <v>0.000196759259259259</v>
      </c>
      <c r="Z348" s="0" t="n">
        <v>0</v>
      </c>
      <c r="AA348" s="0" t="n">
        <v>0</v>
      </c>
      <c r="AB348" s="0" t="n">
        <v>0</v>
      </c>
      <c r="AC348" s="4" t="s">
        <v>1483</v>
      </c>
      <c r="AD348" s="4" t="s">
        <v>1483</v>
      </c>
      <c r="AE348" s="4" t="s">
        <v>1493</v>
      </c>
      <c r="AF348" s="4" t="s">
        <v>1497</v>
      </c>
      <c r="AG348" s="5" t="n">
        <v>0.425416666666667</v>
      </c>
      <c r="AH348" s="5" t="n">
        <v>0.0886689814814815</v>
      </c>
      <c r="AI348" s="5" t="n">
        <v>0</v>
      </c>
      <c r="AJ348" s="5" t="n">
        <v>0</v>
      </c>
      <c r="AK348" s="5" t="n">
        <v>0</v>
      </c>
      <c r="AL348" s="5" t="n">
        <v>0</v>
      </c>
      <c r="AM348" s="4" t="s">
        <v>78</v>
      </c>
      <c r="AN348" s="0" t="n">
        <v>0</v>
      </c>
      <c r="AO348" s="0" t="n">
        <v>1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4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0</v>
      </c>
      <c r="BF348" s="0" t="n">
        <v>0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M348" s="6" t="n">
        <f aca="false">IFERROR(VALUE(F348),"")</f>
        <v>294.77</v>
      </c>
      <c r="BN348" s="6" t="n">
        <f aca="false">IF(R348="-","",IFERROR(VALUE(LEFT(Q348,LEN(Q348)-2)),""))</f>
        <v>92.64</v>
      </c>
      <c r="BO348" s="6" t="n">
        <f aca="false">IF(R348="-","",IFERROR(VALUE(LEFT(R348,LEN(R348)-5)),""))</f>
        <v>3.18</v>
      </c>
      <c r="BP348" s="6" t="n">
        <f aca="false">IF(R348="-","",IFERROR(VALUE(F348),""))</f>
        <v>294.77</v>
      </c>
      <c r="BQ348" s="4" t="n">
        <f aca="false">IF(R348="-",1,0)</f>
        <v>0</v>
      </c>
    </row>
    <row r="349" customFormat="false" ht="15" hidden="false" customHeight="false" outlineLevel="0" collapsed="false">
      <c r="A349" s="0" t="s">
        <v>1478</v>
      </c>
      <c r="B349" s="0" t="s">
        <v>1479</v>
      </c>
      <c r="C349" s="0" t="s">
        <v>70</v>
      </c>
      <c r="D349" s="0" t="s">
        <v>1498</v>
      </c>
      <c r="E349" s="3" t="n">
        <v>46277</v>
      </c>
      <c r="F349" s="4" t="s">
        <v>1499</v>
      </c>
      <c r="G349" s="5" t="n">
        <v>0.317476851851852</v>
      </c>
      <c r="H349" s="5" t="n">
        <v>0.255162037037037</v>
      </c>
      <c r="I349" s="5" t="n">
        <v>0.000243055555555556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5" t="n">
        <v>0</v>
      </c>
      <c r="P349" s="5" t="n">
        <v>0.0071875</v>
      </c>
      <c r="Q349" s="4" t="s">
        <v>1500</v>
      </c>
      <c r="R349" s="4" t="s">
        <v>437</v>
      </c>
      <c r="S349" s="5" t="n">
        <v>0.000115740740740741</v>
      </c>
      <c r="T349" s="5" t="n">
        <v>0.0863425925925926</v>
      </c>
      <c r="U349" s="5" t="n">
        <v>0.0573032407407407</v>
      </c>
      <c r="V349" s="5" t="n">
        <v>0.127962962962963</v>
      </c>
      <c r="W349" s="5" t="n">
        <v>0.00261574074074074</v>
      </c>
      <c r="X349" s="5" t="n">
        <v>0.000115740740740741</v>
      </c>
      <c r="Y349" s="5" t="n">
        <v>0.000289351851851852</v>
      </c>
      <c r="Z349" s="0" t="n">
        <v>0</v>
      </c>
      <c r="AA349" s="0" t="n">
        <v>0</v>
      </c>
      <c r="AB349" s="0" t="n">
        <v>0</v>
      </c>
      <c r="AC349" s="4" t="s">
        <v>1483</v>
      </c>
      <c r="AD349" s="4" t="s">
        <v>228</v>
      </c>
      <c r="AE349" s="4" t="s">
        <v>1497</v>
      </c>
      <c r="AF349" s="4" t="s">
        <v>1501</v>
      </c>
      <c r="AG349" s="5" t="n">
        <v>0.243900462962963</v>
      </c>
      <c r="AH349" s="5" t="n">
        <v>0.185891203703704</v>
      </c>
      <c r="AI349" s="5" t="n">
        <v>0</v>
      </c>
      <c r="AJ349" s="5" t="n">
        <v>0</v>
      </c>
      <c r="AK349" s="5" t="n">
        <v>0</v>
      </c>
      <c r="AL349" s="5" t="n">
        <v>0</v>
      </c>
      <c r="AM349" s="4" t="s">
        <v>78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3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0</v>
      </c>
      <c r="BI349" s="0" t="n">
        <v>0</v>
      </c>
      <c r="BJ349" s="0" t="n">
        <v>0</v>
      </c>
      <c r="BK349" s="0" t="n">
        <v>0</v>
      </c>
      <c r="BM349" s="6" t="n">
        <f aca="false">IFERROR(VALUE(F349),"")</f>
        <v>176.59</v>
      </c>
      <c r="BN349" s="6" t="n">
        <f aca="false">IF(R349="-","",IFERROR(VALUE(LEFT(Q349,LEN(Q349)-2)),""))</f>
        <v>59.94</v>
      </c>
      <c r="BO349" s="6" t="n">
        <f aca="false">IF(R349="-","",IFERROR(VALUE(LEFT(R349,LEN(R349)-5)),""))</f>
        <v>2.95</v>
      </c>
      <c r="BP349" s="6" t="n">
        <f aca="false">IF(R349="-","",IFERROR(VALUE(F349),""))</f>
        <v>176.59</v>
      </c>
      <c r="BQ349" s="4" t="n">
        <f aca="false">IF(R349="-",1,0)</f>
        <v>0</v>
      </c>
    </row>
    <row r="350" customFormat="false" ht="15" hidden="false" customHeight="false" outlineLevel="0" collapsed="false">
      <c r="A350" s="0" t="s">
        <v>1478</v>
      </c>
      <c r="B350" s="0" t="s">
        <v>1479</v>
      </c>
      <c r="C350" s="0" t="s">
        <v>70</v>
      </c>
      <c r="E350" s="3" t="n">
        <v>46278</v>
      </c>
      <c r="F350" s="4" t="s">
        <v>95</v>
      </c>
      <c r="G350" s="5" t="n">
        <v>0</v>
      </c>
      <c r="H350" s="5" t="n">
        <v>0</v>
      </c>
      <c r="I350" s="5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5" t="n">
        <v>0</v>
      </c>
      <c r="P350" s="5" t="n">
        <v>0</v>
      </c>
      <c r="Q350" s="4" t="s">
        <v>73</v>
      </c>
      <c r="R350" s="4" t="s">
        <v>73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0" t="n">
        <v>0</v>
      </c>
      <c r="AA350" s="0" t="n">
        <v>0</v>
      </c>
      <c r="AB350" s="0" t="n">
        <v>0</v>
      </c>
      <c r="AE350" s="4" t="s">
        <v>1501</v>
      </c>
      <c r="AF350" s="4" t="s">
        <v>1501</v>
      </c>
      <c r="AG350" s="5" t="n">
        <v>0</v>
      </c>
      <c r="AH350" s="5" t="n">
        <v>0.0043287037037037</v>
      </c>
      <c r="AI350" s="5" t="n">
        <v>0</v>
      </c>
      <c r="AJ350" s="5" t="n">
        <v>0</v>
      </c>
      <c r="AK350" s="5" t="n">
        <v>0</v>
      </c>
      <c r="AL350" s="5" t="n">
        <v>0</v>
      </c>
      <c r="AM350" s="4" t="s">
        <v>78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0</v>
      </c>
      <c r="BI350" s="0" t="n">
        <v>0</v>
      </c>
      <c r="BJ350" s="0" t="n">
        <v>0</v>
      </c>
      <c r="BK350" s="0" t="n">
        <v>0</v>
      </c>
      <c r="BM350" s="6" t="n">
        <f aca="false">IFERROR(VALUE(F350),"")</f>
        <v>0</v>
      </c>
      <c r="BN350" s="6" t="str">
        <f aca="false">IF(R350="-","",IFERROR(VALUE(LEFT(Q350,LEN(Q350)-2)),""))</f>
        <v/>
      </c>
      <c r="BO350" s="6" t="str">
        <f aca="false">IF(R350="-","",IFERROR(VALUE(LEFT(R350,LEN(R350)-5)),""))</f>
        <v/>
      </c>
      <c r="BP350" s="6" t="str">
        <f aca="false">IF(R350="-","",IFERROR(VALUE(F350),""))</f>
        <v/>
      </c>
      <c r="BQ350" s="4" t="n">
        <f aca="false">IF(R350="-",1,0)</f>
        <v>1</v>
      </c>
    </row>
    <row r="351" customFormat="false" ht="15" hidden="false" customHeight="false" outlineLevel="0" collapsed="false">
      <c r="A351" s="0" t="s">
        <v>1478</v>
      </c>
      <c r="B351" s="0" t="s">
        <v>1479</v>
      </c>
      <c r="C351" s="0" t="s">
        <v>70</v>
      </c>
      <c r="E351" s="3" t="n">
        <v>46279</v>
      </c>
      <c r="F351" s="4" t="s">
        <v>1502</v>
      </c>
      <c r="G351" s="5" t="n">
        <v>0.0609490740740741</v>
      </c>
      <c r="H351" s="5" t="n">
        <v>0</v>
      </c>
      <c r="I351" s="5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1</v>
      </c>
      <c r="O351" s="5" t="n">
        <v>0</v>
      </c>
      <c r="P351" s="5" t="n">
        <v>0</v>
      </c>
      <c r="Q351" s="4" t="s">
        <v>1503</v>
      </c>
      <c r="R351" s="4" t="s">
        <v>1504</v>
      </c>
      <c r="S351" s="5" t="n">
        <v>0</v>
      </c>
      <c r="T351" s="5" t="n">
        <v>0.0148148148148148</v>
      </c>
      <c r="U351" s="5" t="n">
        <v>0.00347222222222222</v>
      </c>
      <c r="V351" s="5" t="n">
        <v>0.000810185185185185</v>
      </c>
      <c r="W351" s="5" t="n">
        <v>0</v>
      </c>
      <c r="X351" s="5" t="n">
        <v>0</v>
      </c>
      <c r="Y351" s="5" t="n">
        <v>0</v>
      </c>
      <c r="Z351" s="0" t="n">
        <v>0</v>
      </c>
      <c r="AA351" s="0" t="n">
        <v>0</v>
      </c>
      <c r="AB351" s="0" t="n">
        <v>0</v>
      </c>
      <c r="AC351" s="4" t="s">
        <v>74</v>
      </c>
      <c r="AD351" s="4" t="s">
        <v>75</v>
      </c>
      <c r="AE351" s="4" t="s">
        <v>1501</v>
      </c>
      <c r="AF351" s="4" t="s">
        <v>1505</v>
      </c>
      <c r="AG351" s="5" t="n">
        <v>0.00921296296296296</v>
      </c>
      <c r="AH351" s="5" t="n">
        <v>0.138206018518519</v>
      </c>
      <c r="AI351" s="5" t="n">
        <v>0</v>
      </c>
      <c r="AJ351" s="5" t="n">
        <v>0</v>
      </c>
      <c r="AK351" s="5" t="n">
        <v>0</v>
      </c>
      <c r="AL351" s="5" t="n">
        <v>0</v>
      </c>
      <c r="AM351" s="4" t="s">
        <v>78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0</v>
      </c>
      <c r="BG351" s="0" t="n">
        <v>0</v>
      </c>
      <c r="BH351" s="0" t="n">
        <v>0</v>
      </c>
      <c r="BI351" s="0" t="n">
        <v>0</v>
      </c>
      <c r="BJ351" s="0" t="n">
        <v>0</v>
      </c>
      <c r="BK351" s="0" t="n">
        <v>0</v>
      </c>
      <c r="BM351" s="6" t="n">
        <f aca="false">IFERROR(VALUE(F351),"")</f>
        <v>1.01</v>
      </c>
      <c r="BN351" s="6" t="n">
        <f aca="false">IF(R351="-","",IFERROR(VALUE(LEFT(Q351,LEN(Q351)-2)),""))</f>
        <v>1.26</v>
      </c>
      <c r="BO351" s="6" t="n">
        <f aca="false">IF(R351="-","",IFERROR(VALUE(LEFT(R351,LEN(R351)-5)),""))</f>
        <v>0.8</v>
      </c>
      <c r="BP351" s="6" t="n">
        <f aca="false">IF(R351="-","",IFERROR(VALUE(F351),""))</f>
        <v>1.01</v>
      </c>
      <c r="BQ351" s="4" t="n">
        <f aca="false">IF(R351="-",1,0)</f>
        <v>0</v>
      </c>
    </row>
    <row r="352" customFormat="false" ht="15" hidden="false" customHeight="false" outlineLevel="0" collapsed="false">
      <c r="A352" s="0" t="s">
        <v>1506</v>
      </c>
      <c r="B352" s="0" t="s">
        <v>1507</v>
      </c>
      <c r="C352" s="0" t="s">
        <v>70</v>
      </c>
      <c r="E352" s="3" t="n">
        <v>46273</v>
      </c>
      <c r="F352" s="4" t="s">
        <v>1158</v>
      </c>
      <c r="G352" s="5" t="n">
        <v>0.160173611111111</v>
      </c>
      <c r="H352" s="5" t="n">
        <v>0</v>
      </c>
      <c r="I352" s="5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5" t="n">
        <v>0</v>
      </c>
      <c r="P352" s="5" t="n">
        <v>0</v>
      </c>
      <c r="Q352" s="4" t="s">
        <v>73</v>
      </c>
      <c r="R352" s="4" t="s">
        <v>73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0" t="n">
        <v>0</v>
      </c>
      <c r="AA352" s="0" t="n">
        <v>0</v>
      </c>
      <c r="AB352" s="0" t="n">
        <v>0</v>
      </c>
      <c r="AC352" s="4" t="s">
        <v>75</v>
      </c>
      <c r="AD352" s="4" t="s">
        <v>228</v>
      </c>
      <c r="AE352" s="4" t="s">
        <v>1508</v>
      </c>
      <c r="AF352" s="4" t="s">
        <v>1509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n">
        <v>0</v>
      </c>
      <c r="AM352" s="4" t="s">
        <v>78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1</v>
      </c>
      <c r="BC352" s="0" t="n">
        <v>1</v>
      </c>
      <c r="BD352" s="0" t="n">
        <v>2</v>
      </c>
      <c r="BE352" s="0" t="n">
        <v>0</v>
      </c>
      <c r="BF352" s="0" t="n">
        <v>0</v>
      </c>
      <c r="BG352" s="0" t="n">
        <v>0</v>
      </c>
      <c r="BH352" s="0" t="n">
        <v>0</v>
      </c>
      <c r="BI352" s="0" t="n">
        <v>0</v>
      </c>
      <c r="BJ352" s="0" t="n">
        <v>0</v>
      </c>
      <c r="BK352" s="0" t="n">
        <v>0</v>
      </c>
      <c r="BM352" s="6" t="n">
        <f aca="false">IFERROR(VALUE(F352),"")</f>
        <v>0.04</v>
      </c>
      <c r="BN352" s="6" t="str">
        <f aca="false">IF(R352="-","",IFERROR(VALUE(LEFT(Q352,LEN(Q352)-2)),""))</f>
        <v/>
      </c>
      <c r="BO352" s="6" t="str">
        <f aca="false">IF(R352="-","",IFERROR(VALUE(LEFT(R352,LEN(R352)-5)),""))</f>
        <v/>
      </c>
      <c r="BP352" s="6" t="str">
        <f aca="false">IF(R352="-","",IFERROR(VALUE(F352),""))</f>
        <v/>
      </c>
      <c r="BQ352" s="4" t="n">
        <f aca="false">IF(R352="-",1,0)</f>
        <v>1</v>
      </c>
    </row>
    <row r="353" customFormat="false" ht="15" hidden="false" customHeight="false" outlineLevel="0" collapsed="false">
      <c r="A353" s="0" t="s">
        <v>1506</v>
      </c>
      <c r="B353" s="0" t="s">
        <v>1507</v>
      </c>
      <c r="C353" s="0" t="s">
        <v>70</v>
      </c>
      <c r="E353" s="3" t="n">
        <v>46274</v>
      </c>
      <c r="F353" s="4" t="s">
        <v>1510</v>
      </c>
      <c r="G353" s="5" t="n">
        <v>0.133622685185185</v>
      </c>
      <c r="H353" s="5" t="n">
        <v>0</v>
      </c>
      <c r="I353" s="5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5" t="n">
        <v>0</v>
      </c>
      <c r="P353" s="5" t="n">
        <v>0</v>
      </c>
      <c r="Q353" s="4" t="s">
        <v>1511</v>
      </c>
      <c r="R353" s="4" t="s">
        <v>378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0" t="n">
        <v>0</v>
      </c>
      <c r="AA353" s="0" t="n">
        <v>0</v>
      </c>
      <c r="AB353" s="0" t="n">
        <v>0</v>
      </c>
      <c r="AC353" s="4" t="s">
        <v>75</v>
      </c>
      <c r="AD353" s="4" t="s">
        <v>320</v>
      </c>
      <c r="AE353" s="4" t="s">
        <v>1509</v>
      </c>
      <c r="AF353" s="4" t="s">
        <v>1512</v>
      </c>
      <c r="AG353" s="5" t="n">
        <v>0.0905902777777778</v>
      </c>
      <c r="AH353" s="5" t="n">
        <v>0.0264351851851852</v>
      </c>
      <c r="AI353" s="5" t="n">
        <v>0</v>
      </c>
      <c r="AJ353" s="5" t="n">
        <v>0</v>
      </c>
      <c r="AK353" s="5" t="n">
        <v>0</v>
      </c>
      <c r="AL353" s="5" t="n">
        <v>0</v>
      </c>
      <c r="AM353" s="4" t="s">
        <v>78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s="0" t="n">
        <v>0</v>
      </c>
      <c r="BB353" s="0" t="n">
        <v>4</v>
      </c>
      <c r="BC353" s="0" t="n">
        <v>2</v>
      </c>
      <c r="BD353" s="0" t="n">
        <v>2</v>
      </c>
      <c r="BE353" s="0" t="n">
        <v>0</v>
      </c>
      <c r="BF353" s="0" t="n">
        <v>0</v>
      </c>
      <c r="BG353" s="0" t="n">
        <v>0</v>
      </c>
      <c r="BH353" s="0" t="n">
        <v>0</v>
      </c>
      <c r="BI353" s="0" t="n">
        <v>0</v>
      </c>
      <c r="BJ353" s="0" t="n">
        <v>0</v>
      </c>
      <c r="BK353" s="0" t="n">
        <v>0</v>
      </c>
      <c r="BM353" s="6" t="n">
        <f aca="false">IFERROR(VALUE(F353),"")</f>
        <v>89.87</v>
      </c>
      <c r="BN353" s="6" t="n">
        <f aca="false">IF(R353="-","",IFERROR(VALUE(LEFT(Q353,LEN(Q353)-2)),""))</f>
        <v>33.16</v>
      </c>
      <c r="BO353" s="6" t="n">
        <f aca="false">IF(R353="-","",IFERROR(VALUE(LEFT(R353,LEN(R353)-5)),""))</f>
        <v>2.71</v>
      </c>
      <c r="BP353" s="6" t="n">
        <f aca="false">IF(R353="-","",IFERROR(VALUE(F353),""))</f>
        <v>89.87</v>
      </c>
      <c r="BQ353" s="4" t="n">
        <f aca="false">IF(R353="-",1,0)</f>
        <v>0</v>
      </c>
    </row>
    <row r="354" customFormat="false" ht="15" hidden="false" customHeight="false" outlineLevel="0" collapsed="false">
      <c r="A354" s="0" t="s">
        <v>1506</v>
      </c>
      <c r="B354" s="0" t="s">
        <v>1507</v>
      </c>
      <c r="C354" s="0" t="s">
        <v>70</v>
      </c>
      <c r="E354" s="3" t="n">
        <v>46275</v>
      </c>
      <c r="F354" s="4" t="s">
        <v>1513</v>
      </c>
      <c r="G354" s="5" t="n">
        <v>0.113402777777778</v>
      </c>
      <c r="H354" s="5" t="n">
        <v>0</v>
      </c>
      <c r="I354" s="5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5" t="n">
        <v>0</v>
      </c>
      <c r="P354" s="5" t="n">
        <v>0.011712962962963</v>
      </c>
      <c r="Q354" s="4" t="s">
        <v>1514</v>
      </c>
      <c r="R354" s="4" t="s">
        <v>332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0" t="n">
        <v>0</v>
      </c>
      <c r="AA354" s="0" t="n">
        <v>0</v>
      </c>
      <c r="AB354" s="0" t="n">
        <v>0</v>
      </c>
      <c r="AC354" s="4" t="s">
        <v>320</v>
      </c>
      <c r="AD354" s="4" t="s">
        <v>228</v>
      </c>
      <c r="AE354" s="4" t="s">
        <v>1512</v>
      </c>
      <c r="AF354" s="4" t="s">
        <v>1515</v>
      </c>
      <c r="AG354" s="5" t="n">
        <v>0.0916898148148148</v>
      </c>
      <c r="AH354" s="5" t="n">
        <v>0.052962962962963</v>
      </c>
      <c r="AI354" s="5" t="n">
        <v>0</v>
      </c>
      <c r="AJ354" s="5" t="n">
        <v>0</v>
      </c>
      <c r="AK354" s="5" t="n">
        <v>0</v>
      </c>
      <c r="AL354" s="5" t="n">
        <v>0</v>
      </c>
      <c r="AM354" s="4" t="s">
        <v>78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4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8</v>
      </c>
      <c r="BC354" s="0" t="n">
        <v>0</v>
      </c>
      <c r="BD354" s="0" t="n">
        <v>2</v>
      </c>
      <c r="BE354" s="0" t="n">
        <v>0</v>
      </c>
      <c r="BF354" s="0" t="n">
        <v>0</v>
      </c>
      <c r="BG354" s="0" t="n">
        <v>0</v>
      </c>
      <c r="BH354" s="0" t="n">
        <v>0</v>
      </c>
      <c r="BI354" s="0" t="n">
        <v>0</v>
      </c>
      <c r="BJ354" s="0" t="n">
        <v>0</v>
      </c>
      <c r="BK354" s="0" t="n">
        <v>0</v>
      </c>
      <c r="BM354" s="6" t="n">
        <f aca="false">IFERROR(VALUE(F354),"")</f>
        <v>88.69</v>
      </c>
      <c r="BN354" s="6" t="n">
        <f aca="false">IF(R354="-","",IFERROR(VALUE(LEFT(Q354,LEN(Q354)-2)),""))</f>
        <v>31.24</v>
      </c>
      <c r="BO354" s="6" t="n">
        <f aca="false">IF(R354="-","",IFERROR(VALUE(LEFT(R354,LEN(R354)-5)),""))</f>
        <v>2.84</v>
      </c>
      <c r="BP354" s="6" t="n">
        <f aca="false">IF(R354="-","",IFERROR(VALUE(F354),""))</f>
        <v>88.69</v>
      </c>
      <c r="BQ354" s="4" t="n">
        <f aca="false">IF(R354="-",1,0)</f>
        <v>0</v>
      </c>
    </row>
    <row r="355" customFormat="false" ht="15" hidden="false" customHeight="false" outlineLevel="0" collapsed="false">
      <c r="A355" s="0" t="s">
        <v>1506</v>
      </c>
      <c r="B355" s="0" t="s">
        <v>1507</v>
      </c>
      <c r="C355" s="0" t="s">
        <v>70</v>
      </c>
      <c r="E355" s="3" t="n">
        <v>46276</v>
      </c>
      <c r="F355" s="4" t="s">
        <v>1516</v>
      </c>
      <c r="G355" s="5" t="n">
        <v>0.426828703703704</v>
      </c>
      <c r="H355" s="5" t="n">
        <v>0</v>
      </c>
      <c r="I355" s="5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5" t="n">
        <v>0</v>
      </c>
      <c r="P355" s="5" t="n">
        <v>0.0541319444444445</v>
      </c>
      <c r="Q355" s="4" t="s">
        <v>1517</v>
      </c>
      <c r="R355" s="4" t="s">
        <v>948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0" t="n">
        <v>0</v>
      </c>
      <c r="AA355" s="0" t="n">
        <v>0</v>
      </c>
      <c r="AB355" s="0" t="n">
        <v>0</v>
      </c>
      <c r="AC355" s="4" t="s">
        <v>75</v>
      </c>
      <c r="AD355" s="4" t="s">
        <v>1518</v>
      </c>
      <c r="AE355" s="4" t="s">
        <v>1515</v>
      </c>
      <c r="AF355" s="4" t="s">
        <v>1519</v>
      </c>
      <c r="AG355" s="5" t="n">
        <v>0.31380787037037</v>
      </c>
      <c r="AH355" s="5" t="n">
        <v>0.147268518518519</v>
      </c>
      <c r="AI355" s="5" t="n">
        <v>0</v>
      </c>
      <c r="AJ355" s="5" t="n">
        <v>0</v>
      </c>
      <c r="AK355" s="5" t="n">
        <v>0</v>
      </c>
      <c r="AL355" s="5" t="n">
        <v>0</v>
      </c>
      <c r="AM355" s="4" t="s">
        <v>78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  <c r="BA355" s="0" t="n">
        <v>0</v>
      </c>
      <c r="BB355" s="0" t="n">
        <v>21</v>
      </c>
      <c r="BC355" s="0" t="n">
        <v>0</v>
      </c>
      <c r="BD355" s="0" t="n">
        <v>1</v>
      </c>
      <c r="BE355" s="0" t="n">
        <v>0</v>
      </c>
      <c r="BF355" s="0" t="n">
        <v>0</v>
      </c>
      <c r="BG355" s="0" t="n">
        <v>0</v>
      </c>
      <c r="BH355" s="0" t="n">
        <v>0</v>
      </c>
      <c r="BI355" s="0" t="n">
        <v>0</v>
      </c>
      <c r="BJ355" s="0" t="n">
        <v>0</v>
      </c>
      <c r="BK355" s="0" t="n">
        <v>0</v>
      </c>
      <c r="BM355" s="6" t="n">
        <f aca="false">IFERROR(VALUE(F355),"")</f>
        <v>265.77</v>
      </c>
      <c r="BN355" s="6" t="n">
        <f aca="false">IF(R355="-","",IFERROR(VALUE(LEFT(Q355,LEN(Q355)-2)),""))</f>
        <v>82.07</v>
      </c>
      <c r="BO355" s="6" t="n">
        <f aca="false">IF(R355="-","",IFERROR(VALUE(LEFT(R355,LEN(R355)-5)),""))</f>
        <v>3.24</v>
      </c>
      <c r="BP355" s="6" t="n">
        <f aca="false">IF(R355="-","",IFERROR(VALUE(F355),""))</f>
        <v>265.77</v>
      </c>
      <c r="BQ355" s="4" t="n">
        <f aca="false">IF(R355="-",1,0)</f>
        <v>0</v>
      </c>
    </row>
    <row r="356" customFormat="false" ht="15" hidden="false" customHeight="false" outlineLevel="0" collapsed="false">
      <c r="A356" s="0" t="s">
        <v>1506</v>
      </c>
      <c r="B356" s="0" t="s">
        <v>1507</v>
      </c>
      <c r="C356" s="0" t="s">
        <v>70</v>
      </c>
      <c r="E356" s="3" t="n">
        <v>46277</v>
      </c>
      <c r="F356" s="4" t="s">
        <v>1520</v>
      </c>
      <c r="G356" s="5" t="n">
        <v>0.0862384259259259</v>
      </c>
      <c r="H356" s="5" t="n">
        <v>0</v>
      </c>
      <c r="I356" s="5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5" t="n">
        <v>0</v>
      </c>
      <c r="P356" s="5" t="n">
        <v>0</v>
      </c>
      <c r="Q356" s="4" t="s">
        <v>1521</v>
      </c>
      <c r="R356" s="4" t="s">
        <v>1522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0" t="n">
        <v>0</v>
      </c>
      <c r="AA356" s="0" t="n">
        <v>0</v>
      </c>
      <c r="AB356" s="0" t="n">
        <v>0</v>
      </c>
      <c r="AC356" s="4" t="s">
        <v>1518</v>
      </c>
      <c r="AD356" s="4" t="s">
        <v>74</v>
      </c>
      <c r="AE356" s="4" t="s">
        <v>1523</v>
      </c>
      <c r="AF356" s="4" t="s">
        <v>1524</v>
      </c>
      <c r="AG356" s="5" t="n">
        <v>0.0752893518518519</v>
      </c>
      <c r="AH356" s="5" t="n">
        <v>0.024537037037037</v>
      </c>
      <c r="AI356" s="5" t="n">
        <v>0</v>
      </c>
      <c r="AJ356" s="5" t="n">
        <v>0</v>
      </c>
      <c r="AK356" s="5" t="n">
        <v>0</v>
      </c>
      <c r="AL356" s="5" t="n">
        <v>0</v>
      </c>
      <c r="AM356" s="4" t="s">
        <v>78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  <c r="BA356" s="0" t="n">
        <v>0</v>
      </c>
      <c r="BB356" s="0" t="n">
        <v>6</v>
      </c>
      <c r="BC356" s="0" t="n">
        <v>0</v>
      </c>
      <c r="BD356" s="0" t="n">
        <v>3</v>
      </c>
      <c r="BE356" s="0" t="n">
        <v>0</v>
      </c>
      <c r="BF356" s="0" t="n">
        <v>0</v>
      </c>
      <c r="BG356" s="0" t="n">
        <v>0</v>
      </c>
      <c r="BH356" s="0" t="n">
        <v>0</v>
      </c>
      <c r="BI356" s="0" t="n">
        <v>0</v>
      </c>
      <c r="BJ356" s="0" t="n">
        <v>0</v>
      </c>
      <c r="BK356" s="0" t="n">
        <v>0</v>
      </c>
      <c r="BM356" s="6" t="n">
        <f aca="false">IFERROR(VALUE(F356),"")</f>
        <v>101.72</v>
      </c>
      <c r="BN356" s="6" t="n">
        <f aca="false">IF(R356="-","",IFERROR(VALUE(LEFT(Q356,LEN(Q356)-2)),""))</f>
        <v>24.24</v>
      </c>
      <c r="BO356" s="6" t="n">
        <f aca="false">IF(R356="-","",IFERROR(VALUE(LEFT(R356,LEN(R356)-5)),""))</f>
        <v>4.2</v>
      </c>
      <c r="BP356" s="6" t="n">
        <f aca="false">IF(R356="-","",IFERROR(VALUE(F356),""))</f>
        <v>101.72</v>
      </c>
      <c r="BQ356" s="4" t="n">
        <f aca="false">IF(R356="-",1,0)</f>
        <v>0</v>
      </c>
    </row>
    <row r="357" customFormat="false" ht="15" hidden="false" customHeight="false" outlineLevel="0" collapsed="false">
      <c r="A357" s="0" t="s">
        <v>1506</v>
      </c>
      <c r="B357" s="0" t="s">
        <v>1507</v>
      </c>
      <c r="C357" s="0" t="s">
        <v>70</v>
      </c>
      <c r="E357" s="3" t="n">
        <v>46279</v>
      </c>
      <c r="F357" s="4" t="s">
        <v>1525</v>
      </c>
      <c r="G357" s="5" t="n">
        <v>0.184282407407407</v>
      </c>
      <c r="H357" s="5" t="n">
        <v>0</v>
      </c>
      <c r="I357" s="5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5" t="n">
        <v>0</v>
      </c>
      <c r="P357" s="5" t="n">
        <v>0.010775462962963</v>
      </c>
      <c r="Q357" s="4" t="s">
        <v>1526</v>
      </c>
      <c r="R357" s="4" t="s">
        <v>1527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0" t="n">
        <v>0</v>
      </c>
      <c r="AA357" s="0" t="n">
        <v>0</v>
      </c>
      <c r="AB357" s="0" t="n">
        <v>0</v>
      </c>
      <c r="AC357" s="4" t="s">
        <v>74</v>
      </c>
      <c r="AD357" s="4" t="s">
        <v>228</v>
      </c>
      <c r="AE357" s="4" t="s">
        <v>1524</v>
      </c>
      <c r="AF357" s="4" t="s">
        <v>1528</v>
      </c>
      <c r="AG357" s="5" t="n">
        <v>0.135763888888889</v>
      </c>
      <c r="AH357" s="5" t="n">
        <v>0.171608796296296</v>
      </c>
      <c r="AI357" s="5" t="n">
        <v>0</v>
      </c>
      <c r="AJ357" s="5" t="n">
        <v>0</v>
      </c>
      <c r="AK357" s="5" t="n">
        <v>0</v>
      </c>
      <c r="AL357" s="5" t="n">
        <v>0</v>
      </c>
      <c r="AM357" s="4" t="s">
        <v>78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  <c r="BA357" s="0" t="n">
        <v>0</v>
      </c>
      <c r="BB357" s="0" t="n">
        <v>2</v>
      </c>
      <c r="BC357" s="0" t="n">
        <v>0</v>
      </c>
      <c r="BD357" s="0" t="n">
        <v>4</v>
      </c>
      <c r="BE357" s="0" t="n">
        <v>0</v>
      </c>
      <c r="BF357" s="0" t="n">
        <v>0</v>
      </c>
      <c r="BG357" s="0" t="n">
        <v>0</v>
      </c>
      <c r="BH357" s="0" t="n">
        <v>0</v>
      </c>
      <c r="BI357" s="0" t="n">
        <v>0</v>
      </c>
      <c r="BJ357" s="0" t="n">
        <v>0</v>
      </c>
      <c r="BK357" s="0" t="n">
        <v>0</v>
      </c>
      <c r="BM357" s="6" t="n">
        <f aca="false">IFERROR(VALUE(F357),"")</f>
        <v>53.5</v>
      </c>
      <c r="BN357" s="6" t="n">
        <f aca="false">IF(R357="-","",IFERROR(VALUE(LEFT(Q357,LEN(Q357)-2)),""))</f>
        <v>22.63</v>
      </c>
      <c r="BO357" s="6" t="n">
        <f aca="false">IF(R357="-","",IFERROR(VALUE(LEFT(R357,LEN(R357)-5)),""))</f>
        <v>2.36</v>
      </c>
      <c r="BP357" s="6" t="n">
        <f aca="false">IF(R357="-","",IFERROR(VALUE(F357),""))</f>
        <v>53.5</v>
      </c>
      <c r="BQ357" s="4" t="n">
        <f aca="false">IF(R357="-",1,0)</f>
        <v>0</v>
      </c>
    </row>
    <row r="358" customFormat="false" ht="15" hidden="false" customHeight="false" outlineLevel="0" collapsed="false">
      <c r="A358" s="0" t="s">
        <v>1529</v>
      </c>
      <c r="B358" s="0" t="s">
        <v>1530</v>
      </c>
      <c r="C358" s="0" t="s">
        <v>70</v>
      </c>
      <c r="E358" s="3" t="n">
        <v>46279</v>
      </c>
      <c r="F358" s="4" t="s">
        <v>1531</v>
      </c>
      <c r="G358" s="5" t="n">
        <v>0.0433217592592593</v>
      </c>
      <c r="H358" s="5" t="n">
        <v>0</v>
      </c>
      <c r="I358" s="5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5" t="n">
        <v>0</v>
      </c>
      <c r="P358" s="5" t="n">
        <v>0</v>
      </c>
      <c r="Q358" s="4" t="s">
        <v>217</v>
      </c>
      <c r="R358" s="4" t="s">
        <v>1532</v>
      </c>
      <c r="S358" s="5" t="n">
        <v>0</v>
      </c>
      <c r="T358" s="5" t="n">
        <v>0.00439814814814815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0" t="n">
        <v>0</v>
      </c>
      <c r="AA358" s="0" t="n">
        <v>0</v>
      </c>
      <c r="AB358" s="0" t="n">
        <v>0</v>
      </c>
      <c r="AC358" s="4" t="s">
        <v>75</v>
      </c>
      <c r="AD358" s="4" t="s">
        <v>75</v>
      </c>
      <c r="AE358" s="4" t="s">
        <v>1533</v>
      </c>
      <c r="AF358" s="4" t="s">
        <v>1534</v>
      </c>
      <c r="AG358" s="5" t="n">
        <v>0</v>
      </c>
      <c r="AH358" s="5" t="n">
        <v>0.0447337962962963</v>
      </c>
      <c r="AI358" s="5" t="n">
        <v>0</v>
      </c>
      <c r="AJ358" s="5" t="n">
        <v>0</v>
      </c>
      <c r="AK358" s="5" t="n">
        <v>0</v>
      </c>
      <c r="AL358" s="5" t="n">
        <v>0</v>
      </c>
      <c r="AM358" s="4" t="s">
        <v>78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0</v>
      </c>
      <c r="BF358" s="0" t="n">
        <v>0</v>
      </c>
      <c r="BG358" s="0" t="n">
        <v>0</v>
      </c>
      <c r="BH358" s="0" t="n">
        <v>0</v>
      </c>
      <c r="BI358" s="0" t="n">
        <v>0</v>
      </c>
      <c r="BJ358" s="0" t="n">
        <v>0</v>
      </c>
      <c r="BK358" s="0" t="n">
        <v>0</v>
      </c>
      <c r="BM358" s="6" t="n">
        <f aca="false">IFERROR(VALUE(F358),"")</f>
        <v>0.81</v>
      </c>
      <c r="BN358" s="6" t="n">
        <f aca="false">IF(R358="-","",IFERROR(VALUE(LEFT(Q358,LEN(Q358)-2)),""))</f>
        <v>0.2</v>
      </c>
      <c r="BO358" s="6" t="n">
        <f aca="false">IF(R358="-","",IFERROR(VALUE(LEFT(R358,LEN(R358)-5)),""))</f>
        <v>4.01</v>
      </c>
      <c r="BP358" s="6" t="n">
        <f aca="false">IF(R358="-","",IFERROR(VALUE(F358),""))</f>
        <v>0.81</v>
      </c>
      <c r="BQ358" s="4" t="n">
        <f aca="false">IF(R358="-",1,0)</f>
        <v>0</v>
      </c>
    </row>
    <row r="359" customFormat="false" ht="15" hidden="false" customHeight="false" outlineLevel="0" collapsed="false">
      <c r="A359" s="0" t="s">
        <v>1535</v>
      </c>
      <c r="B359" s="0" t="s">
        <v>1536</v>
      </c>
      <c r="C359" s="0" t="s">
        <v>70</v>
      </c>
      <c r="D359" s="0" t="s">
        <v>1537</v>
      </c>
      <c r="E359" s="3" t="n">
        <v>46273</v>
      </c>
      <c r="F359" s="4" t="s">
        <v>1538</v>
      </c>
      <c r="G359" s="5" t="n">
        <v>0.718969907407407</v>
      </c>
      <c r="H359" s="5" t="n">
        <v>0.712511574074074</v>
      </c>
      <c r="I359" s="5" t="n">
        <v>0.000925925925925926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5" t="n">
        <v>0</v>
      </c>
      <c r="P359" s="5" t="n">
        <v>0</v>
      </c>
      <c r="Q359" s="4" t="s">
        <v>1539</v>
      </c>
      <c r="R359" s="4" t="s">
        <v>524</v>
      </c>
      <c r="S359" s="5" t="n">
        <v>0</v>
      </c>
      <c r="T359" s="5" t="n">
        <v>0.284953703703704</v>
      </c>
      <c r="U359" s="5" t="n">
        <v>0.278703703703704</v>
      </c>
      <c r="V359" s="5" t="n">
        <v>0.141087962962963</v>
      </c>
      <c r="W359" s="5" t="n">
        <v>0</v>
      </c>
      <c r="X359" s="5" t="n">
        <v>0</v>
      </c>
      <c r="Y359" s="5" t="n">
        <v>0</v>
      </c>
      <c r="Z359" s="0" t="n">
        <v>0</v>
      </c>
      <c r="AA359" s="0" t="n">
        <v>0</v>
      </c>
      <c r="AB359" s="0" t="n">
        <v>0</v>
      </c>
      <c r="AC359" s="4" t="s">
        <v>1540</v>
      </c>
      <c r="AD359" s="4" t="s">
        <v>208</v>
      </c>
      <c r="AE359" s="4" t="s">
        <v>1541</v>
      </c>
      <c r="AF359" s="4" t="s">
        <v>1542</v>
      </c>
      <c r="AG359" s="5" t="n">
        <v>0.608587962962963</v>
      </c>
      <c r="AH359" s="5" t="n">
        <v>0.149166666666667</v>
      </c>
      <c r="AI359" s="5" t="n">
        <v>0</v>
      </c>
      <c r="AJ359" s="5" t="n">
        <v>0</v>
      </c>
      <c r="AK359" s="5" t="n">
        <v>0</v>
      </c>
      <c r="AL359" s="5" t="n">
        <v>0</v>
      </c>
      <c r="AM359" s="4" t="s">
        <v>78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10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0</v>
      </c>
      <c r="BK359" s="0" t="n">
        <v>0</v>
      </c>
      <c r="BM359" s="6" t="n">
        <f aca="false">IFERROR(VALUE(F359),"")</f>
        <v>426.88</v>
      </c>
      <c r="BN359" s="6" t="n">
        <f aca="false">IF(R359="-","",IFERROR(VALUE(LEFT(Q359,LEN(Q359)-2)),""))</f>
        <v>152.86</v>
      </c>
      <c r="BO359" s="6" t="n">
        <f aca="false">IF(R359="-","",IFERROR(VALUE(LEFT(R359,LEN(R359)-5)),""))</f>
        <v>2.79</v>
      </c>
      <c r="BP359" s="6" t="n">
        <f aca="false">IF(R359="-","",IFERROR(VALUE(F359),""))</f>
        <v>426.88</v>
      </c>
      <c r="BQ359" s="4" t="n">
        <f aca="false">IF(R359="-",1,0)</f>
        <v>0</v>
      </c>
    </row>
    <row r="360" customFormat="false" ht="15" hidden="false" customHeight="false" outlineLevel="0" collapsed="false">
      <c r="A360" s="0" t="s">
        <v>1535</v>
      </c>
      <c r="B360" s="0" t="s">
        <v>1536</v>
      </c>
      <c r="C360" s="0" t="s">
        <v>70</v>
      </c>
      <c r="D360" s="0" t="s">
        <v>1543</v>
      </c>
      <c r="E360" s="3" t="n">
        <v>46274</v>
      </c>
      <c r="F360" s="4" t="s">
        <v>1544</v>
      </c>
      <c r="G360" s="5" t="n">
        <v>0.751006944444445</v>
      </c>
      <c r="H360" s="5" t="n">
        <v>0.714201388888889</v>
      </c>
      <c r="I360" s="5" t="n">
        <v>0.0003125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5" t="n">
        <v>0</v>
      </c>
      <c r="P360" s="5" t="n">
        <v>0.00710648148148148</v>
      </c>
      <c r="Q360" s="4" t="s">
        <v>1545</v>
      </c>
      <c r="R360" s="4" t="s">
        <v>1199</v>
      </c>
      <c r="S360" s="5" t="n">
        <v>0</v>
      </c>
      <c r="T360" s="5" t="n">
        <v>0.296296296296296</v>
      </c>
      <c r="U360" s="5" t="n">
        <v>0.306828703703704</v>
      </c>
      <c r="V360" s="5" t="n">
        <v>0.115509259259259</v>
      </c>
      <c r="W360" s="5" t="n">
        <v>0</v>
      </c>
      <c r="X360" s="5" t="n">
        <v>0</v>
      </c>
      <c r="Y360" s="5" t="n">
        <v>0</v>
      </c>
      <c r="Z360" s="0" t="n">
        <v>0</v>
      </c>
      <c r="AA360" s="0" t="n">
        <v>0</v>
      </c>
      <c r="AB360" s="0" t="n">
        <v>0</v>
      </c>
      <c r="AC360" s="4" t="s">
        <v>208</v>
      </c>
      <c r="AD360" s="4" t="s">
        <v>208</v>
      </c>
      <c r="AE360" s="4" t="s">
        <v>1542</v>
      </c>
      <c r="AF360" s="4" t="s">
        <v>1546</v>
      </c>
      <c r="AG360" s="5" t="n">
        <v>0.609421296296296</v>
      </c>
      <c r="AH360" s="5" t="n">
        <v>0.258194444444444</v>
      </c>
      <c r="AI360" s="5" t="n">
        <v>0</v>
      </c>
      <c r="AJ360" s="5" t="n">
        <v>0</v>
      </c>
      <c r="AK360" s="5" t="n">
        <v>0</v>
      </c>
      <c r="AL360" s="5" t="n">
        <v>0</v>
      </c>
      <c r="AM360" s="4" t="s">
        <v>78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11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0</v>
      </c>
      <c r="BI360" s="0" t="n">
        <v>0</v>
      </c>
      <c r="BJ360" s="0" t="n">
        <v>0</v>
      </c>
      <c r="BK360" s="0" t="n">
        <v>0</v>
      </c>
      <c r="BM360" s="6" t="n">
        <f aca="false">IFERROR(VALUE(F360),"")</f>
        <v>427.62</v>
      </c>
      <c r="BN360" s="6" t="n">
        <f aca="false">IF(R360="-","",IFERROR(VALUE(LEFT(Q360,LEN(Q360)-2)),""))</f>
        <v>147.82</v>
      </c>
      <c r="BO360" s="6" t="n">
        <f aca="false">IF(R360="-","",IFERROR(VALUE(LEFT(R360,LEN(R360)-5)),""))</f>
        <v>2.89</v>
      </c>
      <c r="BP360" s="6" t="n">
        <f aca="false">IF(R360="-","",IFERROR(VALUE(F360),""))</f>
        <v>427.62</v>
      </c>
      <c r="BQ360" s="4" t="n">
        <f aca="false">IF(R360="-",1,0)</f>
        <v>0</v>
      </c>
    </row>
    <row r="361" customFormat="false" ht="15" hidden="false" customHeight="false" outlineLevel="0" collapsed="false">
      <c r="A361" s="0" t="s">
        <v>1535</v>
      </c>
      <c r="B361" s="0" t="s">
        <v>1536</v>
      </c>
      <c r="C361" s="0" t="s">
        <v>70</v>
      </c>
      <c r="D361" s="0" t="s">
        <v>1547</v>
      </c>
      <c r="E361" s="3" t="n">
        <v>46275</v>
      </c>
      <c r="F361" s="4" t="s">
        <v>1548</v>
      </c>
      <c r="G361" s="5" t="n">
        <v>0.746666666666667</v>
      </c>
      <c r="H361" s="5" t="n">
        <v>0.716782407407407</v>
      </c>
      <c r="I361" s="5" t="n">
        <v>0.00166666666666667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5" t="n">
        <v>0</v>
      </c>
      <c r="P361" s="5" t="n">
        <v>0.00768518518518519</v>
      </c>
      <c r="Q361" s="4" t="s">
        <v>1549</v>
      </c>
      <c r="R361" s="4" t="s">
        <v>473</v>
      </c>
      <c r="S361" s="5" t="n">
        <v>0</v>
      </c>
      <c r="T361" s="5" t="n">
        <v>0.304513888888889</v>
      </c>
      <c r="U361" s="5" t="n">
        <v>0.287615740740741</v>
      </c>
      <c r="V361" s="5" t="n">
        <v>0.132986111111111</v>
      </c>
      <c r="W361" s="5" t="n">
        <v>0</v>
      </c>
      <c r="X361" s="5" t="n">
        <v>0</v>
      </c>
      <c r="Y361" s="5" t="n">
        <v>0</v>
      </c>
      <c r="Z361" s="0" t="n">
        <v>0</v>
      </c>
      <c r="AA361" s="0" t="n">
        <v>0</v>
      </c>
      <c r="AB361" s="0" t="n">
        <v>0</v>
      </c>
      <c r="AC361" s="4" t="s">
        <v>208</v>
      </c>
      <c r="AD361" s="4" t="s">
        <v>208</v>
      </c>
      <c r="AE361" s="4" t="s">
        <v>1546</v>
      </c>
      <c r="AF361" s="4" t="s">
        <v>1550</v>
      </c>
      <c r="AG361" s="5" t="n">
        <v>0.606516203703704</v>
      </c>
      <c r="AH361" s="5" t="n">
        <v>0.236354166666667</v>
      </c>
      <c r="AI361" s="5" t="n">
        <v>0</v>
      </c>
      <c r="AJ361" s="5" t="n">
        <v>0</v>
      </c>
      <c r="AK361" s="5" t="n">
        <v>0</v>
      </c>
      <c r="AL361" s="5" t="n">
        <v>0</v>
      </c>
      <c r="AM361" s="4" t="s">
        <v>78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17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0</v>
      </c>
      <c r="BG361" s="0" t="n">
        <v>0</v>
      </c>
      <c r="BH361" s="0" t="n">
        <v>0</v>
      </c>
      <c r="BI361" s="0" t="n">
        <v>0</v>
      </c>
      <c r="BJ361" s="0" t="n">
        <v>0</v>
      </c>
      <c r="BK361" s="0" t="n">
        <v>0</v>
      </c>
      <c r="BM361" s="6" t="n">
        <f aca="false">IFERROR(VALUE(F361),"")</f>
        <v>424.5</v>
      </c>
      <c r="BN361" s="6" t="n">
        <f aca="false">IF(R361="-","",IFERROR(VALUE(LEFT(Q361,LEN(Q361)-2)),""))</f>
        <v>153.27</v>
      </c>
      <c r="BO361" s="6" t="n">
        <f aca="false">IF(R361="-","",IFERROR(VALUE(LEFT(R361,LEN(R361)-5)),""))</f>
        <v>2.77</v>
      </c>
      <c r="BP361" s="6" t="n">
        <f aca="false">IF(R361="-","",IFERROR(VALUE(F361),""))</f>
        <v>424.5</v>
      </c>
      <c r="BQ361" s="4" t="n">
        <f aca="false">IF(R361="-",1,0)</f>
        <v>0</v>
      </c>
    </row>
    <row r="362" customFormat="false" ht="15" hidden="false" customHeight="false" outlineLevel="0" collapsed="false">
      <c r="A362" s="0" t="s">
        <v>1535</v>
      </c>
      <c r="B362" s="0" t="s">
        <v>1536</v>
      </c>
      <c r="C362" s="0" t="s">
        <v>70</v>
      </c>
      <c r="D362" s="0" t="s">
        <v>1537</v>
      </c>
      <c r="E362" s="3" t="n">
        <v>46276</v>
      </c>
      <c r="F362" s="4" t="s">
        <v>1538</v>
      </c>
      <c r="G362" s="5" t="n">
        <v>0.708888888888889</v>
      </c>
      <c r="H362" s="5" t="n">
        <v>0.6953125</v>
      </c>
      <c r="I362" s="5" t="n">
        <v>0.00431712962962963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5" t="n">
        <v>0</v>
      </c>
      <c r="P362" s="5" t="n">
        <v>0.00697916666666667</v>
      </c>
      <c r="Q362" s="4" t="s">
        <v>1551</v>
      </c>
      <c r="R362" s="4" t="s">
        <v>336</v>
      </c>
      <c r="S362" s="5" t="n">
        <v>0</v>
      </c>
      <c r="T362" s="5" t="n">
        <v>0.278240740740741</v>
      </c>
      <c r="U362" s="5" t="n">
        <v>0.28125</v>
      </c>
      <c r="V362" s="5" t="n">
        <v>0.1375</v>
      </c>
      <c r="W362" s="5" t="n">
        <v>0</v>
      </c>
      <c r="X362" s="5" t="n">
        <v>0</v>
      </c>
      <c r="Y362" s="5" t="n">
        <v>0</v>
      </c>
      <c r="Z362" s="0" t="n">
        <v>0</v>
      </c>
      <c r="AA362" s="0" t="n">
        <v>0</v>
      </c>
      <c r="AB362" s="0" t="n">
        <v>0</v>
      </c>
      <c r="AC362" s="4" t="s">
        <v>208</v>
      </c>
      <c r="AD362" s="4" t="s">
        <v>208</v>
      </c>
      <c r="AE362" s="4" t="s">
        <v>1550</v>
      </c>
      <c r="AF362" s="4" t="s">
        <v>1552</v>
      </c>
      <c r="AG362" s="5" t="n">
        <v>0.596967592592593</v>
      </c>
      <c r="AH362" s="5" t="n">
        <v>0.185335648148148</v>
      </c>
      <c r="AI362" s="5" t="n">
        <v>0</v>
      </c>
      <c r="AJ362" s="5" t="n">
        <v>0</v>
      </c>
      <c r="AK362" s="5" t="n">
        <v>0</v>
      </c>
      <c r="AL362" s="5" t="n">
        <v>0</v>
      </c>
      <c r="AM362" s="4" t="s">
        <v>78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15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0</v>
      </c>
      <c r="BI362" s="0" t="n">
        <v>0</v>
      </c>
      <c r="BJ362" s="0" t="n">
        <v>0</v>
      </c>
      <c r="BK362" s="0" t="n">
        <v>0</v>
      </c>
      <c r="BM362" s="6" t="n">
        <f aca="false">IFERROR(VALUE(F362),"")</f>
        <v>426.88</v>
      </c>
      <c r="BN362" s="6" t="n">
        <f aca="false">IF(R362="-","",IFERROR(VALUE(LEFT(Q362,LEN(Q362)-2)),""))</f>
        <v>150.85</v>
      </c>
      <c r="BO362" s="6" t="n">
        <f aca="false">IF(R362="-","",IFERROR(VALUE(LEFT(R362,LEN(R362)-5)),""))</f>
        <v>2.83</v>
      </c>
      <c r="BP362" s="6" t="n">
        <f aca="false">IF(R362="-","",IFERROR(VALUE(F362),""))</f>
        <v>426.88</v>
      </c>
      <c r="BQ362" s="4" t="n">
        <f aca="false">IF(R362="-",1,0)</f>
        <v>0</v>
      </c>
    </row>
    <row r="363" customFormat="false" ht="15" hidden="false" customHeight="false" outlineLevel="0" collapsed="false">
      <c r="A363" s="0" t="s">
        <v>1535</v>
      </c>
      <c r="B363" s="0" t="s">
        <v>1536</v>
      </c>
      <c r="C363" s="0" t="s">
        <v>70</v>
      </c>
      <c r="D363" s="0" t="s">
        <v>1553</v>
      </c>
      <c r="E363" s="3" t="n">
        <v>46277</v>
      </c>
      <c r="F363" s="4" t="s">
        <v>1554</v>
      </c>
      <c r="G363" s="5" t="n">
        <v>0.259409722222222</v>
      </c>
      <c r="H363" s="5" t="n">
        <v>0.182569444444445</v>
      </c>
      <c r="I363" s="5" t="n">
        <v>0.00200231481481482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5" t="n">
        <v>0</v>
      </c>
      <c r="P363" s="5" t="n">
        <v>0</v>
      </c>
      <c r="Q363" s="4" t="s">
        <v>1555</v>
      </c>
      <c r="R363" s="4" t="s">
        <v>492</v>
      </c>
      <c r="S363" s="5" t="n">
        <v>0</v>
      </c>
      <c r="T363" s="5" t="n">
        <v>0.0847222222222222</v>
      </c>
      <c r="U363" s="5" t="n">
        <v>0.0751157407407408</v>
      </c>
      <c r="V363" s="5" t="n">
        <v>0.0325231481481482</v>
      </c>
      <c r="W363" s="5" t="n">
        <v>0.000115740740740741</v>
      </c>
      <c r="X363" s="5" t="n">
        <v>0</v>
      </c>
      <c r="Y363" s="5" t="n">
        <v>0</v>
      </c>
      <c r="Z363" s="0" t="n">
        <v>0</v>
      </c>
      <c r="AA363" s="0" t="n">
        <v>0</v>
      </c>
      <c r="AB363" s="0" t="n">
        <v>0</v>
      </c>
      <c r="AC363" s="4" t="s">
        <v>208</v>
      </c>
      <c r="AD363" s="4" t="s">
        <v>1556</v>
      </c>
      <c r="AE363" s="4" t="s">
        <v>1552</v>
      </c>
      <c r="AF363" s="4" t="s">
        <v>1557</v>
      </c>
      <c r="AG363" s="5" t="n">
        <v>0.158240740740741</v>
      </c>
      <c r="AH363" s="5" t="n">
        <v>0.222314814814815</v>
      </c>
      <c r="AI363" s="5" t="n">
        <v>0</v>
      </c>
      <c r="AJ363" s="5" t="n">
        <v>0</v>
      </c>
      <c r="AK363" s="5" t="n">
        <v>0</v>
      </c>
      <c r="AL363" s="5" t="n">
        <v>0</v>
      </c>
      <c r="AM363" s="4" t="s">
        <v>78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10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s="0" t="n">
        <v>0</v>
      </c>
      <c r="BB363" s="0" t="n">
        <v>0</v>
      </c>
      <c r="BC363" s="0" t="n">
        <v>0</v>
      </c>
      <c r="BD363" s="0" t="n">
        <v>0</v>
      </c>
      <c r="BE363" s="0" t="n">
        <v>0</v>
      </c>
      <c r="BF363" s="0" t="n">
        <v>0</v>
      </c>
      <c r="BG363" s="0" t="n">
        <v>0</v>
      </c>
      <c r="BH363" s="0" t="n">
        <v>0</v>
      </c>
      <c r="BI363" s="0" t="n">
        <v>0</v>
      </c>
      <c r="BJ363" s="0" t="n">
        <v>0</v>
      </c>
      <c r="BK363" s="0" t="n">
        <v>0</v>
      </c>
      <c r="BM363" s="6" t="n">
        <f aca="false">IFERROR(VALUE(F363),"")</f>
        <v>106.94</v>
      </c>
      <c r="BN363" s="6" t="n">
        <f aca="false">IF(R363="-","",IFERROR(VALUE(LEFT(Q363,LEN(Q363)-2)),""))</f>
        <v>37.52</v>
      </c>
      <c r="BO363" s="6" t="n">
        <f aca="false">IF(R363="-","",IFERROR(VALUE(LEFT(R363,LEN(R363)-5)),""))</f>
        <v>2.85</v>
      </c>
      <c r="BP363" s="6" t="n">
        <f aca="false">IF(R363="-","",IFERROR(VALUE(F363),""))</f>
        <v>106.94</v>
      </c>
      <c r="BQ363" s="4" t="n">
        <f aca="false">IF(R363="-",1,0)</f>
        <v>0</v>
      </c>
    </row>
    <row r="364" customFormat="false" ht="15" hidden="false" customHeight="false" outlineLevel="0" collapsed="false">
      <c r="A364" s="0" t="s">
        <v>1535</v>
      </c>
      <c r="B364" s="0" t="s">
        <v>1536</v>
      </c>
      <c r="C364" s="0" t="s">
        <v>70</v>
      </c>
      <c r="D364" s="0" t="s">
        <v>1558</v>
      </c>
      <c r="E364" s="3" t="n">
        <v>46279</v>
      </c>
      <c r="F364" s="4" t="s">
        <v>1559</v>
      </c>
      <c r="G364" s="5" t="n">
        <v>0.25869212962963</v>
      </c>
      <c r="H364" s="5" t="n">
        <v>0.204131944444444</v>
      </c>
      <c r="I364" s="5" t="n">
        <v>0.000104166666666667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5" t="n">
        <v>0</v>
      </c>
      <c r="P364" s="5" t="n">
        <v>0.016400462962963</v>
      </c>
      <c r="Q364" s="4" t="s">
        <v>1560</v>
      </c>
      <c r="R364" s="4" t="s">
        <v>1561</v>
      </c>
      <c r="S364" s="5" t="n">
        <v>0</v>
      </c>
      <c r="T364" s="5" t="n">
        <v>0.119328703703704</v>
      </c>
      <c r="U364" s="5" t="n">
        <v>0.0594907407407407</v>
      </c>
      <c r="V364" s="5" t="n">
        <v>0.0412037037037037</v>
      </c>
      <c r="W364" s="5" t="n">
        <v>0</v>
      </c>
      <c r="X364" s="5" t="n">
        <v>0</v>
      </c>
      <c r="Y364" s="5" t="n">
        <v>0</v>
      </c>
      <c r="Z364" s="0" t="n">
        <v>0</v>
      </c>
      <c r="AA364" s="0" t="n">
        <v>0</v>
      </c>
      <c r="AB364" s="0" t="n">
        <v>0</v>
      </c>
      <c r="AC364" s="4" t="s">
        <v>75</v>
      </c>
      <c r="AD364" s="4" t="s">
        <v>74</v>
      </c>
      <c r="AE364" s="4" t="s">
        <v>1557</v>
      </c>
      <c r="AF364" s="4" t="s">
        <v>1562</v>
      </c>
      <c r="AG364" s="5" t="n">
        <v>0.1571875</v>
      </c>
      <c r="AH364" s="5" t="n">
        <v>0.185300925925926</v>
      </c>
      <c r="AI364" s="5" t="n">
        <v>0</v>
      </c>
      <c r="AJ364" s="5" t="n">
        <v>0</v>
      </c>
      <c r="AK364" s="5" t="n">
        <v>0</v>
      </c>
      <c r="AL364" s="5" t="n">
        <v>0</v>
      </c>
      <c r="AM364" s="4" t="s">
        <v>78</v>
      </c>
      <c r="AN364" s="0" t="n">
        <v>0</v>
      </c>
      <c r="AO364" s="0" t="n">
        <v>1</v>
      </c>
      <c r="AP364" s="0" t="n">
        <v>0</v>
      </c>
      <c r="AQ364" s="0" t="n">
        <v>0</v>
      </c>
      <c r="AR364" s="0" t="n">
        <v>1</v>
      </c>
      <c r="AS364" s="0" t="n">
        <v>0</v>
      </c>
      <c r="AT364" s="0" t="n">
        <v>0</v>
      </c>
      <c r="AU364" s="0" t="n">
        <v>7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  <c r="BA364" s="0" t="n">
        <v>0</v>
      </c>
      <c r="BB364" s="0" t="n">
        <v>0</v>
      </c>
      <c r="BC364" s="0" t="n">
        <v>0</v>
      </c>
      <c r="BD364" s="0" t="n">
        <v>0</v>
      </c>
      <c r="BE364" s="0" t="n">
        <v>0</v>
      </c>
      <c r="BF364" s="0" t="n">
        <v>0</v>
      </c>
      <c r="BG364" s="0" t="n">
        <v>0</v>
      </c>
      <c r="BH364" s="0" t="n">
        <v>0</v>
      </c>
      <c r="BI364" s="0" t="n">
        <v>0</v>
      </c>
      <c r="BJ364" s="0" t="n">
        <v>0</v>
      </c>
      <c r="BK364" s="0" t="n">
        <v>0</v>
      </c>
      <c r="BM364" s="6" t="n">
        <f aca="false">IFERROR(VALUE(F364),"")</f>
        <v>103.43</v>
      </c>
      <c r="BN364" s="6" t="n">
        <f aca="false">IF(R364="-","",IFERROR(VALUE(LEFT(Q364,LEN(Q364)-2)),""))</f>
        <v>41.04</v>
      </c>
      <c r="BO364" s="6" t="n">
        <f aca="false">IF(R364="-","",IFERROR(VALUE(LEFT(R364,LEN(R364)-5)),""))</f>
        <v>2.52</v>
      </c>
      <c r="BP364" s="6" t="n">
        <f aca="false">IF(R364="-","",IFERROR(VALUE(F364),""))</f>
        <v>103.43</v>
      </c>
      <c r="BQ364" s="4" t="n">
        <f aca="false">IF(R364="-",1,0)</f>
        <v>0</v>
      </c>
    </row>
    <row r="365" customFormat="false" ht="15" hidden="false" customHeight="false" outlineLevel="0" collapsed="false">
      <c r="A365" s="0" t="s">
        <v>1563</v>
      </c>
      <c r="B365" s="0" t="s">
        <v>1564</v>
      </c>
      <c r="C365" s="0" t="s">
        <v>70</v>
      </c>
      <c r="D365" s="0" t="s">
        <v>1565</v>
      </c>
      <c r="E365" s="3" t="n">
        <v>46273</v>
      </c>
      <c r="F365" s="4" t="s">
        <v>1566</v>
      </c>
      <c r="G365" s="5" t="n">
        <v>0.407881944444444</v>
      </c>
      <c r="H365" s="5" t="n">
        <v>0.390115740740741</v>
      </c>
      <c r="I365" s="5" t="n">
        <v>0.00100694444444444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5" t="n">
        <v>0</v>
      </c>
      <c r="P365" s="5" t="n">
        <v>0.00717592592592593</v>
      </c>
      <c r="Q365" s="4" t="s">
        <v>73</v>
      </c>
      <c r="R365" s="4" t="s">
        <v>73</v>
      </c>
      <c r="S365" s="5" t="n">
        <v>0</v>
      </c>
      <c r="T365" s="5" t="n">
        <v>0.165162037037037</v>
      </c>
      <c r="U365" s="5" t="n">
        <v>0.143518518518519</v>
      </c>
      <c r="V365" s="5" t="n">
        <v>0.0765046296296296</v>
      </c>
      <c r="W365" s="5" t="n">
        <v>0</v>
      </c>
      <c r="X365" s="5" t="n">
        <v>0</v>
      </c>
      <c r="Y365" s="5" t="n">
        <v>0</v>
      </c>
      <c r="Z365" s="0" t="n">
        <v>0</v>
      </c>
      <c r="AA365" s="0" t="n">
        <v>0</v>
      </c>
      <c r="AB365" s="0" t="n">
        <v>0</v>
      </c>
      <c r="AC365" s="4" t="s">
        <v>75</v>
      </c>
      <c r="AD365" s="4" t="s">
        <v>228</v>
      </c>
      <c r="AE365" s="4" t="s">
        <v>1567</v>
      </c>
      <c r="AF365" s="4" t="s">
        <v>1568</v>
      </c>
      <c r="AG365" s="5" t="n">
        <v>0.326377314814815</v>
      </c>
      <c r="AH365" s="5" t="n">
        <v>0.120578703703704</v>
      </c>
      <c r="AI365" s="5" t="n">
        <v>0</v>
      </c>
      <c r="AJ365" s="5" t="n">
        <v>0</v>
      </c>
      <c r="AK365" s="5" t="n">
        <v>0</v>
      </c>
      <c r="AL365" s="5" t="n">
        <v>0</v>
      </c>
      <c r="AM365" s="4" t="s">
        <v>78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13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0</v>
      </c>
      <c r="BG365" s="0" t="n">
        <v>0</v>
      </c>
      <c r="BH365" s="0" t="n">
        <v>0</v>
      </c>
      <c r="BI365" s="0" t="n">
        <v>0</v>
      </c>
      <c r="BJ365" s="0" t="n">
        <v>0</v>
      </c>
      <c r="BK365" s="0" t="n">
        <v>0</v>
      </c>
      <c r="BM365" s="6" t="n">
        <f aca="false">IFERROR(VALUE(F365),"")</f>
        <v>215.43</v>
      </c>
      <c r="BN365" s="6" t="str">
        <f aca="false">IF(R365="-","",IFERROR(VALUE(LEFT(Q365,LEN(Q365)-2)),""))</f>
        <v/>
      </c>
      <c r="BO365" s="6" t="str">
        <f aca="false">IF(R365="-","",IFERROR(VALUE(LEFT(R365,LEN(R365)-5)),""))</f>
        <v/>
      </c>
      <c r="BP365" s="6" t="str">
        <f aca="false">IF(R365="-","",IFERROR(VALUE(F365),""))</f>
        <v/>
      </c>
      <c r="BQ365" s="4" t="n">
        <f aca="false">IF(R365="-",1,0)</f>
        <v>1</v>
      </c>
    </row>
    <row r="366" customFormat="false" ht="15" hidden="false" customHeight="false" outlineLevel="0" collapsed="false">
      <c r="A366" s="0" t="s">
        <v>1563</v>
      </c>
      <c r="B366" s="0" t="s">
        <v>1564</v>
      </c>
      <c r="C366" s="0" t="s">
        <v>70</v>
      </c>
      <c r="D366" s="0" t="s">
        <v>1569</v>
      </c>
      <c r="E366" s="3" t="n">
        <v>46274</v>
      </c>
      <c r="F366" s="4" t="s">
        <v>1570</v>
      </c>
      <c r="G366" s="5" t="n">
        <v>0.377986111111111</v>
      </c>
      <c r="H366" s="5" t="n">
        <v>0.361203703703704</v>
      </c>
      <c r="I366" s="5" t="n">
        <v>0.00136574074074074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5" t="n">
        <v>0</v>
      </c>
      <c r="P366" s="5" t="n">
        <v>0.00873842592592593</v>
      </c>
      <c r="Q366" s="4" t="s">
        <v>73</v>
      </c>
      <c r="R366" s="4" t="s">
        <v>73</v>
      </c>
      <c r="S366" s="5" t="n">
        <v>0</v>
      </c>
      <c r="T366" s="5" t="n">
        <v>0.144907407407407</v>
      </c>
      <c r="U366" s="5" t="n">
        <v>0.136574074074074</v>
      </c>
      <c r="V366" s="5" t="n">
        <v>0.078125</v>
      </c>
      <c r="W366" s="5" t="n">
        <v>0</v>
      </c>
      <c r="X366" s="5" t="n">
        <v>0</v>
      </c>
      <c r="Y366" s="5" t="n">
        <v>0</v>
      </c>
      <c r="Z366" s="0" t="n">
        <v>0</v>
      </c>
      <c r="AA366" s="0" t="n">
        <v>0</v>
      </c>
      <c r="AB366" s="0" t="n">
        <v>0</v>
      </c>
      <c r="AC366" s="4" t="s">
        <v>75</v>
      </c>
      <c r="AD366" s="4" t="s">
        <v>74</v>
      </c>
      <c r="AE366" s="4" t="s">
        <v>1568</v>
      </c>
      <c r="AF366" s="4" t="s">
        <v>1571</v>
      </c>
      <c r="AG366" s="5" t="n">
        <v>0.30412037037037</v>
      </c>
      <c r="AH366" s="5" t="n">
        <v>0.0934143518518519</v>
      </c>
      <c r="AI366" s="5" t="n">
        <v>0</v>
      </c>
      <c r="AJ366" s="5" t="n">
        <v>0</v>
      </c>
      <c r="AK366" s="5" t="n">
        <v>0</v>
      </c>
      <c r="AL366" s="5" t="n">
        <v>0</v>
      </c>
      <c r="AM366" s="4" t="s">
        <v>78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11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0</v>
      </c>
      <c r="BA366" s="0" t="n">
        <v>0</v>
      </c>
      <c r="BB366" s="0" t="n">
        <v>0</v>
      </c>
      <c r="BC366" s="0" t="n">
        <v>0</v>
      </c>
      <c r="BD366" s="0" t="n">
        <v>0</v>
      </c>
      <c r="BE366" s="0" t="n">
        <v>0</v>
      </c>
      <c r="BF366" s="0" t="n">
        <v>0</v>
      </c>
      <c r="BG366" s="0" t="n">
        <v>0</v>
      </c>
      <c r="BH366" s="0" t="n">
        <v>0</v>
      </c>
      <c r="BI366" s="0" t="n">
        <v>0</v>
      </c>
      <c r="BJ366" s="0" t="n">
        <v>0</v>
      </c>
      <c r="BK366" s="0" t="n">
        <v>0</v>
      </c>
      <c r="BM366" s="6" t="n">
        <f aca="false">IFERROR(VALUE(F366),"")</f>
        <v>218.04</v>
      </c>
      <c r="BN366" s="6" t="str">
        <f aca="false">IF(R366="-","",IFERROR(VALUE(LEFT(Q366,LEN(Q366)-2)),""))</f>
        <v/>
      </c>
      <c r="BO366" s="6" t="str">
        <f aca="false">IF(R366="-","",IFERROR(VALUE(LEFT(R366,LEN(R366)-5)),""))</f>
        <v/>
      </c>
      <c r="BP366" s="6" t="str">
        <f aca="false">IF(R366="-","",IFERROR(VALUE(F366),""))</f>
        <v/>
      </c>
      <c r="BQ366" s="4" t="n">
        <f aca="false">IF(R366="-",1,0)</f>
        <v>1</v>
      </c>
    </row>
    <row r="367" customFormat="false" ht="15" hidden="false" customHeight="false" outlineLevel="0" collapsed="false">
      <c r="A367" s="0" t="s">
        <v>1563</v>
      </c>
      <c r="B367" s="0" t="s">
        <v>1564</v>
      </c>
      <c r="C367" s="0" t="s">
        <v>70</v>
      </c>
      <c r="D367" s="0" t="s">
        <v>1572</v>
      </c>
      <c r="E367" s="3" t="n">
        <v>46275</v>
      </c>
      <c r="F367" s="4" t="s">
        <v>1573</v>
      </c>
      <c r="G367" s="5" t="n">
        <v>0.394155092592593</v>
      </c>
      <c r="H367" s="5" t="n">
        <v>0.366458333333333</v>
      </c>
      <c r="I367" s="5" t="n">
        <v>0.000740740740740741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5" t="n">
        <v>0</v>
      </c>
      <c r="P367" s="5" t="n">
        <v>0.017650462962963</v>
      </c>
      <c r="Q367" s="4" t="s">
        <v>73</v>
      </c>
      <c r="R367" s="4" t="s">
        <v>73</v>
      </c>
      <c r="S367" s="5" t="n">
        <v>0</v>
      </c>
      <c r="T367" s="5" t="n">
        <v>0.162384259259259</v>
      </c>
      <c r="U367" s="5" t="n">
        <v>0.12662037037037</v>
      </c>
      <c r="V367" s="5" t="n">
        <v>0.0907407407407408</v>
      </c>
      <c r="W367" s="5" t="n">
        <v>0</v>
      </c>
      <c r="X367" s="5" t="n">
        <v>0</v>
      </c>
      <c r="Y367" s="5" t="n">
        <v>0</v>
      </c>
      <c r="Z367" s="0" t="n">
        <v>0</v>
      </c>
      <c r="AA367" s="0" t="n">
        <v>0</v>
      </c>
      <c r="AB367" s="0" t="n">
        <v>0</v>
      </c>
      <c r="AC367" s="4" t="s">
        <v>74</v>
      </c>
      <c r="AD367" s="4" t="s">
        <v>75</v>
      </c>
      <c r="AE367" s="4" t="s">
        <v>1571</v>
      </c>
      <c r="AF367" s="4" t="s">
        <v>1574</v>
      </c>
      <c r="AG367" s="5" t="n">
        <v>0.314409722222222</v>
      </c>
      <c r="AH367" s="5" t="n">
        <v>0.165486111111111</v>
      </c>
      <c r="AI367" s="5" t="n">
        <v>0</v>
      </c>
      <c r="AJ367" s="5" t="n">
        <v>0</v>
      </c>
      <c r="AK367" s="5" t="n">
        <v>0</v>
      </c>
      <c r="AL367" s="5" t="n">
        <v>0</v>
      </c>
      <c r="AM367" s="4" t="s">
        <v>78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5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  <c r="BA367" s="0" t="n">
        <v>0</v>
      </c>
      <c r="BB367" s="0" t="n">
        <v>0</v>
      </c>
      <c r="BC367" s="0" t="n">
        <v>0</v>
      </c>
      <c r="BD367" s="0" t="n">
        <v>0</v>
      </c>
      <c r="BE367" s="0" t="n">
        <v>0</v>
      </c>
      <c r="BF367" s="0" t="n">
        <v>0</v>
      </c>
      <c r="BG367" s="0" t="n">
        <v>0</v>
      </c>
      <c r="BH367" s="0" t="n">
        <v>0</v>
      </c>
      <c r="BI367" s="0" t="n">
        <v>0</v>
      </c>
      <c r="BJ367" s="0" t="n">
        <v>0</v>
      </c>
      <c r="BK367" s="0" t="n">
        <v>0</v>
      </c>
      <c r="BM367" s="6" t="n">
        <f aca="false">IFERROR(VALUE(F367),"")</f>
        <v>215.03</v>
      </c>
      <c r="BN367" s="6" t="str">
        <f aca="false">IF(R367="-","",IFERROR(VALUE(LEFT(Q367,LEN(Q367)-2)),""))</f>
        <v/>
      </c>
      <c r="BO367" s="6" t="str">
        <f aca="false">IF(R367="-","",IFERROR(VALUE(LEFT(R367,LEN(R367)-5)),""))</f>
        <v/>
      </c>
      <c r="BP367" s="6" t="str">
        <f aca="false">IF(R367="-","",IFERROR(VALUE(F367),""))</f>
        <v/>
      </c>
      <c r="BQ367" s="4" t="n">
        <f aca="false">IF(R367="-",1,0)</f>
        <v>1</v>
      </c>
    </row>
    <row r="368" customFormat="false" ht="15" hidden="false" customHeight="false" outlineLevel="0" collapsed="false">
      <c r="A368" s="0" t="s">
        <v>1563</v>
      </c>
      <c r="B368" s="0" t="s">
        <v>1564</v>
      </c>
      <c r="C368" s="0" t="s">
        <v>70</v>
      </c>
      <c r="D368" s="0" t="s">
        <v>1565</v>
      </c>
      <c r="E368" s="3" t="n">
        <v>46276</v>
      </c>
      <c r="F368" s="4" t="s">
        <v>1575</v>
      </c>
      <c r="G368" s="5" t="n">
        <v>0.402534722222222</v>
      </c>
      <c r="H368" s="5" t="n">
        <v>0.378020833333333</v>
      </c>
      <c r="I368" s="5" t="n">
        <v>0.0041087962962963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5" t="n">
        <v>0</v>
      </c>
      <c r="P368" s="5" t="n">
        <v>0.00916666666666667</v>
      </c>
      <c r="Q368" s="4" t="s">
        <v>73</v>
      </c>
      <c r="R368" s="4" t="s">
        <v>73</v>
      </c>
      <c r="S368" s="5" t="n">
        <v>0</v>
      </c>
      <c r="T368" s="5" t="n">
        <v>0.162847222222222</v>
      </c>
      <c r="U368" s="5" t="n">
        <v>0.133217592592593</v>
      </c>
      <c r="V368" s="5" t="n">
        <v>0.0798611111111111</v>
      </c>
      <c r="W368" s="5" t="n">
        <v>0</v>
      </c>
      <c r="X368" s="5" t="n">
        <v>0</v>
      </c>
      <c r="Y368" s="5" t="n">
        <v>0</v>
      </c>
      <c r="Z368" s="0" t="n">
        <v>0</v>
      </c>
      <c r="AA368" s="0" t="n">
        <v>0</v>
      </c>
      <c r="AB368" s="0" t="n">
        <v>0</v>
      </c>
      <c r="AC368" s="4" t="s">
        <v>81</v>
      </c>
      <c r="AD368" s="4" t="s">
        <v>228</v>
      </c>
      <c r="AE368" s="4" t="s">
        <v>1574</v>
      </c>
      <c r="AF368" s="4" t="s">
        <v>1576</v>
      </c>
      <c r="AG368" s="5" t="n">
        <v>0.30744212962963</v>
      </c>
      <c r="AH368" s="5" t="n">
        <v>0.2403125</v>
      </c>
      <c r="AI368" s="5" t="n">
        <v>0.000405092592592593</v>
      </c>
      <c r="AJ368" s="5" t="n">
        <v>0</v>
      </c>
      <c r="AK368" s="5" t="n">
        <v>0</v>
      </c>
      <c r="AL368" s="5" t="n">
        <v>0</v>
      </c>
      <c r="AM368" s="4" t="s">
        <v>78</v>
      </c>
      <c r="AN368" s="0" t="n">
        <v>0</v>
      </c>
      <c r="AO368" s="0" t="n">
        <v>1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5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s="0" t="n">
        <v>0</v>
      </c>
      <c r="BB368" s="0" t="n">
        <v>0</v>
      </c>
      <c r="BC368" s="0" t="n">
        <v>0</v>
      </c>
      <c r="BD368" s="0" t="n">
        <v>0</v>
      </c>
      <c r="BE368" s="0" t="n">
        <v>0</v>
      </c>
      <c r="BF368" s="0" t="n">
        <v>0</v>
      </c>
      <c r="BG368" s="0" t="n">
        <v>0</v>
      </c>
      <c r="BH368" s="0" t="n">
        <v>0</v>
      </c>
      <c r="BI368" s="0" t="n">
        <v>0</v>
      </c>
      <c r="BJ368" s="0" t="n">
        <v>0</v>
      </c>
      <c r="BK368" s="0" t="n">
        <v>0</v>
      </c>
      <c r="BM368" s="6" t="n">
        <f aca="false">IFERROR(VALUE(F368),"")</f>
        <v>217.53</v>
      </c>
      <c r="BN368" s="6" t="str">
        <f aca="false">IF(R368="-","",IFERROR(VALUE(LEFT(Q368,LEN(Q368)-2)),""))</f>
        <v/>
      </c>
      <c r="BO368" s="6" t="str">
        <f aca="false">IF(R368="-","",IFERROR(VALUE(LEFT(R368,LEN(R368)-5)),""))</f>
        <v/>
      </c>
      <c r="BP368" s="6" t="str">
        <f aca="false">IF(R368="-","",IFERROR(VALUE(F368),""))</f>
        <v/>
      </c>
      <c r="BQ368" s="4" t="n">
        <f aca="false">IF(R368="-",1,0)</f>
        <v>1</v>
      </c>
    </row>
    <row r="369" customFormat="false" ht="15" hidden="false" customHeight="false" outlineLevel="0" collapsed="false">
      <c r="A369" s="0" t="s">
        <v>1563</v>
      </c>
      <c r="B369" s="0" t="s">
        <v>1564</v>
      </c>
      <c r="C369" s="0" t="s">
        <v>70</v>
      </c>
      <c r="D369" s="0" t="s">
        <v>1577</v>
      </c>
      <c r="E369" s="3" t="n">
        <v>46278</v>
      </c>
      <c r="F369" s="4" t="s">
        <v>1578</v>
      </c>
      <c r="G369" s="5" t="n">
        <v>0.177835648148148</v>
      </c>
      <c r="H369" s="5" t="n">
        <v>0.160046296296296</v>
      </c>
      <c r="I369" s="5" t="n">
        <v>0.000451388888888889</v>
      </c>
      <c r="J369" s="0" t="n">
        <v>0</v>
      </c>
      <c r="K369" s="0" t="n">
        <v>1</v>
      </c>
      <c r="L369" s="0" t="n">
        <v>0</v>
      </c>
      <c r="M369" s="0" t="n">
        <v>0</v>
      </c>
      <c r="N369" s="0" t="n">
        <v>0</v>
      </c>
      <c r="O369" s="5" t="n">
        <v>0</v>
      </c>
      <c r="P369" s="5" t="n">
        <v>0.00708333333333333</v>
      </c>
      <c r="Q369" s="4" t="s">
        <v>73</v>
      </c>
      <c r="R369" s="4" t="s">
        <v>73</v>
      </c>
      <c r="S369" s="5" t="n">
        <v>0</v>
      </c>
      <c r="T369" s="5" t="n">
        <v>0.0601851851851852</v>
      </c>
      <c r="U369" s="5" t="n">
        <v>0.0603009259259259</v>
      </c>
      <c r="V369" s="5" t="n">
        <v>0.0430555555555556</v>
      </c>
      <c r="W369" s="5" t="n">
        <v>0</v>
      </c>
      <c r="X369" s="5" t="n">
        <v>0</v>
      </c>
      <c r="Y369" s="5" t="n">
        <v>0</v>
      </c>
      <c r="Z369" s="0" t="n">
        <v>0</v>
      </c>
      <c r="AA369" s="0" t="n">
        <v>0</v>
      </c>
      <c r="AB369" s="0" t="n">
        <v>0</v>
      </c>
      <c r="AC369" s="4" t="s">
        <v>75</v>
      </c>
      <c r="AD369" s="4" t="s">
        <v>74</v>
      </c>
      <c r="AE369" s="4" t="s">
        <v>1576</v>
      </c>
      <c r="AF369" s="4" t="s">
        <v>1579</v>
      </c>
      <c r="AG369" s="5" t="n">
        <v>0.135046296296296</v>
      </c>
      <c r="AH369" s="5" t="n">
        <v>0.115243055555556</v>
      </c>
      <c r="AI369" s="5" t="n">
        <v>0</v>
      </c>
      <c r="AJ369" s="5" t="n">
        <v>0</v>
      </c>
      <c r="AK369" s="5" t="n">
        <v>0</v>
      </c>
      <c r="AL369" s="5" t="n">
        <v>0</v>
      </c>
      <c r="AM369" s="4" t="s">
        <v>78</v>
      </c>
      <c r="AN369" s="0" t="n">
        <v>0</v>
      </c>
      <c r="AO369" s="0" t="n">
        <v>2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2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</v>
      </c>
      <c r="BA369" s="0" t="n">
        <v>0</v>
      </c>
      <c r="BB369" s="0" t="n">
        <v>0</v>
      </c>
      <c r="BC369" s="0" t="n">
        <v>0</v>
      </c>
      <c r="BD369" s="0" t="n">
        <v>0</v>
      </c>
      <c r="BE369" s="0" t="n">
        <v>0</v>
      </c>
      <c r="BF369" s="0" t="n">
        <v>0</v>
      </c>
      <c r="BG369" s="0" t="n">
        <v>0</v>
      </c>
      <c r="BH369" s="0" t="n">
        <v>0</v>
      </c>
      <c r="BI369" s="0" t="n">
        <v>0</v>
      </c>
      <c r="BJ369" s="0" t="n">
        <v>0</v>
      </c>
      <c r="BK369" s="0" t="n">
        <v>0</v>
      </c>
      <c r="BM369" s="6" t="n">
        <f aca="false">IFERROR(VALUE(F369),"")</f>
        <v>121.39</v>
      </c>
      <c r="BN369" s="6" t="str">
        <f aca="false">IF(R369="-","",IFERROR(VALUE(LEFT(Q369,LEN(Q369)-2)),""))</f>
        <v/>
      </c>
      <c r="BO369" s="6" t="str">
        <f aca="false">IF(R369="-","",IFERROR(VALUE(LEFT(R369,LEN(R369)-5)),""))</f>
        <v/>
      </c>
      <c r="BP369" s="6" t="str">
        <f aca="false">IF(R369="-","",IFERROR(VALUE(F369),""))</f>
        <v/>
      </c>
      <c r="BQ369" s="4" t="n">
        <f aca="false">IF(R369="-",1,0)</f>
        <v>1</v>
      </c>
    </row>
    <row r="370" customFormat="false" ht="15" hidden="false" customHeight="false" outlineLevel="0" collapsed="false">
      <c r="A370" s="0" t="s">
        <v>1563</v>
      </c>
      <c r="B370" s="0" t="s">
        <v>1564</v>
      </c>
      <c r="C370" s="0" t="s">
        <v>70</v>
      </c>
      <c r="D370" s="0" t="s">
        <v>1580</v>
      </c>
      <c r="E370" s="3" t="n">
        <v>46279</v>
      </c>
      <c r="F370" s="4" t="s">
        <v>1581</v>
      </c>
      <c r="G370" s="5" t="n">
        <v>0.491111111111111</v>
      </c>
      <c r="H370" s="5" t="n">
        <v>0.427881944444444</v>
      </c>
      <c r="I370" s="5" t="n">
        <v>0.00149305555555556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0</v>
      </c>
      <c r="O370" s="5" t="n">
        <v>0</v>
      </c>
      <c r="P370" s="5" t="n">
        <v>0.0722800925925926</v>
      </c>
      <c r="Q370" s="4" t="s">
        <v>73</v>
      </c>
      <c r="R370" s="4" t="s">
        <v>73</v>
      </c>
      <c r="S370" s="5" t="n">
        <v>0</v>
      </c>
      <c r="T370" s="5" t="n">
        <v>0.242824074074074</v>
      </c>
      <c r="U370" s="5" t="n">
        <v>0.123148148148148</v>
      </c>
      <c r="V370" s="5" t="n">
        <v>0.0829861111111111</v>
      </c>
      <c r="W370" s="5" t="n">
        <v>0.000115740740740741</v>
      </c>
      <c r="X370" s="5" t="n">
        <v>0</v>
      </c>
      <c r="Y370" s="5" t="n">
        <v>0</v>
      </c>
      <c r="Z370" s="0" t="n">
        <v>0</v>
      </c>
      <c r="AA370" s="0" t="n">
        <v>0</v>
      </c>
      <c r="AB370" s="0" t="n">
        <v>0</v>
      </c>
      <c r="AC370" s="4" t="s">
        <v>75</v>
      </c>
      <c r="AD370" s="4" t="s">
        <v>74</v>
      </c>
      <c r="AE370" s="4" t="s">
        <v>1579</v>
      </c>
      <c r="AF370" s="4" t="s">
        <v>1582</v>
      </c>
      <c r="AG370" s="5" t="n">
        <v>0.30474537037037</v>
      </c>
      <c r="AH370" s="5" t="n">
        <v>0.264664351851852</v>
      </c>
      <c r="AI370" s="5" t="n">
        <v>0</v>
      </c>
      <c r="AJ370" s="5" t="n">
        <v>0</v>
      </c>
      <c r="AK370" s="5" t="n">
        <v>0</v>
      </c>
      <c r="AL370" s="5" t="n">
        <v>0</v>
      </c>
      <c r="AM370" s="4" t="s">
        <v>78</v>
      </c>
      <c r="AN370" s="0" t="n">
        <v>0</v>
      </c>
      <c r="AO370" s="0" t="n">
        <v>1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11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0</v>
      </c>
      <c r="BI370" s="0" t="n">
        <v>0</v>
      </c>
      <c r="BJ370" s="0" t="n">
        <v>0</v>
      </c>
      <c r="BK370" s="0" t="n">
        <v>0</v>
      </c>
      <c r="BM370" s="6" t="n">
        <f aca="false">IFERROR(VALUE(F370),"")</f>
        <v>209.14</v>
      </c>
      <c r="BN370" s="6" t="str">
        <f aca="false">IF(R370="-","",IFERROR(VALUE(LEFT(Q370,LEN(Q370)-2)),""))</f>
        <v/>
      </c>
      <c r="BO370" s="6" t="str">
        <f aca="false">IF(R370="-","",IFERROR(VALUE(LEFT(R370,LEN(R370)-5)),""))</f>
        <v/>
      </c>
      <c r="BP370" s="6" t="str">
        <f aca="false">IF(R370="-","",IFERROR(VALUE(F370),""))</f>
        <v/>
      </c>
      <c r="BQ370" s="4" t="n">
        <f aca="false">IF(R370="-",1,0)</f>
        <v>1</v>
      </c>
    </row>
    <row r="371" customFormat="false" ht="15" hidden="false" customHeight="false" outlineLevel="0" collapsed="false">
      <c r="A371" s="0" t="s">
        <v>1583</v>
      </c>
      <c r="B371" s="0" t="s">
        <v>1584</v>
      </c>
      <c r="C371" s="0" t="s">
        <v>70</v>
      </c>
      <c r="D371" s="0" t="s">
        <v>1585</v>
      </c>
      <c r="E371" s="3" t="n">
        <v>46273</v>
      </c>
      <c r="F371" s="4" t="s">
        <v>1586</v>
      </c>
      <c r="G371" s="5" t="n">
        <v>0.336377314814815</v>
      </c>
      <c r="H371" s="5" t="n">
        <v>0.29994212962963</v>
      </c>
      <c r="I371" s="5" t="n">
        <v>0.00440972222222222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5" t="n">
        <v>0</v>
      </c>
      <c r="P371" s="5" t="n">
        <v>0.0299768518518519</v>
      </c>
      <c r="Q371" s="4" t="s">
        <v>1587</v>
      </c>
      <c r="R371" s="4" t="s">
        <v>492</v>
      </c>
      <c r="S371" s="5" t="n">
        <v>0.000231481481481482</v>
      </c>
      <c r="T371" s="5" t="n">
        <v>0.169097222222222</v>
      </c>
      <c r="U371" s="5" t="n">
        <v>0.0822916666666667</v>
      </c>
      <c r="V371" s="5" t="n">
        <v>0.0519675925925926</v>
      </c>
      <c r="W371" s="5" t="n">
        <v>0</v>
      </c>
      <c r="X371" s="5" t="n">
        <v>0</v>
      </c>
      <c r="Y371" s="5" t="n">
        <v>0</v>
      </c>
      <c r="Z371" s="0" t="n">
        <v>0</v>
      </c>
      <c r="AA371" s="0" t="n">
        <v>0</v>
      </c>
      <c r="AB371" s="0" t="n">
        <v>0</v>
      </c>
      <c r="AC371" s="4" t="s">
        <v>75</v>
      </c>
      <c r="AD371" s="4" t="s">
        <v>228</v>
      </c>
      <c r="AE371" s="4" t="s">
        <v>1588</v>
      </c>
      <c r="AF371" s="4" t="s">
        <v>1589</v>
      </c>
      <c r="AG371" s="5" t="n">
        <v>0.221412037037037</v>
      </c>
      <c r="AH371" s="5" t="n">
        <v>0.214398148148148</v>
      </c>
      <c r="AI371" s="5" t="n">
        <v>0</v>
      </c>
      <c r="AJ371" s="5" t="n">
        <v>0</v>
      </c>
      <c r="AK371" s="5" t="n">
        <v>0</v>
      </c>
      <c r="AL371" s="5" t="n">
        <v>0</v>
      </c>
      <c r="AM371" s="4" t="s">
        <v>78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n">
        <v>0</v>
      </c>
      <c r="BF371" s="0" t="n">
        <v>0</v>
      </c>
      <c r="BG371" s="0" t="n">
        <v>0</v>
      </c>
      <c r="BH371" s="0" t="n">
        <v>0</v>
      </c>
      <c r="BI371" s="0" t="n">
        <v>0</v>
      </c>
      <c r="BJ371" s="0" t="n">
        <v>0</v>
      </c>
      <c r="BK371" s="0" t="n">
        <v>0</v>
      </c>
      <c r="BM371" s="6" t="n">
        <f aca="false">IFERROR(VALUE(F371),"")</f>
        <v>147.77</v>
      </c>
      <c r="BN371" s="6" t="n">
        <f aca="false">IF(R371="-","",IFERROR(VALUE(LEFT(Q371,LEN(Q371)-2)),""))</f>
        <v>51.9</v>
      </c>
      <c r="BO371" s="6" t="n">
        <f aca="false">IF(R371="-","",IFERROR(VALUE(LEFT(R371,LEN(R371)-5)),""))</f>
        <v>2.85</v>
      </c>
      <c r="BP371" s="6" t="n">
        <f aca="false">IF(R371="-","",IFERROR(VALUE(F371),""))</f>
        <v>147.77</v>
      </c>
      <c r="BQ371" s="4" t="n">
        <f aca="false">IF(R371="-",1,0)</f>
        <v>0</v>
      </c>
    </row>
    <row r="372" customFormat="false" ht="15" hidden="false" customHeight="false" outlineLevel="0" collapsed="false">
      <c r="A372" s="0" t="s">
        <v>1583</v>
      </c>
      <c r="B372" s="0" t="s">
        <v>1584</v>
      </c>
      <c r="C372" s="0" t="s">
        <v>70</v>
      </c>
      <c r="D372" s="0" t="s">
        <v>1590</v>
      </c>
      <c r="E372" s="3" t="n">
        <v>46274</v>
      </c>
      <c r="F372" s="4" t="s">
        <v>1591</v>
      </c>
      <c r="G372" s="5" t="n">
        <v>0.353541666666667</v>
      </c>
      <c r="H372" s="5" t="n">
        <v>0.345763888888889</v>
      </c>
      <c r="I372" s="5" t="n">
        <v>0.00451388888888889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5" t="n">
        <v>0</v>
      </c>
      <c r="P372" s="5" t="n">
        <v>0</v>
      </c>
      <c r="Q372" s="4" t="s">
        <v>1592</v>
      </c>
      <c r="R372" s="4" t="s">
        <v>437</v>
      </c>
      <c r="S372" s="5" t="n">
        <v>0.000115740740740741</v>
      </c>
      <c r="T372" s="5" t="n">
        <v>0.166203703703704</v>
      </c>
      <c r="U372" s="5" t="n">
        <v>0.116550925925926</v>
      </c>
      <c r="V372" s="5" t="n">
        <v>0.0652777777777778</v>
      </c>
      <c r="W372" s="5" t="n">
        <v>0</v>
      </c>
      <c r="X372" s="5" t="n">
        <v>0</v>
      </c>
      <c r="Y372" s="5" t="n">
        <v>0</v>
      </c>
      <c r="Z372" s="0" t="n">
        <v>0</v>
      </c>
      <c r="AA372" s="0" t="n">
        <v>0</v>
      </c>
      <c r="AB372" s="0" t="n">
        <v>0</v>
      </c>
      <c r="AC372" s="4" t="s">
        <v>74</v>
      </c>
      <c r="AD372" s="4" t="s">
        <v>74</v>
      </c>
      <c r="AE372" s="4" t="s">
        <v>1589</v>
      </c>
      <c r="AF372" s="4" t="s">
        <v>1593</v>
      </c>
      <c r="AG372" s="5" t="n">
        <v>0.297175925925926</v>
      </c>
      <c r="AH372" s="5" t="n">
        <v>0.101678240740741</v>
      </c>
      <c r="AI372" s="5" t="n">
        <v>0</v>
      </c>
      <c r="AJ372" s="5" t="n">
        <v>0</v>
      </c>
      <c r="AK372" s="5" t="n">
        <v>0</v>
      </c>
      <c r="AL372" s="5" t="n">
        <v>0</v>
      </c>
      <c r="AM372" s="4" t="s">
        <v>78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0</v>
      </c>
      <c r="BE372" s="0" t="n">
        <v>0</v>
      </c>
      <c r="BF372" s="0" t="n">
        <v>0</v>
      </c>
      <c r="BG372" s="0" t="n">
        <v>0</v>
      </c>
      <c r="BH372" s="0" t="n">
        <v>0</v>
      </c>
      <c r="BI372" s="0" t="n">
        <v>0</v>
      </c>
      <c r="BJ372" s="0" t="n">
        <v>0</v>
      </c>
      <c r="BK372" s="0" t="n">
        <v>0</v>
      </c>
      <c r="BM372" s="6" t="n">
        <f aca="false">IFERROR(VALUE(F372),"")</f>
        <v>196.29</v>
      </c>
      <c r="BN372" s="6" t="n">
        <f aca="false">IF(R372="-","",IFERROR(VALUE(LEFT(Q372,LEN(Q372)-2)),""))</f>
        <v>66.62</v>
      </c>
      <c r="BO372" s="6" t="n">
        <f aca="false">IF(R372="-","",IFERROR(VALUE(LEFT(R372,LEN(R372)-5)),""))</f>
        <v>2.95</v>
      </c>
      <c r="BP372" s="6" t="n">
        <f aca="false">IF(R372="-","",IFERROR(VALUE(F372),""))</f>
        <v>196.29</v>
      </c>
      <c r="BQ372" s="4" t="n">
        <f aca="false">IF(R372="-",1,0)</f>
        <v>0</v>
      </c>
    </row>
    <row r="373" customFormat="false" ht="15" hidden="false" customHeight="false" outlineLevel="0" collapsed="false">
      <c r="A373" s="0" t="s">
        <v>1583</v>
      </c>
      <c r="B373" s="0" t="s">
        <v>1584</v>
      </c>
      <c r="C373" s="0" t="s">
        <v>70</v>
      </c>
      <c r="D373" s="0" t="s">
        <v>1590</v>
      </c>
      <c r="E373" s="3" t="n">
        <v>46275</v>
      </c>
      <c r="F373" s="4" t="s">
        <v>1594</v>
      </c>
      <c r="G373" s="5" t="n">
        <v>0.408900462962963</v>
      </c>
      <c r="H373" s="5" t="n">
        <v>0.385405092592593</v>
      </c>
      <c r="I373" s="5" t="n">
        <v>0.00532407407407407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5" t="n">
        <v>0</v>
      </c>
      <c r="P373" s="5" t="n">
        <v>0.016412037037037</v>
      </c>
      <c r="Q373" s="4" t="s">
        <v>1595</v>
      </c>
      <c r="R373" s="4" t="s">
        <v>1209</v>
      </c>
      <c r="S373" s="5" t="n">
        <v>0.000115740740740741</v>
      </c>
      <c r="T373" s="5" t="n">
        <v>0.201736111111111</v>
      </c>
      <c r="U373" s="5" t="n">
        <v>0.11412037037037</v>
      </c>
      <c r="V373" s="5" t="n">
        <v>0.0689814814814815</v>
      </c>
      <c r="W373" s="5" t="n">
        <v>0</v>
      </c>
      <c r="X373" s="5" t="n">
        <v>0</v>
      </c>
      <c r="Y373" s="5" t="n">
        <v>0</v>
      </c>
      <c r="Z373" s="0" t="n">
        <v>0</v>
      </c>
      <c r="AA373" s="0" t="n">
        <v>0</v>
      </c>
      <c r="AB373" s="0" t="n">
        <v>0</v>
      </c>
      <c r="AC373" s="4" t="s">
        <v>75</v>
      </c>
      <c r="AD373" s="4" t="s">
        <v>228</v>
      </c>
      <c r="AE373" s="4" t="s">
        <v>1593</v>
      </c>
      <c r="AF373" s="4" t="s">
        <v>1596</v>
      </c>
      <c r="AG373" s="5" t="n">
        <v>0.310844907407407</v>
      </c>
      <c r="AH373" s="5" t="n">
        <v>0.200821759259259</v>
      </c>
      <c r="AI373" s="5" t="n">
        <v>0</v>
      </c>
      <c r="AJ373" s="5" t="n">
        <v>0</v>
      </c>
      <c r="AK373" s="5" t="n">
        <v>0</v>
      </c>
      <c r="AL373" s="5" t="n">
        <v>0</v>
      </c>
      <c r="AM373" s="4" t="s">
        <v>78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0</v>
      </c>
      <c r="BF373" s="0" t="n">
        <v>0</v>
      </c>
      <c r="BG373" s="0" t="n">
        <v>0</v>
      </c>
      <c r="BH373" s="0" t="n">
        <v>0</v>
      </c>
      <c r="BI373" s="0" t="n">
        <v>0</v>
      </c>
      <c r="BJ373" s="0" t="n">
        <v>0</v>
      </c>
      <c r="BK373" s="0" t="n">
        <v>0</v>
      </c>
      <c r="BM373" s="6" t="n">
        <f aca="false">IFERROR(VALUE(F373),"")</f>
        <v>196.34</v>
      </c>
      <c r="BN373" s="6" t="n">
        <f aca="false">IF(R373="-","",IFERROR(VALUE(LEFT(Q373,LEN(Q373)-2)),""))</f>
        <v>70.61</v>
      </c>
      <c r="BO373" s="6" t="n">
        <f aca="false">IF(R373="-","",IFERROR(VALUE(LEFT(R373,LEN(R373)-5)),""))</f>
        <v>2.78</v>
      </c>
      <c r="BP373" s="6" t="n">
        <f aca="false">IF(R373="-","",IFERROR(VALUE(F373),""))</f>
        <v>196.34</v>
      </c>
      <c r="BQ373" s="4" t="n">
        <f aca="false">IF(R373="-",1,0)</f>
        <v>0</v>
      </c>
    </row>
    <row r="374" customFormat="false" ht="15" hidden="false" customHeight="false" outlineLevel="0" collapsed="false">
      <c r="A374" s="0" t="s">
        <v>1583</v>
      </c>
      <c r="B374" s="0" t="s">
        <v>1584</v>
      </c>
      <c r="C374" s="0" t="s">
        <v>70</v>
      </c>
      <c r="D374" s="0" t="s">
        <v>1597</v>
      </c>
      <c r="E374" s="3" t="n">
        <v>46276</v>
      </c>
      <c r="F374" s="4" t="s">
        <v>1598</v>
      </c>
      <c r="G374" s="5" t="n">
        <v>0.229224537037037</v>
      </c>
      <c r="H374" s="5" t="n">
        <v>0.164918981481482</v>
      </c>
      <c r="I374" s="5" t="n">
        <v>0.00087962962962963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5" t="n">
        <v>0</v>
      </c>
      <c r="P374" s="5" t="n">
        <v>0.00858796296296296</v>
      </c>
      <c r="Q374" s="4" t="s">
        <v>1599</v>
      </c>
      <c r="R374" s="4" t="s">
        <v>361</v>
      </c>
      <c r="S374" s="5" t="n">
        <v>0</v>
      </c>
      <c r="T374" s="5" t="n">
        <v>0.0993055555555556</v>
      </c>
      <c r="U374" s="5" t="n">
        <v>0.0665509259259259</v>
      </c>
      <c r="V374" s="5" t="n">
        <v>0.0336805555555556</v>
      </c>
      <c r="W374" s="5" t="n">
        <v>0</v>
      </c>
      <c r="X374" s="5" t="n">
        <v>0</v>
      </c>
      <c r="Y374" s="5" t="n">
        <v>0</v>
      </c>
      <c r="Z374" s="0" t="n">
        <v>0</v>
      </c>
      <c r="AA374" s="0" t="n">
        <v>0</v>
      </c>
      <c r="AB374" s="0" t="n">
        <v>0</v>
      </c>
      <c r="AC374" s="4" t="s">
        <v>228</v>
      </c>
      <c r="AD374" s="4" t="s">
        <v>75</v>
      </c>
      <c r="AE374" s="4" t="s">
        <v>1596</v>
      </c>
      <c r="AF374" s="4" t="s">
        <v>1600</v>
      </c>
      <c r="AG374" s="5" t="n">
        <v>0.152893518518519</v>
      </c>
      <c r="AH374" s="5" t="n">
        <v>0.130949074074074</v>
      </c>
      <c r="AI374" s="5" t="n">
        <v>0</v>
      </c>
      <c r="AJ374" s="5" t="n">
        <v>0</v>
      </c>
      <c r="AK374" s="5" t="n">
        <v>0</v>
      </c>
      <c r="AL374" s="5" t="n">
        <v>0</v>
      </c>
      <c r="AM374" s="4" t="s">
        <v>78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0</v>
      </c>
      <c r="BI374" s="0" t="n">
        <v>0</v>
      </c>
      <c r="BJ374" s="0" t="n">
        <v>0</v>
      </c>
      <c r="BK374" s="0" t="n">
        <v>0</v>
      </c>
      <c r="BM374" s="6" t="n">
        <f aca="false">IFERROR(VALUE(F374),"")</f>
        <v>111.2</v>
      </c>
      <c r="BN374" s="6" t="n">
        <f aca="false">IF(R374="-","",IFERROR(VALUE(LEFT(Q374,LEN(Q374)-2)),""))</f>
        <v>35.67</v>
      </c>
      <c r="BO374" s="6" t="n">
        <f aca="false">IF(R374="-","",IFERROR(VALUE(LEFT(R374,LEN(R374)-5)),""))</f>
        <v>3.12</v>
      </c>
      <c r="BP374" s="6" t="n">
        <f aca="false">IF(R374="-","",IFERROR(VALUE(F374),""))</f>
        <v>111.2</v>
      </c>
      <c r="BQ374" s="4" t="n">
        <f aca="false">IF(R374="-",1,0)</f>
        <v>0</v>
      </c>
    </row>
    <row r="375" customFormat="false" ht="15" hidden="false" customHeight="false" outlineLevel="0" collapsed="false">
      <c r="A375" s="0" t="s">
        <v>1583</v>
      </c>
      <c r="B375" s="0" t="s">
        <v>1584</v>
      </c>
      <c r="C375" s="0" t="s">
        <v>70</v>
      </c>
      <c r="E375" s="3" t="n">
        <v>46277</v>
      </c>
      <c r="F375" s="4" t="s">
        <v>95</v>
      </c>
      <c r="G375" s="5" t="n">
        <v>0.00149305555555556</v>
      </c>
      <c r="H375" s="5" t="n">
        <v>0</v>
      </c>
      <c r="I375" s="5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5" t="n">
        <v>0</v>
      </c>
      <c r="P375" s="5" t="n">
        <v>0</v>
      </c>
      <c r="Q375" s="4" t="s">
        <v>1450</v>
      </c>
      <c r="R375" s="4" t="s">
        <v>454</v>
      </c>
      <c r="S375" s="5" t="n">
        <v>0</v>
      </c>
      <c r="T375" s="5" t="n">
        <v>0.00138888888888889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0" t="n">
        <v>0</v>
      </c>
      <c r="AA375" s="0" t="n">
        <v>0</v>
      </c>
      <c r="AB375" s="0" t="n">
        <v>0</v>
      </c>
      <c r="AC375" s="4" t="s">
        <v>75</v>
      </c>
      <c r="AD375" s="4" t="s">
        <v>75</v>
      </c>
      <c r="AE375" s="4" t="s">
        <v>1600</v>
      </c>
      <c r="AF375" s="4" t="s">
        <v>1600</v>
      </c>
      <c r="AG375" s="5" t="n">
        <v>0</v>
      </c>
      <c r="AH375" s="5" t="n">
        <v>0.0228240740740741</v>
      </c>
      <c r="AI375" s="5" t="n">
        <v>0</v>
      </c>
      <c r="AJ375" s="5" t="n">
        <v>0</v>
      </c>
      <c r="AK375" s="5" t="n">
        <v>0</v>
      </c>
      <c r="AL375" s="5" t="n">
        <v>0</v>
      </c>
      <c r="AM375" s="4" t="s">
        <v>78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n">
        <v>0</v>
      </c>
      <c r="BF375" s="0" t="n">
        <v>0</v>
      </c>
      <c r="BG375" s="0" t="n">
        <v>0</v>
      </c>
      <c r="BH375" s="0" t="n">
        <v>0</v>
      </c>
      <c r="BI375" s="0" t="n">
        <v>0</v>
      </c>
      <c r="BJ375" s="0" t="n">
        <v>0</v>
      </c>
      <c r="BK375" s="0" t="n">
        <v>0</v>
      </c>
      <c r="BM375" s="6" t="n">
        <f aca="false">IFERROR(VALUE(F375),"")</f>
        <v>0</v>
      </c>
      <c r="BN375" s="6" t="n">
        <f aca="false">IF(R375="-","",IFERROR(VALUE(LEFT(Q375,LEN(Q375)-2)),""))</f>
        <v>0.11</v>
      </c>
      <c r="BO375" s="6" t="n">
        <f aca="false">IF(R375="-","",IFERROR(VALUE(LEFT(R375,LEN(R375)-5)),""))</f>
        <v>0</v>
      </c>
      <c r="BP375" s="6" t="n">
        <f aca="false">IF(R375="-","",IFERROR(VALUE(F375),""))</f>
        <v>0</v>
      </c>
      <c r="BQ375" s="4" t="n">
        <f aca="false">IF(R375="-",1,0)</f>
        <v>0</v>
      </c>
    </row>
    <row r="376" customFormat="false" ht="15" hidden="false" customHeight="false" outlineLevel="0" collapsed="false">
      <c r="A376" s="0" t="s">
        <v>1583</v>
      </c>
      <c r="B376" s="0" t="s">
        <v>1584</v>
      </c>
      <c r="C376" s="0" t="s">
        <v>70</v>
      </c>
      <c r="D376" s="0" t="s">
        <v>1585</v>
      </c>
      <c r="E376" s="3" t="n">
        <v>46279</v>
      </c>
      <c r="F376" s="4" t="s">
        <v>1601</v>
      </c>
      <c r="G376" s="5" t="n">
        <v>0.401238425925926</v>
      </c>
      <c r="H376" s="5" t="n">
        <v>0.383819444444444</v>
      </c>
      <c r="I376" s="5" t="n">
        <v>0.0065625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5" t="n">
        <v>0</v>
      </c>
      <c r="P376" s="5" t="n">
        <v>0.0115625</v>
      </c>
      <c r="Q376" s="4" t="s">
        <v>1602</v>
      </c>
      <c r="R376" s="4" t="s">
        <v>750</v>
      </c>
      <c r="S376" s="5" t="n">
        <v>0</v>
      </c>
      <c r="T376" s="5" t="n">
        <v>0.182407407407407</v>
      </c>
      <c r="U376" s="5" t="n">
        <v>0.122337962962963</v>
      </c>
      <c r="V376" s="5" t="n">
        <v>0.0788194444444444</v>
      </c>
      <c r="W376" s="5" t="n">
        <v>0</v>
      </c>
      <c r="X376" s="5" t="n">
        <v>0</v>
      </c>
      <c r="Y376" s="5" t="n">
        <v>0</v>
      </c>
      <c r="Z376" s="0" t="n">
        <v>0</v>
      </c>
      <c r="AA376" s="0" t="n">
        <v>0</v>
      </c>
      <c r="AB376" s="0" t="n">
        <v>0</v>
      </c>
      <c r="AC376" s="4" t="s">
        <v>75</v>
      </c>
      <c r="AD376" s="4" t="s">
        <v>75</v>
      </c>
      <c r="AE376" s="4" t="s">
        <v>1600</v>
      </c>
      <c r="AF376" s="4" t="s">
        <v>1603</v>
      </c>
      <c r="AG376" s="5" t="n">
        <v>0.320416666666667</v>
      </c>
      <c r="AH376" s="5" t="n">
        <v>0.181643518518519</v>
      </c>
      <c r="AI376" s="5" t="n">
        <v>0</v>
      </c>
      <c r="AJ376" s="5" t="n">
        <v>0</v>
      </c>
      <c r="AK376" s="5" t="n">
        <v>0</v>
      </c>
      <c r="AL376" s="5" t="n">
        <v>0</v>
      </c>
      <c r="AM376" s="4" t="s">
        <v>78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  <c r="BA376" s="0" t="n">
        <v>0</v>
      </c>
      <c r="BB376" s="0" t="n">
        <v>0</v>
      </c>
      <c r="BC376" s="0" t="n">
        <v>0</v>
      </c>
      <c r="BD376" s="0" t="n">
        <v>0</v>
      </c>
      <c r="BE376" s="0" t="n">
        <v>0</v>
      </c>
      <c r="BF376" s="0" t="n">
        <v>0</v>
      </c>
      <c r="BG376" s="0" t="n">
        <v>0</v>
      </c>
      <c r="BH376" s="0" t="n">
        <v>0</v>
      </c>
      <c r="BI376" s="0" t="n">
        <v>0</v>
      </c>
      <c r="BJ376" s="0" t="n">
        <v>0</v>
      </c>
      <c r="BK376" s="0" t="n">
        <v>0</v>
      </c>
      <c r="BM376" s="6" t="n">
        <f aca="false">IFERROR(VALUE(F376),"")</f>
        <v>231.5</v>
      </c>
      <c r="BN376" s="6" t="n">
        <f aca="false">IF(R376="-","",IFERROR(VALUE(LEFT(Q376,LEN(Q376)-2)),""))</f>
        <v>79.33</v>
      </c>
      <c r="BO376" s="6" t="n">
        <f aca="false">IF(R376="-","",IFERROR(VALUE(LEFT(R376,LEN(R376)-5)),""))</f>
        <v>2.92</v>
      </c>
      <c r="BP376" s="6" t="n">
        <f aca="false">IF(R376="-","",IFERROR(VALUE(F376),""))</f>
        <v>231.5</v>
      </c>
      <c r="BQ376" s="4" t="n">
        <f aca="false">IF(R376="-",1,0)</f>
        <v>0</v>
      </c>
    </row>
    <row r="377" customFormat="false" ht="15" hidden="false" customHeight="false" outlineLevel="0" collapsed="false">
      <c r="A377" s="0" t="s">
        <v>1604</v>
      </c>
      <c r="B377" s="0" t="s">
        <v>1605</v>
      </c>
      <c r="C377" s="0" t="s">
        <v>70</v>
      </c>
      <c r="D377" s="0" t="s">
        <v>1606</v>
      </c>
      <c r="E377" s="3" t="n">
        <v>46273</v>
      </c>
      <c r="F377" s="4" t="s">
        <v>1607</v>
      </c>
      <c r="G377" s="5" t="n">
        <v>0.371655092592593</v>
      </c>
      <c r="H377" s="5" t="n">
        <v>0.259537037037037</v>
      </c>
      <c r="I377" s="5" t="n">
        <v>0.000763888888888889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5" t="n">
        <v>0</v>
      </c>
      <c r="P377" s="5" t="n">
        <v>0</v>
      </c>
      <c r="Q377" s="4" t="s">
        <v>1608</v>
      </c>
      <c r="R377" s="4" t="s">
        <v>1609</v>
      </c>
      <c r="S377" s="5" t="n">
        <v>0</v>
      </c>
      <c r="T377" s="5" t="n">
        <v>0.144097222222222</v>
      </c>
      <c r="U377" s="5" t="n">
        <v>0.122222222222222</v>
      </c>
      <c r="V377" s="5" t="n">
        <v>0.0577546296296296</v>
      </c>
      <c r="W377" s="5" t="n">
        <v>0</v>
      </c>
      <c r="X377" s="5" t="n">
        <v>0</v>
      </c>
      <c r="Y377" s="5" t="n">
        <v>0</v>
      </c>
      <c r="Z377" s="0" t="n">
        <v>0</v>
      </c>
      <c r="AA377" s="0" t="n">
        <v>0</v>
      </c>
      <c r="AB377" s="0" t="n">
        <v>0</v>
      </c>
      <c r="AC377" s="4" t="s">
        <v>1610</v>
      </c>
      <c r="AD377" s="4" t="s">
        <v>75</v>
      </c>
      <c r="AE377" s="4" t="s">
        <v>1611</v>
      </c>
      <c r="AF377" s="4" t="s">
        <v>1612</v>
      </c>
      <c r="AG377" s="5" t="n">
        <v>0.273194444444445</v>
      </c>
      <c r="AH377" s="5" t="n">
        <v>0.1428125</v>
      </c>
      <c r="AI377" s="5" t="n">
        <v>0</v>
      </c>
      <c r="AJ377" s="5" t="n">
        <v>0</v>
      </c>
      <c r="AK377" s="5" t="n">
        <v>0</v>
      </c>
      <c r="AL377" s="5" t="n">
        <v>0</v>
      </c>
      <c r="AM377" s="4" t="s">
        <v>78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  <c r="AU377" s="0" t="n">
        <v>14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0</v>
      </c>
      <c r="BI377" s="0" t="n">
        <v>0</v>
      </c>
      <c r="BJ377" s="0" t="n">
        <v>0</v>
      </c>
      <c r="BK377" s="0" t="n">
        <v>0</v>
      </c>
      <c r="BM377" s="6" t="n">
        <f aca="false">IFERROR(VALUE(F377),"")</f>
        <v>172.27</v>
      </c>
      <c r="BN377" s="6" t="n">
        <f aca="false">IF(R377="-","",IFERROR(VALUE(LEFT(Q377,LEN(Q377)-2)),""))</f>
        <v>65.82</v>
      </c>
      <c r="BO377" s="6" t="n">
        <f aca="false">IF(R377="-","",IFERROR(VALUE(LEFT(R377,LEN(R377)-5)),""))</f>
        <v>2.62</v>
      </c>
      <c r="BP377" s="6" t="n">
        <f aca="false">IF(R377="-","",IFERROR(VALUE(F377),""))</f>
        <v>172.27</v>
      </c>
      <c r="BQ377" s="4" t="n">
        <f aca="false">IF(R377="-",1,0)</f>
        <v>0</v>
      </c>
    </row>
    <row r="378" customFormat="false" ht="15" hidden="false" customHeight="false" outlineLevel="0" collapsed="false">
      <c r="A378" s="0" t="s">
        <v>1604</v>
      </c>
      <c r="B378" s="0" t="s">
        <v>1605</v>
      </c>
      <c r="C378" s="0" t="s">
        <v>70</v>
      </c>
      <c r="D378" s="0" t="s">
        <v>1613</v>
      </c>
      <c r="E378" s="3" t="n">
        <v>46274</v>
      </c>
      <c r="F378" s="4" t="s">
        <v>1614</v>
      </c>
      <c r="G378" s="5" t="n">
        <v>0.328148148148148</v>
      </c>
      <c r="H378" s="5" t="n">
        <v>0.309594907407407</v>
      </c>
      <c r="I378" s="5" t="n">
        <v>0.00099537037037037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5" t="n">
        <v>0</v>
      </c>
      <c r="P378" s="5" t="n">
        <v>0.0298263888888889</v>
      </c>
      <c r="Q378" s="4" t="s">
        <v>1615</v>
      </c>
      <c r="R378" s="4" t="s">
        <v>414</v>
      </c>
      <c r="S378" s="5" t="n">
        <v>0</v>
      </c>
      <c r="T378" s="5" t="n">
        <v>0.166898148148148</v>
      </c>
      <c r="U378" s="5" t="n">
        <v>0.0987268518518519</v>
      </c>
      <c r="V378" s="5" t="n">
        <v>0.0572916666666667</v>
      </c>
      <c r="W378" s="5" t="n">
        <v>0</v>
      </c>
      <c r="X378" s="5" t="n">
        <v>0</v>
      </c>
      <c r="Y378" s="5" t="n">
        <v>0</v>
      </c>
      <c r="Z378" s="0" t="n">
        <v>0</v>
      </c>
      <c r="AA378" s="0" t="n">
        <v>0</v>
      </c>
      <c r="AB378" s="0" t="n">
        <v>0</v>
      </c>
      <c r="AC378" s="4" t="s">
        <v>994</v>
      </c>
      <c r="AD378" s="4" t="s">
        <v>75</v>
      </c>
      <c r="AE378" s="4" t="s">
        <v>1612</v>
      </c>
      <c r="AF378" s="4" t="s">
        <v>1616</v>
      </c>
      <c r="AG378" s="5" t="n">
        <v>0.250150462962963</v>
      </c>
      <c r="AH378" s="5" t="n">
        <v>0.152094907407407</v>
      </c>
      <c r="AI378" s="5" t="n">
        <v>0</v>
      </c>
      <c r="AJ378" s="5" t="n">
        <v>0</v>
      </c>
      <c r="AK378" s="5" t="n">
        <v>0</v>
      </c>
      <c r="AL378" s="5" t="n">
        <v>0</v>
      </c>
      <c r="AM378" s="4" t="s">
        <v>78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5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0</v>
      </c>
      <c r="BI378" s="0" t="n">
        <v>0</v>
      </c>
      <c r="BJ378" s="0" t="n">
        <v>0</v>
      </c>
      <c r="BK378" s="0" t="n">
        <v>0</v>
      </c>
      <c r="BM378" s="6" t="n">
        <f aca="false">IFERROR(VALUE(F378),"")</f>
        <v>136.87</v>
      </c>
      <c r="BN378" s="6" t="n">
        <f aca="false">IF(R378="-","",IFERROR(VALUE(LEFT(Q378,LEN(Q378)-2)),""))</f>
        <v>58.15</v>
      </c>
      <c r="BO378" s="6" t="n">
        <f aca="false">IF(R378="-","",IFERROR(VALUE(LEFT(R378,LEN(R378)-5)),""))</f>
        <v>2.35</v>
      </c>
      <c r="BP378" s="6" t="n">
        <f aca="false">IF(R378="-","",IFERROR(VALUE(F378),""))</f>
        <v>136.87</v>
      </c>
      <c r="BQ378" s="4" t="n">
        <f aca="false">IF(R378="-",1,0)</f>
        <v>0</v>
      </c>
    </row>
    <row r="379" customFormat="false" ht="15" hidden="false" customHeight="false" outlineLevel="0" collapsed="false">
      <c r="A379" s="0" t="s">
        <v>1604</v>
      </c>
      <c r="B379" s="0" t="s">
        <v>1605</v>
      </c>
      <c r="C379" s="0" t="s">
        <v>70</v>
      </c>
      <c r="D379" s="0" t="s">
        <v>1617</v>
      </c>
      <c r="E379" s="3" t="n">
        <v>46275</v>
      </c>
      <c r="F379" s="4" t="s">
        <v>1618</v>
      </c>
      <c r="G379" s="5" t="n">
        <v>0.311875</v>
      </c>
      <c r="H379" s="5" t="n">
        <v>0.212106481481482</v>
      </c>
      <c r="I379" s="5" t="n">
        <v>0.000231481481481482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5" t="n">
        <v>0</v>
      </c>
      <c r="P379" s="5" t="n">
        <v>0.0265277777777778</v>
      </c>
      <c r="Q379" s="4" t="s">
        <v>1619</v>
      </c>
      <c r="R379" s="4" t="s">
        <v>1527</v>
      </c>
      <c r="S379" s="5" t="n">
        <v>0</v>
      </c>
      <c r="T379" s="5" t="n">
        <v>0.134375</v>
      </c>
      <c r="U379" s="5" t="n">
        <v>0.0797453703703704</v>
      </c>
      <c r="V379" s="5" t="n">
        <v>0.0372685185185185</v>
      </c>
      <c r="W379" s="5" t="n">
        <v>0</v>
      </c>
      <c r="X379" s="5" t="n">
        <v>0</v>
      </c>
      <c r="Y379" s="5" t="n">
        <v>0</v>
      </c>
      <c r="Z379" s="0" t="n">
        <v>0</v>
      </c>
      <c r="AA379" s="0" t="n">
        <v>0</v>
      </c>
      <c r="AB379" s="0" t="n">
        <v>0</v>
      </c>
      <c r="AC379" s="4" t="s">
        <v>73</v>
      </c>
      <c r="AD379" s="4" t="s">
        <v>74</v>
      </c>
      <c r="AE379" s="4" t="s">
        <v>1616</v>
      </c>
      <c r="AF379" s="4" t="s">
        <v>1620</v>
      </c>
      <c r="AG379" s="5" t="n">
        <v>0.193680555555556</v>
      </c>
      <c r="AH379" s="5" t="n">
        <v>0.244224537037037</v>
      </c>
      <c r="AI379" s="5" t="n">
        <v>0</v>
      </c>
      <c r="AJ379" s="5" t="n">
        <v>0</v>
      </c>
      <c r="AK379" s="5" t="n">
        <v>0</v>
      </c>
      <c r="AL379" s="5" t="n">
        <v>0</v>
      </c>
      <c r="AM379" s="4" t="s">
        <v>78</v>
      </c>
      <c r="AN379" s="0" t="n">
        <v>0</v>
      </c>
      <c r="AO379" s="0" t="n">
        <v>1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2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0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0</v>
      </c>
      <c r="BI379" s="0" t="n">
        <v>0</v>
      </c>
      <c r="BJ379" s="0" t="n">
        <v>0</v>
      </c>
      <c r="BK379" s="0" t="n">
        <v>0</v>
      </c>
      <c r="BM379" s="6" t="n">
        <f aca="false">IFERROR(VALUE(F379),"")</f>
        <v>99.77</v>
      </c>
      <c r="BN379" s="6" t="n">
        <f aca="false">IF(R379="-","",IFERROR(VALUE(LEFT(Q379,LEN(Q379)-2)),""))</f>
        <v>42.26</v>
      </c>
      <c r="BO379" s="6" t="n">
        <f aca="false">IF(R379="-","",IFERROR(VALUE(LEFT(R379,LEN(R379)-5)),""))</f>
        <v>2.36</v>
      </c>
      <c r="BP379" s="6" t="n">
        <f aca="false">IF(R379="-","",IFERROR(VALUE(F379),""))</f>
        <v>99.77</v>
      </c>
      <c r="BQ379" s="4" t="n">
        <f aca="false">IF(R379="-",1,0)</f>
        <v>0</v>
      </c>
    </row>
    <row r="380" customFormat="false" ht="15" hidden="false" customHeight="false" outlineLevel="0" collapsed="false">
      <c r="A380" s="0" t="s">
        <v>1604</v>
      </c>
      <c r="B380" s="0" t="s">
        <v>1605</v>
      </c>
      <c r="C380" s="0" t="s">
        <v>70</v>
      </c>
      <c r="D380" s="0" t="s">
        <v>1621</v>
      </c>
      <c r="E380" s="3" t="n">
        <v>46276</v>
      </c>
      <c r="F380" s="4" t="s">
        <v>1622</v>
      </c>
      <c r="G380" s="5" t="n">
        <v>0.292743055555556</v>
      </c>
      <c r="H380" s="5" t="n">
        <v>0.225173611111111</v>
      </c>
      <c r="I380" s="5" t="n">
        <v>0.000393518518518519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5" t="n">
        <v>0</v>
      </c>
      <c r="P380" s="5" t="n">
        <v>0.00799768518518519</v>
      </c>
      <c r="Q380" s="4" t="s">
        <v>1623</v>
      </c>
      <c r="R380" s="4" t="s">
        <v>978</v>
      </c>
      <c r="S380" s="5" t="n">
        <v>0</v>
      </c>
      <c r="T380" s="5" t="n">
        <v>0.13587962962963</v>
      </c>
      <c r="U380" s="5" t="n">
        <v>0.0996527777777778</v>
      </c>
      <c r="V380" s="5" t="n">
        <v>0.0525462962962963</v>
      </c>
      <c r="W380" s="5" t="n">
        <v>0</v>
      </c>
      <c r="X380" s="5" t="n">
        <v>0</v>
      </c>
      <c r="Y380" s="5" t="n">
        <v>0</v>
      </c>
      <c r="Z380" s="0" t="n">
        <v>0</v>
      </c>
      <c r="AA380" s="0" t="n">
        <v>0</v>
      </c>
      <c r="AB380" s="0" t="n">
        <v>0</v>
      </c>
      <c r="AC380" s="4" t="s">
        <v>73</v>
      </c>
      <c r="AD380" s="4" t="s">
        <v>74</v>
      </c>
      <c r="AE380" s="4" t="s">
        <v>1620</v>
      </c>
      <c r="AF380" s="4" t="s">
        <v>1624</v>
      </c>
      <c r="AG380" s="5" t="n">
        <v>0.249849537037037</v>
      </c>
      <c r="AH380" s="5" t="n">
        <v>0.141111111111111</v>
      </c>
      <c r="AI380" s="5" t="n">
        <v>0</v>
      </c>
      <c r="AJ380" s="5" t="n">
        <v>0</v>
      </c>
      <c r="AK380" s="5" t="n">
        <v>0</v>
      </c>
      <c r="AL380" s="5" t="n">
        <v>0</v>
      </c>
      <c r="AM380" s="4" t="s">
        <v>78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7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0</v>
      </c>
      <c r="BG380" s="0" t="n">
        <v>0</v>
      </c>
      <c r="BH380" s="0" t="n">
        <v>0</v>
      </c>
      <c r="BI380" s="0" t="n">
        <v>0</v>
      </c>
      <c r="BJ380" s="0" t="n">
        <v>0</v>
      </c>
      <c r="BK380" s="0" t="n">
        <v>0</v>
      </c>
      <c r="BM380" s="6" t="n">
        <f aca="false">IFERROR(VALUE(F380),"")</f>
        <v>135.26</v>
      </c>
      <c r="BN380" s="6" t="n">
        <f aca="false">IF(R380="-","",IFERROR(VALUE(LEFT(Q380,LEN(Q380)-2)),""))</f>
        <v>56.26</v>
      </c>
      <c r="BO380" s="6" t="n">
        <f aca="false">IF(R380="-","",IFERROR(VALUE(LEFT(R380,LEN(R380)-5)),""))</f>
        <v>2.4</v>
      </c>
      <c r="BP380" s="6" t="n">
        <f aca="false">IF(R380="-","",IFERROR(VALUE(F380),""))</f>
        <v>135.26</v>
      </c>
      <c r="BQ380" s="4" t="n">
        <f aca="false">IF(R380="-",1,0)</f>
        <v>0</v>
      </c>
    </row>
    <row r="381" customFormat="false" ht="15" hidden="false" customHeight="false" outlineLevel="0" collapsed="false">
      <c r="A381" s="0" t="s">
        <v>1604</v>
      </c>
      <c r="B381" s="0" t="s">
        <v>1605</v>
      </c>
      <c r="C381" s="0" t="s">
        <v>70</v>
      </c>
      <c r="E381" s="3" t="n">
        <v>46277</v>
      </c>
      <c r="F381" s="4" t="s">
        <v>95</v>
      </c>
      <c r="G381" s="5" t="n">
        <v>0.000590277777777778</v>
      </c>
      <c r="H381" s="5" t="n">
        <v>0</v>
      </c>
      <c r="I381" s="5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5" t="n">
        <v>0</v>
      </c>
      <c r="P381" s="5" t="n">
        <v>0</v>
      </c>
      <c r="Q381" s="4" t="s">
        <v>1625</v>
      </c>
      <c r="R381" s="4" t="s">
        <v>454</v>
      </c>
      <c r="S381" s="5" t="n">
        <v>0</v>
      </c>
      <c r="T381" s="5" t="n">
        <v>0.000462962962962963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0" t="n">
        <v>0</v>
      </c>
      <c r="AA381" s="0" t="n">
        <v>0</v>
      </c>
      <c r="AB381" s="0" t="n">
        <v>0</v>
      </c>
      <c r="AC381" s="4" t="s">
        <v>1626</v>
      </c>
      <c r="AD381" s="4" t="s">
        <v>74</v>
      </c>
      <c r="AE381" s="4" t="s">
        <v>1624</v>
      </c>
      <c r="AF381" s="4" t="s">
        <v>1624</v>
      </c>
      <c r="AG381" s="5" t="n">
        <v>0</v>
      </c>
      <c r="AH381" s="5" t="n">
        <v>0.0109490740740741</v>
      </c>
      <c r="AI381" s="5" t="n">
        <v>0</v>
      </c>
      <c r="AJ381" s="5" t="n">
        <v>0</v>
      </c>
      <c r="AK381" s="5" t="n">
        <v>0</v>
      </c>
      <c r="AL381" s="5" t="n">
        <v>0</v>
      </c>
      <c r="AM381" s="4" t="s">
        <v>78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  <c r="BA381" s="0" t="n">
        <v>0</v>
      </c>
      <c r="BB381" s="0" t="n">
        <v>0</v>
      </c>
      <c r="BC381" s="0" t="n">
        <v>0</v>
      </c>
      <c r="BD381" s="0" t="n">
        <v>0</v>
      </c>
      <c r="BE381" s="0" t="n">
        <v>0</v>
      </c>
      <c r="BF381" s="0" t="n">
        <v>0</v>
      </c>
      <c r="BG381" s="0" t="n">
        <v>0</v>
      </c>
      <c r="BH381" s="0" t="n">
        <v>0</v>
      </c>
      <c r="BI381" s="0" t="n">
        <v>0</v>
      </c>
      <c r="BJ381" s="0" t="n">
        <v>0</v>
      </c>
      <c r="BK381" s="0" t="n">
        <v>0</v>
      </c>
      <c r="BM381" s="6" t="n">
        <f aca="false">IFERROR(VALUE(F381),"")</f>
        <v>0</v>
      </c>
      <c r="BN381" s="6" t="n">
        <f aca="false">IF(R381="-","",IFERROR(VALUE(LEFT(Q381,LEN(Q381)-2)),""))</f>
        <v>0.03</v>
      </c>
      <c r="BO381" s="6" t="n">
        <f aca="false">IF(R381="-","",IFERROR(VALUE(LEFT(R381,LEN(R381)-5)),""))</f>
        <v>0</v>
      </c>
      <c r="BP381" s="6" t="n">
        <f aca="false">IF(R381="-","",IFERROR(VALUE(F381),""))</f>
        <v>0</v>
      </c>
      <c r="BQ381" s="4" t="n">
        <f aca="false">IF(R381="-",1,0)</f>
        <v>0</v>
      </c>
    </row>
    <row r="382" customFormat="false" ht="15" hidden="false" customHeight="false" outlineLevel="0" collapsed="false">
      <c r="A382" s="0" t="s">
        <v>1604</v>
      </c>
      <c r="B382" s="0" t="s">
        <v>1605</v>
      </c>
      <c r="C382" s="0" t="s">
        <v>70</v>
      </c>
      <c r="D382" s="0" t="s">
        <v>1627</v>
      </c>
      <c r="E382" s="3" t="n">
        <v>46279</v>
      </c>
      <c r="F382" s="4" t="s">
        <v>1628</v>
      </c>
      <c r="G382" s="5" t="n">
        <v>0.630960648148148</v>
      </c>
      <c r="H382" s="5" t="n">
        <v>0.601180555555556</v>
      </c>
      <c r="I382" s="5" t="n">
        <v>0.00123842592592593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5" t="n">
        <v>0</v>
      </c>
      <c r="P382" s="5" t="n">
        <v>0.0240509259259259</v>
      </c>
      <c r="Q382" s="4" t="s">
        <v>1629</v>
      </c>
      <c r="R382" s="4" t="s">
        <v>401</v>
      </c>
      <c r="S382" s="5" t="n">
        <v>0</v>
      </c>
      <c r="T382" s="5" t="n">
        <v>0.242361111111111</v>
      </c>
      <c r="U382" s="5" t="n">
        <v>0.248726851851852</v>
      </c>
      <c r="V382" s="5" t="n">
        <v>0.124537037037037</v>
      </c>
      <c r="W382" s="5" t="n">
        <v>0</v>
      </c>
      <c r="X382" s="5" t="n">
        <v>0</v>
      </c>
      <c r="Y382" s="5" t="n">
        <v>0</v>
      </c>
      <c r="Z382" s="0" t="n">
        <v>0</v>
      </c>
      <c r="AA382" s="0" t="n">
        <v>0</v>
      </c>
      <c r="AB382" s="0" t="n">
        <v>0</v>
      </c>
      <c r="AC382" s="4" t="s">
        <v>111</v>
      </c>
      <c r="AD382" s="4" t="s">
        <v>75</v>
      </c>
      <c r="AE382" s="4" t="s">
        <v>1624</v>
      </c>
      <c r="AF382" s="4" t="s">
        <v>1630</v>
      </c>
      <c r="AG382" s="5" t="n">
        <v>0.523865740740741</v>
      </c>
      <c r="AH382" s="5" t="n">
        <v>0.205520833333333</v>
      </c>
      <c r="AI382" s="5" t="n">
        <v>0</v>
      </c>
      <c r="AJ382" s="5" t="n">
        <v>0</v>
      </c>
      <c r="AK382" s="5" t="n">
        <v>0</v>
      </c>
      <c r="AL382" s="5" t="n">
        <v>0</v>
      </c>
      <c r="AM382" s="4" t="s">
        <v>78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7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0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M382" s="6" t="n">
        <f aca="false">IFERROR(VALUE(F382),"")</f>
        <v>365.81</v>
      </c>
      <c r="BN382" s="6" t="n">
        <f aca="false">IF(R382="-","",IFERROR(VALUE(LEFT(Q382,LEN(Q382)-2)),""))</f>
        <v>127.75</v>
      </c>
      <c r="BO382" s="6" t="n">
        <f aca="false">IF(R382="-","",IFERROR(VALUE(LEFT(R382,LEN(R382)-5)),""))</f>
        <v>2.86</v>
      </c>
      <c r="BP382" s="6" t="n">
        <f aca="false">IF(R382="-","",IFERROR(VALUE(F382),""))</f>
        <v>365.81</v>
      </c>
      <c r="BQ382" s="4" t="n">
        <f aca="false">IF(R382="-",1,0)</f>
        <v>0</v>
      </c>
    </row>
    <row r="383" customFormat="false" ht="15" hidden="false" customHeight="false" outlineLevel="0" collapsed="false">
      <c r="A383" s="0" t="s">
        <v>1631</v>
      </c>
      <c r="B383" s="0" t="s">
        <v>1632</v>
      </c>
      <c r="C383" s="0" t="s">
        <v>70</v>
      </c>
      <c r="D383" s="0" t="s">
        <v>1633</v>
      </c>
      <c r="E383" s="3" t="n">
        <v>46273</v>
      </c>
      <c r="F383" s="4" t="s">
        <v>1634</v>
      </c>
      <c r="G383" s="5" t="n">
        <v>0.585729166666667</v>
      </c>
      <c r="H383" s="5" t="n">
        <v>0.566527777777778</v>
      </c>
      <c r="I383" s="5" t="n">
        <v>9.25925925925926E-005</v>
      </c>
      <c r="J383" s="0" t="n">
        <v>1</v>
      </c>
      <c r="K383" s="0" t="n">
        <v>6</v>
      </c>
      <c r="L383" s="0" t="n">
        <v>0</v>
      </c>
      <c r="M383" s="0" t="n">
        <v>0</v>
      </c>
      <c r="N383" s="0" t="n">
        <v>0</v>
      </c>
      <c r="O383" s="5" t="n">
        <v>0</v>
      </c>
      <c r="P383" s="5" t="n">
        <v>0</v>
      </c>
      <c r="Q383" s="4" t="s">
        <v>73</v>
      </c>
      <c r="R383" s="4" t="s">
        <v>73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0" t="n">
        <v>0</v>
      </c>
      <c r="AA383" s="0" t="n">
        <v>0</v>
      </c>
      <c r="AB383" s="0" t="n">
        <v>0</v>
      </c>
      <c r="AC383" s="4" t="s">
        <v>228</v>
      </c>
      <c r="AD383" s="4" t="s">
        <v>228</v>
      </c>
      <c r="AE383" s="4" t="s">
        <v>1635</v>
      </c>
      <c r="AF383" s="4" t="s">
        <v>1636</v>
      </c>
      <c r="AG383" s="5" t="n">
        <v>0.486273148148148</v>
      </c>
      <c r="AH383" s="5" t="n">
        <v>0.210717592592593</v>
      </c>
      <c r="AI383" s="5" t="n">
        <v>1.15740740740741E-005</v>
      </c>
      <c r="AJ383" s="5" t="n">
        <v>0</v>
      </c>
      <c r="AK383" s="5" t="n">
        <v>0</v>
      </c>
      <c r="AL383" s="5" t="n">
        <v>0</v>
      </c>
      <c r="AM383" s="4" t="s">
        <v>78</v>
      </c>
      <c r="AN383" s="0" t="n">
        <v>0</v>
      </c>
      <c r="AO383" s="0" t="n">
        <v>4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8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0</v>
      </c>
      <c r="BI383" s="0" t="n">
        <v>0</v>
      </c>
      <c r="BJ383" s="0" t="n">
        <v>0</v>
      </c>
      <c r="BK383" s="0" t="n">
        <v>0</v>
      </c>
      <c r="BM383" s="6" t="n">
        <f aca="false">IFERROR(VALUE(F383),"")</f>
        <v>380.42</v>
      </c>
      <c r="BN383" s="6" t="str">
        <f aca="false">IF(R383="-","",IFERROR(VALUE(LEFT(Q383,LEN(Q383)-2)),""))</f>
        <v/>
      </c>
      <c r="BO383" s="6" t="str">
        <f aca="false">IF(R383="-","",IFERROR(VALUE(LEFT(R383,LEN(R383)-5)),""))</f>
        <v/>
      </c>
      <c r="BP383" s="6" t="str">
        <f aca="false">IF(R383="-","",IFERROR(VALUE(F383),""))</f>
        <v/>
      </c>
      <c r="BQ383" s="4" t="n">
        <f aca="false">IF(R383="-",1,0)</f>
        <v>1</v>
      </c>
    </row>
    <row r="384" customFormat="false" ht="15" hidden="false" customHeight="false" outlineLevel="0" collapsed="false">
      <c r="A384" s="0" t="s">
        <v>1631</v>
      </c>
      <c r="B384" s="0" t="s">
        <v>1632</v>
      </c>
      <c r="C384" s="0" t="s">
        <v>70</v>
      </c>
      <c r="D384" s="0" t="s">
        <v>1637</v>
      </c>
      <c r="E384" s="3" t="n">
        <v>46274</v>
      </c>
      <c r="F384" s="4" t="s">
        <v>1638</v>
      </c>
      <c r="G384" s="5" t="n">
        <v>0.296342592592593</v>
      </c>
      <c r="H384" s="5" t="n">
        <v>0.0553240740740741</v>
      </c>
      <c r="I384" s="5" t="n">
        <v>0.00201388888888889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0</v>
      </c>
      <c r="O384" s="5" t="n">
        <v>0</v>
      </c>
      <c r="P384" s="5" t="n">
        <v>0</v>
      </c>
      <c r="Q384" s="4" t="s">
        <v>73</v>
      </c>
      <c r="R384" s="4" t="s">
        <v>73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0" t="n">
        <v>0</v>
      </c>
      <c r="AA384" s="0" t="n">
        <v>0</v>
      </c>
      <c r="AB384" s="0" t="n">
        <v>0</v>
      </c>
      <c r="AC384" s="4" t="s">
        <v>75</v>
      </c>
      <c r="AD384" s="4" t="s">
        <v>75</v>
      </c>
      <c r="AE384" s="4" t="s">
        <v>1636</v>
      </c>
      <c r="AF384" s="4" t="s">
        <v>1639</v>
      </c>
      <c r="AG384" s="5" t="n">
        <v>0.237175925925926</v>
      </c>
      <c r="AH384" s="5" t="n">
        <v>0.0850462962962963</v>
      </c>
      <c r="AI384" s="5" t="n">
        <v>0</v>
      </c>
      <c r="AJ384" s="5" t="n">
        <v>0</v>
      </c>
      <c r="AK384" s="5" t="n">
        <v>0</v>
      </c>
      <c r="AL384" s="5" t="n">
        <v>0</v>
      </c>
      <c r="AM384" s="4" t="s">
        <v>78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7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0" t="n">
        <v>0</v>
      </c>
      <c r="BE384" s="0" t="n">
        <v>0</v>
      </c>
      <c r="BF384" s="0" t="n">
        <v>0</v>
      </c>
      <c r="BG384" s="0" t="n">
        <v>0</v>
      </c>
      <c r="BH384" s="0" t="n">
        <v>0</v>
      </c>
      <c r="BI384" s="0" t="n">
        <v>0</v>
      </c>
      <c r="BJ384" s="0" t="n">
        <v>0</v>
      </c>
      <c r="BK384" s="0" t="n">
        <v>0</v>
      </c>
      <c r="BM384" s="6" t="n">
        <f aca="false">IFERROR(VALUE(F384),"")</f>
        <v>187.89</v>
      </c>
      <c r="BN384" s="6" t="str">
        <f aca="false">IF(R384="-","",IFERROR(VALUE(LEFT(Q384,LEN(Q384)-2)),""))</f>
        <v/>
      </c>
      <c r="BO384" s="6" t="str">
        <f aca="false">IF(R384="-","",IFERROR(VALUE(LEFT(R384,LEN(R384)-5)),""))</f>
        <v/>
      </c>
      <c r="BP384" s="6" t="str">
        <f aca="false">IF(R384="-","",IFERROR(VALUE(F384),""))</f>
        <v/>
      </c>
      <c r="BQ384" s="4" t="n">
        <f aca="false">IF(R384="-",1,0)</f>
        <v>1</v>
      </c>
    </row>
    <row r="385" customFormat="false" ht="15" hidden="false" customHeight="false" outlineLevel="0" collapsed="false">
      <c r="A385" s="0" t="s">
        <v>1631</v>
      </c>
      <c r="B385" s="0" t="s">
        <v>1632</v>
      </c>
      <c r="C385" s="0" t="s">
        <v>70</v>
      </c>
      <c r="D385" s="0" t="s">
        <v>1640</v>
      </c>
      <c r="E385" s="3" t="n">
        <v>46275</v>
      </c>
      <c r="F385" s="4" t="s">
        <v>1641</v>
      </c>
      <c r="G385" s="5" t="n">
        <v>0.164965277777778</v>
      </c>
      <c r="H385" s="5" t="n">
        <v>0.158900462962963</v>
      </c>
      <c r="I385" s="5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5" t="n">
        <v>0</v>
      </c>
      <c r="P385" s="5" t="n">
        <v>0</v>
      </c>
      <c r="Q385" s="4" t="s">
        <v>73</v>
      </c>
      <c r="R385" s="4" t="s">
        <v>73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0" t="n">
        <v>0</v>
      </c>
      <c r="AA385" s="0" t="n">
        <v>0</v>
      </c>
      <c r="AB385" s="0" t="n">
        <v>0</v>
      </c>
      <c r="AC385" s="4" t="s">
        <v>75</v>
      </c>
      <c r="AD385" s="4" t="s">
        <v>74</v>
      </c>
      <c r="AE385" s="4" t="s">
        <v>1639</v>
      </c>
      <c r="AF385" s="4" t="s">
        <v>1642</v>
      </c>
      <c r="AG385" s="5" t="n">
        <v>0.134594907407407</v>
      </c>
      <c r="AH385" s="5" t="n">
        <v>0.0546990740740741</v>
      </c>
      <c r="AI385" s="5" t="n">
        <v>0</v>
      </c>
      <c r="AJ385" s="5" t="n">
        <v>0</v>
      </c>
      <c r="AK385" s="5" t="n">
        <v>0</v>
      </c>
      <c r="AL385" s="5" t="n">
        <v>0</v>
      </c>
      <c r="AM385" s="4" t="s">
        <v>78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n">
        <v>0</v>
      </c>
      <c r="BF385" s="0" t="n">
        <v>0</v>
      </c>
      <c r="BG385" s="0" t="n">
        <v>0</v>
      </c>
      <c r="BH385" s="0" t="n">
        <v>0</v>
      </c>
      <c r="BI385" s="0" t="n">
        <v>0</v>
      </c>
      <c r="BJ385" s="0" t="n">
        <v>0</v>
      </c>
      <c r="BK385" s="0" t="n">
        <v>0</v>
      </c>
      <c r="BM385" s="6" t="n">
        <f aca="false">IFERROR(VALUE(F385),"")</f>
        <v>59.5</v>
      </c>
      <c r="BN385" s="6" t="str">
        <f aca="false">IF(R385="-","",IFERROR(VALUE(LEFT(Q385,LEN(Q385)-2)),""))</f>
        <v/>
      </c>
      <c r="BO385" s="6" t="str">
        <f aca="false">IF(R385="-","",IFERROR(VALUE(LEFT(R385,LEN(R385)-5)),""))</f>
        <v/>
      </c>
      <c r="BP385" s="6" t="str">
        <f aca="false">IF(R385="-","",IFERROR(VALUE(F385),""))</f>
        <v/>
      </c>
      <c r="BQ385" s="4" t="n">
        <f aca="false">IF(R385="-",1,0)</f>
        <v>1</v>
      </c>
    </row>
    <row r="386" customFormat="false" ht="15" hidden="false" customHeight="false" outlineLevel="0" collapsed="false">
      <c r="A386" s="0" t="s">
        <v>1631</v>
      </c>
      <c r="B386" s="0" t="s">
        <v>1632</v>
      </c>
      <c r="C386" s="0" t="s">
        <v>70</v>
      </c>
      <c r="D386" s="0" t="s">
        <v>1643</v>
      </c>
      <c r="E386" s="3" t="n">
        <v>46276</v>
      </c>
      <c r="F386" s="4" t="s">
        <v>1644</v>
      </c>
      <c r="G386" s="5" t="n">
        <v>0.360034722222222</v>
      </c>
      <c r="H386" s="5" t="n">
        <v>0.316805555555556</v>
      </c>
      <c r="I386" s="5" t="n">
        <v>0.000138888888888889</v>
      </c>
      <c r="J386" s="0" t="n">
        <v>0</v>
      </c>
      <c r="K386" s="0" t="n">
        <v>1</v>
      </c>
      <c r="L386" s="0" t="n">
        <v>0</v>
      </c>
      <c r="M386" s="0" t="n">
        <v>0</v>
      </c>
      <c r="N386" s="0" t="n">
        <v>0</v>
      </c>
      <c r="O386" s="5" t="n">
        <v>0</v>
      </c>
      <c r="P386" s="5" t="n">
        <v>0</v>
      </c>
      <c r="Q386" s="4" t="s">
        <v>73</v>
      </c>
      <c r="R386" s="4" t="s">
        <v>73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0" t="n">
        <v>0</v>
      </c>
      <c r="AA386" s="0" t="n">
        <v>0</v>
      </c>
      <c r="AB386" s="0" t="n">
        <v>0</v>
      </c>
      <c r="AC386" s="4" t="s">
        <v>81</v>
      </c>
      <c r="AD386" s="4" t="s">
        <v>75</v>
      </c>
      <c r="AE386" s="4" t="s">
        <v>1642</v>
      </c>
      <c r="AF386" s="4" t="s">
        <v>1645</v>
      </c>
      <c r="AG386" s="5" t="n">
        <v>0.277962962962963</v>
      </c>
      <c r="AH386" s="5" t="n">
        <v>0.19755787037037</v>
      </c>
      <c r="AI386" s="5" t="n">
        <v>1.15740740740741E-005</v>
      </c>
      <c r="AJ386" s="5" t="n">
        <v>0</v>
      </c>
      <c r="AK386" s="5" t="n">
        <v>0</v>
      </c>
      <c r="AL386" s="5" t="n">
        <v>0</v>
      </c>
      <c r="AM386" s="4" t="s">
        <v>78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8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n">
        <v>0</v>
      </c>
      <c r="BF386" s="0" t="n">
        <v>0</v>
      </c>
      <c r="BG386" s="0" t="n">
        <v>0</v>
      </c>
      <c r="BH386" s="0" t="n">
        <v>0</v>
      </c>
      <c r="BI386" s="0" t="n">
        <v>0</v>
      </c>
      <c r="BJ386" s="0" t="n">
        <v>0</v>
      </c>
      <c r="BK386" s="0" t="n">
        <v>0</v>
      </c>
      <c r="BM386" s="6" t="n">
        <f aca="false">IFERROR(VALUE(F386),"")</f>
        <v>135.51</v>
      </c>
      <c r="BN386" s="6" t="str">
        <f aca="false">IF(R386="-","",IFERROR(VALUE(LEFT(Q386,LEN(Q386)-2)),""))</f>
        <v/>
      </c>
      <c r="BO386" s="6" t="str">
        <f aca="false">IF(R386="-","",IFERROR(VALUE(LEFT(R386,LEN(R386)-5)),""))</f>
        <v/>
      </c>
      <c r="BP386" s="6" t="str">
        <f aca="false">IF(R386="-","",IFERROR(VALUE(F386),""))</f>
        <v/>
      </c>
      <c r="BQ386" s="4" t="n">
        <f aca="false">IF(R386="-",1,0)</f>
        <v>1</v>
      </c>
    </row>
    <row r="387" customFormat="false" ht="15" hidden="false" customHeight="false" outlineLevel="0" collapsed="false">
      <c r="A387" s="0" t="s">
        <v>1631</v>
      </c>
      <c r="B387" s="0" t="s">
        <v>1632</v>
      </c>
      <c r="C387" s="0" t="s">
        <v>70</v>
      </c>
      <c r="D387" s="0" t="s">
        <v>114</v>
      </c>
      <c r="E387" s="3" t="n">
        <v>46277</v>
      </c>
      <c r="F387" s="4" t="s">
        <v>1646</v>
      </c>
      <c r="G387" s="5" t="n">
        <v>0.0863194444444445</v>
      </c>
      <c r="H387" s="5" t="n">
        <v>0.0841666666666667</v>
      </c>
      <c r="I387" s="5" t="n">
        <v>1.15740740740741E-005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5" t="n">
        <v>0</v>
      </c>
      <c r="P387" s="5" t="n">
        <v>0</v>
      </c>
      <c r="Q387" s="4" t="s">
        <v>73</v>
      </c>
      <c r="R387" s="4" t="s">
        <v>73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0" t="n">
        <v>0</v>
      </c>
      <c r="AA387" s="0" t="n">
        <v>0</v>
      </c>
      <c r="AB387" s="0" t="n">
        <v>0</v>
      </c>
      <c r="AC387" s="4" t="s">
        <v>75</v>
      </c>
      <c r="AD387" s="4" t="s">
        <v>75</v>
      </c>
      <c r="AE387" s="4" t="s">
        <v>1645</v>
      </c>
      <c r="AF387" s="4" t="s">
        <v>1647</v>
      </c>
      <c r="AG387" s="5" t="n">
        <v>0.0701736111111111</v>
      </c>
      <c r="AH387" s="5" t="n">
        <v>0.0239236111111111</v>
      </c>
      <c r="AI387" s="5" t="n">
        <v>0</v>
      </c>
      <c r="AJ387" s="5" t="n">
        <v>0</v>
      </c>
      <c r="AK387" s="5" t="n">
        <v>0</v>
      </c>
      <c r="AL387" s="5" t="n">
        <v>0</v>
      </c>
      <c r="AM387" s="4" t="s">
        <v>78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0</v>
      </c>
      <c r="BG387" s="0" t="n">
        <v>0</v>
      </c>
      <c r="BH387" s="0" t="n">
        <v>0</v>
      </c>
      <c r="BI387" s="0" t="n">
        <v>0</v>
      </c>
      <c r="BJ387" s="0" t="n">
        <v>0</v>
      </c>
      <c r="BK387" s="0" t="n">
        <v>0</v>
      </c>
      <c r="BM387" s="6" t="n">
        <f aca="false">IFERROR(VALUE(F387),"")</f>
        <v>29</v>
      </c>
      <c r="BN387" s="6" t="str">
        <f aca="false">IF(R387="-","",IFERROR(VALUE(LEFT(Q387,LEN(Q387)-2)),""))</f>
        <v/>
      </c>
      <c r="BO387" s="6" t="str">
        <f aca="false">IF(R387="-","",IFERROR(VALUE(LEFT(R387,LEN(R387)-5)),""))</f>
        <v/>
      </c>
      <c r="BP387" s="6" t="str">
        <f aca="false">IF(R387="-","",IFERROR(VALUE(F387),""))</f>
        <v/>
      </c>
      <c r="BQ387" s="4" t="n">
        <f aca="false">IF(R387="-",1,0)</f>
        <v>1</v>
      </c>
    </row>
    <row r="388" customFormat="false" ht="15" hidden="false" customHeight="false" outlineLevel="0" collapsed="false">
      <c r="A388" s="0" t="s">
        <v>1631</v>
      </c>
      <c r="B388" s="0" t="s">
        <v>1632</v>
      </c>
      <c r="C388" s="0" t="s">
        <v>70</v>
      </c>
      <c r="D388" s="0" t="s">
        <v>1648</v>
      </c>
      <c r="E388" s="3" t="n">
        <v>46279</v>
      </c>
      <c r="F388" s="4" t="s">
        <v>1649</v>
      </c>
      <c r="G388" s="5" t="n">
        <v>0.112175925925926</v>
      </c>
      <c r="H388" s="5" t="n">
        <v>0.0569444444444444</v>
      </c>
      <c r="I388" s="5" t="n">
        <v>6.94444444444444E-005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5" t="n">
        <v>0</v>
      </c>
      <c r="P388" s="5" t="n">
        <v>0</v>
      </c>
      <c r="Q388" s="4" t="s">
        <v>73</v>
      </c>
      <c r="R388" s="4" t="s">
        <v>73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0</v>
      </c>
      <c r="Y388" s="5" t="n">
        <v>0</v>
      </c>
      <c r="Z388" s="0" t="n">
        <v>0</v>
      </c>
      <c r="AA388" s="0" t="n">
        <v>0</v>
      </c>
      <c r="AB388" s="0" t="n">
        <v>0</v>
      </c>
      <c r="AC388" s="4" t="s">
        <v>74</v>
      </c>
      <c r="AD388" s="4" t="s">
        <v>228</v>
      </c>
      <c r="AE388" s="4" t="s">
        <v>1647</v>
      </c>
      <c r="AF388" s="4" t="s">
        <v>1650</v>
      </c>
      <c r="AG388" s="5" t="n">
        <v>0.0695601851851852</v>
      </c>
      <c r="AH388" s="5" t="n">
        <v>0.143356481481482</v>
      </c>
      <c r="AI388" s="5" t="n">
        <v>3.47222222222222E-005</v>
      </c>
      <c r="AJ388" s="5" t="n">
        <v>0</v>
      </c>
      <c r="AK388" s="5" t="n">
        <v>0</v>
      </c>
      <c r="AL388" s="5" t="n">
        <v>0</v>
      </c>
      <c r="AM388" s="4" t="s">
        <v>78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1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0</v>
      </c>
      <c r="BG388" s="0" t="n">
        <v>0</v>
      </c>
      <c r="BH388" s="0" t="n">
        <v>0</v>
      </c>
      <c r="BI388" s="0" t="n">
        <v>0</v>
      </c>
      <c r="BJ388" s="0" t="n">
        <v>0</v>
      </c>
      <c r="BK388" s="0" t="n">
        <v>0</v>
      </c>
      <c r="BM388" s="6" t="n">
        <f aca="false">IFERROR(VALUE(F388),"")</f>
        <v>18.24</v>
      </c>
      <c r="BN388" s="6" t="str">
        <f aca="false">IF(R388="-","",IFERROR(VALUE(LEFT(Q388,LEN(Q388)-2)),""))</f>
        <v/>
      </c>
      <c r="BO388" s="6" t="str">
        <f aca="false">IF(R388="-","",IFERROR(VALUE(LEFT(R388,LEN(R388)-5)),""))</f>
        <v/>
      </c>
      <c r="BP388" s="6" t="str">
        <f aca="false">IF(R388="-","",IFERROR(VALUE(F388),""))</f>
        <v/>
      </c>
      <c r="BQ388" s="4" t="n">
        <f aca="false">IF(R388="-",1,0)</f>
        <v>1</v>
      </c>
    </row>
    <row r="389" customFormat="false" ht="15" hidden="false" customHeight="false" outlineLevel="0" collapsed="false">
      <c r="A389" s="0" t="s">
        <v>1651</v>
      </c>
      <c r="B389" s="0" t="s">
        <v>1652</v>
      </c>
      <c r="C389" s="0" t="s">
        <v>70</v>
      </c>
      <c r="D389" s="0" t="s">
        <v>1653</v>
      </c>
      <c r="E389" s="3" t="n">
        <v>46273</v>
      </c>
      <c r="F389" s="4" t="s">
        <v>1654</v>
      </c>
      <c r="G389" s="5" t="n">
        <v>0.0681712962962963</v>
      </c>
      <c r="H389" s="5" t="n">
        <v>0.0497337962962963</v>
      </c>
      <c r="I389" s="5" t="n">
        <v>0.00037037037037037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5" t="n">
        <v>0</v>
      </c>
      <c r="P389" s="5" t="n">
        <v>0</v>
      </c>
      <c r="Q389" s="4" t="s">
        <v>1655</v>
      </c>
      <c r="R389" s="4" t="s">
        <v>1656</v>
      </c>
      <c r="S389" s="5" t="n">
        <v>0</v>
      </c>
      <c r="T389" s="5" t="n">
        <v>0.0289351851851852</v>
      </c>
      <c r="U389" s="5" t="n">
        <v>0.0185185185185185</v>
      </c>
      <c r="V389" s="5" t="n">
        <v>0.00509259259259259</v>
      </c>
      <c r="W389" s="5" t="n">
        <v>0</v>
      </c>
      <c r="X389" s="5" t="n">
        <v>0</v>
      </c>
      <c r="Y389" s="5" t="n">
        <v>0</v>
      </c>
      <c r="Z389" s="0" t="n">
        <v>0</v>
      </c>
      <c r="AA389" s="0" t="n">
        <v>0</v>
      </c>
      <c r="AB389" s="0" t="n">
        <v>0</v>
      </c>
      <c r="AC389" s="4" t="s">
        <v>75</v>
      </c>
      <c r="AD389" s="4" t="s">
        <v>74</v>
      </c>
      <c r="AE389" s="4" t="s">
        <v>1657</v>
      </c>
      <c r="AF389" s="4" t="s">
        <v>1658</v>
      </c>
      <c r="AG389" s="5" t="n">
        <v>0.0449884259259259</v>
      </c>
      <c r="AH389" s="5" t="n">
        <v>0.132280092592593</v>
      </c>
      <c r="AI389" s="5" t="n">
        <v>0</v>
      </c>
      <c r="AJ389" s="5" t="n">
        <v>0</v>
      </c>
      <c r="AK389" s="5" t="n">
        <v>0</v>
      </c>
      <c r="AL389" s="5" t="n">
        <v>0</v>
      </c>
      <c r="AM389" s="4" t="s">
        <v>78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M389" s="6" t="n">
        <f aca="false">IFERROR(VALUE(F389),"")</f>
        <v>16.73</v>
      </c>
      <c r="BN389" s="6" t="n">
        <f aca="false">IF(R389="-","",IFERROR(VALUE(LEFT(Q389,LEN(Q389)-2)),""))</f>
        <v>8.26</v>
      </c>
      <c r="BO389" s="6" t="n">
        <f aca="false">IF(R389="-","",IFERROR(VALUE(LEFT(R389,LEN(R389)-5)),""))</f>
        <v>2.03</v>
      </c>
      <c r="BP389" s="6" t="n">
        <f aca="false">IF(R389="-","",IFERROR(VALUE(F389),""))</f>
        <v>16.73</v>
      </c>
      <c r="BQ389" s="4" t="n">
        <f aca="false">IF(R389="-",1,0)</f>
        <v>0</v>
      </c>
    </row>
    <row r="390" customFormat="false" ht="15" hidden="false" customHeight="false" outlineLevel="0" collapsed="false">
      <c r="A390" s="0" t="s">
        <v>1651</v>
      </c>
      <c r="B390" s="0" t="s">
        <v>1652</v>
      </c>
      <c r="C390" s="0" t="s">
        <v>70</v>
      </c>
      <c r="D390" s="0" t="s">
        <v>1659</v>
      </c>
      <c r="E390" s="3" t="n">
        <v>46274</v>
      </c>
      <c r="F390" s="4" t="s">
        <v>1660</v>
      </c>
      <c r="G390" s="5" t="n">
        <v>0.352060185185185</v>
      </c>
      <c r="H390" s="5" t="n">
        <v>0.335914351851852</v>
      </c>
      <c r="I390" s="5" t="n">
        <v>0.000520833333333333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5" t="n">
        <v>0</v>
      </c>
      <c r="P390" s="5" t="n">
        <v>0.00702546296296296</v>
      </c>
      <c r="Q390" s="4" t="s">
        <v>1661</v>
      </c>
      <c r="R390" s="4" t="s">
        <v>750</v>
      </c>
      <c r="S390" s="5" t="n">
        <v>0</v>
      </c>
      <c r="T390" s="5" t="n">
        <v>0.158101851851852</v>
      </c>
      <c r="U390" s="5" t="n">
        <v>0.133333333333333</v>
      </c>
      <c r="V390" s="5" t="n">
        <v>0.0538194444444445</v>
      </c>
      <c r="W390" s="5" t="n">
        <v>0</v>
      </c>
      <c r="X390" s="5" t="n">
        <v>0</v>
      </c>
      <c r="Y390" s="5" t="n">
        <v>0</v>
      </c>
      <c r="Z390" s="0" t="n">
        <v>0</v>
      </c>
      <c r="AA390" s="0" t="n">
        <v>0</v>
      </c>
      <c r="AB390" s="0" t="n">
        <v>0</v>
      </c>
      <c r="AC390" s="4" t="s">
        <v>81</v>
      </c>
      <c r="AD390" s="4" t="s">
        <v>228</v>
      </c>
      <c r="AE390" s="4" t="s">
        <v>1658</v>
      </c>
      <c r="AF390" s="4" t="s">
        <v>1662</v>
      </c>
      <c r="AG390" s="5" t="n">
        <v>0.289699074074074</v>
      </c>
      <c r="AH390" s="5" t="n">
        <v>0.132361111111111</v>
      </c>
      <c r="AI390" s="5" t="n">
        <v>0</v>
      </c>
      <c r="AJ390" s="5" t="n">
        <v>0</v>
      </c>
      <c r="AK390" s="5" t="n">
        <v>0</v>
      </c>
      <c r="AL390" s="5" t="n">
        <v>0</v>
      </c>
      <c r="AM390" s="4" t="s">
        <v>78</v>
      </c>
      <c r="AN390" s="0" t="n">
        <v>0</v>
      </c>
      <c r="AO390" s="0" t="n">
        <v>1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9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M390" s="6" t="n">
        <f aca="false">IFERROR(VALUE(F390),"")</f>
        <v>179.32</v>
      </c>
      <c r="BN390" s="6" t="n">
        <f aca="false">IF(R390="-","",IFERROR(VALUE(LEFT(Q390,LEN(Q390)-2)),""))</f>
        <v>61.35</v>
      </c>
      <c r="BO390" s="6" t="n">
        <f aca="false">IF(R390="-","",IFERROR(VALUE(LEFT(R390,LEN(R390)-5)),""))</f>
        <v>2.92</v>
      </c>
      <c r="BP390" s="6" t="n">
        <f aca="false">IF(R390="-","",IFERROR(VALUE(F390),""))</f>
        <v>179.32</v>
      </c>
      <c r="BQ390" s="4" t="n">
        <f aca="false">IF(R390="-",1,0)</f>
        <v>0</v>
      </c>
    </row>
    <row r="391" customFormat="false" ht="15" hidden="false" customHeight="false" outlineLevel="0" collapsed="false">
      <c r="A391" s="0" t="s">
        <v>1651</v>
      </c>
      <c r="B391" s="0" t="s">
        <v>1652</v>
      </c>
      <c r="C391" s="0" t="s">
        <v>70</v>
      </c>
      <c r="D391" s="0" t="s">
        <v>1663</v>
      </c>
      <c r="E391" s="3" t="n">
        <v>46275</v>
      </c>
      <c r="F391" s="4" t="s">
        <v>1664</v>
      </c>
      <c r="G391" s="5" t="n">
        <v>0.0802199074074074</v>
      </c>
      <c r="H391" s="5" t="n">
        <v>0.0715046296296296</v>
      </c>
      <c r="I391" s="5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5" t="n">
        <v>0</v>
      </c>
      <c r="P391" s="5" t="n">
        <v>0.00766203703703704</v>
      </c>
      <c r="Q391" s="4" t="s">
        <v>1665</v>
      </c>
      <c r="R391" s="4" t="s">
        <v>1666</v>
      </c>
      <c r="S391" s="5" t="n">
        <v>0</v>
      </c>
      <c r="T391" s="5" t="n">
        <v>0.0434027777777778</v>
      </c>
      <c r="U391" s="5" t="n">
        <v>0.0263888888888889</v>
      </c>
      <c r="V391" s="5" t="n">
        <v>0.00763888888888889</v>
      </c>
      <c r="W391" s="5" t="n">
        <v>0</v>
      </c>
      <c r="X391" s="5" t="n">
        <v>0</v>
      </c>
      <c r="Y391" s="5" t="n">
        <v>0</v>
      </c>
      <c r="Z391" s="0" t="n">
        <v>0</v>
      </c>
      <c r="AA391" s="0" t="n">
        <v>0</v>
      </c>
      <c r="AB391" s="0" t="n">
        <v>0</v>
      </c>
      <c r="AC391" s="4" t="s">
        <v>228</v>
      </c>
      <c r="AD391" s="4" t="s">
        <v>228</v>
      </c>
      <c r="AE391" s="4" t="s">
        <v>1662</v>
      </c>
      <c r="AF391" s="4" t="s">
        <v>1667</v>
      </c>
      <c r="AG391" s="5" t="n">
        <v>0.0617939814814815</v>
      </c>
      <c r="AH391" s="5" t="n">
        <v>0.0980324074074074</v>
      </c>
      <c r="AI391" s="5" t="n">
        <v>0</v>
      </c>
      <c r="AJ391" s="5" t="n">
        <v>0</v>
      </c>
      <c r="AK391" s="5" t="n">
        <v>0</v>
      </c>
      <c r="AL391" s="5" t="n">
        <v>0</v>
      </c>
      <c r="AM391" s="4" t="s">
        <v>78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  <c r="AU391" s="0" t="n">
        <v>1</v>
      </c>
      <c r="AV391" s="0" t="n">
        <v>0</v>
      </c>
      <c r="AW391" s="0" t="n">
        <v>0</v>
      </c>
      <c r="AX391" s="0" t="n">
        <v>0</v>
      </c>
      <c r="AY391" s="0" t="n">
        <v>0</v>
      </c>
      <c r="AZ391" s="0" t="n">
        <v>0</v>
      </c>
      <c r="BA391" s="0" t="n">
        <v>0</v>
      </c>
      <c r="BB391" s="0" t="n">
        <v>0</v>
      </c>
      <c r="BC391" s="0" t="n">
        <v>0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0</v>
      </c>
      <c r="BI391" s="0" t="n">
        <v>0</v>
      </c>
      <c r="BJ391" s="0" t="n">
        <v>0</v>
      </c>
      <c r="BK391" s="0" t="n">
        <v>0</v>
      </c>
      <c r="BM391" s="6" t="n">
        <f aca="false">IFERROR(VALUE(F391),"")</f>
        <v>22.21</v>
      </c>
      <c r="BN391" s="6" t="n">
        <f aca="false">IF(R391="-","",IFERROR(VALUE(LEFT(Q391,LEN(Q391)-2)),""))</f>
        <v>10.58</v>
      </c>
      <c r="BO391" s="6" t="n">
        <f aca="false">IF(R391="-","",IFERROR(VALUE(LEFT(R391,LEN(R391)-5)),""))</f>
        <v>2.1</v>
      </c>
      <c r="BP391" s="6" t="n">
        <f aca="false">IF(R391="-","",IFERROR(VALUE(F391),""))</f>
        <v>22.21</v>
      </c>
      <c r="BQ391" s="4" t="n">
        <f aca="false">IF(R391="-",1,0)</f>
        <v>0</v>
      </c>
    </row>
    <row r="392" customFormat="false" ht="15" hidden="false" customHeight="false" outlineLevel="0" collapsed="false">
      <c r="A392" s="0" t="s">
        <v>1651</v>
      </c>
      <c r="B392" s="0" t="s">
        <v>1652</v>
      </c>
      <c r="C392" s="0" t="s">
        <v>70</v>
      </c>
      <c r="D392" s="0" t="s">
        <v>1668</v>
      </c>
      <c r="E392" s="3" t="n">
        <v>46276</v>
      </c>
      <c r="F392" s="4" t="s">
        <v>1669</v>
      </c>
      <c r="G392" s="5" t="n">
        <v>0.205740740740741</v>
      </c>
      <c r="H392" s="5" t="n">
        <v>0.103148148148148</v>
      </c>
      <c r="I392" s="5" t="n">
        <v>0.000324074074074074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5" t="n">
        <v>0</v>
      </c>
      <c r="P392" s="5" t="n">
        <v>0.0405324074074074</v>
      </c>
      <c r="Q392" s="4" t="s">
        <v>1670</v>
      </c>
      <c r="R392" s="4" t="s">
        <v>1671</v>
      </c>
      <c r="S392" s="5" t="n">
        <v>0</v>
      </c>
      <c r="T392" s="5" t="n">
        <v>0.0875</v>
      </c>
      <c r="U392" s="5" t="n">
        <v>0.0436342592592593</v>
      </c>
      <c r="V392" s="5" t="n">
        <v>0.0119212962962963</v>
      </c>
      <c r="W392" s="5" t="n">
        <v>0.000115740740740741</v>
      </c>
      <c r="X392" s="5" t="n">
        <v>0</v>
      </c>
      <c r="Y392" s="5" t="n">
        <v>0</v>
      </c>
      <c r="Z392" s="0" t="n">
        <v>0</v>
      </c>
      <c r="AA392" s="0" t="n">
        <v>0</v>
      </c>
      <c r="AB392" s="0" t="n">
        <v>0</v>
      </c>
      <c r="AC392" s="4" t="s">
        <v>1672</v>
      </c>
      <c r="AD392" s="4" t="s">
        <v>228</v>
      </c>
      <c r="AE392" s="4" t="s">
        <v>1667</v>
      </c>
      <c r="AF392" s="4" t="s">
        <v>1673</v>
      </c>
      <c r="AG392" s="5" t="n">
        <v>0.0956944444444444</v>
      </c>
      <c r="AH392" s="5" t="n">
        <v>0.148020833333333</v>
      </c>
      <c r="AI392" s="5" t="n">
        <v>0</v>
      </c>
      <c r="AJ392" s="5" t="n">
        <v>0</v>
      </c>
      <c r="AK392" s="5" t="n">
        <v>0</v>
      </c>
      <c r="AL392" s="5" t="n">
        <v>0</v>
      </c>
      <c r="AM392" s="4" t="s">
        <v>78</v>
      </c>
      <c r="AN392" s="0" t="n">
        <v>0</v>
      </c>
      <c r="AO392" s="0" t="n">
        <v>1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  <c r="AU392" s="0" t="n">
        <v>3</v>
      </c>
      <c r="AV392" s="0" t="n">
        <v>0</v>
      </c>
      <c r="AW392" s="0" t="n">
        <v>0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0</v>
      </c>
      <c r="BH392" s="0" t="n">
        <v>0</v>
      </c>
      <c r="BI392" s="0" t="n">
        <v>0</v>
      </c>
      <c r="BJ392" s="0" t="n">
        <v>0</v>
      </c>
      <c r="BK392" s="0" t="n">
        <v>0</v>
      </c>
      <c r="BM392" s="6" t="n">
        <f aca="false">IFERROR(VALUE(F392),"")</f>
        <v>39.67</v>
      </c>
      <c r="BN392" s="6" t="n">
        <f aca="false">IF(R392="-","",IFERROR(VALUE(LEFT(Q392,LEN(Q392)-2)),""))</f>
        <v>18.13</v>
      </c>
      <c r="BO392" s="6" t="n">
        <f aca="false">IF(R392="-","",IFERROR(VALUE(LEFT(R392,LEN(R392)-5)),""))</f>
        <v>2.19</v>
      </c>
      <c r="BP392" s="6" t="n">
        <f aca="false">IF(R392="-","",IFERROR(VALUE(F392),""))</f>
        <v>39.67</v>
      </c>
      <c r="BQ392" s="4" t="n">
        <f aca="false">IF(R392="-",1,0)</f>
        <v>0</v>
      </c>
    </row>
    <row r="393" customFormat="false" ht="15" hidden="false" customHeight="false" outlineLevel="0" collapsed="false">
      <c r="A393" s="0" t="s">
        <v>1651</v>
      </c>
      <c r="B393" s="0" t="s">
        <v>1652</v>
      </c>
      <c r="C393" s="0" t="s">
        <v>70</v>
      </c>
      <c r="D393" s="0" t="s">
        <v>1674</v>
      </c>
      <c r="E393" s="3" t="n">
        <v>46277</v>
      </c>
      <c r="F393" s="4" t="s">
        <v>1675</v>
      </c>
      <c r="G393" s="5" t="n">
        <v>0.180393518518519</v>
      </c>
      <c r="H393" s="5" t="n">
        <v>0.15037037037037</v>
      </c>
      <c r="I393" s="5" t="n">
        <v>0.000520833333333333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5" t="n">
        <v>0</v>
      </c>
      <c r="P393" s="5" t="n">
        <v>0.0129282407407407</v>
      </c>
      <c r="Q393" s="4" t="s">
        <v>1676</v>
      </c>
      <c r="R393" s="4" t="s">
        <v>1179</v>
      </c>
      <c r="S393" s="5" t="n">
        <v>0.000115740740740741</v>
      </c>
      <c r="T393" s="5" t="n">
        <v>0.0818287037037037</v>
      </c>
      <c r="U393" s="5" t="n">
        <v>0.0552430555555556</v>
      </c>
      <c r="V393" s="5" t="n">
        <v>0.0387847222222222</v>
      </c>
      <c r="W393" s="5" t="n">
        <v>9.25925925925926E-005</v>
      </c>
      <c r="X393" s="5" t="n">
        <v>0</v>
      </c>
      <c r="Y393" s="5" t="n">
        <v>9.25925925925926E-005</v>
      </c>
      <c r="Z393" s="0" t="n">
        <v>0</v>
      </c>
      <c r="AA393" s="0" t="n">
        <v>0</v>
      </c>
      <c r="AB393" s="0" t="n">
        <v>0</v>
      </c>
      <c r="AC393" s="4" t="s">
        <v>81</v>
      </c>
      <c r="AD393" s="4" t="s">
        <v>208</v>
      </c>
      <c r="AE393" s="4" t="s">
        <v>1673</v>
      </c>
      <c r="AF393" s="4" t="s">
        <v>1677</v>
      </c>
      <c r="AG393" s="5" t="n">
        <v>0.138275462962963</v>
      </c>
      <c r="AH393" s="5" t="n">
        <v>0.0981944444444445</v>
      </c>
      <c r="AI393" s="5" t="n">
        <v>0</v>
      </c>
      <c r="AJ393" s="5" t="n">
        <v>0</v>
      </c>
      <c r="AK393" s="5" t="n">
        <v>0</v>
      </c>
      <c r="AL393" s="5" t="n">
        <v>0</v>
      </c>
      <c r="AM393" s="4" t="s">
        <v>78</v>
      </c>
      <c r="AN393" s="0" t="n">
        <v>0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  <c r="AU393" s="0" t="n">
        <v>0</v>
      </c>
      <c r="AV393" s="0" t="n">
        <v>0</v>
      </c>
      <c r="AW393" s="0" t="n">
        <v>0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0</v>
      </c>
      <c r="BH393" s="0" t="n">
        <v>0</v>
      </c>
      <c r="BI393" s="0" t="n">
        <v>0</v>
      </c>
      <c r="BJ393" s="0" t="n">
        <v>0</v>
      </c>
      <c r="BK393" s="0" t="n">
        <v>0</v>
      </c>
      <c r="BM393" s="6" t="n">
        <f aca="false">IFERROR(VALUE(F393),"")</f>
        <v>91.74</v>
      </c>
      <c r="BN393" s="6" t="n">
        <f aca="false">IF(R393="-","",IFERROR(VALUE(LEFT(Q393,LEN(Q393)-2)),""))</f>
        <v>34.22</v>
      </c>
      <c r="BO393" s="6" t="n">
        <f aca="false">IF(R393="-","",IFERROR(VALUE(LEFT(R393,LEN(R393)-5)),""))</f>
        <v>2.68</v>
      </c>
      <c r="BP393" s="6" t="n">
        <f aca="false">IF(R393="-","",IFERROR(VALUE(F393),""))</f>
        <v>91.74</v>
      </c>
      <c r="BQ393" s="4" t="n">
        <f aca="false">IF(R393="-",1,0)</f>
        <v>0</v>
      </c>
    </row>
    <row r="394" customFormat="false" ht="15" hidden="false" customHeight="false" outlineLevel="0" collapsed="false">
      <c r="A394" s="0" t="s">
        <v>1651</v>
      </c>
      <c r="B394" s="0" t="s">
        <v>1652</v>
      </c>
      <c r="C394" s="0" t="s">
        <v>70</v>
      </c>
      <c r="D394" s="0" t="s">
        <v>1678</v>
      </c>
      <c r="E394" s="3" t="n">
        <v>46278</v>
      </c>
      <c r="F394" s="4" t="s">
        <v>1679</v>
      </c>
      <c r="G394" s="5" t="n">
        <v>0.136377314814815</v>
      </c>
      <c r="H394" s="5" t="n">
        <v>0.125219907407407</v>
      </c>
      <c r="I394" s="5" t="n">
        <v>5.78703703703704E-005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5" t="n">
        <v>0</v>
      </c>
      <c r="P394" s="5" t="n">
        <v>0</v>
      </c>
      <c r="Q394" s="4" t="s">
        <v>1680</v>
      </c>
      <c r="R394" s="4" t="s">
        <v>336</v>
      </c>
      <c r="S394" s="5" t="n">
        <v>0</v>
      </c>
      <c r="T394" s="5" t="n">
        <v>0.0481481481481482</v>
      </c>
      <c r="U394" s="5" t="n">
        <v>0.0498842592592593</v>
      </c>
      <c r="V394" s="5" t="n">
        <v>0.025462962962963</v>
      </c>
      <c r="W394" s="5" t="n">
        <v>0</v>
      </c>
      <c r="X394" s="5" t="n">
        <v>0</v>
      </c>
      <c r="Y394" s="5" t="n">
        <v>0</v>
      </c>
      <c r="Z394" s="0" t="n">
        <v>0</v>
      </c>
      <c r="AA394" s="0" t="n">
        <v>0</v>
      </c>
      <c r="AB394" s="0" t="n">
        <v>0</v>
      </c>
      <c r="AC394" s="4" t="s">
        <v>208</v>
      </c>
      <c r="AD394" s="4" t="s">
        <v>228</v>
      </c>
      <c r="AE394" s="4" t="s">
        <v>1677</v>
      </c>
      <c r="AF394" s="4" t="s">
        <v>1681</v>
      </c>
      <c r="AG394" s="5" t="n">
        <v>0.103483796296296</v>
      </c>
      <c r="AH394" s="5" t="n">
        <v>0.0375347222222222</v>
      </c>
      <c r="AI394" s="5" t="n">
        <v>0</v>
      </c>
      <c r="AJ394" s="5" t="n">
        <v>0</v>
      </c>
      <c r="AK394" s="5" t="n">
        <v>0</v>
      </c>
      <c r="AL394" s="5" t="n">
        <v>0</v>
      </c>
      <c r="AM394" s="4" t="s">
        <v>78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5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0</v>
      </c>
      <c r="BC394" s="0" t="n">
        <v>0</v>
      </c>
      <c r="BD394" s="0" t="n">
        <v>0</v>
      </c>
      <c r="BE394" s="0" t="n">
        <v>0</v>
      </c>
      <c r="BF394" s="0" t="n">
        <v>0</v>
      </c>
      <c r="BG394" s="0" t="n">
        <v>0</v>
      </c>
      <c r="BH394" s="0" t="n">
        <v>0</v>
      </c>
      <c r="BI394" s="0" t="n">
        <v>0</v>
      </c>
      <c r="BJ394" s="0" t="n">
        <v>0</v>
      </c>
      <c r="BK394" s="0" t="n">
        <v>0</v>
      </c>
      <c r="BM394" s="6" t="n">
        <f aca="false">IFERROR(VALUE(F394),"")</f>
        <v>78.39</v>
      </c>
      <c r="BN394" s="6" t="n">
        <f aca="false">IF(R394="-","",IFERROR(VALUE(LEFT(Q394,LEN(Q394)-2)),""))</f>
        <v>27.67</v>
      </c>
      <c r="BO394" s="6" t="n">
        <f aca="false">IF(R394="-","",IFERROR(VALUE(LEFT(R394,LEN(R394)-5)),""))</f>
        <v>2.83</v>
      </c>
      <c r="BP394" s="6" t="n">
        <f aca="false">IF(R394="-","",IFERROR(VALUE(F394),""))</f>
        <v>78.39</v>
      </c>
      <c r="BQ394" s="4" t="n">
        <f aca="false">IF(R394="-",1,0)</f>
        <v>0</v>
      </c>
    </row>
    <row r="395" customFormat="false" ht="15" hidden="false" customHeight="false" outlineLevel="0" collapsed="false">
      <c r="A395" s="0" t="s">
        <v>1651</v>
      </c>
      <c r="B395" s="0" t="s">
        <v>1652</v>
      </c>
      <c r="C395" s="0" t="s">
        <v>70</v>
      </c>
      <c r="D395" s="0" t="s">
        <v>1682</v>
      </c>
      <c r="E395" s="3" t="n">
        <v>46279</v>
      </c>
      <c r="F395" s="4" t="s">
        <v>1683</v>
      </c>
      <c r="G395" s="5" t="n">
        <v>0.312962962962963</v>
      </c>
      <c r="H395" s="5" t="n">
        <v>0.30306712962963</v>
      </c>
      <c r="I395" s="5" t="n">
        <v>0.00542824074074074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5" t="n">
        <v>0</v>
      </c>
      <c r="P395" s="5" t="n">
        <v>0.00740740740740741</v>
      </c>
      <c r="Q395" s="4" t="s">
        <v>1684</v>
      </c>
      <c r="R395" s="4" t="s">
        <v>1685</v>
      </c>
      <c r="S395" s="5" t="n">
        <v>0</v>
      </c>
      <c r="T395" s="5" t="n">
        <v>0.139351851851852</v>
      </c>
      <c r="U395" s="5" t="n">
        <v>0.0856481481481482</v>
      </c>
      <c r="V395" s="5" t="n">
        <v>0.0764351851851852</v>
      </c>
      <c r="W395" s="5" t="n">
        <v>0.000300925925925926</v>
      </c>
      <c r="X395" s="5" t="n">
        <v>0</v>
      </c>
      <c r="Y395" s="5" t="n">
        <v>6.94444444444444E-005</v>
      </c>
      <c r="Z395" s="0" t="n">
        <v>0</v>
      </c>
      <c r="AA395" s="0" t="n">
        <v>0</v>
      </c>
      <c r="AB395" s="0" t="n">
        <v>0</v>
      </c>
      <c r="AC395" s="4" t="s">
        <v>75</v>
      </c>
      <c r="AD395" s="4" t="s">
        <v>74</v>
      </c>
      <c r="AE395" s="4" t="s">
        <v>1681</v>
      </c>
      <c r="AF395" s="4" t="s">
        <v>1686</v>
      </c>
      <c r="AG395" s="5" t="n">
        <v>0.253090277777778</v>
      </c>
      <c r="AH395" s="5" t="n">
        <v>0.159143518518519</v>
      </c>
      <c r="AI395" s="5" t="n">
        <v>0</v>
      </c>
      <c r="AJ395" s="5" t="n">
        <v>0</v>
      </c>
      <c r="AK395" s="5" t="n">
        <v>0</v>
      </c>
      <c r="AL395" s="5" t="n">
        <v>0</v>
      </c>
      <c r="AM395" s="4" t="s">
        <v>78</v>
      </c>
      <c r="AN395" s="0" t="n">
        <v>0</v>
      </c>
      <c r="AO395" s="0" t="n">
        <v>6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  <c r="AU395" s="0" t="n">
        <v>9</v>
      </c>
      <c r="AV395" s="0" t="n">
        <v>0</v>
      </c>
      <c r="AW395" s="0" t="n">
        <v>0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M395" s="6" t="n">
        <f aca="false">IFERROR(VALUE(F395),"")</f>
        <v>174.54</v>
      </c>
      <c r="BN395" s="6" t="n">
        <f aca="false">IF(R395="-","",IFERROR(VALUE(LEFT(Q395,LEN(Q395)-2)),""))</f>
        <v>67.04</v>
      </c>
      <c r="BO395" s="6" t="n">
        <f aca="false">IF(R395="-","",IFERROR(VALUE(LEFT(R395,LEN(R395)-5)),""))</f>
        <v>2.6</v>
      </c>
      <c r="BP395" s="6" t="n">
        <f aca="false">IF(R395="-","",IFERROR(VALUE(F395),""))</f>
        <v>174.54</v>
      </c>
      <c r="BQ395" s="4" t="n">
        <f aca="false">IF(R395="-",1,0)</f>
        <v>0</v>
      </c>
    </row>
    <row r="396" customFormat="false" ht="15" hidden="false" customHeight="false" outlineLevel="0" collapsed="false">
      <c r="A396" s="0" t="s">
        <v>1687</v>
      </c>
      <c r="B396" s="0" t="s">
        <v>1688</v>
      </c>
      <c r="C396" s="0" t="s">
        <v>70</v>
      </c>
      <c r="D396" s="0" t="s">
        <v>1689</v>
      </c>
      <c r="E396" s="3" t="n">
        <v>46273</v>
      </c>
      <c r="F396" s="4" t="s">
        <v>1690</v>
      </c>
      <c r="G396" s="5" t="n">
        <v>0.323043981481482</v>
      </c>
      <c r="H396" s="5" t="n">
        <v>0.289502314814815</v>
      </c>
      <c r="I396" s="5" t="n">
        <v>0.00212962962962963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4</v>
      </c>
      <c r="O396" s="5" t="n">
        <v>0</v>
      </c>
      <c r="P396" s="5" t="n">
        <v>0.0185648148148148</v>
      </c>
      <c r="Q396" s="4" t="s">
        <v>1691</v>
      </c>
      <c r="R396" s="4" t="s">
        <v>1692</v>
      </c>
      <c r="S396" s="5" t="n">
        <v>0</v>
      </c>
      <c r="T396" s="5" t="n">
        <v>0.122106481481482</v>
      </c>
      <c r="U396" s="5" t="n">
        <v>0.101273148148148</v>
      </c>
      <c r="V396" s="5" t="n">
        <v>0.0929861111111111</v>
      </c>
      <c r="W396" s="5" t="n">
        <v>0.00131944444444444</v>
      </c>
      <c r="X396" s="5" t="n">
        <v>0</v>
      </c>
      <c r="Y396" s="5" t="n">
        <v>0.000219907407407407</v>
      </c>
      <c r="Z396" s="0" t="n">
        <v>0</v>
      </c>
      <c r="AA396" s="0" t="n">
        <v>0</v>
      </c>
      <c r="AB396" s="0" t="n">
        <v>0</v>
      </c>
      <c r="AC396" s="4" t="s">
        <v>74</v>
      </c>
      <c r="AD396" s="4" t="s">
        <v>74</v>
      </c>
      <c r="AE396" s="4" t="s">
        <v>1693</v>
      </c>
      <c r="AF396" s="4" t="s">
        <v>1694</v>
      </c>
      <c r="AG396" s="5" t="n">
        <v>0.26568287037037</v>
      </c>
      <c r="AH396" s="5" t="n">
        <v>0.18787037037037</v>
      </c>
      <c r="AI396" s="5" t="n">
        <v>0</v>
      </c>
      <c r="AJ396" s="5" t="n">
        <v>0</v>
      </c>
      <c r="AK396" s="5" t="n">
        <v>0</v>
      </c>
      <c r="AL396" s="5" t="n">
        <v>0</v>
      </c>
      <c r="AM396" s="4" t="s">
        <v>78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  <c r="AU396" s="0" t="n">
        <v>12</v>
      </c>
      <c r="AV396" s="0" t="n">
        <v>0</v>
      </c>
      <c r="AW396" s="0" t="n">
        <v>0</v>
      </c>
      <c r="AX396" s="0" t="n">
        <v>0</v>
      </c>
      <c r="AY396" s="0" t="n">
        <v>0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0</v>
      </c>
      <c r="BE396" s="0" t="n">
        <v>0</v>
      </c>
      <c r="BF396" s="0" t="n">
        <v>0</v>
      </c>
      <c r="BG396" s="0" t="n">
        <v>0</v>
      </c>
      <c r="BH396" s="0" t="n">
        <v>0</v>
      </c>
      <c r="BI396" s="0" t="n">
        <v>0</v>
      </c>
      <c r="BJ396" s="0" t="n">
        <v>0</v>
      </c>
      <c r="BK396" s="0" t="n">
        <v>0</v>
      </c>
      <c r="BM396" s="6" t="n">
        <f aca="false">IFERROR(VALUE(F396),"")</f>
        <v>118.3</v>
      </c>
      <c r="BN396" s="6" t="n">
        <f aca="false">IF(R396="-","",IFERROR(VALUE(LEFT(Q396,LEN(Q396)-2)),""))</f>
        <v>44.02</v>
      </c>
      <c r="BO396" s="6" t="n">
        <f aca="false">IF(R396="-","",IFERROR(VALUE(LEFT(R396,LEN(R396)-5)),""))</f>
        <v>2.69</v>
      </c>
      <c r="BP396" s="6" t="n">
        <f aca="false">IF(R396="-","",IFERROR(VALUE(F396),""))</f>
        <v>118.3</v>
      </c>
      <c r="BQ396" s="4" t="n">
        <f aca="false">IF(R396="-",1,0)</f>
        <v>0</v>
      </c>
    </row>
    <row r="397" customFormat="false" ht="15" hidden="false" customHeight="false" outlineLevel="0" collapsed="false">
      <c r="A397" s="0" t="s">
        <v>1687</v>
      </c>
      <c r="B397" s="0" t="s">
        <v>1688</v>
      </c>
      <c r="C397" s="0" t="s">
        <v>70</v>
      </c>
      <c r="D397" s="0" t="s">
        <v>1695</v>
      </c>
      <c r="E397" s="3" t="n">
        <v>46274</v>
      </c>
      <c r="F397" s="4" t="s">
        <v>1696</v>
      </c>
      <c r="G397" s="5" t="n">
        <v>0.303344907407407</v>
      </c>
      <c r="H397" s="5" t="n">
        <v>0.296238425925926</v>
      </c>
      <c r="I397" s="5" t="n">
        <v>0.000694444444444445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8</v>
      </c>
      <c r="O397" s="5" t="n">
        <v>0</v>
      </c>
      <c r="P397" s="5" t="n">
        <v>0</v>
      </c>
      <c r="Q397" s="4" t="s">
        <v>1691</v>
      </c>
      <c r="R397" s="4" t="s">
        <v>378</v>
      </c>
      <c r="S397" s="5" t="n">
        <v>0</v>
      </c>
      <c r="T397" s="5" t="n">
        <v>0.0990856481481481</v>
      </c>
      <c r="U397" s="5" t="n">
        <v>0.105578703703704</v>
      </c>
      <c r="V397" s="5" t="n">
        <v>0.0932291666666667</v>
      </c>
      <c r="W397" s="5" t="n">
        <v>0.00103009259259259</v>
      </c>
      <c r="X397" s="5" t="n">
        <v>0</v>
      </c>
      <c r="Y397" s="5" t="n">
        <v>0.000231481481481482</v>
      </c>
      <c r="Z397" s="0" t="n">
        <v>0</v>
      </c>
      <c r="AA397" s="0" t="n">
        <v>0</v>
      </c>
      <c r="AB397" s="0" t="n">
        <v>0</v>
      </c>
      <c r="AC397" s="4" t="s">
        <v>74</v>
      </c>
      <c r="AD397" s="4" t="s">
        <v>74</v>
      </c>
      <c r="AE397" s="4" t="s">
        <v>1694</v>
      </c>
      <c r="AF397" s="4" t="s">
        <v>1697</v>
      </c>
      <c r="AG397" s="5" t="n">
        <v>0.266909722222222</v>
      </c>
      <c r="AH397" s="5" t="n">
        <v>0.179722222222222</v>
      </c>
      <c r="AI397" s="5" t="n">
        <v>0</v>
      </c>
      <c r="AJ397" s="5" t="n">
        <v>0</v>
      </c>
      <c r="AK397" s="5" t="n">
        <v>0</v>
      </c>
      <c r="AL397" s="5" t="n">
        <v>0</v>
      </c>
      <c r="AM397" s="4" t="s">
        <v>78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7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0" t="n">
        <v>0</v>
      </c>
      <c r="BE397" s="0" t="n">
        <v>0</v>
      </c>
      <c r="BF397" s="0" t="n">
        <v>0</v>
      </c>
      <c r="BG397" s="0" t="n">
        <v>0</v>
      </c>
      <c r="BH397" s="0" t="n">
        <v>0</v>
      </c>
      <c r="BI397" s="0" t="n">
        <v>0</v>
      </c>
      <c r="BJ397" s="0" t="n">
        <v>0</v>
      </c>
      <c r="BK397" s="0" t="n">
        <v>0</v>
      </c>
      <c r="BM397" s="6" t="n">
        <f aca="false">IFERROR(VALUE(F397),"")</f>
        <v>119.41</v>
      </c>
      <c r="BN397" s="6" t="n">
        <f aca="false">IF(R397="-","",IFERROR(VALUE(LEFT(Q397,LEN(Q397)-2)),""))</f>
        <v>44.02</v>
      </c>
      <c r="BO397" s="6" t="n">
        <f aca="false">IF(R397="-","",IFERROR(VALUE(LEFT(R397,LEN(R397)-5)),""))</f>
        <v>2.71</v>
      </c>
      <c r="BP397" s="6" t="n">
        <f aca="false">IF(R397="-","",IFERROR(VALUE(F397),""))</f>
        <v>119.41</v>
      </c>
      <c r="BQ397" s="4" t="n">
        <f aca="false">IF(R397="-",1,0)</f>
        <v>0</v>
      </c>
    </row>
    <row r="398" customFormat="false" ht="15" hidden="false" customHeight="false" outlineLevel="0" collapsed="false">
      <c r="A398" s="0" t="s">
        <v>1687</v>
      </c>
      <c r="B398" s="0" t="s">
        <v>1688</v>
      </c>
      <c r="C398" s="0" t="s">
        <v>70</v>
      </c>
      <c r="D398" s="0" t="s">
        <v>1695</v>
      </c>
      <c r="E398" s="3" t="n">
        <v>46275</v>
      </c>
      <c r="F398" s="4" t="s">
        <v>1698</v>
      </c>
      <c r="G398" s="5" t="n">
        <v>0.290011574074074</v>
      </c>
      <c r="H398" s="5" t="n">
        <v>0.281898148148148</v>
      </c>
      <c r="I398" s="5" t="n">
        <v>0.000821759259259259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9</v>
      </c>
      <c r="O398" s="5" t="n">
        <v>0</v>
      </c>
      <c r="P398" s="5" t="n">
        <v>0</v>
      </c>
      <c r="Q398" s="4" t="s">
        <v>1699</v>
      </c>
      <c r="R398" s="4" t="s">
        <v>515</v>
      </c>
      <c r="S398" s="5" t="n">
        <v>0</v>
      </c>
      <c r="T398" s="5" t="n">
        <v>0.084849537037037</v>
      </c>
      <c r="U398" s="5" t="n">
        <v>0.106967592592593</v>
      </c>
      <c r="V398" s="5" t="n">
        <v>0.0930439814814815</v>
      </c>
      <c r="W398" s="5" t="n">
        <v>0.000636574074074074</v>
      </c>
      <c r="X398" s="5" t="n">
        <v>0</v>
      </c>
      <c r="Y398" s="5" t="n">
        <v>0.000300925925925926</v>
      </c>
      <c r="Z398" s="0" t="n">
        <v>0</v>
      </c>
      <c r="AA398" s="0" t="n">
        <v>0</v>
      </c>
      <c r="AB398" s="0" t="n">
        <v>0</v>
      </c>
      <c r="AC398" s="4" t="s">
        <v>75</v>
      </c>
      <c r="AD398" s="4" t="s">
        <v>74</v>
      </c>
      <c r="AE398" s="4" t="s">
        <v>1697</v>
      </c>
      <c r="AF398" s="4" t="s">
        <v>1700</v>
      </c>
      <c r="AG398" s="5" t="n">
        <v>0.259398148148148</v>
      </c>
      <c r="AH398" s="5" t="n">
        <v>0.172604166666667</v>
      </c>
      <c r="AI398" s="5" t="n">
        <v>0</v>
      </c>
      <c r="AJ398" s="5" t="n">
        <v>0</v>
      </c>
      <c r="AK398" s="5" t="n">
        <v>0</v>
      </c>
      <c r="AL398" s="5" t="n">
        <v>0</v>
      </c>
      <c r="AM398" s="4" t="s">
        <v>78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  <c r="AU398" s="0" t="n">
        <v>10</v>
      </c>
      <c r="AV398" s="0" t="n">
        <v>0</v>
      </c>
      <c r="AW398" s="0" t="n">
        <v>0</v>
      </c>
      <c r="AX398" s="0" t="n">
        <v>0</v>
      </c>
      <c r="AY398" s="0" t="n">
        <v>0</v>
      </c>
      <c r="AZ398" s="0" t="n">
        <v>0</v>
      </c>
      <c r="BA398" s="0" t="n">
        <v>0</v>
      </c>
      <c r="BB398" s="0" t="n">
        <v>0</v>
      </c>
      <c r="BC398" s="0" t="n">
        <v>0</v>
      </c>
      <c r="BD398" s="0" t="n">
        <v>0</v>
      </c>
      <c r="BE398" s="0" t="n">
        <v>0</v>
      </c>
      <c r="BF398" s="0" t="n">
        <v>0</v>
      </c>
      <c r="BG398" s="0" t="n">
        <v>0</v>
      </c>
      <c r="BH398" s="0" t="n">
        <v>0</v>
      </c>
      <c r="BI398" s="0" t="n">
        <v>0</v>
      </c>
      <c r="BJ398" s="0" t="n">
        <v>0</v>
      </c>
      <c r="BK398" s="0" t="n">
        <v>0</v>
      </c>
      <c r="BM398" s="6" t="n">
        <f aca="false">IFERROR(VALUE(F398),"")</f>
        <v>119.31</v>
      </c>
      <c r="BN398" s="6" t="n">
        <f aca="false">IF(R398="-","",IFERROR(VALUE(LEFT(Q398,LEN(Q398)-2)),""))</f>
        <v>44.25</v>
      </c>
      <c r="BO398" s="6" t="n">
        <f aca="false">IF(R398="-","",IFERROR(VALUE(LEFT(R398,LEN(R398)-5)),""))</f>
        <v>2.7</v>
      </c>
      <c r="BP398" s="6" t="n">
        <f aca="false">IF(R398="-","",IFERROR(VALUE(F398),""))</f>
        <v>119.31</v>
      </c>
      <c r="BQ398" s="4" t="n">
        <f aca="false">IF(R398="-",1,0)</f>
        <v>0</v>
      </c>
    </row>
    <row r="399" customFormat="false" ht="15" hidden="false" customHeight="false" outlineLevel="0" collapsed="false">
      <c r="A399" s="0" t="s">
        <v>1687</v>
      </c>
      <c r="B399" s="0" t="s">
        <v>1688</v>
      </c>
      <c r="C399" s="0" t="s">
        <v>70</v>
      </c>
      <c r="D399" s="0" t="s">
        <v>1701</v>
      </c>
      <c r="E399" s="3" t="n">
        <v>46276</v>
      </c>
      <c r="F399" s="4" t="s">
        <v>1702</v>
      </c>
      <c r="G399" s="5" t="n">
        <v>0.292233796296296</v>
      </c>
      <c r="H399" s="5" t="n">
        <v>0.290127314814815</v>
      </c>
      <c r="I399" s="5" t="n">
        <v>0.00137731481481482</v>
      </c>
      <c r="J399" s="0" t="n">
        <v>0</v>
      </c>
      <c r="K399" s="0" t="n">
        <v>1</v>
      </c>
      <c r="L399" s="0" t="n">
        <v>0</v>
      </c>
      <c r="M399" s="0" t="n">
        <v>0</v>
      </c>
      <c r="N399" s="0" t="n">
        <v>5</v>
      </c>
      <c r="O399" s="5" t="n">
        <v>0</v>
      </c>
      <c r="P399" s="5" t="n">
        <v>0</v>
      </c>
      <c r="Q399" s="4" t="s">
        <v>1703</v>
      </c>
      <c r="R399" s="4" t="s">
        <v>1375</v>
      </c>
      <c r="S399" s="5" t="n">
        <v>0</v>
      </c>
      <c r="T399" s="5" t="n">
        <v>0.0920138888888889</v>
      </c>
      <c r="U399" s="5" t="n">
        <v>0.114236111111111</v>
      </c>
      <c r="V399" s="5" t="n">
        <v>0.0801736111111111</v>
      </c>
      <c r="W399" s="5" t="n">
        <v>0.000844907407407407</v>
      </c>
      <c r="X399" s="5" t="n">
        <v>0</v>
      </c>
      <c r="Y399" s="5" t="n">
        <v>0.000324074074074074</v>
      </c>
      <c r="Z399" s="0" t="n">
        <v>0</v>
      </c>
      <c r="AA399" s="0" t="n">
        <v>0</v>
      </c>
      <c r="AB399" s="0" t="n">
        <v>0</v>
      </c>
      <c r="AC399" s="4" t="s">
        <v>74</v>
      </c>
      <c r="AD399" s="4" t="s">
        <v>74</v>
      </c>
      <c r="AE399" s="4" t="s">
        <v>1700</v>
      </c>
      <c r="AF399" s="4" t="s">
        <v>1704</v>
      </c>
      <c r="AG399" s="5" t="n">
        <v>0.257361111111111</v>
      </c>
      <c r="AH399" s="5" t="n">
        <v>0.134606481481482</v>
      </c>
      <c r="AI399" s="5" t="n">
        <v>0</v>
      </c>
      <c r="AJ399" s="5" t="n">
        <v>0</v>
      </c>
      <c r="AK399" s="5" t="n">
        <v>0</v>
      </c>
      <c r="AL399" s="5" t="n">
        <v>0</v>
      </c>
      <c r="AM399" s="4" t="s">
        <v>78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8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0</v>
      </c>
      <c r="BC399" s="0" t="n">
        <v>0</v>
      </c>
      <c r="BD399" s="0" t="n">
        <v>0</v>
      </c>
      <c r="BE399" s="0" t="n">
        <v>0</v>
      </c>
      <c r="BF399" s="0" t="n">
        <v>0</v>
      </c>
      <c r="BG399" s="0" t="n">
        <v>0</v>
      </c>
      <c r="BH399" s="0" t="n">
        <v>0</v>
      </c>
      <c r="BI399" s="0" t="n">
        <v>0</v>
      </c>
      <c r="BJ399" s="0" t="n">
        <v>0</v>
      </c>
      <c r="BK399" s="0" t="n">
        <v>0</v>
      </c>
      <c r="BM399" s="6" t="n">
        <f aca="false">IFERROR(VALUE(F399),"")</f>
        <v>112.74</v>
      </c>
      <c r="BN399" s="6" t="n">
        <f aca="false">IF(R399="-","",IFERROR(VALUE(LEFT(Q399,LEN(Q399)-2)),""))</f>
        <v>40.87</v>
      </c>
      <c r="BO399" s="6" t="n">
        <f aca="false">IF(R399="-","",IFERROR(VALUE(LEFT(R399,LEN(R399)-5)),""))</f>
        <v>2.76</v>
      </c>
      <c r="BP399" s="6" t="n">
        <f aca="false">IF(R399="-","",IFERROR(VALUE(F399),""))</f>
        <v>112.74</v>
      </c>
      <c r="BQ399" s="4" t="n">
        <f aca="false">IF(R399="-",1,0)</f>
        <v>0</v>
      </c>
    </row>
    <row r="400" customFormat="false" ht="15" hidden="false" customHeight="false" outlineLevel="0" collapsed="false">
      <c r="A400" s="0" t="s">
        <v>1687</v>
      </c>
      <c r="B400" s="0" t="s">
        <v>1688</v>
      </c>
      <c r="C400" s="0" t="s">
        <v>70</v>
      </c>
      <c r="D400" s="0" t="s">
        <v>1705</v>
      </c>
      <c r="E400" s="3" t="n">
        <v>46277</v>
      </c>
      <c r="F400" s="4" t="s">
        <v>1706</v>
      </c>
      <c r="G400" s="5" t="n">
        <v>0.188194444444444</v>
      </c>
      <c r="H400" s="5" t="n">
        <v>0.174224537037037</v>
      </c>
      <c r="I400" s="5" t="n">
        <v>0.00167824074074074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3</v>
      </c>
      <c r="O400" s="5" t="n">
        <v>0</v>
      </c>
      <c r="P400" s="5" t="n">
        <v>0.00875</v>
      </c>
      <c r="Q400" s="4" t="s">
        <v>1707</v>
      </c>
      <c r="R400" s="4" t="s">
        <v>535</v>
      </c>
      <c r="S400" s="5" t="n">
        <v>0</v>
      </c>
      <c r="T400" s="5" t="n">
        <v>0.0768518518518519</v>
      </c>
      <c r="U400" s="5" t="n">
        <v>0.078587962962963</v>
      </c>
      <c r="V400" s="5" t="n">
        <v>0.0297453703703704</v>
      </c>
      <c r="W400" s="5" t="n">
        <v>0</v>
      </c>
      <c r="X400" s="5" t="n">
        <v>0</v>
      </c>
      <c r="Y400" s="5" t="n">
        <v>0</v>
      </c>
      <c r="Z400" s="0" t="n">
        <v>0</v>
      </c>
      <c r="AA400" s="0" t="n">
        <v>0</v>
      </c>
      <c r="AB400" s="0" t="n">
        <v>0</v>
      </c>
      <c r="AC400" s="4" t="s">
        <v>74</v>
      </c>
      <c r="AD400" s="4" t="s">
        <v>228</v>
      </c>
      <c r="AE400" s="4" t="s">
        <v>1704</v>
      </c>
      <c r="AF400" s="4" t="s">
        <v>1708</v>
      </c>
      <c r="AG400" s="5" t="n">
        <v>0.149826388888889</v>
      </c>
      <c r="AH400" s="5" t="n">
        <v>0.0810069444444445</v>
      </c>
      <c r="AI400" s="5" t="n">
        <v>0</v>
      </c>
      <c r="AJ400" s="5" t="n">
        <v>0</v>
      </c>
      <c r="AK400" s="5" t="n">
        <v>0</v>
      </c>
      <c r="AL400" s="5" t="n">
        <v>0</v>
      </c>
      <c r="AM400" s="4" t="s">
        <v>78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  <c r="AU400" s="0" t="n">
        <v>2</v>
      </c>
      <c r="AV400" s="0" t="n">
        <v>0</v>
      </c>
      <c r="AW400" s="0" t="n">
        <v>0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0</v>
      </c>
      <c r="BI400" s="0" t="n">
        <v>0</v>
      </c>
      <c r="BJ400" s="0" t="n">
        <v>0</v>
      </c>
      <c r="BK400" s="0" t="n">
        <v>0</v>
      </c>
      <c r="BM400" s="6" t="n">
        <f aca="false">IFERROR(VALUE(F400),"")</f>
        <v>77.77</v>
      </c>
      <c r="BN400" s="6" t="n">
        <f aca="false">IF(R400="-","",IFERROR(VALUE(LEFT(Q400,LEN(Q400)-2)),""))</f>
        <v>24.72</v>
      </c>
      <c r="BO400" s="6" t="n">
        <f aca="false">IF(R400="-","",IFERROR(VALUE(LEFT(R400,LEN(R400)-5)),""))</f>
        <v>3.15</v>
      </c>
      <c r="BP400" s="6" t="n">
        <f aca="false">IF(R400="-","",IFERROR(VALUE(F400),""))</f>
        <v>77.77</v>
      </c>
      <c r="BQ400" s="4" t="n">
        <f aca="false">IF(R400="-",1,0)</f>
        <v>0</v>
      </c>
    </row>
    <row r="401" customFormat="false" ht="15" hidden="false" customHeight="false" outlineLevel="0" collapsed="false">
      <c r="A401" s="0" t="s">
        <v>1687</v>
      </c>
      <c r="B401" s="0" t="s">
        <v>1688</v>
      </c>
      <c r="C401" s="0" t="s">
        <v>70</v>
      </c>
      <c r="D401" s="0" t="s">
        <v>1709</v>
      </c>
      <c r="E401" s="3" t="n">
        <v>46278</v>
      </c>
      <c r="F401" s="4" t="s">
        <v>1710</v>
      </c>
      <c r="G401" s="5" t="n">
        <v>0.16375</v>
      </c>
      <c r="H401" s="5" t="n">
        <v>0.158634259259259</v>
      </c>
      <c r="I401" s="5" t="n">
        <v>0.00703703703703704</v>
      </c>
      <c r="J401" s="0" t="n">
        <v>0</v>
      </c>
      <c r="K401" s="0" t="n">
        <v>1</v>
      </c>
      <c r="L401" s="0" t="n">
        <v>0</v>
      </c>
      <c r="M401" s="0" t="n">
        <v>0</v>
      </c>
      <c r="N401" s="0" t="n">
        <v>0</v>
      </c>
      <c r="O401" s="5" t="n">
        <v>0</v>
      </c>
      <c r="P401" s="5" t="n">
        <v>0</v>
      </c>
      <c r="Q401" s="4" t="s">
        <v>1711</v>
      </c>
      <c r="R401" s="4" t="s">
        <v>1712</v>
      </c>
      <c r="S401" s="5" t="n">
        <v>0</v>
      </c>
      <c r="T401" s="5" t="n">
        <v>0.0488425925925926</v>
      </c>
      <c r="U401" s="5" t="n">
        <v>0.0298611111111111</v>
      </c>
      <c r="V401" s="5" t="n">
        <v>0.0797916666666667</v>
      </c>
      <c r="W401" s="5" t="n">
        <v>0.00248842592592593</v>
      </c>
      <c r="X401" s="5" t="n">
        <v>0</v>
      </c>
      <c r="Y401" s="5" t="n">
        <v>5.78703703703704E-005</v>
      </c>
      <c r="Z401" s="0" t="n">
        <v>0</v>
      </c>
      <c r="AA401" s="0" t="n">
        <v>0</v>
      </c>
      <c r="AB401" s="0" t="n">
        <v>0</v>
      </c>
      <c r="AC401" s="4" t="s">
        <v>75</v>
      </c>
      <c r="AD401" s="4" t="s">
        <v>74</v>
      </c>
      <c r="AE401" s="4" t="s">
        <v>1708</v>
      </c>
      <c r="AF401" s="4" t="s">
        <v>1713</v>
      </c>
      <c r="AG401" s="5" t="n">
        <v>0.136226851851852</v>
      </c>
      <c r="AH401" s="5" t="n">
        <v>0.0887037037037037</v>
      </c>
      <c r="AI401" s="5" t="n">
        <v>0</v>
      </c>
      <c r="AJ401" s="5" t="n">
        <v>0</v>
      </c>
      <c r="AK401" s="5" t="n">
        <v>0</v>
      </c>
      <c r="AL401" s="5" t="n">
        <v>0</v>
      </c>
      <c r="AM401" s="4" t="s">
        <v>78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2</v>
      </c>
      <c r="AS401" s="0" t="n">
        <v>0</v>
      </c>
      <c r="AT401" s="0" t="n">
        <v>0</v>
      </c>
      <c r="AU401" s="0" t="n">
        <v>4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0</v>
      </c>
      <c r="BH401" s="0" t="n">
        <v>0</v>
      </c>
      <c r="BI401" s="0" t="n">
        <v>0</v>
      </c>
      <c r="BJ401" s="0" t="n">
        <v>0</v>
      </c>
      <c r="BK401" s="0" t="n">
        <v>0</v>
      </c>
      <c r="BM401" s="6" t="n">
        <f aca="false">IFERROR(VALUE(F401),"")</f>
        <v>128.84</v>
      </c>
      <c r="BN401" s="6" t="n">
        <f aca="false">IF(R401="-","",IFERROR(VALUE(LEFT(Q401,LEN(Q401)-2)),""))</f>
        <v>34.62</v>
      </c>
      <c r="BO401" s="6" t="n">
        <f aca="false">IF(R401="-","",IFERROR(VALUE(LEFT(R401,LEN(R401)-5)),""))</f>
        <v>3.72</v>
      </c>
      <c r="BP401" s="6" t="n">
        <f aca="false">IF(R401="-","",IFERROR(VALUE(F401),""))</f>
        <v>128.84</v>
      </c>
      <c r="BQ401" s="4" t="n">
        <f aca="false">IF(R401="-",1,0)</f>
        <v>0</v>
      </c>
    </row>
    <row r="402" customFormat="false" ht="15" hidden="false" customHeight="false" outlineLevel="0" collapsed="false">
      <c r="A402" s="0" t="s">
        <v>1687</v>
      </c>
      <c r="B402" s="0" t="s">
        <v>1688</v>
      </c>
      <c r="C402" s="0" t="s">
        <v>70</v>
      </c>
      <c r="D402" s="0" t="s">
        <v>1714</v>
      </c>
      <c r="E402" s="3" t="n">
        <v>46279</v>
      </c>
      <c r="F402" s="4" t="s">
        <v>1715</v>
      </c>
      <c r="G402" s="5" t="n">
        <v>0.302824074074074</v>
      </c>
      <c r="H402" s="5" t="n">
        <v>0.288599537037037</v>
      </c>
      <c r="I402" s="5" t="n">
        <v>0.000844907407407407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10</v>
      </c>
      <c r="O402" s="5" t="n">
        <v>0</v>
      </c>
      <c r="P402" s="5" t="n">
        <v>0.0071412037037037</v>
      </c>
      <c r="Q402" s="4" t="s">
        <v>1716</v>
      </c>
      <c r="R402" s="4" t="s">
        <v>1609</v>
      </c>
      <c r="S402" s="5" t="n">
        <v>0</v>
      </c>
      <c r="T402" s="5" t="n">
        <v>0.103703703703704</v>
      </c>
      <c r="U402" s="5" t="n">
        <v>0.107094907407407</v>
      </c>
      <c r="V402" s="5" t="n">
        <v>0.0862847222222222</v>
      </c>
      <c r="W402" s="5" t="n">
        <v>0.00112268518518519</v>
      </c>
      <c r="X402" s="5" t="n">
        <v>0</v>
      </c>
      <c r="Y402" s="5" t="n">
        <v>9.25925925925926E-005</v>
      </c>
      <c r="Z402" s="0" t="n">
        <v>0</v>
      </c>
      <c r="AA402" s="0" t="n">
        <v>0</v>
      </c>
      <c r="AB402" s="0" t="n">
        <v>0</v>
      </c>
      <c r="AC402" s="4" t="s">
        <v>75</v>
      </c>
      <c r="AD402" s="4" t="s">
        <v>74</v>
      </c>
      <c r="AE402" s="4" t="s">
        <v>1713</v>
      </c>
      <c r="AF402" s="4" t="s">
        <v>1717</v>
      </c>
      <c r="AG402" s="5" t="n">
        <v>0.263912037037037</v>
      </c>
      <c r="AH402" s="5" t="n">
        <v>0.151782407407407</v>
      </c>
      <c r="AI402" s="5" t="n">
        <v>0</v>
      </c>
      <c r="AJ402" s="5" t="n">
        <v>0</v>
      </c>
      <c r="AK402" s="5" t="n">
        <v>0</v>
      </c>
      <c r="AL402" s="5" t="n">
        <v>0</v>
      </c>
      <c r="AM402" s="4" t="s">
        <v>78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5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0</v>
      </c>
      <c r="BK402" s="0" t="n">
        <v>0</v>
      </c>
      <c r="BM402" s="6" t="n">
        <f aca="false">IFERROR(VALUE(F402),"")</f>
        <v>120.02</v>
      </c>
      <c r="BN402" s="6" t="n">
        <f aca="false">IF(R402="-","",IFERROR(VALUE(LEFT(Q402,LEN(Q402)-2)),""))</f>
        <v>45.77</v>
      </c>
      <c r="BO402" s="6" t="n">
        <f aca="false">IF(R402="-","",IFERROR(VALUE(LEFT(R402,LEN(R402)-5)),""))</f>
        <v>2.62</v>
      </c>
      <c r="BP402" s="6" t="n">
        <f aca="false">IF(R402="-","",IFERROR(VALUE(F402),""))</f>
        <v>120.02</v>
      </c>
      <c r="BQ402" s="4" t="n">
        <f aca="false">IF(R402="-",1,0)</f>
        <v>0</v>
      </c>
    </row>
    <row r="403" customFormat="false" ht="15" hidden="false" customHeight="false" outlineLevel="0" collapsed="false">
      <c r="A403" s="0" t="s">
        <v>1718</v>
      </c>
      <c r="B403" s="0" t="s">
        <v>1719</v>
      </c>
      <c r="C403" s="0" t="s">
        <v>70</v>
      </c>
      <c r="E403" s="3" t="n">
        <v>46273</v>
      </c>
      <c r="F403" s="4" t="s">
        <v>1720</v>
      </c>
      <c r="G403" s="5" t="n">
        <v>0.311041666666667</v>
      </c>
      <c r="H403" s="5" t="n">
        <v>0</v>
      </c>
      <c r="I403" s="5" t="n">
        <v>0.000266203703703704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0</v>
      </c>
      <c r="O403" s="5" t="n">
        <v>0</v>
      </c>
      <c r="P403" s="5" t="n">
        <v>0</v>
      </c>
      <c r="Q403" s="4" t="s">
        <v>73</v>
      </c>
      <c r="R403" s="4" t="s">
        <v>73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0" t="n">
        <v>0</v>
      </c>
      <c r="AA403" s="0" t="n">
        <v>0</v>
      </c>
      <c r="AB403" s="0" t="n">
        <v>0</v>
      </c>
      <c r="AC403" s="4" t="s">
        <v>1131</v>
      </c>
      <c r="AD403" s="4" t="s">
        <v>1131</v>
      </c>
      <c r="AE403" s="4" t="s">
        <v>1721</v>
      </c>
      <c r="AF403" s="4" t="s">
        <v>1722</v>
      </c>
      <c r="AG403" s="5" t="n">
        <v>0.264097222222222</v>
      </c>
      <c r="AH403" s="5" t="n">
        <v>0.0714930555555556</v>
      </c>
      <c r="AI403" s="5" t="n">
        <v>0</v>
      </c>
      <c r="AJ403" s="5" t="n">
        <v>0</v>
      </c>
      <c r="AK403" s="5" t="n">
        <v>0</v>
      </c>
      <c r="AL403" s="5" t="n">
        <v>0</v>
      </c>
      <c r="AM403" s="4" t="s">
        <v>78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  <c r="AU403" s="0" t="n">
        <v>0</v>
      </c>
      <c r="AV403" s="0" t="n">
        <v>0</v>
      </c>
      <c r="AW403" s="0" t="n">
        <v>0</v>
      </c>
      <c r="AX403" s="0" t="n">
        <v>0</v>
      </c>
      <c r="AY403" s="0" t="n">
        <v>0</v>
      </c>
      <c r="AZ403" s="0" t="n">
        <v>0</v>
      </c>
      <c r="BA403" s="0" t="n">
        <v>0</v>
      </c>
      <c r="BB403" s="0" t="n">
        <v>0</v>
      </c>
      <c r="BC403" s="0" t="n">
        <v>0</v>
      </c>
      <c r="BD403" s="0" t="n">
        <v>0</v>
      </c>
      <c r="BE403" s="0" t="n">
        <v>0</v>
      </c>
      <c r="BF403" s="0" t="n">
        <v>0</v>
      </c>
      <c r="BG403" s="0" t="n">
        <v>0</v>
      </c>
      <c r="BH403" s="0" t="n">
        <v>0</v>
      </c>
      <c r="BI403" s="0" t="n">
        <v>0</v>
      </c>
      <c r="BJ403" s="0" t="n">
        <v>0</v>
      </c>
      <c r="BK403" s="0" t="n">
        <v>0</v>
      </c>
      <c r="BM403" s="6" t="n">
        <f aca="false">IFERROR(VALUE(F403),"")</f>
        <v>179.41</v>
      </c>
      <c r="BN403" s="6" t="str">
        <f aca="false">IF(R403="-","",IFERROR(VALUE(LEFT(Q403,LEN(Q403)-2)),""))</f>
        <v/>
      </c>
      <c r="BO403" s="6" t="str">
        <f aca="false">IF(R403="-","",IFERROR(VALUE(LEFT(R403,LEN(R403)-5)),""))</f>
        <v/>
      </c>
      <c r="BP403" s="6" t="str">
        <f aca="false">IF(R403="-","",IFERROR(VALUE(F403),""))</f>
        <v/>
      </c>
      <c r="BQ403" s="4" t="n">
        <f aca="false">IF(R403="-",1,0)</f>
        <v>1</v>
      </c>
    </row>
    <row r="404" customFormat="false" ht="15" hidden="false" customHeight="false" outlineLevel="0" collapsed="false">
      <c r="A404" s="0" t="s">
        <v>1718</v>
      </c>
      <c r="B404" s="0" t="s">
        <v>1719</v>
      </c>
      <c r="C404" s="0" t="s">
        <v>70</v>
      </c>
      <c r="D404" s="0" t="s">
        <v>1723</v>
      </c>
      <c r="E404" s="3" t="n">
        <v>46274</v>
      </c>
      <c r="F404" s="4" t="s">
        <v>1724</v>
      </c>
      <c r="G404" s="5" t="n">
        <v>0.377314814814815</v>
      </c>
      <c r="H404" s="5" t="n">
        <v>0.296412037037037</v>
      </c>
      <c r="I404" s="5" t="n">
        <v>0.00462962962962963</v>
      </c>
      <c r="J404" s="0" t="n">
        <v>0</v>
      </c>
      <c r="K404" s="0" t="n">
        <v>3</v>
      </c>
      <c r="L404" s="0" t="n">
        <v>0</v>
      </c>
      <c r="M404" s="0" t="n">
        <v>0</v>
      </c>
      <c r="N404" s="0" t="n">
        <v>0</v>
      </c>
      <c r="O404" s="5" t="n">
        <v>0</v>
      </c>
      <c r="P404" s="5" t="n">
        <v>0</v>
      </c>
      <c r="Q404" s="4" t="s">
        <v>73</v>
      </c>
      <c r="R404" s="4" t="s">
        <v>73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0" t="n">
        <v>0</v>
      </c>
      <c r="AA404" s="0" t="n">
        <v>0</v>
      </c>
      <c r="AB404" s="0" t="n">
        <v>0</v>
      </c>
      <c r="AC404" s="4" t="s">
        <v>1131</v>
      </c>
      <c r="AD404" s="4" t="s">
        <v>1725</v>
      </c>
      <c r="AE404" s="4" t="s">
        <v>1722</v>
      </c>
      <c r="AF404" s="4" t="s">
        <v>1726</v>
      </c>
      <c r="AG404" s="5" t="n">
        <v>0.288703703703704</v>
      </c>
      <c r="AH404" s="5" t="n">
        <v>0.154050925925926</v>
      </c>
      <c r="AI404" s="5" t="n">
        <v>0</v>
      </c>
      <c r="AJ404" s="5" t="n">
        <v>0</v>
      </c>
      <c r="AK404" s="5" t="n">
        <v>0</v>
      </c>
      <c r="AL404" s="5" t="n">
        <v>0</v>
      </c>
      <c r="AM404" s="4" t="s">
        <v>78</v>
      </c>
      <c r="AN404" s="0" t="n">
        <v>0</v>
      </c>
      <c r="AO404" s="0" t="n">
        <v>1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n">
        <v>0</v>
      </c>
      <c r="BF404" s="0" t="n">
        <v>0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M404" s="6" t="n">
        <f aca="false">IFERROR(VALUE(F404),"")</f>
        <v>243.24</v>
      </c>
      <c r="BN404" s="6" t="str">
        <f aca="false">IF(R404="-","",IFERROR(VALUE(LEFT(Q404,LEN(Q404)-2)),""))</f>
        <v/>
      </c>
      <c r="BO404" s="6" t="str">
        <f aca="false">IF(R404="-","",IFERROR(VALUE(LEFT(R404,LEN(R404)-5)),""))</f>
        <v/>
      </c>
      <c r="BP404" s="6" t="str">
        <f aca="false">IF(R404="-","",IFERROR(VALUE(F404),""))</f>
        <v/>
      </c>
      <c r="BQ404" s="4" t="n">
        <f aca="false">IF(R404="-",1,0)</f>
        <v>1</v>
      </c>
    </row>
    <row r="405" customFormat="false" ht="15" hidden="false" customHeight="false" outlineLevel="0" collapsed="false">
      <c r="A405" s="0" t="s">
        <v>1718</v>
      </c>
      <c r="B405" s="0" t="s">
        <v>1719</v>
      </c>
      <c r="C405" s="0" t="s">
        <v>70</v>
      </c>
      <c r="D405" s="0" t="s">
        <v>1727</v>
      </c>
      <c r="E405" s="3" t="n">
        <v>46275</v>
      </c>
      <c r="F405" s="4" t="s">
        <v>1728</v>
      </c>
      <c r="G405" s="5" t="n">
        <v>0.191944444444444</v>
      </c>
      <c r="H405" s="5" t="n">
        <v>0.166134259259259</v>
      </c>
      <c r="I405" s="5" t="n">
        <v>0.00349537037037037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5" t="n">
        <v>0</v>
      </c>
      <c r="P405" s="5" t="n">
        <v>0</v>
      </c>
      <c r="Q405" s="4" t="s">
        <v>73</v>
      </c>
      <c r="R405" s="4" t="s">
        <v>73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0" t="n">
        <v>0</v>
      </c>
      <c r="AA405" s="0" t="n">
        <v>0</v>
      </c>
      <c r="AB405" s="0" t="n">
        <v>0</v>
      </c>
      <c r="AC405" s="4" t="s">
        <v>1725</v>
      </c>
      <c r="AD405" s="4" t="s">
        <v>81</v>
      </c>
      <c r="AE405" s="4" t="s">
        <v>1726</v>
      </c>
      <c r="AF405" s="4" t="s">
        <v>1729</v>
      </c>
      <c r="AG405" s="5" t="n">
        <v>0.175532407407407</v>
      </c>
      <c r="AH405" s="5" t="n">
        <v>0.0768518518518519</v>
      </c>
      <c r="AI405" s="5" t="n">
        <v>0</v>
      </c>
      <c r="AJ405" s="5" t="n">
        <v>0</v>
      </c>
      <c r="AK405" s="5" t="n">
        <v>0</v>
      </c>
      <c r="AL405" s="5" t="n">
        <v>0</v>
      </c>
      <c r="AM405" s="4" t="s">
        <v>78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  <c r="AU405" s="0" t="n">
        <v>1</v>
      </c>
      <c r="AV405" s="0" t="n">
        <v>0</v>
      </c>
      <c r="AW405" s="0" t="n">
        <v>0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0</v>
      </c>
      <c r="BI405" s="0" t="n">
        <v>0</v>
      </c>
      <c r="BJ405" s="0" t="n">
        <v>0</v>
      </c>
      <c r="BK405" s="0" t="n">
        <v>0</v>
      </c>
      <c r="BM405" s="6" t="n">
        <f aca="false">IFERROR(VALUE(F405),"")</f>
        <v>143.33</v>
      </c>
      <c r="BN405" s="6" t="str">
        <f aca="false">IF(R405="-","",IFERROR(VALUE(LEFT(Q405,LEN(Q405)-2)),""))</f>
        <v/>
      </c>
      <c r="BO405" s="6" t="str">
        <f aca="false">IF(R405="-","",IFERROR(VALUE(LEFT(R405,LEN(R405)-5)),""))</f>
        <v/>
      </c>
      <c r="BP405" s="6" t="str">
        <f aca="false">IF(R405="-","",IFERROR(VALUE(F405),""))</f>
        <v/>
      </c>
      <c r="BQ405" s="4" t="n">
        <f aca="false">IF(R405="-",1,0)</f>
        <v>1</v>
      </c>
    </row>
    <row r="406" customFormat="false" ht="15" hidden="false" customHeight="false" outlineLevel="0" collapsed="false">
      <c r="A406" s="0" t="s">
        <v>1718</v>
      </c>
      <c r="B406" s="0" t="s">
        <v>1719</v>
      </c>
      <c r="C406" s="0" t="s">
        <v>70</v>
      </c>
      <c r="D406" s="0" t="s">
        <v>1730</v>
      </c>
      <c r="E406" s="3" t="n">
        <v>46276</v>
      </c>
      <c r="F406" s="4" t="s">
        <v>1731</v>
      </c>
      <c r="G406" s="5" t="n">
        <v>0.504571759259259</v>
      </c>
      <c r="H406" s="5" t="n">
        <v>0.324826388888889</v>
      </c>
      <c r="I406" s="5" t="n">
        <v>0.000601851851851852</v>
      </c>
      <c r="J406" s="0" t="n">
        <v>0</v>
      </c>
      <c r="K406" s="0" t="n">
        <v>1</v>
      </c>
      <c r="L406" s="0" t="n">
        <v>0</v>
      </c>
      <c r="M406" s="0" t="n">
        <v>0</v>
      </c>
      <c r="N406" s="0" t="n">
        <v>0</v>
      </c>
      <c r="O406" s="5" t="n">
        <v>0</v>
      </c>
      <c r="P406" s="5" t="n">
        <v>0</v>
      </c>
      <c r="Q406" s="4" t="s">
        <v>73</v>
      </c>
      <c r="R406" s="4" t="s">
        <v>73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</v>
      </c>
      <c r="Z406" s="0" t="n">
        <v>0</v>
      </c>
      <c r="AA406" s="0" t="n">
        <v>0</v>
      </c>
      <c r="AB406" s="0" t="n">
        <v>0</v>
      </c>
      <c r="AC406" s="4" t="s">
        <v>81</v>
      </c>
      <c r="AD406" s="4" t="s">
        <v>75</v>
      </c>
      <c r="AE406" s="4" t="s">
        <v>1729</v>
      </c>
      <c r="AF406" s="4" t="s">
        <v>1732</v>
      </c>
      <c r="AG406" s="5" t="n">
        <v>0.294085648148148</v>
      </c>
      <c r="AH406" s="5" t="n">
        <v>0.306076388888889</v>
      </c>
      <c r="AI406" s="5" t="n">
        <v>0</v>
      </c>
      <c r="AJ406" s="5" t="n">
        <v>0</v>
      </c>
      <c r="AK406" s="5" t="n">
        <v>0</v>
      </c>
      <c r="AL406" s="5" t="n">
        <v>0</v>
      </c>
      <c r="AM406" s="4" t="s">
        <v>78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n">
        <v>0</v>
      </c>
      <c r="AW406" s="0" t="n">
        <v>0</v>
      </c>
      <c r="AX406" s="0" t="n">
        <v>0</v>
      </c>
      <c r="AY406" s="0" t="n">
        <v>0</v>
      </c>
      <c r="AZ406" s="0" t="n">
        <v>0</v>
      </c>
      <c r="BA406" s="0" t="n">
        <v>0</v>
      </c>
      <c r="BB406" s="0" t="n">
        <v>0</v>
      </c>
      <c r="BC406" s="0" t="n">
        <v>0</v>
      </c>
      <c r="BD406" s="0" t="n">
        <v>0</v>
      </c>
      <c r="BE406" s="0" t="n">
        <v>0</v>
      </c>
      <c r="BF406" s="0" t="n">
        <v>0</v>
      </c>
      <c r="BG406" s="0" t="n">
        <v>0</v>
      </c>
      <c r="BH406" s="0" t="n">
        <v>0</v>
      </c>
      <c r="BI406" s="0" t="n">
        <v>0</v>
      </c>
      <c r="BJ406" s="0" t="n">
        <v>0</v>
      </c>
      <c r="BK406" s="0" t="n">
        <v>0</v>
      </c>
      <c r="BM406" s="6" t="n">
        <f aca="false">IFERROR(VALUE(F406),"")</f>
        <v>227.61</v>
      </c>
      <c r="BN406" s="6" t="str">
        <f aca="false">IF(R406="-","",IFERROR(VALUE(LEFT(Q406,LEN(Q406)-2)),""))</f>
        <v/>
      </c>
      <c r="BO406" s="6" t="str">
        <f aca="false">IF(R406="-","",IFERROR(VALUE(LEFT(R406,LEN(R406)-5)),""))</f>
        <v/>
      </c>
      <c r="BP406" s="6" t="str">
        <f aca="false">IF(R406="-","",IFERROR(VALUE(F406),""))</f>
        <v/>
      </c>
      <c r="BQ406" s="4" t="n">
        <f aca="false">IF(R406="-",1,0)</f>
        <v>1</v>
      </c>
    </row>
    <row r="407" customFormat="false" ht="15" hidden="false" customHeight="false" outlineLevel="0" collapsed="false">
      <c r="A407" s="0" t="s">
        <v>1718</v>
      </c>
      <c r="B407" s="0" t="s">
        <v>1719</v>
      </c>
      <c r="C407" s="0" t="s">
        <v>70</v>
      </c>
      <c r="D407" s="0" t="s">
        <v>1733</v>
      </c>
      <c r="E407" s="3" t="n">
        <v>46277</v>
      </c>
      <c r="F407" s="4" t="s">
        <v>1734</v>
      </c>
      <c r="G407" s="5" t="n">
        <v>0.333541666666667</v>
      </c>
      <c r="H407" s="5" t="n">
        <v>0.322650462962963</v>
      </c>
      <c r="I407" s="5" t="n">
        <v>0.00226851851851852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5" t="n">
        <v>0</v>
      </c>
      <c r="P407" s="5" t="n">
        <v>0</v>
      </c>
      <c r="Q407" s="4" t="s">
        <v>73</v>
      </c>
      <c r="R407" s="4" t="s">
        <v>73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0" t="n">
        <v>0</v>
      </c>
      <c r="AA407" s="0" t="n">
        <v>0</v>
      </c>
      <c r="AB407" s="0" t="n">
        <v>0</v>
      </c>
      <c r="AC407" s="4" t="s">
        <v>228</v>
      </c>
      <c r="AD407" s="4" t="s">
        <v>1483</v>
      </c>
      <c r="AE407" s="4" t="s">
        <v>1732</v>
      </c>
      <c r="AF407" s="4" t="s">
        <v>1735</v>
      </c>
      <c r="AG407" s="5" t="n">
        <v>0.293113425925926</v>
      </c>
      <c r="AH407" s="5" t="n">
        <v>0.0649421296296296</v>
      </c>
      <c r="AI407" s="5" t="n">
        <v>0</v>
      </c>
      <c r="AJ407" s="5" t="n">
        <v>0</v>
      </c>
      <c r="AK407" s="5" t="n">
        <v>0</v>
      </c>
      <c r="AL407" s="5" t="n">
        <v>0</v>
      </c>
      <c r="AM407" s="4" t="s">
        <v>78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0</v>
      </c>
      <c r="BI407" s="0" t="n">
        <v>0</v>
      </c>
      <c r="BJ407" s="0" t="n">
        <v>0</v>
      </c>
      <c r="BK407" s="0" t="n">
        <v>0</v>
      </c>
      <c r="BM407" s="6" t="n">
        <f aca="false">IFERROR(VALUE(F407),"")</f>
        <v>185.7</v>
      </c>
      <c r="BN407" s="6" t="str">
        <f aca="false">IF(R407="-","",IFERROR(VALUE(LEFT(Q407,LEN(Q407)-2)),""))</f>
        <v/>
      </c>
      <c r="BO407" s="6" t="str">
        <f aca="false">IF(R407="-","",IFERROR(VALUE(LEFT(R407,LEN(R407)-5)),""))</f>
        <v/>
      </c>
      <c r="BP407" s="6" t="str">
        <f aca="false">IF(R407="-","",IFERROR(VALUE(F407),""))</f>
        <v/>
      </c>
      <c r="BQ407" s="4" t="n">
        <f aca="false">IF(R407="-",1,0)</f>
        <v>1</v>
      </c>
    </row>
    <row r="408" customFormat="false" ht="15" hidden="false" customHeight="false" outlineLevel="0" collapsed="false">
      <c r="A408" s="0" t="s">
        <v>1718</v>
      </c>
      <c r="B408" s="0" t="s">
        <v>1719</v>
      </c>
      <c r="C408" s="0" t="s">
        <v>70</v>
      </c>
      <c r="D408" s="0" t="s">
        <v>1494</v>
      </c>
      <c r="E408" s="3" t="n">
        <v>46278</v>
      </c>
      <c r="F408" s="4" t="s">
        <v>1736</v>
      </c>
      <c r="G408" s="5" t="n">
        <v>0.468865740740741</v>
      </c>
      <c r="H408" s="5" t="n">
        <v>0.445393518518519</v>
      </c>
      <c r="I408" s="5" t="n">
        <v>0.000381944444444445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5" t="n">
        <v>0</v>
      </c>
      <c r="P408" s="5" t="n">
        <v>0</v>
      </c>
      <c r="Q408" s="4" t="s">
        <v>73</v>
      </c>
      <c r="R408" s="4" t="s">
        <v>73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0" t="n">
        <v>0</v>
      </c>
      <c r="AA408" s="0" t="n">
        <v>0</v>
      </c>
      <c r="AB408" s="0" t="n">
        <v>0</v>
      </c>
      <c r="AC408" s="4" t="s">
        <v>1483</v>
      </c>
      <c r="AD408" s="4" t="s">
        <v>1483</v>
      </c>
      <c r="AE408" s="4" t="s">
        <v>1735</v>
      </c>
      <c r="AF408" s="4" t="s">
        <v>1737</v>
      </c>
      <c r="AG408" s="5" t="n">
        <v>0.417060185185185</v>
      </c>
      <c r="AH408" s="5" t="n">
        <v>0.0964467592592593</v>
      </c>
      <c r="AI408" s="5" t="n">
        <v>0</v>
      </c>
      <c r="AJ408" s="5" t="n">
        <v>0</v>
      </c>
      <c r="AK408" s="5" t="n">
        <v>0</v>
      </c>
      <c r="AL408" s="5" t="n">
        <v>0</v>
      </c>
      <c r="AM408" s="4" t="s">
        <v>78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1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0</v>
      </c>
      <c r="BI408" s="0" t="n">
        <v>0</v>
      </c>
      <c r="BJ408" s="0" t="n">
        <v>0</v>
      </c>
      <c r="BK408" s="0" t="n">
        <v>0</v>
      </c>
      <c r="BM408" s="6" t="n">
        <f aca="false">IFERROR(VALUE(F408),"")</f>
        <v>290.93</v>
      </c>
      <c r="BN408" s="6" t="str">
        <f aca="false">IF(R408="-","",IFERROR(VALUE(LEFT(Q408,LEN(Q408)-2)),""))</f>
        <v/>
      </c>
      <c r="BO408" s="6" t="str">
        <f aca="false">IF(R408="-","",IFERROR(VALUE(LEFT(R408,LEN(R408)-5)),""))</f>
        <v/>
      </c>
      <c r="BP408" s="6" t="str">
        <f aca="false">IF(R408="-","",IFERROR(VALUE(F408),""))</f>
        <v/>
      </c>
      <c r="BQ408" s="4" t="n">
        <f aca="false">IF(R408="-",1,0)</f>
        <v>1</v>
      </c>
    </row>
    <row r="409" customFormat="false" ht="15" hidden="false" customHeight="false" outlineLevel="0" collapsed="false">
      <c r="A409" s="0" t="s">
        <v>1718</v>
      </c>
      <c r="B409" s="0" t="s">
        <v>1719</v>
      </c>
      <c r="C409" s="0" t="s">
        <v>70</v>
      </c>
      <c r="D409" s="0" t="s">
        <v>1494</v>
      </c>
      <c r="E409" s="3" t="n">
        <v>46279</v>
      </c>
      <c r="F409" s="4" t="s">
        <v>1738</v>
      </c>
      <c r="G409" s="5" t="n">
        <v>0.446423611111111</v>
      </c>
      <c r="H409" s="5" t="n">
        <v>0.205578703703704</v>
      </c>
      <c r="I409" s="5" t="n">
        <v>0.000532407407407407</v>
      </c>
      <c r="J409" s="0" t="n">
        <v>1</v>
      </c>
      <c r="K409" s="0" t="n">
        <v>1</v>
      </c>
      <c r="L409" s="0" t="n">
        <v>0</v>
      </c>
      <c r="M409" s="0" t="n">
        <v>0</v>
      </c>
      <c r="N409" s="0" t="n">
        <v>0</v>
      </c>
      <c r="O409" s="5" t="n">
        <v>0</v>
      </c>
      <c r="P409" s="5" t="n">
        <v>0</v>
      </c>
      <c r="Q409" s="4" t="s">
        <v>73</v>
      </c>
      <c r="R409" s="4" t="s">
        <v>73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0" t="n">
        <v>0</v>
      </c>
      <c r="AA409" s="0" t="n">
        <v>0</v>
      </c>
      <c r="AB409" s="0" t="n">
        <v>0</v>
      </c>
      <c r="AC409" s="4" t="s">
        <v>1483</v>
      </c>
      <c r="AD409" s="4" t="s">
        <v>1483</v>
      </c>
      <c r="AE409" s="4" t="s">
        <v>1737</v>
      </c>
      <c r="AF409" s="4" t="s">
        <v>1739</v>
      </c>
      <c r="AG409" s="5" t="n">
        <v>0.401527777777778</v>
      </c>
      <c r="AH409" s="5" t="n">
        <v>0.0973958333333333</v>
      </c>
      <c r="AI409" s="5" t="n">
        <v>0</v>
      </c>
      <c r="AJ409" s="5" t="n">
        <v>0</v>
      </c>
      <c r="AK409" s="5" t="n">
        <v>0</v>
      </c>
      <c r="AL409" s="5" t="n">
        <v>0</v>
      </c>
      <c r="AM409" s="4" t="s">
        <v>78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  <c r="AU409" s="0" t="n">
        <v>4</v>
      </c>
      <c r="AV409" s="0" t="n">
        <v>0</v>
      </c>
      <c r="AW409" s="0" t="n">
        <v>0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n">
        <v>0</v>
      </c>
      <c r="BF409" s="0" t="n">
        <v>0</v>
      </c>
      <c r="BG409" s="0" t="n">
        <v>0</v>
      </c>
      <c r="BH409" s="0" t="n">
        <v>0</v>
      </c>
      <c r="BI409" s="0" t="n">
        <v>0</v>
      </c>
      <c r="BJ409" s="0" t="n">
        <v>0</v>
      </c>
      <c r="BK409" s="0" t="n">
        <v>0</v>
      </c>
      <c r="BM409" s="6" t="n">
        <f aca="false">IFERROR(VALUE(F409),"")</f>
        <v>288.81</v>
      </c>
      <c r="BN409" s="6" t="str">
        <f aca="false">IF(R409="-","",IFERROR(VALUE(LEFT(Q409,LEN(Q409)-2)),""))</f>
        <v/>
      </c>
      <c r="BO409" s="6" t="str">
        <f aca="false">IF(R409="-","",IFERROR(VALUE(LEFT(R409,LEN(R409)-5)),""))</f>
        <v/>
      </c>
      <c r="BP409" s="6" t="str">
        <f aca="false">IF(R409="-","",IFERROR(VALUE(F409),""))</f>
        <v/>
      </c>
      <c r="BQ409" s="4" t="n">
        <f aca="false">IF(R409="-",1,0)</f>
        <v>1</v>
      </c>
    </row>
    <row r="410" customFormat="false" ht="15" hidden="false" customHeight="false" outlineLevel="0" collapsed="false">
      <c r="A410" s="0" t="s">
        <v>1740</v>
      </c>
      <c r="B410" s="0" t="s">
        <v>1741</v>
      </c>
      <c r="C410" s="0" t="s">
        <v>70</v>
      </c>
      <c r="D410" s="0" t="s">
        <v>1742</v>
      </c>
      <c r="E410" s="3" t="n">
        <v>46273</v>
      </c>
      <c r="F410" s="4" t="s">
        <v>1743</v>
      </c>
      <c r="G410" s="5" t="n">
        <v>0.191851851851852</v>
      </c>
      <c r="H410" s="5" t="n">
        <v>0.171435185185185</v>
      </c>
      <c r="I410" s="5" t="n">
        <v>0.000393518518518519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1</v>
      </c>
      <c r="O410" s="5" t="n">
        <v>0</v>
      </c>
      <c r="P410" s="5" t="n">
        <v>0</v>
      </c>
      <c r="Q410" s="4" t="s">
        <v>73</v>
      </c>
      <c r="R410" s="4" t="s">
        <v>73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0</v>
      </c>
      <c r="Y410" s="5" t="n">
        <v>0</v>
      </c>
      <c r="Z410" s="0" t="n">
        <v>0</v>
      </c>
      <c r="AA410" s="0" t="n">
        <v>0</v>
      </c>
      <c r="AB410" s="0" t="n">
        <v>0</v>
      </c>
      <c r="AC410" s="4" t="s">
        <v>1744</v>
      </c>
      <c r="AD410" s="4" t="s">
        <v>1745</v>
      </c>
      <c r="AE410" s="4" t="s">
        <v>1746</v>
      </c>
      <c r="AF410" s="4" t="s">
        <v>1747</v>
      </c>
      <c r="AG410" s="5" t="n">
        <v>0.124988425925926</v>
      </c>
      <c r="AH410" s="5" t="n">
        <v>0.113900462962963</v>
      </c>
      <c r="AI410" s="5" t="n">
        <v>0</v>
      </c>
      <c r="AJ410" s="5" t="n">
        <v>0</v>
      </c>
      <c r="AK410" s="5" t="n">
        <v>0</v>
      </c>
      <c r="AL410" s="5" t="n">
        <v>0</v>
      </c>
      <c r="AM410" s="4" t="s">
        <v>78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  <c r="AU410" s="0" t="n">
        <v>1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0</v>
      </c>
      <c r="BF410" s="0" t="n">
        <v>0</v>
      </c>
      <c r="BG410" s="0" t="n">
        <v>0</v>
      </c>
      <c r="BH410" s="0" t="n">
        <v>0</v>
      </c>
      <c r="BI410" s="0" t="n">
        <v>0</v>
      </c>
      <c r="BJ410" s="0" t="n">
        <v>0</v>
      </c>
      <c r="BK410" s="0" t="n">
        <v>0</v>
      </c>
      <c r="BM410" s="6" t="n">
        <f aca="false">IFERROR(VALUE(F410),"")</f>
        <v>105.04</v>
      </c>
      <c r="BN410" s="6" t="str">
        <f aca="false">IF(R410="-","",IFERROR(VALUE(LEFT(Q410,LEN(Q410)-2)),""))</f>
        <v/>
      </c>
      <c r="BO410" s="6" t="str">
        <f aca="false">IF(R410="-","",IFERROR(VALUE(LEFT(R410,LEN(R410)-5)),""))</f>
        <v/>
      </c>
      <c r="BP410" s="6" t="str">
        <f aca="false">IF(R410="-","",IFERROR(VALUE(F410),""))</f>
        <v/>
      </c>
      <c r="BQ410" s="4" t="n">
        <f aca="false">IF(R410="-",1,0)</f>
        <v>1</v>
      </c>
    </row>
    <row r="411" customFormat="false" ht="15" hidden="false" customHeight="false" outlineLevel="0" collapsed="false">
      <c r="A411" s="0" t="s">
        <v>1740</v>
      </c>
      <c r="B411" s="0" t="s">
        <v>1741</v>
      </c>
      <c r="C411" s="0" t="s">
        <v>70</v>
      </c>
      <c r="E411" s="3" t="n">
        <v>46276</v>
      </c>
      <c r="F411" s="4" t="s">
        <v>1748</v>
      </c>
      <c r="G411" s="5" t="n">
        <v>0.139027777777778</v>
      </c>
      <c r="H411" s="5" t="n">
        <v>0</v>
      </c>
      <c r="I411" s="5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5" t="n">
        <v>0</v>
      </c>
      <c r="P411" s="5" t="n">
        <v>0</v>
      </c>
      <c r="Q411" s="4" t="s">
        <v>73</v>
      </c>
      <c r="R411" s="4" t="s">
        <v>73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0" t="n">
        <v>0</v>
      </c>
      <c r="AA411" s="0" t="n">
        <v>0</v>
      </c>
      <c r="AB411" s="0" t="n">
        <v>0</v>
      </c>
      <c r="AC411" s="4" t="s">
        <v>1749</v>
      </c>
      <c r="AD411" s="4" t="s">
        <v>864</v>
      </c>
      <c r="AE411" s="4" t="s">
        <v>1747</v>
      </c>
      <c r="AF411" s="4" t="s">
        <v>1750</v>
      </c>
      <c r="AG411" s="5" t="n">
        <v>0.0861689814814815</v>
      </c>
      <c r="AH411" s="5" t="n">
        <v>0.17837962962963</v>
      </c>
      <c r="AI411" s="5" t="n">
        <v>0</v>
      </c>
      <c r="AJ411" s="5" t="n">
        <v>0</v>
      </c>
      <c r="AK411" s="5" t="n">
        <v>0</v>
      </c>
      <c r="AL411" s="5" t="n">
        <v>0</v>
      </c>
      <c r="AM411" s="4" t="s">
        <v>78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  <c r="AU411" s="0" t="n">
        <v>1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n">
        <v>0</v>
      </c>
      <c r="BF411" s="0" t="n">
        <v>0</v>
      </c>
      <c r="BG411" s="0" t="n">
        <v>0</v>
      </c>
      <c r="BH411" s="0" t="n">
        <v>0</v>
      </c>
      <c r="BI411" s="0" t="n">
        <v>0</v>
      </c>
      <c r="BJ411" s="0" t="n">
        <v>0</v>
      </c>
      <c r="BK411" s="0" t="n">
        <v>0</v>
      </c>
      <c r="BM411" s="6" t="n">
        <f aca="false">IFERROR(VALUE(F411),"")</f>
        <v>26.89</v>
      </c>
      <c r="BN411" s="6" t="str">
        <f aca="false">IF(R411="-","",IFERROR(VALUE(LEFT(Q411,LEN(Q411)-2)),""))</f>
        <v/>
      </c>
      <c r="BO411" s="6" t="str">
        <f aca="false">IF(R411="-","",IFERROR(VALUE(LEFT(R411,LEN(R411)-5)),""))</f>
        <v/>
      </c>
      <c r="BP411" s="6" t="str">
        <f aca="false">IF(R411="-","",IFERROR(VALUE(F411),""))</f>
        <v/>
      </c>
      <c r="BQ411" s="4" t="n">
        <f aca="false">IF(R411="-",1,0)</f>
        <v>1</v>
      </c>
    </row>
    <row r="412" customFormat="false" ht="15" hidden="false" customHeight="false" outlineLevel="0" collapsed="false">
      <c r="A412" s="0" t="s">
        <v>1740</v>
      </c>
      <c r="B412" s="0" t="s">
        <v>1741</v>
      </c>
      <c r="C412" s="0" t="s">
        <v>70</v>
      </c>
      <c r="D412" s="0" t="s">
        <v>1751</v>
      </c>
      <c r="E412" s="3" t="n">
        <v>46277</v>
      </c>
      <c r="F412" s="4" t="s">
        <v>1752</v>
      </c>
      <c r="G412" s="5" t="n">
        <v>0.322395833333333</v>
      </c>
      <c r="H412" s="5" t="n">
        <v>0.142141203703704</v>
      </c>
      <c r="I412" s="5" t="n">
        <v>0.000393518518518519</v>
      </c>
      <c r="J412" s="0" t="n">
        <v>1</v>
      </c>
      <c r="K412" s="0" t="n">
        <v>2</v>
      </c>
      <c r="L412" s="0" t="n">
        <v>0</v>
      </c>
      <c r="M412" s="0" t="n">
        <v>0</v>
      </c>
      <c r="N412" s="0" t="n">
        <v>0</v>
      </c>
      <c r="O412" s="5" t="n">
        <v>0</v>
      </c>
      <c r="P412" s="5" t="n">
        <v>0</v>
      </c>
      <c r="Q412" s="4" t="s">
        <v>73</v>
      </c>
      <c r="R412" s="4" t="s">
        <v>73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0" t="n">
        <v>0</v>
      </c>
      <c r="AA412" s="0" t="n">
        <v>0</v>
      </c>
      <c r="AB412" s="0" t="n">
        <v>0</v>
      </c>
      <c r="AC412" s="4" t="s">
        <v>877</v>
      </c>
      <c r="AD412" s="4" t="s">
        <v>75</v>
      </c>
      <c r="AE412" s="4" t="s">
        <v>1750</v>
      </c>
      <c r="AF412" s="4" t="s">
        <v>1753</v>
      </c>
      <c r="AG412" s="5" t="n">
        <v>0.149108796296296</v>
      </c>
      <c r="AH412" s="5" t="n">
        <v>0.218043981481482</v>
      </c>
      <c r="AI412" s="5" t="n">
        <v>0</v>
      </c>
      <c r="AJ412" s="5" t="n">
        <v>0</v>
      </c>
      <c r="AK412" s="5" t="n">
        <v>0</v>
      </c>
      <c r="AL412" s="5" t="n">
        <v>0</v>
      </c>
      <c r="AM412" s="4" t="s">
        <v>78</v>
      </c>
      <c r="AN412" s="0" t="n">
        <v>0</v>
      </c>
      <c r="AO412" s="0" t="n">
        <v>2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1</v>
      </c>
      <c r="AV412" s="0" t="n">
        <v>0</v>
      </c>
      <c r="AW412" s="0" t="n">
        <v>0</v>
      </c>
      <c r="AX412" s="0" t="n">
        <v>0</v>
      </c>
      <c r="AY412" s="0" t="n">
        <v>0</v>
      </c>
      <c r="AZ412" s="0" t="n">
        <v>0</v>
      </c>
      <c r="BA412" s="0" t="n">
        <v>0</v>
      </c>
      <c r="BB412" s="0" t="n">
        <v>0</v>
      </c>
      <c r="BC412" s="0" t="n">
        <v>0</v>
      </c>
      <c r="BD412" s="0" t="n">
        <v>0</v>
      </c>
      <c r="BE412" s="0" t="n">
        <v>0</v>
      </c>
      <c r="BF412" s="0" t="n">
        <v>0</v>
      </c>
      <c r="BG412" s="0" t="n">
        <v>0</v>
      </c>
      <c r="BH412" s="0" t="n">
        <v>0</v>
      </c>
      <c r="BI412" s="0" t="n">
        <v>0</v>
      </c>
      <c r="BJ412" s="0" t="n">
        <v>0</v>
      </c>
      <c r="BK412" s="0" t="n">
        <v>0</v>
      </c>
      <c r="BM412" s="6" t="n">
        <f aca="false">IFERROR(VALUE(F412),"")</f>
        <v>175.82</v>
      </c>
      <c r="BN412" s="6" t="str">
        <f aca="false">IF(R412="-","",IFERROR(VALUE(LEFT(Q412,LEN(Q412)-2)),""))</f>
        <v/>
      </c>
      <c r="BO412" s="6" t="str">
        <f aca="false">IF(R412="-","",IFERROR(VALUE(LEFT(R412,LEN(R412)-5)),""))</f>
        <v/>
      </c>
      <c r="BP412" s="6" t="str">
        <f aca="false">IF(R412="-","",IFERROR(VALUE(F412),""))</f>
        <v/>
      </c>
      <c r="BQ412" s="4" t="n">
        <f aca="false">IF(R412="-",1,0)</f>
        <v>1</v>
      </c>
    </row>
    <row r="413" customFormat="false" ht="15" hidden="false" customHeight="false" outlineLevel="0" collapsed="false">
      <c r="A413" s="0" t="s">
        <v>1740</v>
      </c>
      <c r="B413" s="0" t="s">
        <v>1741</v>
      </c>
      <c r="C413" s="0" t="s">
        <v>70</v>
      </c>
      <c r="D413" s="0" t="s">
        <v>1754</v>
      </c>
      <c r="E413" s="3" t="n">
        <v>46279</v>
      </c>
      <c r="F413" s="4" t="s">
        <v>1755</v>
      </c>
      <c r="G413" s="5" t="n">
        <v>0.439872685185185</v>
      </c>
      <c r="H413" s="5" t="n">
        <v>0.355694444444444</v>
      </c>
      <c r="I413" s="5" t="n">
        <v>0.00125</v>
      </c>
      <c r="J413" s="0" t="n">
        <v>0</v>
      </c>
      <c r="K413" s="0" t="n">
        <v>1</v>
      </c>
      <c r="L413" s="0" t="n">
        <v>0</v>
      </c>
      <c r="M413" s="0" t="n">
        <v>0</v>
      </c>
      <c r="N413" s="0" t="n">
        <v>3</v>
      </c>
      <c r="O413" s="5" t="n">
        <v>0</v>
      </c>
      <c r="P413" s="5" t="n">
        <v>0</v>
      </c>
      <c r="Q413" s="4" t="s">
        <v>73</v>
      </c>
      <c r="R413" s="4" t="s">
        <v>73</v>
      </c>
      <c r="S413" s="5" t="n">
        <v>0</v>
      </c>
      <c r="T413" s="5" t="n">
        <v>0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0" t="n">
        <v>0</v>
      </c>
      <c r="AA413" s="0" t="n">
        <v>0</v>
      </c>
      <c r="AB413" s="0" t="n">
        <v>0</v>
      </c>
      <c r="AC413" s="4" t="s">
        <v>75</v>
      </c>
      <c r="AD413" s="4" t="s">
        <v>73</v>
      </c>
      <c r="AE413" s="4" t="s">
        <v>1753</v>
      </c>
      <c r="AF413" s="4" t="s">
        <v>1756</v>
      </c>
      <c r="AG413" s="5" t="n">
        <v>0.368854166666667</v>
      </c>
      <c r="AH413" s="5" t="n">
        <v>0.116979166666667</v>
      </c>
      <c r="AI413" s="5" t="n">
        <v>0</v>
      </c>
      <c r="AJ413" s="5" t="n">
        <v>0</v>
      </c>
      <c r="AK413" s="5" t="n">
        <v>0</v>
      </c>
      <c r="AL413" s="5" t="n">
        <v>0</v>
      </c>
      <c r="AM413" s="4" t="s">
        <v>78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n">
        <v>0</v>
      </c>
      <c r="BF413" s="0" t="n">
        <v>0</v>
      </c>
      <c r="BG413" s="0" t="n">
        <v>0</v>
      </c>
      <c r="BH413" s="0" t="n">
        <v>0</v>
      </c>
      <c r="BI413" s="0" t="n">
        <v>0</v>
      </c>
      <c r="BJ413" s="0" t="n">
        <v>0</v>
      </c>
      <c r="BK413" s="0" t="n">
        <v>0</v>
      </c>
      <c r="BM413" s="6" t="n">
        <f aca="false">IFERROR(VALUE(F413),"")</f>
        <v>254.63</v>
      </c>
      <c r="BN413" s="6" t="str">
        <f aca="false">IF(R413="-","",IFERROR(VALUE(LEFT(Q413,LEN(Q413)-2)),""))</f>
        <v/>
      </c>
      <c r="BO413" s="6" t="str">
        <f aca="false">IF(R413="-","",IFERROR(VALUE(LEFT(R413,LEN(R413)-5)),""))</f>
        <v/>
      </c>
      <c r="BP413" s="6" t="str">
        <f aca="false">IF(R413="-","",IFERROR(VALUE(F413),""))</f>
        <v/>
      </c>
      <c r="BQ413" s="4" t="n">
        <f aca="false">IF(R413="-",1,0)</f>
        <v>1</v>
      </c>
    </row>
    <row r="414" customFormat="false" ht="15" hidden="false" customHeight="false" outlineLevel="0" collapsed="false">
      <c r="A414" s="0" t="s">
        <v>1757</v>
      </c>
      <c r="B414" s="0" t="s">
        <v>1758</v>
      </c>
      <c r="C414" s="0" t="s">
        <v>70</v>
      </c>
      <c r="D414" s="0" t="s">
        <v>1759</v>
      </c>
      <c r="E414" s="3" t="n">
        <v>46273</v>
      </c>
      <c r="F414" s="4" t="s">
        <v>1760</v>
      </c>
      <c r="G414" s="5" t="n">
        <v>0.0108101851851852</v>
      </c>
      <c r="H414" s="5" t="n">
        <v>0.00912037037037037</v>
      </c>
      <c r="I414" s="5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5" t="n">
        <v>0</v>
      </c>
      <c r="P414" s="5" t="n">
        <v>0</v>
      </c>
      <c r="Q414" s="4" t="s">
        <v>73</v>
      </c>
      <c r="R414" s="4" t="s">
        <v>73</v>
      </c>
      <c r="S414" s="5" t="n">
        <v>0</v>
      </c>
      <c r="T414" s="5" t="n">
        <v>0</v>
      </c>
      <c r="U414" s="5" t="n">
        <v>0</v>
      </c>
      <c r="V414" s="5" t="n">
        <v>0</v>
      </c>
      <c r="W414" s="5" t="n">
        <v>0</v>
      </c>
      <c r="X414" s="5" t="n">
        <v>0</v>
      </c>
      <c r="Y414" s="5" t="n">
        <v>0</v>
      </c>
      <c r="Z414" s="0" t="n">
        <v>0</v>
      </c>
      <c r="AA414" s="0" t="n">
        <v>0</v>
      </c>
      <c r="AB414" s="0" t="n">
        <v>0</v>
      </c>
      <c r="AC414" s="4" t="s">
        <v>74</v>
      </c>
      <c r="AD414" s="4" t="s">
        <v>994</v>
      </c>
      <c r="AE414" s="4" t="s">
        <v>1761</v>
      </c>
      <c r="AF414" s="4" t="s">
        <v>1762</v>
      </c>
      <c r="AG414" s="5" t="n">
        <v>0.00788194444444445</v>
      </c>
      <c r="AH414" s="5" t="n">
        <v>0.0290856481481482</v>
      </c>
      <c r="AI414" s="5" t="n">
        <v>0</v>
      </c>
      <c r="AJ414" s="5" t="n">
        <v>0</v>
      </c>
      <c r="AK414" s="5" t="n">
        <v>0</v>
      </c>
      <c r="AL414" s="5" t="n">
        <v>0</v>
      </c>
      <c r="AM414" s="4" t="s">
        <v>78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n">
        <v>0</v>
      </c>
      <c r="AW414" s="0" t="n">
        <v>0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n">
        <v>0</v>
      </c>
      <c r="BF414" s="0" t="n">
        <v>0</v>
      </c>
      <c r="BG414" s="0" t="n">
        <v>0</v>
      </c>
      <c r="BH414" s="0" t="n">
        <v>0</v>
      </c>
      <c r="BI414" s="0" t="n">
        <v>0</v>
      </c>
      <c r="BJ414" s="0" t="n">
        <v>0</v>
      </c>
      <c r="BK414" s="0" t="n">
        <v>0</v>
      </c>
      <c r="BM414" s="6" t="n">
        <f aca="false">IFERROR(VALUE(F414),"")</f>
        <v>3.59</v>
      </c>
      <c r="BN414" s="6" t="str">
        <f aca="false">IF(R414="-","",IFERROR(VALUE(LEFT(Q414,LEN(Q414)-2)),""))</f>
        <v/>
      </c>
      <c r="BO414" s="6" t="str">
        <f aca="false">IF(R414="-","",IFERROR(VALUE(LEFT(R414,LEN(R414)-5)),""))</f>
        <v/>
      </c>
      <c r="BP414" s="6" t="str">
        <f aca="false">IF(R414="-","",IFERROR(VALUE(F414),""))</f>
        <v/>
      </c>
      <c r="BQ414" s="4" t="n">
        <f aca="false">IF(R414="-",1,0)</f>
        <v>1</v>
      </c>
    </row>
    <row r="415" customFormat="false" ht="15" hidden="false" customHeight="false" outlineLevel="0" collapsed="false">
      <c r="A415" s="0" t="s">
        <v>1757</v>
      </c>
      <c r="B415" s="0" t="s">
        <v>1758</v>
      </c>
      <c r="C415" s="0" t="s">
        <v>70</v>
      </c>
      <c r="E415" s="3" t="n">
        <v>46274</v>
      </c>
      <c r="F415" s="4" t="s">
        <v>1763</v>
      </c>
      <c r="G415" s="5" t="n">
        <v>0.0300115740740741</v>
      </c>
      <c r="H415" s="5" t="n">
        <v>0</v>
      </c>
      <c r="I415" s="5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5" t="n">
        <v>0</v>
      </c>
      <c r="P415" s="5" t="n">
        <v>0</v>
      </c>
      <c r="Q415" s="4" t="s">
        <v>73</v>
      </c>
      <c r="R415" s="4" t="s">
        <v>73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0" t="n">
        <v>0</v>
      </c>
      <c r="AA415" s="0" t="n">
        <v>0</v>
      </c>
      <c r="AB415" s="0" t="n">
        <v>0</v>
      </c>
      <c r="AC415" s="4" t="s">
        <v>994</v>
      </c>
      <c r="AD415" s="4" t="s">
        <v>994</v>
      </c>
      <c r="AE415" s="4" t="s">
        <v>1762</v>
      </c>
      <c r="AF415" s="4" t="s">
        <v>1764</v>
      </c>
      <c r="AG415" s="5" t="n">
        <v>0.0040162037037037</v>
      </c>
      <c r="AH415" s="5" t="n">
        <v>0.0505324074074074</v>
      </c>
      <c r="AI415" s="5" t="n">
        <v>0</v>
      </c>
      <c r="AJ415" s="5" t="n">
        <v>0</v>
      </c>
      <c r="AK415" s="5" t="n">
        <v>0</v>
      </c>
      <c r="AL415" s="5" t="n">
        <v>0</v>
      </c>
      <c r="AM415" s="4" t="s">
        <v>78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0</v>
      </c>
      <c r="BG415" s="0" t="n">
        <v>0</v>
      </c>
      <c r="BH415" s="0" t="n">
        <v>0</v>
      </c>
      <c r="BI415" s="0" t="n">
        <v>0</v>
      </c>
      <c r="BJ415" s="0" t="n">
        <v>0</v>
      </c>
      <c r="BK415" s="0" t="n">
        <v>0</v>
      </c>
      <c r="BM415" s="6" t="n">
        <f aca="false">IFERROR(VALUE(F415),"")</f>
        <v>0.11</v>
      </c>
      <c r="BN415" s="6" t="str">
        <f aca="false">IF(R415="-","",IFERROR(VALUE(LEFT(Q415,LEN(Q415)-2)),""))</f>
        <v/>
      </c>
      <c r="BO415" s="6" t="str">
        <f aca="false">IF(R415="-","",IFERROR(VALUE(LEFT(R415,LEN(R415)-5)),""))</f>
        <v/>
      </c>
      <c r="BP415" s="6" t="str">
        <f aca="false">IF(R415="-","",IFERROR(VALUE(F415),""))</f>
        <v/>
      </c>
      <c r="BQ415" s="4" t="n">
        <f aca="false">IF(R415="-",1,0)</f>
        <v>1</v>
      </c>
    </row>
    <row r="416" customFormat="false" ht="15" hidden="false" customHeight="false" outlineLevel="0" collapsed="false">
      <c r="A416" s="0" t="s">
        <v>1757</v>
      </c>
      <c r="B416" s="0" t="s">
        <v>1758</v>
      </c>
      <c r="C416" s="0" t="s">
        <v>70</v>
      </c>
      <c r="E416" s="3" t="n">
        <v>46275</v>
      </c>
      <c r="F416" s="4" t="s">
        <v>1765</v>
      </c>
      <c r="G416" s="5" t="n">
        <v>0.0950115740740741</v>
      </c>
      <c r="H416" s="5" t="n">
        <v>0</v>
      </c>
      <c r="I416" s="5" t="n">
        <v>0.00899305555555556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5" t="n">
        <v>0</v>
      </c>
      <c r="P416" s="5" t="n">
        <v>0</v>
      </c>
      <c r="Q416" s="4" t="s">
        <v>73</v>
      </c>
      <c r="R416" s="4" t="s">
        <v>73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0" t="n">
        <v>0</v>
      </c>
      <c r="AA416" s="0" t="n">
        <v>0</v>
      </c>
      <c r="AB416" s="0" t="n">
        <v>0</v>
      </c>
      <c r="AC416" s="4" t="s">
        <v>994</v>
      </c>
      <c r="AD416" s="4" t="s">
        <v>994</v>
      </c>
      <c r="AE416" s="4" t="s">
        <v>1764</v>
      </c>
      <c r="AF416" s="4" t="s">
        <v>1766</v>
      </c>
      <c r="AG416" s="5" t="n">
        <v>0.0414699074074074</v>
      </c>
      <c r="AH416" s="5" t="n">
        <v>0.0799652777777778</v>
      </c>
      <c r="AI416" s="5" t="n">
        <v>0</v>
      </c>
      <c r="AJ416" s="5" t="n">
        <v>0</v>
      </c>
      <c r="AK416" s="5" t="n">
        <v>0</v>
      </c>
      <c r="AL416" s="5" t="n">
        <v>0</v>
      </c>
      <c r="AM416" s="4" t="s">
        <v>78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1</v>
      </c>
      <c r="AU416" s="0" t="n">
        <v>0</v>
      </c>
      <c r="AV416" s="0" t="n">
        <v>0</v>
      </c>
      <c r="AW416" s="0" t="n">
        <v>0</v>
      </c>
      <c r="AX416" s="0" t="n">
        <v>0</v>
      </c>
      <c r="AY416" s="0" t="n">
        <v>0</v>
      </c>
      <c r="AZ416" s="0" t="n">
        <v>0</v>
      </c>
      <c r="BA416" s="0" t="n">
        <v>0</v>
      </c>
      <c r="BB416" s="0" t="n">
        <v>0</v>
      </c>
      <c r="BC416" s="0" t="n">
        <v>0</v>
      </c>
      <c r="BD416" s="0" t="n">
        <v>0</v>
      </c>
      <c r="BE416" s="0" t="n">
        <v>0</v>
      </c>
      <c r="BF416" s="0" t="n">
        <v>0</v>
      </c>
      <c r="BG416" s="0" t="n">
        <v>0</v>
      </c>
      <c r="BH416" s="0" t="n">
        <v>0</v>
      </c>
      <c r="BI416" s="0" t="n">
        <v>0</v>
      </c>
      <c r="BJ416" s="0" t="n">
        <v>0</v>
      </c>
      <c r="BK416" s="0" t="n">
        <v>0</v>
      </c>
      <c r="BM416" s="6" t="n">
        <f aca="false">IFERROR(VALUE(F416),"")</f>
        <v>44.95</v>
      </c>
      <c r="BN416" s="6" t="str">
        <f aca="false">IF(R416="-","",IFERROR(VALUE(LEFT(Q416,LEN(Q416)-2)),""))</f>
        <v/>
      </c>
      <c r="BO416" s="6" t="str">
        <f aca="false">IF(R416="-","",IFERROR(VALUE(LEFT(R416,LEN(R416)-5)),""))</f>
        <v/>
      </c>
      <c r="BP416" s="6" t="str">
        <f aca="false">IF(R416="-","",IFERROR(VALUE(F416),""))</f>
        <v/>
      </c>
      <c r="BQ416" s="4" t="n">
        <f aca="false">IF(R416="-",1,0)</f>
        <v>1</v>
      </c>
    </row>
    <row r="417" customFormat="false" ht="15" hidden="false" customHeight="false" outlineLevel="0" collapsed="false">
      <c r="A417" s="0" t="s">
        <v>1757</v>
      </c>
      <c r="B417" s="0" t="s">
        <v>1758</v>
      </c>
      <c r="C417" s="0" t="s">
        <v>70</v>
      </c>
      <c r="E417" s="3" t="n">
        <v>46276</v>
      </c>
      <c r="F417" s="4" t="s">
        <v>1767</v>
      </c>
      <c r="G417" s="5" t="n">
        <v>0.050625</v>
      </c>
      <c r="H417" s="5" t="n">
        <v>0</v>
      </c>
      <c r="I417" s="5" t="n">
        <v>0.00503472222222222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0</v>
      </c>
      <c r="O417" s="5" t="n">
        <v>0</v>
      </c>
      <c r="P417" s="5" t="n">
        <v>0</v>
      </c>
      <c r="Q417" s="4" t="s">
        <v>73</v>
      </c>
      <c r="R417" s="4" t="s">
        <v>73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0</v>
      </c>
      <c r="X417" s="5" t="n">
        <v>0</v>
      </c>
      <c r="Y417" s="5" t="n">
        <v>0</v>
      </c>
      <c r="Z417" s="0" t="n">
        <v>0</v>
      </c>
      <c r="AA417" s="0" t="n">
        <v>0</v>
      </c>
      <c r="AB417" s="0" t="n">
        <v>0</v>
      </c>
      <c r="AC417" s="4" t="s">
        <v>994</v>
      </c>
      <c r="AD417" s="4" t="s">
        <v>994</v>
      </c>
      <c r="AE417" s="4" t="s">
        <v>1766</v>
      </c>
      <c r="AF417" s="4" t="s">
        <v>1768</v>
      </c>
      <c r="AG417" s="5" t="n">
        <v>0.0340393518518519</v>
      </c>
      <c r="AH417" s="5" t="n">
        <v>0.0549652777777778</v>
      </c>
      <c r="AI417" s="5" t="n">
        <v>0</v>
      </c>
      <c r="AJ417" s="5" t="n">
        <v>0</v>
      </c>
      <c r="AK417" s="5" t="n">
        <v>0</v>
      </c>
      <c r="AL417" s="5" t="n">
        <v>0</v>
      </c>
      <c r="AM417" s="4" t="s">
        <v>78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  <c r="AU417" s="0" t="n">
        <v>0</v>
      </c>
      <c r="AV417" s="0" t="n">
        <v>0</v>
      </c>
      <c r="AW417" s="0" t="n">
        <v>0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0" t="n">
        <v>0</v>
      </c>
      <c r="BE417" s="0" t="n">
        <v>0</v>
      </c>
      <c r="BF417" s="0" t="n">
        <v>0</v>
      </c>
      <c r="BG417" s="0" t="n">
        <v>0</v>
      </c>
      <c r="BH417" s="0" t="n">
        <v>0</v>
      </c>
      <c r="BI417" s="0" t="n">
        <v>0</v>
      </c>
      <c r="BJ417" s="0" t="n">
        <v>0</v>
      </c>
      <c r="BK417" s="0" t="n">
        <v>0</v>
      </c>
      <c r="BM417" s="6" t="n">
        <f aca="false">IFERROR(VALUE(F417),"")</f>
        <v>42.47</v>
      </c>
      <c r="BN417" s="6" t="str">
        <f aca="false">IF(R417="-","",IFERROR(VALUE(LEFT(Q417,LEN(Q417)-2)),""))</f>
        <v/>
      </c>
      <c r="BO417" s="6" t="str">
        <f aca="false">IF(R417="-","",IFERROR(VALUE(LEFT(R417,LEN(R417)-5)),""))</f>
        <v/>
      </c>
      <c r="BP417" s="6" t="str">
        <f aca="false">IF(R417="-","",IFERROR(VALUE(F417),""))</f>
        <v/>
      </c>
      <c r="BQ417" s="4" t="n">
        <f aca="false">IF(R417="-",1,0)</f>
        <v>1</v>
      </c>
    </row>
    <row r="418" customFormat="false" ht="15" hidden="false" customHeight="false" outlineLevel="0" collapsed="false">
      <c r="A418" s="0" t="s">
        <v>1769</v>
      </c>
      <c r="B418" s="0" t="s">
        <v>1770</v>
      </c>
      <c r="C418" s="0" t="s">
        <v>70</v>
      </c>
      <c r="D418" s="0" t="s">
        <v>1771</v>
      </c>
      <c r="E418" s="3" t="n">
        <v>46273</v>
      </c>
      <c r="F418" s="4" t="s">
        <v>1772</v>
      </c>
      <c r="G418" s="5" t="n">
        <v>0.239155092592593</v>
      </c>
      <c r="H418" s="5" t="n">
        <v>0.225856481481482</v>
      </c>
      <c r="I418" s="5" t="n">
        <v>0.0184375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6</v>
      </c>
      <c r="O418" s="5" t="n">
        <v>0</v>
      </c>
      <c r="P418" s="5" t="n">
        <v>0</v>
      </c>
      <c r="Q418" s="4" t="s">
        <v>73</v>
      </c>
      <c r="R418" s="4" t="s">
        <v>73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0" t="n">
        <v>0</v>
      </c>
      <c r="AA418" s="0" t="n">
        <v>0</v>
      </c>
      <c r="AB418" s="0" t="n">
        <v>0</v>
      </c>
      <c r="AC418" s="4" t="s">
        <v>1773</v>
      </c>
      <c r="AD418" s="4" t="s">
        <v>1773</v>
      </c>
      <c r="AE418" s="4" t="s">
        <v>1774</v>
      </c>
      <c r="AF418" s="4" t="s">
        <v>1775</v>
      </c>
      <c r="AG418" s="5" t="n">
        <v>0.184548611111111</v>
      </c>
      <c r="AH418" s="5" t="n">
        <v>0.093287037037037</v>
      </c>
      <c r="AI418" s="5" t="n">
        <v>0</v>
      </c>
      <c r="AJ418" s="5" t="n">
        <v>0</v>
      </c>
      <c r="AK418" s="5" t="n">
        <v>0</v>
      </c>
      <c r="AL418" s="5" t="n">
        <v>0</v>
      </c>
      <c r="AM418" s="4" t="s">
        <v>78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  <c r="AU418" s="0" t="n">
        <v>1</v>
      </c>
      <c r="AV418" s="0" t="n">
        <v>0</v>
      </c>
      <c r="AW418" s="0" t="n">
        <v>0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n">
        <v>0</v>
      </c>
      <c r="BF418" s="0" t="n">
        <v>0</v>
      </c>
      <c r="BG418" s="0" t="n">
        <v>0</v>
      </c>
      <c r="BH418" s="0" t="n">
        <v>0</v>
      </c>
      <c r="BI418" s="0" t="n">
        <v>0</v>
      </c>
      <c r="BJ418" s="0" t="n">
        <v>0</v>
      </c>
      <c r="BK418" s="0" t="n">
        <v>0</v>
      </c>
      <c r="BM418" s="6" t="n">
        <f aca="false">IFERROR(VALUE(F418),"")</f>
        <v>163.72</v>
      </c>
      <c r="BN418" s="6" t="str">
        <f aca="false">IF(R418="-","",IFERROR(VALUE(LEFT(Q418,LEN(Q418)-2)),""))</f>
        <v/>
      </c>
      <c r="BO418" s="6" t="str">
        <f aca="false">IF(R418="-","",IFERROR(VALUE(LEFT(R418,LEN(R418)-5)),""))</f>
        <v/>
      </c>
      <c r="BP418" s="6" t="str">
        <f aca="false">IF(R418="-","",IFERROR(VALUE(F418),""))</f>
        <v/>
      </c>
      <c r="BQ418" s="4" t="n">
        <f aca="false">IF(R418="-",1,0)</f>
        <v>1</v>
      </c>
    </row>
    <row r="419" customFormat="false" ht="15" hidden="false" customHeight="false" outlineLevel="0" collapsed="false">
      <c r="A419" s="0" t="s">
        <v>1769</v>
      </c>
      <c r="B419" s="0" t="s">
        <v>1770</v>
      </c>
      <c r="C419" s="0" t="s">
        <v>70</v>
      </c>
      <c r="D419" s="0" t="s">
        <v>1771</v>
      </c>
      <c r="E419" s="3" t="n">
        <v>46274</v>
      </c>
      <c r="F419" s="4" t="s">
        <v>1776</v>
      </c>
      <c r="G419" s="5" t="n">
        <v>0.269479166666667</v>
      </c>
      <c r="H419" s="5" t="n">
        <v>0.217210648148148</v>
      </c>
      <c r="I419" s="5" t="n">
        <v>0.0206134259259259</v>
      </c>
      <c r="J419" s="0" t="n">
        <v>0</v>
      </c>
      <c r="K419" s="0" t="n">
        <v>3</v>
      </c>
      <c r="L419" s="0" t="n">
        <v>0</v>
      </c>
      <c r="M419" s="0" t="n">
        <v>0</v>
      </c>
      <c r="N419" s="0" t="n">
        <v>9</v>
      </c>
      <c r="O419" s="5" t="n">
        <v>0</v>
      </c>
      <c r="P419" s="5" t="n">
        <v>0</v>
      </c>
      <c r="Q419" s="4" t="s">
        <v>73</v>
      </c>
      <c r="R419" s="4" t="s">
        <v>73</v>
      </c>
      <c r="S419" s="5" t="n">
        <v>0</v>
      </c>
      <c r="T419" s="5" t="n">
        <v>0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0" t="n">
        <v>0</v>
      </c>
      <c r="AA419" s="0" t="n">
        <v>0</v>
      </c>
      <c r="AB419" s="0" t="n">
        <v>0</v>
      </c>
      <c r="AC419" s="4" t="s">
        <v>1777</v>
      </c>
      <c r="AD419" s="4" t="s">
        <v>1773</v>
      </c>
      <c r="AE419" s="4" t="s">
        <v>1775</v>
      </c>
      <c r="AF419" s="4" t="s">
        <v>1778</v>
      </c>
      <c r="AG419" s="5" t="n">
        <v>0.184895833333333</v>
      </c>
      <c r="AH419" s="5" t="n">
        <v>0.151574074074074</v>
      </c>
      <c r="AI419" s="5" t="n">
        <v>0</v>
      </c>
      <c r="AJ419" s="5" t="n">
        <v>0</v>
      </c>
      <c r="AK419" s="5" t="n">
        <v>0</v>
      </c>
      <c r="AL419" s="5" t="n">
        <v>0</v>
      </c>
      <c r="AM419" s="4" t="s">
        <v>78</v>
      </c>
      <c r="AN419" s="0" t="n">
        <v>0</v>
      </c>
      <c r="AO419" s="0" t="n">
        <v>1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  <c r="AU419" s="0" t="n">
        <v>0</v>
      </c>
      <c r="AV419" s="0" t="n">
        <v>0</v>
      </c>
      <c r="AW419" s="0" t="n">
        <v>0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0</v>
      </c>
      <c r="BF419" s="0" t="n">
        <v>0</v>
      </c>
      <c r="BG419" s="0" t="n">
        <v>0</v>
      </c>
      <c r="BH419" s="0" t="n">
        <v>0</v>
      </c>
      <c r="BI419" s="0" t="n">
        <v>0</v>
      </c>
      <c r="BJ419" s="0" t="n">
        <v>0</v>
      </c>
      <c r="BK419" s="0" t="n">
        <v>0</v>
      </c>
      <c r="BM419" s="6" t="n">
        <f aca="false">IFERROR(VALUE(F419),"")</f>
        <v>164.4</v>
      </c>
      <c r="BN419" s="6" t="str">
        <f aca="false">IF(R419="-","",IFERROR(VALUE(LEFT(Q419,LEN(Q419)-2)),""))</f>
        <v/>
      </c>
      <c r="BO419" s="6" t="str">
        <f aca="false">IF(R419="-","",IFERROR(VALUE(LEFT(R419,LEN(R419)-5)),""))</f>
        <v/>
      </c>
      <c r="BP419" s="6" t="str">
        <f aca="false">IF(R419="-","",IFERROR(VALUE(F419),""))</f>
        <v/>
      </c>
      <c r="BQ419" s="4" t="n">
        <f aca="false">IF(R419="-",1,0)</f>
        <v>1</v>
      </c>
    </row>
    <row r="420" customFormat="false" ht="15" hidden="false" customHeight="false" outlineLevel="0" collapsed="false">
      <c r="A420" s="0" t="s">
        <v>1769</v>
      </c>
      <c r="B420" s="0" t="s">
        <v>1770</v>
      </c>
      <c r="C420" s="0" t="s">
        <v>70</v>
      </c>
      <c r="D420" s="0" t="s">
        <v>1771</v>
      </c>
      <c r="E420" s="3" t="n">
        <v>46275</v>
      </c>
      <c r="F420" s="4" t="s">
        <v>1779</v>
      </c>
      <c r="G420" s="5" t="n">
        <v>0.260428240740741</v>
      </c>
      <c r="H420" s="5" t="n">
        <v>0.213796296296296</v>
      </c>
      <c r="I420" s="5" t="n">
        <v>0.0204398148148148</v>
      </c>
      <c r="J420" s="0" t="n">
        <v>0</v>
      </c>
      <c r="K420" s="0" t="n">
        <v>2</v>
      </c>
      <c r="L420" s="0" t="n">
        <v>0</v>
      </c>
      <c r="M420" s="0" t="n">
        <v>0</v>
      </c>
      <c r="N420" s="0" t="n">
        <v>8</v>
      </c>
      <c r="O420" s="5" t="n">
        <v>0</v>
      </c>
      <c r="P420" s="5" t="n">
        <v>0</v>
      </c>
      <c r="Q420" s="4" t="s">
        <v>73</v>
      </c>
      <c r="R420" s="4" t="s">
        <v>73</v>
      </c>
      <c r="S420" s="5" t="n">
        <v>0</v>
      </c>
      <c r="T420" s="5" t="n">
        <v>0</v>
      </c>
      <c r="U420" s="5" t="n">
        <v>0</v>
      </c>
      <c r="V420" s="5" t="n">
        <v>0</v>
      </c>
      <c r="W420" s="5" t="n">
        <v>0</v>
      </c>
      <c r="X420" s="5" t="n">
        <v>0</v>
      </c>
      <c r="Y420" s="5" t="n">
        <v>0</v>
      </c>
      <c r="Z420" s="0" t="n">
        <v>0</v>
      </c>
      <c r="AA420" s="0" t="n">
        <v>0</v>
      </c>
      <c r="AB420" s="0" t="n">
        <v>0</v>
      </c>
      <c r="AC420" s="4" t="s">
        <v>1773</v>
      </c>
      <c r="AD420" s="4" t="s">
        <v>1773</v>
      </c>
      <c r="AE420" s="4" t="s">
        <v>1778</v>
      </c>
      <c r="AF420" s="4" t="s">
        <v>1780</v>
      </c>
      <c r="AG420" s="5" t="n">
        <v>0.172453703703704</v>
      </c>
      <c r="AH420" s="5" t="n">
        <v>0.126099537037037</v>
      </c>
      <c r="AI420" s="5" t="n">
        <v>0</v>
      </c>
      <c r="AJ420" s="5" t="n">
        <v>0</v>
      </c>
      <c r="AK420" s="5" t="n">
        <v>0</v>
      </c>
      <c r="AL420" s="5" t="n">
        <v>0</v>
      </c>
      <c r="AM420" s="4" t="s">
        <v>78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n">
        <v>0</v>
      </c>
      <c r="AW420" s="0" t="n">
        <v>0</v>
      </c>
      <c r="AX420" s="0" t="n">
        <v>0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0</v>
      </c>
      <c r="BI420" s="0" t="n">
        <v>0</v>
      </c>
      <c r="BJ420" s="0" t="n">
        <v>0</v>
      </c>
      <c r="BK420" s="0" t="n">
        <v>0</v>
      </c>
      <c r="BM420" s="6" t="n">
        <f aca="false">IFERROR(VALUE(F420),"")</f>
        <v>163.18</v>
      </c>
      <c r="BN420" s="6" t="str">
        <f aca="false">IF(R420="-","",IFERROR(VALUE(LEFT(Q420,LEN(Q420)-2)),""))</f>
        <v/>
      </c>
      <c r="BO420" s="6" t="str">
        <f aca="false">IF(R420="-","",IFERROR(VALUE(LEFT(R420,LEN(R420)-5)),""))</f>
        <v/>
      </c>
      <c r="BP420" s="6" t="str">
        <f aca="false">IF(R420="-","",IFERROR(VALUE(F420),""))</f>
        <v/>
      </c>
      <c r="BQ420" s="4" t="n">
        <f aca="false">IF(R420="-",1,0)</f>
        <v>1</v>
      </c>
    </row>
    <row r="421" customFormat="false" ht="15" hidden="false" customHeight="false" outlineLevel="0" collapsed="false">
      <c r="A421" s="0" t="s">
        <v>1769</v>
      </c>
      <c r="B421" s="0" t="s">
        <v>1770</v>
      </c>
      <c r="C421" s="0" t="s">
        <v>70</v>
      </c>
      <c r="D421" s="0" t="s">
        <v>1771</v>
      </c>
      <c r="E421" s="3" t="n">
        <v>46276</v>
      </c>
      <c r="F421" s="4" t="s">
        <v>1781</v>
      </c>
      <c r="G421" s="5" t="n">
        <v>0.435451388888889</v>
      </c>
      <c r="H421" s="5" t="n">
        <v>0.409618055555556</v>
      </c>
      <c r="I421" s="5" t="n">
        <v>0.0455671296296296</v>
      </c>
      <c r="J421" s="0" t="n">
        <v>1</v>
      </c>
      <c r="K421" s="0" t="n">
        <v>6</v>
      </c>
      <c r="L421" s="0" t="n">
        <v>0</v>
      </c>
      <c r="M421" s="0" t="n">
        <v>0</v>
      </c>
      <c r="N421" s="0" t="n">
        <v>17</v>
      </c>
      <c r="O421" s="5" t="n">
        <v>0</v>
      </c>
      <c r="P421" s="5" t="n">
        <v>0</v>
      </c>
      <c r="Q421" s="4" t="s">
        <v>73</v>
      </c>
      <c r="R421" s="4" t="s">
        <v>73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0</v>
      </c>
      <c r="X421" s="5" t="n">
        <v>0</v>
      </c>
      <c r="Y421" s="5" t="n">
        <v>0</v>
      </c>
      <c r="Z421" s="0" t="n">
        <v>0</v>
      </c>
      <c r="AA421" s="0" t="n">
        <v>0</v>
      </c>
      <c r="AB421" s="0" t="n">
        <v>0</v>
      </c>
      <c r="AC421" s="4" t="s">
        <v>1782</v>
      </c>
      <c r="AD421" s="4" t="s">
        <v>1773</v>
      </c>
      <c r="AE421" s="4" t="s">
        <v>1780</v>
      </c>
      <c r="AF421" s="4" t="s">
        <v>1783</v>
      </c>
      <c r="AG421" s="5" t="n">
        <v>0.344490740740741</v>
      </c>
      <c r="AH421" s="5" t="n">
        <v>0.154606481481482</v>
      </c>
      <c r="AI421" s="5" t="n">
        <v>1.15740740740741E-005</v>
      </c>
      <c r="AJ421" s="5" t="n">
        <v>0</v>
      </c>
      <c r="AK421" s="5" t="n">
        <v>0</v>
      </c>
      <c r="AL421" s="5" t="n">
        <v>0</v>
      </c>
      <c r="AM421" s="4" t="s">
        <v>78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  <c r="AU421" s="0" t="n">
        <v>1</v>
      </c>
      <c r="AV421" s="0" t="n">
        <v>0</v>
      </c>
      <c r="AW421" s="0" t="n">
        <v>0</v>
      </c>
      <c r="AX421" s="0" t="n">
        <v>0</v>
      </c>
      <c r="AY421" s="0" t="n">
        <v>0</v>
      </c>
      <c r="AZ421" s="0" t="n">
        <v>0</v>
      </c>
      <c r="BA421" s="0" t="n">
        <v>0</v>
      </c>
      <c r="BB421" s="0" t="n">
        <v>0</v>
      </c>
      <c r="BC421" s="0" t="n">
        <v>0</v>
      </c>
      <c r="BD421" s="0" t="n">
        <v>0</v>
      </c>
      <c r="BE421" s="0" t="n">
        <v>0</v>
      </c>
      <c r="BF421" s="0" t="n">
        <v>0</v>
      </c>
      <c r="BG421" s="0" t="n">
        <v>0</v>
      </c>
      <c r="BH421" s="0" t="n">
        <v>0</v>
      </c>
      <c r="BI421" s="0" t="n">
        <v>0</v>
      </c>
      <c r="BJ421" s="0" t="n">
        <v>0</v>
      </c>
      <c r="BK421" s="0" t="n">
        <v>0</v>
      </c>
      <c r="BM421" s="6" t="n">
        <f aca="false">IFERROR(VALUE(F421),"")</f>
        <v>325.51</v>
      </c>
      <c r="BN421" s="6" t="str">
        <f aca="false">IF(R421="-","",IFERROR(VALUE(LEFT(Q421,LEN(Q421)-2)),""))</f>
        <v/>
      </c>
      <c r="BO421" s="6" t="str">
        <f aca="false">IF(R421="-","",IFERROR(VALUE(LEFT(R421,LEN(R421)-5)),""))</f>
        <v/>
      </c>
      <c r="BP421" s="6" t="str">
        <f aca="false">IF(R421="-","",IFERROR(VALUE(F421),""))</f>
        <v/>
      </c>
      <c r="BQ421" s="4" t="n">
        <f aca="false">IF(R421="-",1,0)</f>
        <v>1</v>
      </c>
    </row>
    <row r="422" customFormat="false" ht="15" hidden="false" customHeight="false" outlineLevel="0" collapsed="false">
      <c r="A422" s="0" t="s">
        <v>1769</v>
      </c>
      <c r="B422" s="0" t="s">
        <v>1770</v>
      </c>
      <c r="C422" s="0" t="s">
        <v>70</v>
      </c>
      <c r="D422" s="0" t="s">
        <v>1784</v>
      </c>
      <c r="E422" s="3" t="n">
        <v>46277</v>
      </c>
      <c r="F422" s="4" t="s">
        <v>1785</v>
      </c>
      <c r="G422" s="5" t="n">
        <v>0.207233796296296</v>
      </c>
      <c r="H422" s="5" t="n">
        <v>0.201736111111111</v>
      </c>
      <c r="I422" s="5" t="n">
        <v>0.0249074074074074</v>
      </c>
      <c r="J422" s="0" t="n">
        <v>0</v>
      </c>
      <c r="K422" s="0" t="n">
        <v>3</v>
      </c>
      <c r="L422" s="0" t="n">
        <v>0</v>
      </c>
      <c r="M422" s="0" t="n">
        <v>0</v>
      </c>
      <c r="N422" s="0" t="n">
        <v>12</v>
      </c>
      <c r="O422" s="5" t="n">
        <v>0</v>
      </c>
      <c r="P422" s="5" t="n">
        <v>0</v>
      </c>
      <c r="Q422" s="4" t="s">
        <v>73</v>
      </c>
      <c r="R422" s="4" t="s">
        <v>73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v>0</v>
      </c>
      <c r="X422" s="5" t="n">
        <v>0</v>
      </c>
      <c r="Y422" s="5" t="n">
        <v>0</v>
      </c>
      <c r="Z422" s="0" t="n">
        <v>0</v>
      </c>
      <c r="AA422" s="0" t="n">
        <v>0</v>
      </c>
      <c r="AB422" s="0" t="n">
        <v>0</v>
      </c>
      <c r="AC422" s="4" t="s">
        <v>1777</v>
      </c>
      <c r="AD422" s="4" t="s">
        <v>1773</v>
      </c>
      <c r="AE422" s="4" t="s">
        <v>1783</v>
      </c>
      <c r="AF422" s="4" t="s">
        <v>1786</v>
      </c>
      <c r="AG422" s="5" t="n">
        <v>0.167951388888889</v>
      </c>
      <c r="AH422" s="5" t="n">
        <v>0.0989814814814815</v>
      </c>
      <c r="AI422" s="5" t="n">
        <v>1.15740740740741E-005</v>
      </c>
      <c r="AJ422" s="5" t="n">
        <v>0</v>
      </c>
      <c r="AK422" s="5" t="n">
        <v>0</v>
      </c>
      <c r="AL422" s="5" t="n">
        <v>0</v>
      </c>
      <c r="AM422" s="4" t="s">
        <v>78</v>
      </c>
      <c r="AN422" s="0" t="n">
        <v>0</v>
      </c>
      <c r="AO422" s="0" t="n">
        <v>2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  <c r="AU422" s="0" t="n">
        <v>2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0</v>
      </c>
      <c r="BI422" s="0" t="n">
        <v>0</v>
      </c>
      <c r="BJ422" s="0" t="n">
        <v>0</v>
      </c>
      <c r="BK422" s="0" t="n">
        <v>0</v>
      </c>
      <c r="BM422" s="6" t="n">
        <f aca="false">IFERROR(VALUE(F422),"")</f>
        <v>163.81</v>
      </c>
      <c r="BN422" s="6" t="str">
        <f aca="false">IF(R422="-","",IFERROR(VALUE(LEFT(Q422,LEN(Q422)-2)),""))</f>
        <v/>
      </c>
      <c r="BO422" s="6" t="str">
        <f aca="false">IF(R422="-","",IFERROR(VALUE(LEFT(R422,LEN(R422)-5)),""))</f>
        <v/>
      </c>
      <c r="BP422" s="6" t="str">
        <f aca="false">IF(R422="-","",IFERROR(VALUE(F422),""))</f>
        <v/>
      </c>
      <c r="BQ422" s="4" t="n">
        <f aca="false">IF(R422="-",1,0)</f>
        <v>1</v>
      </c>
    </row>
    <row r="423" customFormat="false" ht="15" hidden="false" customHeight="false" outlineLevel="0" collapsed="false">
      <c r="A423" s="0" t="s">
        <v>1769</v>
      </c>
      <c r="B423" s="0" t="s">
        <v>1770</v>
      </c>
      <c r="C423" s="0" t="s">
        <v>70</v>
      </c>
      <c r="E423" s="3" t="n">
        <v>46278</v>
      </c>
      <c r="F423" s="4" t="s">
        <v>95</v>
      </c>
      <c r="G423" s="5" t="n">
        <v>0</v>
      </c>
      <c r="H423" s="5" t="n">
        <v>0</v>
      </c>
      <c r="I423" s="5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5" t="n">
        <v>0</v>
      </c>
      <c r="P423" s="5" t="n">
        <v>0</v>
      </c>
      <c r="Q423" s="4" t="s">
        <v>73</v>
      </c>
      <c r="R423" s="4" t="s">
        <v>73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0" t="n">
        <v>0</v>
      </c>
      <c r="AA423" s="0" t="n">
        <v>0</v>
      </c>
      <c r="AB423" s="0" t="n">
        <v>0</v>
      </c>
      <c r="AE423" s="4" t="s">
        <v>1786</v>
      </c>
      <c r="AF423" s="4" t="s">
        <v>1786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4" t="s">
        <v>78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  <c r="AU423" s="0" t="n">
        <v>0</v>
      </c>
      <c r="AV423" s="0" t="n">
        <v>0</v>
      </c>
      <c r="AW423" s="0" t="n">
        <v>0</v>
      </c>
      <c r="AX423" s="0" t="n">
        <v>0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n">
        <v>0</v>
      </c>
      <c r="BF423" s="0" t="n">
        <v>0</v>
      </c>
      <c r="BG423" s="0" t="n">
        <v>0</v>
      </c>
      <c r="BH423" s="0" t="n">
        <v>0</v>
      </c>
      <c r="BI423" s="0" t="n">
        <v>0</v>
      </c>
      <c r="BJ423" s="0" t="n">
        <v>0</v>
      </c>
      <c r="BK423" s="0" t="n">
        <v>0</v>
      </c>
      <c r="BM423" s="6" t="n">
        <f aca="false">IFERROR(VALUE(F423),"")</f>
        <v>0</v>
      </c>
      <c r="BN423" s="6" t="str">
        <f aca="false">IF(R423="-","",IFERROR(VALUE(LEFT(Q423,LEN(Q423)-2)),""))</f>
        <v/>
      </c>
      <c r="BO423" s="6" t="str">
        <f aca="false">IF(R423="-","",IFERROR(VALUE(LEFT(R423,LEN(R423)-5)),""))</f>
        <v/>
      </c>
      <c r="BP423" s="6" t="str">
        <f aca="false">IF(R423="-","",IFERROR(VALUE(F423),""))</f>
        <v/>
      </c>
      <c r="BQ423" s="4" t="n">
        <f aca="false">IF(R423="-",1,0)</f>
        <v>1</v>
      </c>
    </row>
    <row r="424" customFormat="false" ht="15" hidden="false" customHeight="false" outlineLevel="0" collapsed="false">
      <c r="A424" s="0" t="s">
        <v>1769</v>
      </c>
      <c r="B424" s="0" t="s">
        <v>1770</v>
      </c>
      <c r="C424" s="0" t="s">
        <v>70</v>
      </c>
      <c r="D424" s="0" t="s">
        <v>1771</v>
      </c>
      <c r="E424" s="3" t="n">
        <v>46279</v>
      </c>
      <c r="F424" s="4" t="s">
        <v>1787</v>
      </c>
      <c r="G424" s="5" t="n">
        <v>0.390347222222222</v>
      </c>
      <c r="H424" s="5" t="n">
        <v>0.372523148148148</v>
      </c>
      <c r="I424" s="5" t="n">
        <v>0.0421412037037037</v>
      </c>
      <c r="J424" s="0" t="n">
        <v>1</v>
      </c>
      <c r="K424" s="0" t="n">
        <v>3</v>
      </c>
      <c r="L424" s="0" t="n">
        <v>0</v>
      </c>
      <c r="M424" s="0" t="n">
        <v>0</v>
      </c>
      <c r="N424" s="0" t="n">
        <v>15</v>
      </c>
      <c r="O424" s="5" t="n">
        <v>0</v>
      </c>
      <c r="P424" s="5" t="n">
        <v>0</v>
      </c>
      <c r="Q424" s="4" t="s">
        <v>73</v>
      </c>
      <c r="R424" s="4" t="s">
        <v>73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0" t="n">
        <v>0</v>
      </c>
      <c r="AA424" s="0" t="n">
        <v>0</v>
      </c>
      <c r="AB424" s="0" t="n">
        <v>0</v>
      </c>
      <c r="AC424" s="4" t="s">
        <v>1788</v>
      </c>
      <c r="AD424" s="4" t="s">
        <v>1773</v>
      </c>
      <c r="AE424" s="4" t="s">
        <v>1786</v>
      </c>
      <c r="AF424" s="4" t="s">
        <v>1789</v>
      </c>
      <c r="AG424" s="5" t="n">
        <v>0.325694444444445</v>
      </c>
      <c r="AH424" s="5" t="n">
        <v>0.200706018518519</v>
      </c>
      <c r="AI424" s="5" t="n">
        <v>0</v>
      </c>
      <c r="AJ424" s="5" t="n">
        <v>0</v>
      </c>
      <c r="AK424" s="5" t="n">
        <v>0</v>
      </c>
      <c r="AL424" s="5" t="n">
        <v>0</v>
      </c>
      <c r="AM424" s="4" t="s">
        <v>78</v>
      </c>
      <c r="AN424" s="0" t="n">
        <v>0</v>
      </c>
      <c r="AO424" s="0" t="n">
        <v>2</v>
      </c>
      <c r="AP424" s="0" t="n">
        <v>0</v>
      </c>
      <c r="AQ424" s="0" t="n">
        <v>0</v>
      </c>
      <c r="AR424" s="0" t="n">
        <v>1</v>
      </c>
      <c r="AS424" s="0" t="n">
        <v>0</v>
      </c>
      <c r="AT424" s="0" t="n">
        <v>0</v>
      </c>
      <c r="AU424" s="0" t="n">
        <v>1</v>
      </c>
      <c r="AV424" s="0" t="n">
        <v>0</v>
      </c>
      <c r="AW424" s="0" t="n">
        <v>0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n">
        <v>0</v>
      </c>
      <c r="BF424" s="0" t="n">
        <v>0</v>
      </c>
      <c r="BG424" s="0" t="n">
        <v>0</v>
      </c>
      <c r="BH424" s="0" t="n">
        <v>0</v>
      </c>
      <c r="BI424" s="0" t="n">
        <v>0</v>
      </c>
      <c r="BJ424" s="0" t="n">
        <v>0</v>
      </c>
      <c r="BK424" s="0" t="n">
        <v>0</v>
      </c>
      <c r="BM424" s="6" t="n">
        <f aca="false">IFERROR(VALUE(F424),"")</f>
        <v>324.57</v>
      </c>
      <c r="BN424" s="6" t="str">
        <f aca="false">IF(R424="-","",IFERROR(VALUE(LEFT(Q424,LEN(Q424)-2)),""))</f>
        <v/>
      </c>
      <c r="BO424" s="6" t="str">
        <f aca="false">IF(R424="-","",IFERROR(VALUE(LEFT(R424,LEN(R424)-5)),""))</f>
        <v/>
      </c>
      <c r="BP424" s="6" t="str">
        <f aca="false">IF(R424="-","",IFERROR(VALUE(F424),""))</f>
        <v/>
      </c>
      <c r="BQ424" s="4" t="n">
        <f aca="false">IF(R424="-",1,0)</f>
        <v>1</v>
      </c>
    </row>
    <row r="425" customFormat="false" ht="15" hidden="false" customHeight="false" outlineLevel="0" collapsed="false">
      <c r="A425" s="0" t="s">
        <v>1790</v>
      </c>
      <c r="B425" s="0" t="s">
        <v>1791</v>
      </c>
      <c r="C425" s="0" t="s">
        <v>70</v>
      </c>
      <c r="D425" s="0" t="s">
        <v>1792</v>
      </c>
      <c r="E425" s="3" t="n">
        <v>46273</v>
      </c>
      <c r="F425" s="4" t="s">
        <v>1793</v>
      </c>
      <c r="G425" s="5" t="n">
        <v>0.212685185185185</v>
      </c>
      <c r="H425" s="5" t="n">
        <v>0.18162037037037</v>
      </c>
      <c r="I425" s="5" t="n">
        <v>0.00138888888888889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4</v>
      </c>
      <c r="O425" s="5" t="n">
        <v>0</v>
      </c>
      <c r="P425" s="5" t="n">
        <v>0</v>
      </c>
      <c r="Q425" s="4" t="s">
        <v>73</v>
      </c>
      <c r="R425" s="4" t="s">
        <v>73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0" t="n">
        <v>0</v>
      </c>
      <c r="AA425" s="0" t="n">
        <v>0</v>
      </c>
      <c r="AB425" s="0" t="n">
        <v>0</v>
      </c>
      <c r="AC425" s="4" t="s">
        <v>320</v>
      </c>
      <c r="AD425" s="4" t="s">
        <v>228</v>
      </c>
      <c r="AE425" s="4" t="s">
        <v>1794</v>
      </c>
      <c r="AF425" s="4" t="s">
        <v>1795</v>
      </c>
      <c r="AG425" s="5" t="n">
        <v>0.185659722222222</v>
      </c>
      <c r="AH425" s="5" t="n">
        <v>0.141180555555556</v>
      </c>
      <c r="AI425" s="5" t="n">
        <v>0</v>
      </c>
      <c r="AJ425" s="5" t="n">
        <v>0</v>
      </c>
      <c r="AK425" s="5" t="n">
        <v>0</v>
      </c>
      <c r="AL425" s="5" t="n">
        <v>0</v>
      </c>
      <c r="AM425" s="4" t="s">
        <v>78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  <c r="AU425" s="0" t="n">
        <v>3</v>
      </c>
      <c r="AV425" s="0" t="n">
        <v>0</v>
      </c>
      <c r="AW425" s="0" t="n">
        <v>0</v>
      </c>
      <c r="AX425" s="0" t="n">
        <v>0</v>
      </c>
      <c r="AY425" s="0" t="n">
        <v>0</v>
      </c>
      <c r="AZ425" s="0" t="n">
        <v>0</v>
      </c>
      <c r="BA425" s="0" t="n">
        <v>0</v>
      </c>
      <c r="BB425" s="0" t="n">
        <v>0</v>
      </c>
      <c r="BC425" s="0" t="n">
        <v>0</v>
      </c>
      <c r="BD425" s="0" t="n">
        <v>0</v>
      </c>
      <c r="BE425" s="0" t="n">
        <v>0</v>
      </c>
      <c r="BF425" s="0" t="n">
        <v>0</v>
      </c>
      <c r="BG425" s="0" t="n">
        <v>0</v>
      </c>
      <c r="BH425" s="0" t="n">
        <v>0</v>
      </c>
      <c r="BI425" s="0" t="n">
        <v>0</v>
      </c>
      <c r="BJ425" s="0" t="n">
        <v>0</v>
      </c>
      <c r="BK425" s="0" t="n">
        <v>0</v>
      </c>
      <c r="BM425" s="6" t="n">
        <f aca="false">IFERROR(VALUE(F425),"")</f>
        <v>96.65</v>
      </c>
      <c r="BN425" s="6" t="str">
        <f aca="false">IF(R425="-","",IFERROR(VALUE(LEFT(Q425,LEN(Q425)-2)),""))</f>
        <v/>
      </c>
      <c r="BO425" s="6" t="str">
        <f aca="false">IF(R425="-","",IFERROR(VALUE(LEFT(R425,LEN(R425)-5)),""))</f>
        <v/>
      </c>
      <c r="BP425" s="6" t="str">
        <f aca="false">IF(R425="-","",IFERROR(VALUE(F425),""))</f>
        <v/>
      </c>
      <c r="BQ425" s="4" t="n">
        <f aca="false">IF(R425="-",1,0)</f>
        <v>1</v>
      </c>
    </row>
    <row r="426" customFormat="false" ht="15" hidden="false" customHeight="false" outlineLevel="0" collapsed="false">
      <c r="A426" s="0" t="s">
        <v>1790</v>
      </c>
      <c r="B426" s="0" t="s">
        <v>1791</v>
      </c>
      <c r="C426" s="0" t="s">
        <v>70</v>
      </c>
      <c r="D426" s="0" t="s">
        <v>1796</v>
      </c>
      <c r="E426" s="3" t="n">
        <v>46274</v>
      </c>
      <c r="F426" s="4" t="s">
        <v>1797</v>
      </c>
      <c r="G426" s="5" t="n">
        <v>0.0535532407407407</v>
      </c>
      <c r="H426" s="5" t="n">
        <v>0.0417592592592593</v>
      </c>
      <c r="I426" s="5" t="n">
        <v>0.000763888888888889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4</v>
      </c>
      <c r="O426" s="5" t="n">
        <v>0</v>
      </c>
      <c r="P426" s="5" t="n">
        <v>0</v>
      </c>
      <c r="Q426" s="4" t="s">
        <v>73</v>
      </c>
      <c r="R426" s="4" t="s">
        <v>73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0</v>
      </c>
      <c r="Y426" s="5" t="n">
        <v>0</v>
      </c>
      <c r="Z426" s="0" t="n">
        <v>0</v>
      </c>
      <c r="AA426" s="0" t="n">
        <v>0</v>
      </c>
      <c r="AB426" s="0" t="n">
        <v>0</v>
      </c>
      <c r="AC426" s="4" t="s">
        <v>75</v>
      </c>
      <c r="AD426" s="4" t="s">
        <v>74</v>
      </c>
      <c r="AE426" s="4" t="s">
        <v>1795</v>
      </c>
      <c r="AF426" s="4" t="s">
        <v>1798</v>
      </c>
      <c r="AG426" s="5" t="n">
        <v>0.046712962962963</v>
      </c>
      <c r="AH426" s="5" t="n">
        <v>0.0290740740740741</v>
      </c>
      <c r="AI426" s="5" t="n">
        <v>0</v>
      </c>
      <c r="AJ426" s="5" t="n">
        <v>0</v>
      </c>
      <c r="AK426" s="5" t="n">
        <v>0</v>
      </c>
      <c r="AL426" s="5" t="n">
        <v>0</v>
      </c>
      <c r="AM426" s="4" t="s">
        <v>78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  <c r="AU426" s="0" t="n">
        <v>1</v>
      </c>
      <c r="AV426" s="0" t="n">
        <v>0</v>
      </c>
      <c r="AW426" s="0" t="n">
        <v>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M426" s="6" t="n">
        <f aca="false">IFERROR(VALUE(F426),"")</f>
        <v>23.46</v>
      </c>
      <c r="BN426" s="6" t="str">
        <f aca="false">IF(R426="-","",IFERROR(VALUE(LEFT(Q426,LEN(Q426)-2)),""))</f>
        <v/>
      </c>
      <c r="BO426" s="6" t="str">
        <f aca="false">IF(R426="-","",IFERROR(VALUE(LEFT(R426,LEN(R426)-5)),""))</f>
        <v/>
      </c>
      <c r="BP426" s="6" t="str">
        <f aca="false">IF(R426="-","",IFERROR(VALUE(F426),""))</f>
        <v/>
      </c>
      <c r="BQ426" s="4" t="n">
        <f aca="false">IF(R426="-",1,0)</f>
        <v>1</v>
      </c>
    </row>
    <row r="427" customFormat="false" ht="15" hidden="false" customHeight="false" outlineLevel="0" collapsed="false">
      <c r="A427" s="0" t="s">
        <v>1790</v>
      </c>
      <c r="B427" s="0" t="s">
        <v>1791</v>
      </c>
      <c r="C427" s="0" t="s">
        <v>70</v>
      </c>
      <c r="D427" s="0" t="s">
        <v>1799</v>
      </c>
      <c r="E427" s="3" t="n">
        <v>46275</v>
      </c>
      <c r="F427" s="4" t="s">
        <v>1800</v>
      </c>
      <c r="G427" s="5" t="n">
        <v>0.0540162037037037</v>
      </c>
      <c r="H427" s="5" t="n">
        <v>0.00108796296296296</v>
      </c>
      <c r="I427" s="5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5" t="n">
        <v>0</v>
      </c>
      <c r="P427" s="5" t="n">
        <v>0</v>
      </c>
      <c r="Q427" s="4" t="s">
        <v>73</v>
      </c>
      <c r="R427" s="4" t="s">
        <v>73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0" t="n">
        <v>0</v>
      </c>
      <c r="AA427" s="0" t="n">
        <v>0</v>
      </c>
      <c r="AB427" s="0" t="n">
        <v>0</v>
      </c>
      <c r="AC427" s="4" t="s">
        <v>74</v>
      </c>
      <c r="AD427" s="4" t="s">
        <v>228</v>
      </c>
      <c r="AE427" s="4" t="s">
        <v>1798</v>
      </c>
      <c r="AF427" s="4" t="s">
        <v>1801</v>
      </c>
      <c r="AG427" s="5" t="n">
        <v>0.0206365740740741</v>
      </c>
      <c r="AH427" s="5" t="n">
        <v>0.0934953703703704</v>
      </c>
      <c r="AI427" s="5" t="n">
        <v>0</v>
      </c>
      <c r="AJ427" s="5" t="n">
        <v>0</v>
      </c>
      <c r="AK427" s="5" t="n">
        <v>0</v>
      </c>
      <c r="AL427" s="5" t="n">
        <v>0</v>
      </c>
      <c r="AM427" s="4" t="s">
        <v>78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n">
        <v>0</v>
      </c>
      <c r="AW427" s="0" t="n">
        <v>0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0</v>
      </c>
      <c r="BF427" s="0" t="n">
        <v>0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M427" s="6" t="n">
        <f aca="false">IFERROR(VALUE(F427),"")</f>
        <v>0.85</v>
      </c>
      <c r="BN427" s="6" t="str">
        <f aca="false">IF(R427="-","",IFERROR(VALUE(LEFT(Q427,LEN(Q427)-2)),""))</f>
        <v/>
      </c>
      <c r="BO427" s="6" t="str">
        <f aca="false">IF(R427="-","",IFERROR(VALUE(LEFT(R427,LEN(R427)-5)),""))</f>
        <v/>
      </c>
      <c r="BP427" s="6" t="str">
        <f aca="false">IF(R427="-","",IFERROR(VALUE(F427),""))</f>
        <v/>
      </c>
      <c r="BQ427" s="4" t="n">
        <f aca="false">IF(R427="-",1,0)</f>
        <v>1</v>
      </c>
    </row>
    <row r="428" customFormat="false" ht="15" hidden="false" customHeight="false" outlineLevel="0" collapsed="false">
      <c r="A428" s="0" t="s">
        <v>1790</v>
      </c>
      <c r="B428" s="0" t="s">
        <v>1791</v>
      </c>
      <c r="C428" s="0" t="s">
        <v>70</v>
      </c>
      <c r="E428" s="3" t="n">
        <v>46276</v>
      </c>
      <c r="F428" s="4" t="s">
        <v>216</v>
      </c>
      <c r="G428" s="5" t="n">
        <v>0.0672453703703704</v>
      </c>
      <c r="H428" s="5" t="n">
        <v>0</v>
      </c>
      <c r="I428" s="5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5" t="n">
        <v>0</v>
      </c>
      <c r="P428" s="5" t="n">
        <v>0</v>
      </c>
      <c r="Q428" s="4" t="s">
        <v>73</v>
      </c>
      <c r="R428" s="4" t="s">
        <v>73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0" t="n">
        <v>0</v>
      </c>
      <c r="AA428" s="0" t="n">
        <v>0</v>
      </c>
      <c r="AB428" s="0" t="n">
        <v>0</v>
      </c>
      <c r="AC428" s="4" t="s">
        <v>75</v>
      </c>
      <c r="AD428" s="4" t="s">
        <v>75</v>
      </c>
      <c r="AE428" s="4" t="s">
        <v>1801</v>
      </c>
      <c r="AF428" s="4" t="s">
        <v>1802</v>
      </c>
      <c r="AG428" s="5" t="n">
        <v>0.0189699074074074</v>
      </c>
      <c r="AH428" s="5" t="n">
        <v>0.21431712962963</v>
      </c>
      <c r="AI428" s="5" t="n">
        <v>0</v>
      </c>
      <c r="AJ428" s="5" t="n">
        <v>0</v>
      </c>
      <c r="AK428" s="5" t="n">
        <v>0</v>
      </c>
      <c r="AL428" s="5" t="n">
        <v>0</v>
      </c>
      <c r="AM428" s="4" t="s">
        <v>78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M428" s="6" t="n">
        <f aca="false">IFERROR(VALUE(F428),"")</f>
        <v>0.19</v>
      </c>
      <c r="BN428" s="6" t="str">
        <f aca="false">IF(R428="-","",IFERROR(VALUE(LEFT(Q428,LEN(Q428)-2)),""))</f>
        <v/>
      </c>
      <c r="BO428" s="6" t="str">
        <f aca="false">IF(R428="-","",IFERROR(VALUE(LEFT(R428,LEN(R428)-5)),""))</f>
        <v/>
      </c>
      <c r="BP428" s="6" t="str">
        <f aca="false">IF(R428="-","",IFERROR(VALUE(F428),""))</f>
        <v/>
      </c>
      <c r="BQ428" s="4" t="n">
        <f aca="false">IF(R428="-",1,0)</f>
        <v>1</v>
      </c>
    </row>
    <row r="429" customFormat="false" ht="15" hidden="false" customHeight="false" outlineLevel="0" collapsed="false">
      <c r="A429" s="0" t="s">
        <v>1790</v>
      </c>
      <c r="B429" s="0" t="s">
        <v>1791</v>
      </c>
      <c r="C429" s="0" t="s">
        <v>70</v>
      </c>
      <c r="E429" s="3" t="n">
        <v>46279</v>
      </c>
      <c r="F429" s="4" t="s">
        <v>95</v>
      </c>
      <c r="G429" s="5" t="n">
        <v>0</v>
      </c>
      <c r="H429" s="5" t="n">
        <v>0</v>
      </c>
      <c r="I429" s="5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5" t="n">
        <v>0</v>
      </c>
      <c r="P429" s="5" t="n">
        <v>0</v>
      </c>
      <c r="Q429" s="4" t="s">
        <v>73</v>
      </c>
      <c r="R429" s="4" t="s">
        <v>73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0</v>
      </c>
      <c r="X429" s="5" t="n">
        <v>0</v>
      </c>
      <c r="Y429" s="5" t="n">
        <v>0</v>
      </c>
      <c r="Z429" s="0" t="n">
        <v>0</v>
      </c>
      <c r="AA429" s="0" t="n">
        <v>0</v>
      </c>
      <c r="AB429" s="0" t="n">
        <v>0</v>
      </c>
      <c r="AC429" s="4" t="s">
        <v>75</v>
      </c>
      <c r="AD429" s="4" t="s">
        <v>75</v>
      </c>
      <c r="AE429" s="4" t="s">
        <v>1802</v>
      </c>
      <c r="AF429" s="4" t="s">
        <v>1802</v>
      </c>
      <c r="AG429" s="5" t="n">
        <v>0</v>
      </c>
      <c r="AH429" s="5" t="n">
        <v>0.00368055555555556</v>
      </c>
      <c r="AI429" s="5" t="n">
        <v>0</v>
      </c>
      <c r="AJ429" s="5" t="n">
        <v>0</v>
      </c>
      <c r="AK429" s="5" t="n">
        <v>0</v>
      </c>
      <c r="AL429" s="5" t="n">
        <v>0</v>
      </c>
      <c r="AM429" s="4" t="s">
        <v>78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0</v>
      </c>
      <c r="BE429" s="0" t="n">
        <v>0</v>
      </c>
      <c r="BF429" s="0" t="n">
        <v>0</v>
      </c>
      <c r="BG429" s="0" t="n">
        <v>0</v>
      </c>
      <c r="BH429" s="0" t="n">
        <v>0</v>
      </c>
      <c r="BI429" s="0" t="n">
        <v>0</v>
      </c>
      <c r="BJ429" s="0" t="n">
        <v>0</v>
      </c>
      <c r="BK429" s="0" t="n">
        <v>0</v>
      </c>
      <c r="BM429" s="6" t="n">
        <f aca="false">IFERROR(VALUE(F429),"")</f>
        <v>0</v>
      </c>
      <c r="BN429" s="6" t="str">
        <f aca="false">IF(R429="-","",IFERROR(VALUE(LEFT(Q429,LEN(Q429)-2)),""))</f>
        <v/>
      </c>
      <c r="BO429" s="6" t="str">
        <f aca="false">IF(R429="-","",IFERROR(VALUE(LEFT(R429,LEN(R429)-5)),""))</f>
        <v/>
      </c>
      <c r="BP429" s="6" t="str">
        <f aca="false">IF(R429="-","",IFERROR(VALUE(F429),""))</f>
        <v/>
      </c>
      <c r="BQ429" s="4" t="n">
        <f aca="false">IF(R429="-",1,0)</f>
        <v>1</v>
      </c>
    </row>
    <row r="430" customFormat="false" ht="15" hidden="false" customHeight="false" outlineLevel="0" collapsed="false">
      <c r="A430" s="0" t="s">
        <v>1803</v>
      </c>
      <c r="B430" s="0" t="s">
        <v>1804</v>
      </c>
      <c r="C430" s="0" t="s">
        <v>70</v>
      </c>
      <c r="D430" s="0" t="s">
        <v>1805</v>
      </c>
      <c r="E430" s="3" t="n">
        <v>46273</v>
      </c>
      <c r="F430" s="4" t="s">
        <v>1806</v>
      </c>
      <c r="G430" s="5" t="n">
        <v>0.29025462962963</v>
      </c>
      <c r="H430" s="5" t="n">
        <v>0.286435185185185</v>
      </c>
      <c r="I430" s="5" t="n">
        <v>0.00037037037037037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5" t="n">
        <v>0</v>
      </c>
      <c r="P430" s="5" t="n">
        <v>0</v>
      </c>
      <c r="Q430" s="4" t="s">
        <v>73</v>
      </c>
      <c r="R430" s="4" t="s">
        <v>73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</v>
      </c>
      <c r="Z430" s="0" t="n">
        <v>0</v>
      </c>
      <c r="AA430" s="0" t="n">
        <v>0</v>
      </c>
      <c r="AB430" s="0" t="n">
        <v>0</v>
      </c>
      <c r="AC430" s="4" t="s">
        <v>74</v>
      </c>
      <c r="AD430" s="4" t="s">
        <v>75</v>
      </c>
      <c r="AE430" s="4" t="s">
        <v>1807</v>
      </c>
      <c r="AF430" s="4" t="s">
        <v>1808</v>
      </c>
      <c r="AG430" s="5" t="n">
        <v>0.254513888888889</v>
      </c>
      <c r="AH430" s="5" t="n">
        <v>0.135358796296296</v>
      </c>
      <c r="AI430" s="5" t="n">
        <v>0</v>
      </c>
      <c r="AJ430" s="5" t="n">
        <v>0</v>
      </c>
      <c r="AK430" s="5" t="n">
        <v>0</v>
      </c>
      <c r="AL430" s="5" t="n">
        <v>0</v>
      </c>
      <c r="AM430" s="4" t="s">
        <v>78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n">
        <v>0</v>
      </c>
      <c r="AW430" s="0" t="n">
        <v>0</v>
      </c>
      <c r="AX430" s="0" t="n">
        <v>0</v>
      </c>
      <c r="AY430" s="0" t="n">
        <v>0</v>
      </c>
      <c r="AZ430" s="0" t="n">
        <v>0</v>
      </c>
      <c r="BA430" s="0" t="n">
        <v>0</v>
      </c>
      <c r="BB430" s="0" t="n">
        <v>0</v>
      </c>
      <c r="BC430" s="0" t="n">
        <v>0</v>
      </c>
      <c r="BD430" s="0" t="n">
        <v>0</v>
      </c>
      <c r="BE430" s="0" t="n">
        <v>0</v>
      </c>
      <c r="BF430" s="0" t="n">
        <v>0</v>
      </c>
      <c r="BG430" s="0" t="n">
        <v>0</v>
      </c>
      <c r="BH430" s="0" t="n">
        <v>0</v>
      </c>
      <c r="BI430" s="0" t="n">
        <v>0</v>
      </c>
      <c r="BJ430" s="0" t="n">
        <v>0</v>
      </c>
      <c r="BK430" s="0" t="n">
        <v>0</v>
      </c>
      <c r="BM430" s="6" t="n">
        <f aca="false">IFERROR(VALUE(F430),"")</f>
        <v>131.66</v>
      </c>
      <c r="BN430" s="6" t="str">
        <f aca="false">IF(R430="-","",IFERROR(VALUE(LEFT(Q430,LEN(Q430)-2)),""))</f>
        <v/>
      </c>
      <c r="BO430" s="6" t="str">
        <f aca="false">IF(R430="-","",IFERROR(VALUE(LEFT(R430,LEN(R430)-5)),""))</f>
        <v/>
      </c>
      <c r="BP430" s="6" t="str">
        <f aca="false">IF(R430="-","",IFERROR(VALUE(F430),""))</f>
        <v/>
      </c>
      <c r="BQ430" s="4" t="n">
        <f aca="false">IF(R430="-",1,0)</f>
        <v>1</v>
      </c>
    </row>
    <row r="431" customFormat="false" ht="15" hidden="false" customHeight="false" outlineLevel="0" collapsed="false">
      <c r="A431" s="0" t="s">
        <v>1803</v>
      </c>
      <c r="B431" s="0" t="s">
        <v>1804</v>
      </c>
      <c r="C431" s="0" t="s">
        <v>70</v>
      </c>
      <c r="D431" s="0" t="s">
        <v>1809</v>
      </c>
      <c r="E431" s="3" t="n">
        <v>46274</v>
      </c>
      <c r="F431" s="4" t="s">
        <v>1810</v>
      </c>
      <c r="G431" s="5" t="n">
        <v>0.321157407407407</v>
      </c>
      <c r="H431" s="5" t="n">
        <v>0.29525462962963</v>
      </c>
      <c r="I431" s="5" t="n">
        <v>0.00224537037037037</v>
      </c>
      <c r="J431" s="0" t="n">
        <v>0</v>
      </c>
      <c r="K431" s="0" t="n">
        <v>3</v>
      </c>
      <c r="L431" s="0" t="n">
        <v>0</v>
      </c>
      <c r="M431" s="0" t="n">
        <v>0</v>
      </c>
      <c r="N431" s="0" t="n">
        <v>3</v>
      </c>
      <c r="O431" s="5" t="n">
        <v>0</v>
      </c>
      <c r="P431" s="5" t="n">
        <v>0</v>
      </c>
      <c r="Q431" s="4" t="s">
        <v>73</v>
      </c>
      <c r="R431" s="4" t="s">
        <v>73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0" t="n">
        <v>0</v>
      </c>
      <c r="AA431" s="0" t="n">
        <v>0</v>
      </c>
      <c r="AB431" s="0" t="n">
        <v>0</v>
      </c>
      <c r="AC431" s="4" t="s">
        <v>81</v>
      </c>
      <c r="AD431" s="4" t="s">
        <v>228</v>
      </c>
      <c r="AE431" s="4" t="s">
        <v>1808</v>
      </c>
      <c r="AF431" s="4" t="s">
        <v>1811</v>
      </c>
      <c r="AG431" s="5" t="n">
        <v>0.272523148148148</v>
      </c>
      <c r="AH431" s="5" t="n">
        <v>0.170300925925926</v>
      </c>
      <c r="AI431" s="5" t="n">
        <v>0</v>
      </c>
      <c r="AJ431" s="5" t="n">
        <v>0</v>
      </c>
      <c r="AK431" s="5" t="n">
        <v>0</v>
      </c>
      <c r="AL431" s="5" t="n">
        <v>0</v>
      </c>
      <c r="AM431" s="4" t="s">
        <v>78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n">
        <v>0</v>
      </c>
      <c r="AW431" s="0" t="n">
        <v>0</v>
      </c>
      <c r="AX431" s="0" t="n">
        <v>0</v>
      </c>
      <c r="AY431" s="0" t="n">
        <v>0</v>
      </c>
      <c r="AZ431" s="0" t="n">
        <v>0</v>
      </c>
      <c r="BA431" s="0" t="n">
        <v>0</v>
      </c>
      <c r="BB431" s="0" t="n">
        <v>0</v>
      </c>
      <c r="BC431" s="0" t="n">
        <v>0</v>
      </c>
      <c r="BD431" s="0" t="n">
        <v>0</v>
      </c>
      <c r="BE431" s="0" t="n">
        <v>0</v>
      </c>
      <c r="BF431" s="0" t="n">
        <v>0</v>
      </c>
      <c r="BG431" s="0" t="n">
        <v>0</v>
      </c>
      <c r="BH431" s="0" t="n">
        <v>0</v>
      </c>
      <c r="BI431" s="0" t="n">
        <v>0</v>
      </c>
      <c r="BJ431" s="0" t="n">
        <v>0</v>
      </c>
      <c r="BK431" s="0" t="n">
        <v>0</v>
      </c>
      <c r="BM431" s="6" t="n">
        <f aca="false">IFERROR(VALUE(F431),"")</f>
        <v>124.1</v>
      </c>
      <c r="BN431" s="6" t="str">
        <f aca="false">IF(R431="-","",IFERROR(VALUE(LEFT(Q431,LEN(Q431)-2)),""))</f>
        <v/>
      </c>
      <c r="BO431" s="6" t="str">
        <f aca="false">IF(R431="-","",IFERROR(VALUE(LEFT(R431,LEN(R431)-5)),""))</f>
        <v/>
      </c>
      <c r="BP431" s="6" t="str">
        <f aca="false">IF(R431="-","",IFERROR(VALUE(F431),""))</f>
        <v/>
      </c>
      <c r="BQ431" s="4" t="n">
        <f aca="false">IF(R431="-",1,0)</f>
        <v>1</v>
      </c>
    </row>
    <row r="432" customFormat="false" ht="15" hidden="false" customHeight="false" outlineLevel="0" collapsed="false">
      <c r="A432" s="0" t="s">
        <v>1803</v>
      </c>
      <c r="B432" s="0" t="s">
        <v>1804</v>
      </c>
      <c r="C432" s="0" t="s">
        <v>70</v>
      </c>
      <c r="D432" s="0" t="s">
        <v>1812</v>
      </c>
      <c r="E432" s="3" t="n">
        <v>46275</v>
      </c>
      <c r="F432" s="4" t="s">
        <v>1813</v>
      </c>
      <c r="G432" s="5" t="n">
        <v>0.311666666666667</v>
      </c>
      <c r="H432" s="5" t="n">
        <v>0.304537037037037</v>
      </c>
      <c r="I432" s="5" t="n">
        <v>0.00215277777777778</v>
      </c>
      <c r="J432" s="0" t="n">
        <v>0</v>
      </c>
      <c r="K432" s="0" t="n">
        <v>1</v>
      </c>
      <c r="L432" s="0" t="n">
        <v>0</v>
      </c>
      <c r="M432" s="0" t="n">
        <v>0</v>
      </c>
      <c r="N432" s="0" t="n">
        <v>3</v>
      </c>
      <c r="O432" s="5" t="n">
        <v>0</v>
      </c>
      <c r="P432" s="5" t="n">
        <v>0</v>
      </c>
      <c r="Q432" s="4" t="s">
        <v>73</v>
      </c>
      <c r="R432" s="4" t="s">
        <v>73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0" t="n">
        <v>0</v>
      </c>
      <c r="AA432" s="0" t="n">
        <v>0</v>
      </c>
      <c r="AB432" s="0" t="n">
        <v>0</v>
      </c>
      <c r="AC432" s="4" t="s">
        <v>75</v>
      </c>
      <c r="AD432" s="4" t="s">
        <v>75</v>
      </c>
      <c r="AE432" s="4" t="s">
        <v>1811</v>
      </c>
      <c r="AF432" s="4" t="s">
        <v>1814</v>
      </c>
      <c r="AG432" s="5" t="n">
        <v>0.273865740740741</v>
      </c>
      <c r="AH432" s="5" t="n">
        <v>0.180474537037037</v>
      </c>
      <c r="AI432" s="5" t="n">
        <v>0</v>
      </c>
      <c r="AJ432" s="5" t="n">
        <v>0</v>
      </c>
      <c r="AK432" s="5" t="n">
        <v>0</v>
      </c>
      <c r="AL432" s="5" t="n">
        <v>0</v>
      </c>
      <c r="AM432" s="4" t="s">
        <v>78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  <c r="AU432" s="0" t="n">
        <v>0</v>
      </c>
      <c r="AV432" s="0" t="n">
        <v>0</v>
      </c>
      <c r="AW432" s="0" t="n">
        <v>0</v>
      </c>
      <c r="AX432" s="0" t="n">
        <v>0</v>
      </c>
      <c r="AY432" s="0" t="n">
        <v>0</v>
      </c>
      <c r="AZ432" s="0" t="n">
        <v>0</v>
      </c>
      <c r="BA432" s="0" t="n">
        <v>0</v>
      </c>
      <c r="BB432" s="0" t="n">
        <v>0</v>
      </c>
      <c r="BC432" s="0" t="n">
        <v>0</v>
      </c>
      <c r="BD432" s="0" t="n">
        <v>0</v>
      </c>
      <c r="BE432" s="0" t="n">
        <v>0</v>
      </c>
      <c r="BF432" s="0" t="n">
        <v>0</v>
      </c>
      <c r="BG432" s="0" t="n">
        <v>0</v>
      </c>
      <c r="BH432" s="0" t="n">
        <v>0</v>
      </c>
      <c r="BI432" s="0" t="n">
        <v>0</v>
      </c>
      <c r="BJ432" s="0" t="n">
        <v>0</v>
      </c>
      <c r="BK432" s="0" t="n">
        <v>0</v>
      </c>
      <c r="BM432" s="6" t="n">
        <f aca="false">IFERROR(VALUE(F432),"")</f>
        <v>143.76</v>
      </c>
      <c r="BN432" s="6" t="str">
        <f aca="false">IF(R432="-","",IFERROR(VALUE(LEFT(Q432,LEN(Q432)-2)),""))</f>
        <v/>
      </c>
      <c r="BO432" s="6" t="str">
        <f aca="false">IF(R432="-","",IFERROR(VALUE(LEFT(R432,LEN(R432)-5)),""))</f>
        <v/>
      </c>
      <c r="BP432" s="6" t="str">
        <f aca="false">IF(R432="-","",IFERROR(VALUE(F432),""))</f>
        <v/>
      </c>
      <c r="BQ432" s="4" t="n">
        <f aca="false">IF(R432="-",1,0)</f>
        <v>1</v>
      </c>
    </row>
    <row r="433" customFormat="false" ht="15" hidden="false" customHeight="false" outlineLevel="0" collapsed="false">
      <c r="A433" s="0" t="s">
        <v>1803</v>
      </c>
      <c r="B433" s="0" t="s">
        <v>1804</v>
      </c>
      <c r="C433" s="0" t="s">
        <v>70</v>
      </c>
      <c r="D433" s="0" t="s">
        <v>1815</v>
      </c>
      <c r="E433" s="3" t="n">
        <v>46276</v>
      </c>
      <c r="F433" s="4" t="s">
        <v>1816</v>
      </c>
      <c r="G433" s="5" t="n">
        <v>0.288425925925926</v>
      </c>
      <c r="H433" s="5" t="n">
        <v>0.2834375</v>
      </c>
      <c r="I433" s="5" t="n">
        <v>0.000949074074074074</v>
      </c>
      <c r="J433" s="0" t="n">
        <v>0</v>
      </c>
      <c r="K433" s="0" t="n">
        <v>3</v>
      </c>
      <c r="L433" s="0" t="n">
        <v>0</v>
      </c>
      <c r="M433" s="0" t="n">
        <v>0</v>
      </c>
      <c r="N433" s="0" t="n">
        <v>1</v>
      </c>
      <c r="O433" s="5" t="n">
        <v>0</v>
      </c>
      <c r="P433" s="5" t="n">
        <v>0</v>
      </c>
      <c r="Q433" s="4" t="s">
        <v>73</v>
      </c>
      <c r="R433" s="4" t="s">
        <v>73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0" t="n">
        <v>0</v>
      </c>
      <c r="AA433" s="0" t="n">
        <v>0</v>
      </c>
      <c r="AB433" s="0" t="n">
        <v>0</v>
      </c>
      <c r="AC433" s="4" t="s">
        <v>75</v>
      </c>
      <c r="AD433" s="4" t="s">
        <v>75</v>
      </c>
      <c r="AE433" s="4" t="s">
        <v>1814</v>
      </c>
      <c r="AF433" s="4" t="s">
        <v>1817</v>
      </c>
      <c r="AG433" s="5" t="n">
        <v>0.257291666666667</v>
      </c>
      <c r="AH433" s="5" t="n">
        <v>0.141006944444444</v>
      </c>
      <c r="AI433" s="5" t="n">
        <v>0</v>
      </c>
      <c r="AJ433" s="5" t="n">
        <v>0</v>
      </c>
      <c r="AK433" s="5" t="n">
        <v>0</v>
      </c>
      <c r="AL433" s="5" t="n">
        <v>0</v>
      </c>
      <c r="AM433" s="4" t="s">
        <v>78</v>
      </c>
      <c r="AN433" s="0" t="n">
        <v>0</v>
      </c>
      <c r="AO433" s="0" t="n">
        <v>5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0</v>
      </c>
      <c r="BI433" s="0" t="n">
        <v>0</v>
      </c>
      <c r="BJ433" s="0" t="n">
        <v>0</v>
      </c>
      <c r="BK433" s="0" t="n">
        <v>0</v>
      </c>
      <c r="BM433" s="6" t="n">
        <f aca="false">IFERROR(VALUE(F433),"")</f>
        <v>120.67</v>
      </c>
      <c r="BN433" s="6" t="str">
        <f aca="false">IF(R433="-","",IFERROR(VALUE(LEFT(Q433,LEN(Q433)-2)),""))</f>
        <v/>
      </c>
      <c r="BO433" s="6" t="str">
        <f aca="false">IF(R433="-","",IFERROR(VALUE(LEFT(R433,LEN(R433)-5)),""))</f>
        <v/>
      </c>
      <c r="BP433" s="6" t="str">
        <f aca="false">IF(R433="-","",IFERROR(VALUE(F433),""))</f>
        <v/>
      </c>
      <c r="BQ433" s="4" t="n">
        <f aca="false">IF(R433="-",1,0)</f>
        <v>1</v>
      </c>
    </row>
    <row r="434" customFormat="false" ht="15" hidden="false" customHeight="false" outlineLevel="0" collapsed="false">
      <c r="A434" s="0" t="s">
        <v>1803</v>
      </c>
      <c r="B434" s="0" t="s">
        <v>1804</v>
      </c>
      <c r="C434" s="0" t="s">
        <v>70</v>
      </c>
      <c r="D434" s="0" t="s">
        <v>1818</v>
      </c>
      <c r="E434" s="3" t="n">
        <v>46277</v>
      </c>
      <c r="F434" s="4" t="s">
        <v>1819</v>
      </c>
      <c r="G434" s="5" t="n">
        <v>0.27599537037037</v>
      </c>
      <c r="H434" s="5" t="n">
        <v>0.266921296296296</v>
      </c>
      <c r="I434" s="5" t="n">
        <v>0.000983796296296296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3</v>
      </c>
      <c r="O434" s="5" t="n">
        <v>0</v>
      </c>
      <c r="P434" s="5" t="n">
        <v>0</v>
      </c>
      <c r="Q434" s="4" t="s">
        <v>73</v>
      </c>
      <c r="R434" s="4" t="s">
        <v>73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0</v>
      </c>
      <c r="Y434" s="5" t="n">
        <v>0</v>
      </c>
      <c r="Z434" s="0" t="n">
        <v>0</v>
      </c>
      <c r="AA434" s="0" t="n">
        <v>0</v>
      </c>
      <c r="AB434" s="0" t="n">
        <v>0</v>
      </c>
      <c r="AC434" s="4" t="s">
        <v>81</v>
      </c>
      <c r="AD434" s="4" t="s">
        <v>228</v>
      </c>
      <c r="AE434" s="4" t="s">
        <v>1817</v>
      </c>
      <c r="AF434" s="4" t="s">
        <v>1820</v>
      </c>
      <c r="AG434" s="5" t="n">
        <v>0.249224537037037</v>
      </c>
      <c r="AH434" s="5" t="n">
        <v>0.104131944444444</v>
      </c>
      <c r="AI434" s="5" t="n">
        <v>0</v>
      </c>
      <c r="AJ434" s="5" t="n">
        <v>0</v>
      </c>
      <c r="AK434" s="5" t="n">
        <v>0</v>
      </c>
      <c r="AL434" s="5" t="n">
        <v>0</v>
      </c>
      <c r="AM434" s="4" t="s">
        <v>78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  <c r="AU434" s="0" t="n">
        <v>0</v>
      </c>
      <c r="AV434" s="0" t="n">
        <v>0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M434" s="6" t="n">
        <f aca="false">IFERROR(VALUE(F434),"")</f>
        <v>115.47</v>
      </c>
      <c r="BN434" s="6" t="str">
        <f aca="false">IF(R434="-","",IFERROR(VALUE(LEFT(Q434,LEN(Q434)-2)),""))</f>
        <v/>
      </c>
      <c r="BO434" s="6" t="str">
        <f aca="false">IF(R434="-","",IFERROR(VALUE(LEFT(R434,LEN(R434)-5)),""))</f>
        <v/>
      </c>
      <c r="BP434" s="6" t="str">
        <f aca="false">IF(R434="-","",IFERROR(VALUE(F434),""))</f>
        <v/>
      </c>
      <c r="BQ434" s="4" t="n">
        <f aca="false">IF(R434="-",1,0)</f>
        <v>1</v>
      </c>
    </row>
    <row r="435" customFormat="false" ht="15" hidden="false" customHeight="false" outlineLevel="0" collapsed="false">
      <c r="A435" s="0" t="s">
        <v>1803</v>
      </c>
      <c r="B435" s="0" t="s">
        <v>1804</v>
      </c>
      <c r="C435" s="0" t="s">
        <v>70</v>
      </c>
      <c r="E435" s="3" t="n">
        <v>46278</v>
      </c>
      <c r="F435" s="4" t="s">
        <v>1821</v>
      </c>
      <c r="G435" s="5" t="n">
        <v>0.000983796296296296</v>
      </c>
      <c r="H435" s="5" t="n">
        <v>0</v>
      </c>
      <c r="I435" s="5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5" t="n">
        <v>0</v>
      </c>
      <c r="P435" s="5" t="n">
        <v>0</v>
      </c>
      <c r="Q435" s="4" t="s">
        <v>73</v>
      </c>
      <c r="R435" s="4" t="s">
        <v>73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0</v>
      </c>
      <c r="Y435" s="5" t="n">
        <v>0</v>
      </c>
      <c r="Z435" s="0" t="n">
        <v>0</v>
      </c>
      <c r="AA435" s="0" t="n">
        <v>0</v>
      </c>
      <c r="AB435" s="0" t="n">
        <v>0</v>
      </c>
      <c r="AC435" s="4" t="s">
        <v>75</v>
      </c>
      <c r="AD435" s="4" t="s">
        <v>75</v>
      </c>
      <c r="AE435" s="4" t="s">
        <v>1820</v>
      </c>
      <c r="AF435" s="4" t="s">
        <v>1822</v>
      </c>
      <c r="AG435" s="5" t="n">
        <v>0.000636574074074074</v>
      </c>
      <c r="AH435" s="5" t="n">
        <v>0.012974537037037</v>
      </c>
      <c r="AI435" s="5" t="n">
        <v>0</v>
      </c>
      <c r="AJ435" s="5" t="n">
        <v>0</v>
      </c>
      <c r="AK435" s="5" t="n">
        <v>0</v>
      </c>
      <c r="AL435" s="5" t="n">
        <v>0</v>
      </c>
      <c r="AM435" s="4" t="s">
        <v>78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0</v>
      </c>
      <c r="BC435" s="0" t="n">
        <v>0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0</v>
      </c>
      <c r="BI435" s="0" t="n">
        <v>0</v>
      </c>
      <c r="BJ435" s="0" t="n">
        <v>0</v>
      </c>
      <c r="BK435" s="0" t="n">
        <v>0</v>
      </c>
      <c r="BM435" s="6" t="n">
        <f aca="false">IFERROR(VALUE(F435),"")</f>
        <v>0.07</v>
      </c>
      <c r="BN435" s="6" t="str">
        <f aca="false">IF(R435="-","",IFERROR(VALUE(LEFT(Q435,LEN(Q435)-2)),""))</f>
        <v/>
      </c>
      <c r="BO435" s="6" t="str">
        <f aca="false">IF(R435="-","",IFERROR(VALUE(LEFT(R435,LEN(R435)-5)),""))</f>
        <v/>
      </c>
      <c r="BP435" s="6" t="str">
        <f aca="false">IF(R435="-","",IFERROR(VALUE(F435),""))</f>
        <v/>
      </c>
      <c r="BQ435" s="4" t="n">
        <f aca="false">IF(R435="-",1,0)</f>
        <v>1</v>
      </c>
    </row>
    <row r="436" customFormat="false" ht="15" hidden="false" customHeight="false" outlineLevel="0" collapsed="false">
      <c r="A436" s="0" t="s">
        <v>1803</v>
      </c>
      <c r="B436" s="0" t="s">
        <v>1804</v>
      </c>
      <c r="C436" s="0" t="s">
        <v>70</v>
      </c>
      <c r="D436" s="0" t="s">
        <v>1823</v>
      </c>
      <c r="E436" s="3" t="n">
        <v>46279</v>
      </c>
      <c r="F436" s="4" t="s">
        <v>1824</v>
      </c>
      <c r="G436" s="5" t="n">
        <v>0.294490740740741</v>
      </c>
      <c r="H436" s="5" t="n">
        <v>0.168784722222222</v>
      </c>
      <c r="I436" s="5" t="n">
        <v>0.00185185185185185</v>
      </c>
      <c r="J436" s="0" t="n">
        <v>1</v>
      </c>
      <c r="K436" s="0" t="n">
        <v>0</v>
      </c>
      <c r="L436" s="0" t="n">
        <v>0</v>
      </c>
      <c r="M436" s="0" t="n">
        <v>0</v>
      </c>
      <c r="N436" s="0" t="n">
        <v>11</v>
      </c>
      <c r="O436" s="5" t="n">
        <v>0</v>
      </c>
      <c r="P436" s="5" t="n">
        <v>0</v>
      </c>
      <c r="Q436" s="4" t="s">
        <v>73</v>
      </c>
      <c r="R436" s="4" t="s">
        <v>73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0</v>
      </c>
      <c r="Y436" s="5" t="n">
        <v>0</v>
      </c>
      <c r="Z436" s="0" t="n">
        <v>0</v>
      </c>
      <c r="AA436" s="0" t="n">
        <v>0</v>
      </c>
      <c r="AB436" s="0" t="n">
        <v>0</v>
      </c>
      <c r="AC436" s="4" t="s">
        <v>75</v>
      </c>
      <c r="AD436" s="4" t="s">
        <v>75</v>
      </c>
      <c r="AE436" s="4" t="s">
        <v>1822</v>
      </c>
      <c r="AF436" s="4" t="s">
        <v>1825</v>
      </c>
      <c r="AG436" s="5" t="n">
        <v>0.246273148148148</v>
      </c>
      <c r="AH436" s="5" t="n">
        <v>0.14681712962963</v>
      </c>
      <c r="AI436" s="5" t="n">
        <v>0</v>
      </c>
      <c r="AJ436" s="5" t="n">
        <v>0</v>
      </c>
      <c r="AK436" s="5" t="n">
        <v>0</v>
      </c>
      <c r="AL436" s="5" t="n">
        <v>0</v>
      </c>
      <c r="AM436" s="4" t="s">
        <v>78</v>
      </c>
      <c r="AN436" s="0" t="n">
        <v>0</v>
      </c>
      <c r="AO436" s="0" t="n">
        <v>1</v>
      </c>
      <c r="AP436" s="0" t="n">
        <v>0</v>
      </c>
      <c r="AQ436" s="0" t="n">
        <v>0</v>
      </c>
      <c r="AR436" s="0" t="n">
        <v>0</v>
      </c>
      <c r="AS436" s="0" t="n">
        <v>1</v>
      </c>
      <c r="AT436" s="0" t="n">
        <v>0</v>
      </c>
      <c r="AU436" s="0" t="n">
        <v>0</v>
      </c>
      <c r="AV436" s="0" t="n">
        <v>0</v>
      </c>
      <c r="AW436" s="0" t="n">
        <v>0</v>
      </c>
      <c r="AX436" s="0" t="n">
        <v>0</v>
      </c>
      <c r="AY436" s="0" t="n">
        <v>0</v>
      </c>
      <c r="AZ436" s="0" t="n">
        <v>0</v>
      </c>
      <c r="BA436" s="0" t="n">
        <v>0</v>
      </c>
      <c r="BB436" s="0" t="n">
        <v>0</v>
      </c>
      <c r="BC436" s="0" t="n">
        <v>0</v>
      </c>
      <c r="BD436" s="0" t="n">
        <v>0</v>
      </c>
      <c r="BE436" s="0" t="n">
        <v>0</v>
      </c>
      <c r="BF436" s="0" t="n">
        <v>0</v>
      </c>
      <c r="BG436" s="0" t="n">
        <v>0</v>
      </c>
      <c r="BH436" s="0" t="n">
        <v>0</v>
      </c>
      <c r="BI436" s="0" t="n">
        <v>0</v>
      </c>
      <c r="BJ436" s="0" t="n">
        <v>0</v>
      </c>
      <c r="BK436" s="0" t="n">
        <v>0</v>
      </c>
      <c r="BM436" s="6" t="n">
        <f aca="false">IFERROR(VALUE(F436),"")</f>
        <v>116.39</v>
      </c>
      <c r="BN436" s="6" t="str">
        <f aca="false">IF(R436="-","",IFERROR(VALUE(LEFT(Q436,LEN(Q436)-2)),""))</f>
        <v/>
      </c>
      <c r="BO436" s="6" t="str">
        <f aca="false">IF(R436="-","",IFERROR(VALUE(LEFT(R436,LEN(R436)-5)),""))</f>
        <v/>
      </c>
      <c r="BP436" s="6" t="str">
        <f aca="false">IF(R436="-","",IFERROR(VALUE(F436),""))</f>
        <v/>
      </c>
      <c r="BQ436" s="4" t="n">
        <f aca="false">IF(R436="-",1,0)</f>
        <v>1</v>
      </c>
    </row>
    <row r="437" customFormat="false" ht="15" hidden="false" customHeight="false" outlineLevel="0" collapsed="false">
      <c r="A437" s="0" t="s">
        <v>1826</v>
      </c>
      <c r="B437" s="0" t="s">
        <v>1827</v>
      </c>
      <c r="C437" s="0" t="s">
        <v>70</v>
      </c>
      <c r="E437" s="3" t="n">
        <v>46273</v>
      </c>
      <c r="F437" s="4" t="s">
        <v>95</v>
      </c>
      <c r="G437" s="5" t="n">
        <v>0</v>
      </c>
      <c r="H437" s="5" t="n">
        <v>0</v>
      </c>
      <c r="I437" s="5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5" t="n">
        <v>0</v>
      </c>
      <c r="P437" s="5" t="n">
        <v>0</v>
      </c>
      <c r="Q437" s="4" t="s">
        <v>73</v>
      </c>
      <c r="R437" s="4" t="s">
        <v>73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0</v>
      </c>
      <c r="X437" s="5" t="n">
        <v>0</v>
      </c>
      <c r="Y437" s="5" t="n">
        <v>0</v>
      </c>
      <c r="Z437" s="0" t="n">
        <v>0</v>
      </c>
      <c r="AA437" s="0" t="n">
        <v>0</v>
      </c>
      <c r="AB437" s="0" t="n">
        <v>0</v>
      </c>
      <c r="AE437" s="4" t="s">
        <v>1828</v>
      </c>
      <c r="AF437" s="4" t="s">
        <v>1828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n">
        <v>0</v>
      </c>
      <c r="AM437" s="4" t="s">
        <v>78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n">
        <v>0</v>
      </c>
      <c r="AW437" s="0" t="n">
        <v>0</v>
      </c>
      <c r="AX437" s="0" t="n">
        <v>0</v>
      </c>
      <c r="AY437" s="0" t="n">
        <v>0</v>
      </c>
      <c r="AZ437" s="0" t="n">
        <v>0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0</v>
      </c>
      <c r="BI437" s="0" t="n">
        <v>0</v>
      </c>
      <c r="BJ437" s="0" t="n">
        <v>0</v>
      </c>
      <c r="BK437" s="0" t="n">
        <v>0</v>
      </c>
      <c r="BM437" s="6" t="n">
        <f aca="false">IFERROR(VALUE(F437),"")</f>
        <v>0</v>
      </c>
      <c r="BN437" s="6" t="str">
        <f aca="false">IF(R437="-","",IFERROR(VALUE(LEFT(Q437,LEN(Q437)-2)),""))</f>
        <v/>
      </c>
      <c r="BO437" s="6" t="str">
        <f aca="false">IF(R437="-","",IFERROR(VALUE(LEFT(R437,LEN(R437)-5)),""))</f>
        <v/>
      </c>
      <c r="BP437" s="6" t="str">
        <f aca="false">IF(R437="-","",IFERROR(VALUE(F437),""))</f>
        <v/>
      </c>
      <c r="BQ437" s="4" t="n">
        <f aca="false">IF(R437="-",1,0)</f>
        <v>1</v>
      </c>
    </row>
    <row r="438" customFormat="false" ht="15" hidden="false" customHeight="false" outlineLevel="0" collapsed="false">
      <c r="A438" s="0" t="s">
        <v>1826</v>
      </c>
      <c r="B438" s="0" t="s">
        <v>1827</v>
      </c>
      <c r="C438" s="0" t="s">
        <v>70</v>
      </c>
      <c r="D438" s="0" t="s">
        <v>1829</v>
      </c>
      <c r="E438" s="3" t="n">
        <v>46274</v>
      </c>
      <c r="F438" s="4" t="s">
        <v>1830</v>
      </c>
      <c r="G438" s="5" t="n">
        <v>0.163472222222222</v>
      </c>
      <c r="H438" s="5" t="n">
        <v>0.145150462962963</v>
      </c>
      <c r="I438" s="5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5" t="n">
        <v>0</v>
      </c>
      <c r="P438" s="5" t="n">
        <v>0</v>
      </c>
      <c r="Q438" s="4" t="s">
        <v>1831</v>
      </c>
      <c r="R438" s="4" t="s">
        <v>1832</v>
      </c>
      <c r="S438" s="5" t="n">
        <v>0</v>
      </c>
      <c r="T438" s="5" t="n">
        <v>0.0412037037037037</v>
      </c>
      <c r="U438" s="5" t="n">
        <v>0.0381944444444445</v>
      </c>
      <c r="V438" s="5" t="n">
        <v>0.0634953703703704</v>
      </c>
      <c r="W438" s="5" t="n">
        <v>0.00101851851851852</v>
      </c>
      <c r="X438" s="5" t="n">
        <v>0</v>
      </c>
      <c r="Y438" s="5" t="n">
        <v>0.000324074074074074</v>
      </c>
      <c r="Z438" s="0" t="n">
        <v>0</v>
      </c>
      <c r="AA438" s="0" t="n">
        <v>0</v>
      </c>
      <c r="AB438" s="0" t="n">
        <v>0</v>
      </c>
      <c r="AC438" s="4" t="s">
        <v>208</v>
      </c>
      <c r="AD438" s="4" t="s">
        <v>208</v>
      </c>
      <c r="AE438" s="4" t="s">
        <v>1828</v>
      </c>
      <c r="AF438" s="4" t="s">
        <v>1833</v>
      </c>
      <c r="AG438" s="5" t="n">
        <v>0.124016203703704</v>
      </c>
      <c r="AH438" s="5" t="n">
        <v>0.0837615740740741</v>
      </c>
      <c r="AI438" s="5" t="n">
        <v>0</v>
      </c>
      <c r="AJ438" s="5" t="n">
        <v>0</v>
      </c>
      <c r="AK438" s="5" t="n">
        <v>0</v>
      </c>
      <c r="AL438" s="5" t="n">
        <v>0</v>
      </c>
      <c r="AM438" s="4" t="s">
        <v>78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  <c r="AU438" s="0" t="n">
        <v>0</v>
      </c>
      <c r="AV438" s="0" t="n">
        <v>0</v>
      </c>
      <c r="AW438" s="0" t="n">
        <v>0</v>
      </c>
      <c r="AX438" s="0" t="n">
        <v>0</v>
      </c>
      <c r="AY438" s="0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M438" s="6" t="n">
        <f aca="false">IFERROR(VALUE(F438),"")</f>
        <v>91.7</v>
      </c>
      <c r="BN438" s="6" t="n">
        <f aca="false">IF(R438="-","",IFERROR(VALUE(LEFT(Q438,LEN(Q438)-2)),""))</f>
        <v>26.68</v>
      </c>
      <c r="BO438" s="6" t="n">
        <f aca="false">IF(R438="-","",IFERROR(VALUE(LEFT(R438,LEN(R438)-5)),""))</f>
        <v>3.44</v>
      </c>
      <c r="BP438" s="6" t="n">
        <f aca="false">IF(R438="-","",IFERROR(VALUE(F438),""))</f>
        <v>91.7</v>
      </c>
      <c r="BQ438" s="4" t="n">
        <f aca="false">IF(R438="-",1,0)</f>
        <v>0</v>
      </c>
    </row>
    <row r="439" customFormat="false" ht="15" hidden="false" customHeight="false" outlineLevel="0" collapsed="false">
      <c r="A439" s="0" t="s">
        <v>1826</v>
      </c>
      <c r="B439" s="0" t="s">
        <v>1827</v>
      </c>
      <c r="C439" s="0" t="s">
        <v>70</v>
      </c>
      <c r="D439" s="0" t="s">
        <v>1834</v>
      </c>
      <c r="E439" s="3" t="n">
        <v>46275</v>
      </c>
      <c r="F439" s="4" t="s">
        <v>1835</v>
      </c>
      <c r="G439" s="5" t="n">
        <v>0.141030092592593</v>
      </c>
      <c r="H439" s="5" t="n">
        <v>0.1246875</v>
      </c>
      <c r="I439" s="5" t="n">
        <v>6.94444444444444E-005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5" t="n">
        <v>0</v>
      </c>
      <c r="P439" s="5" t="n">
        <v>0</v>
      </c>
      <c r="Q439" s="4" t="s">
        <v>1836</v>
      </c>
      <c r="R439" s="4" t="s">
        <v>1837</v>
      </c>
      <c r="S439" s="5" t="n">
        <v>0</v>
      </c>
      <c r="T439" s="5" t="n">
        <v>0.0447916666666667</v>
      </c>
      <c r="U439" s="5" t="n">
        <v>0.0453703703703704</v>
      </c>
      <c r="V439" s="5" t="n">
        <v>0.0430555555555556</v>
      </c>
      <c r="W439" s="5" t="n">
        <v>0</v>
      </c>
      <c r="X439" s="5" t="n">
        <v>0</v>
      </c>
      <c r="Y439" s="5" t="n">
        <v>0</v>
      </c>
      <c r="Z439" s="0" t="n">
        <v>0</v>
      </c>
      <c r="AA439" s="0" t="n">
        <v>0</v>
      </c>
      <c r="AB439" s="0" t="n">
        <v>0</v>
      </c>
      <c r="AC439" s="4" t="s">
        <v>208</v>
      </c>
      <c r="AD439" s="4" t="s">
        <v>73</v>
      </c>
      <c r="AE439" s="4" t="s">
        <v>1833</v>
      </c>
      <c r="AF439" s="4" t="s">
        <v>1838</v>
      </c>
      <c r="AG439" s="5" t="n">
        <v>0.127199074074074</v>
      </c>
      <c r="AH439" s="5" t="n">
        <v>0.0370833333333333</v>
      </c>
      <c r="AI439" s="5" t="n">
        <v>0</v>
      </c>
      <c r="AJ439" s="5" t="n">
        <v>0</v>
      </c>
      <c r="AK439" s="5" t="n">
        <v>0</v>
      </c>
      <c r="AL439" s="5" t="n">
        <v>0</v>
      </c>
      <c r="AM439" s="4" t="s">
        <v>78</v>
      </c>
      <c r="AN439" s="0" t="n">
        <v>0</v>
      </c>
      <c r="AO439" s="0" t="n">
        <v>1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3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0</v>
      </c>
      <c r="BF439" s="0" t="n">
        <v>0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M439" s="6" t="n">
        <f aca="false">IFERROR(VALUE(F439),"")</f>
        <v>147.01</v>
      </c>
      <c r="BN439" s="6" t="n">
        <f aca="false">IF(R439="-","",IFERROR(VALUE(LEFT(Q439,LEN(Q439)-2)),""))</f>
        <v>25.24</v>
      </c>
      <c r="BO439" s="6" t="n">
        <f aca="false">IF(R439="-","",IFERROR(VALUE(LEFT(R439,LEN(R439)-5)),""))</f>
        <v>5.82</v>
      </c>
      <c r="BP439" s="6" t="n">
        <f aca="false">IF(R439="-","",IFERROR(VALUE(F439),""))</f>
        <v>147.01</v>
      </c>
      <c r="BQ439" s="4" t="n">
        <f aca="false">IF(R439="-",1,0)</f>
        <v>0</v>
      </c>
    </row>
    <row r="440" customFormat="false" ht="15" hidden="false" customHeight="false" outlineLevel="0" collapsed="false">
      <c r="A440" s="0" t="s">
        <v>1826</v>
      </c>
      <c r="B440" s="0" t="s">
        <v>1827</v>
      </c>
      <c r="C440" s="0" t="s">
        <v>70</v>
      </c>
      <c r="D440" s="0" t="s">
        <v>1834</v>
      </c>
      <c r="E440" s="3" t="n">
        <v>46276</v>
      </c>
      <c r="F440" s="4" t="s">
        <v>1839</v>
      </c>
      <c r="G440" s="5" t="n">
        <v>0.340474537037037</v>
      </c>
      <c r="H440" s="5" t="n">
        <v>0.197719907407407</v>
      </c>
      <c r="I440" s="5" t="n">
        <v>2.31481481481482E-005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</v>
      </c>
      <c r="O440" s="5" t="n">
        <v>0</v>
      </c>
      <c r="P440" s="5" t="n">
        <v>0</v>
      </c>
      <c r="Q440" s="4" t="s">
        <v>1840</v>
      </c>
      <c r="R440" s="4" t="s">
        <v>1841</v>
      </c>
      <c r="S440" s="5" t="n">
        <v>0</v>
      </c>
      <c r="T440" s="5" t="n">
        <v>0.0826388888888889</v>
      </c>
      <c r="U440" s="5" t="n">
        <v>0.106828703703704</v>
      </c>
      <c r="V440" s="5" t="n">
        <v>0.12974537037037</v>
      </c>
      <c r="W440" s="5" t="n">
        <v>0</v>
      </c>
      <c r="X440" s="5" t="n">
        <v>0</v>
      </c>
      <c r="Y440" s="5" t="n">
        <v>0</v>
      </c>
      <c r="Z440" s="0" t="n">
        <v>0</v>
      </c>
      <c r="AA440" s="0" t="n">
        <v>0</v>
      </c>
      <c r="AB440" s="0" t="n">
        <v>0</v>
      </c>
      <c r="AC440" s="4" t="s">
        <v>73</v>
      </c>
      <c r="AD440" s="4" t="s">
        <v>208</v>
      </c>
      <c r="AE440" s="4" t="s">
        <v>1838</v>
      </c>
      <c r="AF440" s="4" t="s">
        <v>1842</v>
      </c>
      <c r="AG440" s="5" t="n">
        <v>0.305532407407407</v>
      </c>
      <c r="AH440" s="5" t="n">
        <v>0.0768634259259259</v>
      </c>
      <c r="AI440" s="5" t="n">
        <v>0</v>
      </c>
      <c r="AJ440" s="5" t="n">
        <v>0</v>
      </c>
      <c r="AK440" s="5" t="n">
        <v>0</v>
      </c>
      <c r="AL440" s="5" t="n">
        <v>0</v>
      </c>
      <c r="AM440" s="4" t="s">
        <v>78</v>
      </c>
      <c r="AN440" s="0" t="n">
        <v>0</v>
      </c>
      <c r="AO440" s="0" t="n">
        <v>2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4</v>
      </c>
      <c r="AV440" s="0" t="n">
        <v>0</v>
      </c>
      <c r="AW440" s="0" t="n">
        <v>0</v>
      </c>
      <c r="AX440" s="0" t="n">
        <v>0</v>
      </c>
      <c r="AY440" s="0" t="n">
        <v>0</v>
      </c>
      <c r="AZ440" s="0" t="n">
        <v>0</v>
      </c>
      <c r="BA440" s="0" t="n">
        <v>0</v>
      </c>
      <c r="BB440" s="0" t="n">
        <v>0</v>
      </c>
      <c r="BC440" s="0" t="n">
        <v>0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0</v>
      </c>
      <c r="BI440" s="0" t="n">
        <v>0</v>
      </c>
      <c r="BJ440" s="0" t="n">
        <v>0</v>
      </c>
      <c r="BK440" s="0" t="n">
        <v>0</v>
      </c>
      <c r="BM440" s="6" t="n">
        <f aca="false">IFERROR(VALUE(F440),"")</f>
        <v>489.84</v>
      </c>
      <c r="BN440" s="6" t="n">
        <f aca="false">IF(R440="-","",IFERROR(VALUE(LEFT(Q440,LEN(Q440)-2)),""))</f>
        <v>67.38</v>
      </c>
      <c r="BO440" s="6" t="n">
        <f aca="false">IF(R440="-","",IFERROR(VALUE(LEFT(R440,LEN(R440)-5)),""))</f>
        <v>7.27</v>
      </c>
      <c r="BP440" s="6" t="n">
        <f aca="false">IF(R440="-","",IFERROR(VALUE(F440),""))</f>
        <v>489.84</v>
      </c>
      <c r="BQ440" s="4" t="n">
        <f aca="false">IF(R440="-",1,0)</f>
        <v>0</v>
      </c>
    </row>
    <row r="441" customFormat="false" ht="15" hidden="false" customHeight="false" outlineLevel="0" collapsed="false">
      <c r="A441" s="0" t="s">
        <v>1826</v>
      </c>
      <c r="B441" s="0" t="s">
        <v>1827</v>
      </c>
      <c r="C441" s="0" t="s">
        <v>70</v>
      </c>
      <c r="D441" s="0" t="s">
        <v>1843</v>
      </c>
      <c r="E441" s="3" t="n">
        <v>46278</v>
      </c>
      <c r="F441" s="4" t="s">
        <v>1844</v>
      </c>
      <c r="G441" s="5" t="n">
        <v>0.0198148148148148</v>
      </c>
      <c r="H441" s="5" t="n">
        <v>0.0161805555555556</v>
      </c>
      <c r="I441" s="5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5" t="n">
        <v>0</v>
      </c>
      <c r="P441" s="5" t="n">
        <v>0</v>
      </c>
      <c r="Q441" s="4" t="s">
        <v>1845</v>
      </c>
      <c r="R441" s="4" t="s">
        <v>168</v>
      </c>
      <c r="S441" s="5" t="n">
        <v>0</v>
      </c>
      <c r="T441" s="5" t="n">
        <v>0.00694444444444444</v>
      </c>
      <c r="U441" s="5" t="n">
        <v>0.00347222222222222</v>
      </c>
      <c r="V441" s="5" t="n">
        <v>0.00104166666666667</v>
      </c>
      <c r="W441" s="5" t="n">
        <v>0</v>
      </c>
      <c r="X441" s="5" t="n">
        <v>0</v>
      </c>
      <c r="Y441" s="5" t="n">
        <v>0</v>
      </c>
      <c r="Z441" s="0" t="n">
        <v>0</v>
      </c>
      <c r="AA441" s="0" t="n">
        <v>0</v>
      </c>
      <c r="AB441" s="0" t="n">
        <v>0</v>
      </c>
      <c r="AC441" s="4" t="s">
        <v>1846</v>
      </c>
      <c r="AD441" s="4" t="s">
        <v>208</v>
      </c>
      <c r="AE441" s="4" t="s">
        <v>1842</v>
      </c>
      <c r="AF441" s="4" t="s">
        <v>1847</v>
      </c>
      <c r="AG441" s="5" t="n">
        <v>0.00855324074074074</v>
      </c>
      <c r="AH441" s="5" t="n">
        <v>0.0233796296296296</v>
      </c>
      <c r="AI441" s="5" t="n">
        <v>0</v>
      </c>
      <c r="AJ441" s="5" t="n">
        <v>0</v>
      </c>
      <c r="AK441" s="5" t="n">
        <v>0</v>
      </c>
      <c r="AL441" s="5" t="n">
        <v>0</v>
      </c>
      <c r="AM441" s="4" t="s">
        <v>78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0</v>
      </c>
      <c r="BE441" s="0" t="n">
        <v>0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M441" s="6" t="n">
        <f aca="false">IFERROR(VALUE(F441),"")</f>
        <v>6.03</v>
      </c>
      <c r="BN441" s="6" t="n">
        <f aca="false">IF(R441="-","",IFERROR(VALUE(LEFT(Q441,LEN(Q441)-2)),""))</f>
        <v>1.18</v>
      </c>
      <c r="BO441" s="6" t="n">
        <f aca="false">IF(R441="-","",IFERROR(VALUE(LEFT(R441,LEN(R441)-5)),""))</f>
        <v>5.12</v>
      </c>
      <c r="BP441" s="6" t="n">
        <f aca="false">IF(R441="-","",IFERROR(VALUE(F441),""))</f>
        <v>6.03</v>
      </c>
      <c r="BQ441" s="4" t="n">
        <f aca="false">IF(R441="-",1,0)</f>
        <v>0</v>
      </c>
    </row>
    <row r="442" customFormat="false" ht="15" hidden="false" customHeight="false" outlineLevel="0" collapsed="false">
      <c r="A442" s="0" t="s">
        <v>1826</v>
      </c>
      <c r="B442" s="0" t="s">
        <v>1827</v>
      </c>
      <c r="C442" s="0" t="s">
        <v>70</v>
      </c>
      <c r="E442" s="3" t="n">
        <v>46279</v>
      </c>
      <c r="F442" s="4" t="s">
        <v>1848</v>
      </c>
      <c r="G442" s="5" t="n">
        <v>0.00444444444444444</v>
      </c>
      <c r="H442" s="5" t="n">
        <v>0</v>
      </c>
      <c r="I442" s="5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5" t="n">
        <v>0</v>
      </c>
      <c r="P442" s="5" t="n">
        <v>0</v>
      </c>
      <c r="Q442" s="4" t="s">
        <v>1441</v>
      </c>
      <c r="R442" s="4" t="s">
        <v>1849</v>
      </c>
      <c r="S442" s="5" t="n">
        <v>0</v>
      </c>
      <c r="T442" s="5" t="n">
        <v>0.0025462962962963</v>
      </c>
      <c r="U442" s="5" t="n">
        <v>0.000810185185185185</v>
      </c>
      <c r="V442" s="5" t="n">
        <v>0.000925925925925926</v>
      </c>
      <c r="W442" s="5" t="n">
        <v>0</v>
      </c>
      <c r="X442" s="5" t="n">
        <v>0</v>
      </c>
      <c r="Y442" s="5" t="n">
        <v>0</v>
      </c>
      <c r="Z442" s="0" t="n">
        <v>0</v>
      </c>
      <c r="AA442" s="0" t="n">
        <v>0</v>
      </c>
      <c r="AB442" s="0" t="n">
        <v>0</v>
      </c>
      <c r="AC442" s="4" t="s">
        <v>208</v>
      </c>
      <c r="AD442" s="4" t="s">
        <v>208</v>
      </c>
      <c r="AE442" s="4" t="s">
        <v>1847</v>
      </c>
      <c r="AF442" s="4" t="s">
        <v>1850</v>
      </c>
      <c r="AG442" s="5" t="n">
        <v>0.00297453703703704</v>
      </c>
      <c r="AH442" s="5" t="n">
        <v>0.00270833333333333</v>
      </c>
      <c r="AI442" s="5" t="n">
        <v>0</v>
      </c>
      <c r="AJ442" s="5" t="n">
        <v>0</v>
      </c>
      <c r="AK442" s="5" t="n">
        <v>0</v>
      </c>
      <c r="AL442" s="5" t="n">
        <v>0</v>
      </c>
      <c r="AM442" s="4" t="s">
        <v>78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  <c r="AU442" s="0" t="n">
        <v>0</v>
      </c>
      <c r="AV442" s="0" t="n">
        <v>0</v>
      </c>
      <c r="AW442" s="0" t="n">
        <v>0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0</v>
      </c>
      <c r="BI442" s="0" t="n">
        <v>0</v>
      </c>
      <c r="BJ442" s="0" t="n">
        <v>0</v>
      </c>
      <c r="BK442" s="0" t="n">
        <v>0</v>
      </c>
      <c r="BM442" s="6" t="n">
        <f aca="false">IFERROR(VALUE(F442),"")</f>
        <v>2.11</v>
      </c>
      <c r="BN442" s="6" t="n">
        <f aca="false">IF(R442="-","",IFERROR(VALUE(LEFT(Q442,LEN(Q442)-2)),""))</f>
        <v>0.37</v>
      </c>
      <c r="BO442" s="6" t="n">
        <f aca="false">IF(R442="-","",IFERROR(VALUE(LEFT(R442,LEN(R442)-5)),""))</f>
        <v>5.78</v>
      </c>
      <c r="BP442" s="6" t="n">
        <f aca="false">IF(R442="-","",IFERROR(VALUE(F442),""))</f>
        <v>2.11</v>
      </c>
      <c r="BQ442" s="4" t="n">
        <f aca="false">IF(R442="-",1,0)</f>
        <v>0</v>
      </c>
    </row>
    <row r="443" customFormat="false" ht="15" hidden="false" customHeight="false" outlineLevel="0" collapsed="false">
      <c r="A443" s="0" t="s">
        <v>1851</v>
      </c>
      <c r="B443" s="0" t="s">
        <v>1852</v>
      </c>
      <c r="C443" s="0" t="s">
        <v>70</v>
      </c>
      <c r="D443" s="0" t="s">
        <v>1834</v>
      </c>
      <c r="E443" s="3" t="n">
        <v>46273</v>
      </c>
      <c r="F443" s="4" t="s">
        <v>1853</v>
      </c>
      <c r="G443" s="5" t="n">
        <v>0.115763888888889</v>
      </c>
      <c r="H443" s="5" t="n">
        <v>0.113229166666667</v>
      </c>
      <c r="I443" s="5" t="n">
        <v>8.10185185185185E-005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2</v>
      </c>
      <c r="O443" s="5" t="n">
        <v>0</v>
      </c>
      <c r="P443" s="5" t="n">
        <v>0</v>
      </c>
      <c r="Q443" s="4" t="s">
        <v>1854</v>
      </c>
      <c r="R443" s="4" t="s">
        <v>524</v>
      </c>
      <c r="S443" s="5" t="n">
        <v>0.000115740740740741</v>
      </c>
      <c r="T443" s="5" t="n">
        <v>0.0297453703703704</v>
      </c>
      <c r="U443" s="5" t="n">
        <v>0.033912037037037</v>
      </c>
      <c r="V443" s="5" t="n">
        <v>0.0509259259259259</v>
      </c>
      <c r="W443" s="5" t="n">
        <v>0.000231481481481482</v>
      </c>
      <c r="X443" s="5" t="n">
        <v>0</v>
      </c>
      <c r="Y443" s="5" t="n">
        <v>0</v>
      </c>
      <c r="Z443" s="0" t="n">
        <v>0</v>
      </c>
      <c r="AA443" s="0" t="n">
        <v>0</v>
      </c>
      <c r="AB443" s="0" t="n">
        <v>0</v>
      </c>
      <c r="AC443" s="4" t="s">
        <v>208</v>
      </c>
      <c r="AD443" s="4" t="s">
        <v>73</v>
      </c>
      <c r="AE443" s="4" t="s">
        <v>1855</v>
      </c>
      <c r="AF443" s="4" t="s">
        <v>1856</v>
      </c>
      <c r="AG443" s="5" t="n">
        <v>0.101435185185185</v>
      </c>
      <c r="AH443" s="5" t="n">
        <v>0.0356365740740741</v>
      </c>
      <c r="AI443" s="5" t="n">
        <v>0</v>
      </c>
      <c r="AJ443" s="5" t="n">
        <v>0</v>
      </c>
      <c r="AK443" s="5" t="n">
        <v>0</v>
      </c>
      <c r="AL443" s="5" t="n">
        <v>0</v>
      </c>
      <c r="AM443" s="4" t="s">
        <v>78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0</v>
      </c>
      <c r="AV443" s="0" t="n">
        <v>0</v>
      </c>
      <c r="AW443" s="0" t="n">
        <v>0</v>
      </c>
      <c r="AX443" s="0" t="n">
        <v>0</v>
      </c>
      <c r="AY443" s="0" t="n">
        <v>0</v>
      </c>
      <c r="AZ443" s="0" t="n">
        <v>0</v>
      </c>
      <c r="BA443" s="0" t="n">
        <v>0</v>
      </c>
      <c r="BB443" s="0" t="n">
        <v>0</v>
      </c>
      <c r="BC443" s="0" t="n">
        <v>0</v>
      </c>
      <c r="BD443" s="0" t="n">
        <v>0</v>
      </c>
      <c r="BE443" s="0" t="n">
        <v>0</v>
      </c>
      <c r="BF443" s="0" t="n">
        <v>0</v>
      </c>
      <c r="BG443" s="0" t="n">
        <v>0</v>
      </c>
      <c r="BH443" s="0" t="n">
        <v>0</v>
      </c>
      <c r="BI443" s="0" t="n">
        <v>0</v>
      </c>
      <c r="BJ443" s="0" t="n">
        <v>0</v>
      </c>
      <c r="BK443" s="0" t="n">
        <v>0</v>
      </c>
      <c r="BM443" s="6" t="n">
        <f aca="false">IFERROR(VALUE(F443),"")</f>
        <v>70.86</v>
      </c>
      <c r="BN443" s="6" t="n">
        <f aca="false">IF(R443="-","",IFERROR(VALUE(LEFT(Q443,LEN(Q443)-2)),""))</f>
        <v>25.44</v>
      </c>
      <c r="BO443" s="6" t="n">
        <f aca="false">IF(R443="-","",IFERROR(VALUE(LEFT(R443,LEN(R443)-5)),""))</f>
        <v>2.79</v>
      </c>
      <c r="BP443" s="6" t="n">
        <f aca="false">IF(R443="-","",IFERROR(VALUE(F443),""))</f>
        <v>70.86</v>
      </c>
      <c r="BQ443" s="4" t="n">
        <f aca="false">IF(R443="-",1,0)</f>
        <v>0</v>
      </c>
    </row>
    <row r="444" customFormat="false" ht="15" hidden="false" customHeight="false" outlineLevel="0" collapsed="false">
      <c r="A444" s="0" t="s">
        <v>1851</v>
      </c>
      <c r="B444" s="0" t="s">
        <v>1852</v>
      </c>
      <c r="C444" s="0" t="s">
        <v>70</v>
      </c>
      <c r="D444" s="0" t="s">
        <v>1857</v>
      </c>
      <c r="E444" s="3" t="n">
        <v>46274</v>
      </c>
      <c r="F444" s="4" t="s">
        <v>1858</v>
      </c>
      <c r="G444" s="5" t="n">
        <v>0.521481481481481</v>
      </c>
      <c r="H444" s="5" t="n">
        <v>0.400497685185185</v>
      </c>
      <c r="I444" s="5" t="n">
        <v>4.62962962962963E-005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6</v>
      </c>
      <c r="O444" s="5" t="n">
        <v>0</v>
      </c>
      <c r="P444" s="5" t="n">
        <v>0.0133680555555556</v>
      </c>
      <c r="Q444" s="4" t="s">
        <v>1859</v>
      </c>
      <c r="R444" s="4" t="s">
        <v>487</v>
      </c>
      <c r="S444" s="5" t="n">
        <v>0.000231481481481482</v>
      </c>
      <c r="T444" s="5" t="n">
        <v>0.156018518518519</v>
      </c>
      <c r="U444" s="5" t="n">
        <v>0.153472222222222</v>
      </c>
      <c r="V444" s="5" t="n">
        <v>0.185578703703704</v>
      </c>
      <c r="W444" s="5" t="n">
        <v>0.00114583333333333</v>
      </c>
      <c r="X444" s="5" t="n">
        <v>0</v>
      </c>
      <c r="Y444" s="5" t="n">
        <v>0.000104166666666667</v>
      </c>
      <c r="Z444" s="0" t="n">
        <v>0</v>
      </c>
      <c r="AA444" s="0" t="n">
        <v>0</v>
      </c>
      <c r="AB444" s="0" t="n">
        <v>0</v>
      </c>
      <c r="AC444" s="4" t="s">
        <v>73</v>
      </c>
      <c r="AD444" s="4" t="s">
        <v>208</v>
      </c>
      <c r="AE444" s="4" t="s">
        <v>1856</v>
      </c>
      <c r="AF444" s="4" t="s">
        <v>1860</v>
      </c>
      <c r="AG444" s="5" t="n">
        <v>0.425625</v>
      </c>
      <c r="AH444" s="5" t="n">
        <v>0.179085648148148</v>
      </c>
      <c r="AI444" s="5" t="n">
        <v>0</v>
      </c>
      <c r="AJ444" s="5" t="n">
        <v>0</v>
      </c>
      <c r="AK444" s="5" t="n">
        <v>0</v>
      </c>
      <c r="AL444" s="5" t="n">
        <v>0</v>
      </c>
      <c r="AM444" s="4" t="s">
        <v>78</v>
      </c>
      <c r="AN444" s="0" t="n">
        <v>0</v>
      </c>
      <c r="AO444" s="0" t="n">
        <v>0</v>
      </c>
      <c r="AP444" s="0" t="n">
        <v>0</v>
      </c>
      <c r="AQ444" s="0" t="n">
        <v>0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n">
        <v>0</v>
      </c>
      <c r="AW444" s="0" t="n">
        <v>0</v>
      </c>
      <c r="AX444" s="0" t="n">
        <v>0</v>
      </c>
      <c r="AY444" s="0" t="n">
        <v>0</v>
      </c>
      <c r="AZ444" s="0" t="n">
        <v>0</v>
      </c>
      <c r="BA444" s="0" t="n">
        <v>0</v>
      </c>
      <c r="BB444" s="0" t="n">
        <v>0</v>
      </c>
      <c r="BC444" s="0" t="n">
        <v>0</v>
      </c>
      <c r="BD444" s="0" t="n">
        <v>0</v>
      </c>
      <c r="BE444" s="0" t="n">
        <v>0</v>
      </c>
      <c r="BF444" s="0" t="n">
        <v>0</v>
      </c>
      <c r="BG444" s="0" t="n">
        <v>0</v>
      </c>
      <c r="BH444" s="0" t="n">
        <v>0</v>
      </c>
      <c r="BI444" s="0" t="n">
        <v>0</v>
      </c>
      <c r="BJ444" s="0" t="n">
        <v>0</v>
      </c>
      <c r="BK444" s="0" t="n">
        <v>0</v>
      </c>
      <c r="BM444" s="6" t="n">
        <f aca="false">IFERROR(VALUE(F444),"")</f>
        <v>265.15</v>
      </c>
      <c r="BN444" s="6" t="n">
        <f aca="false">IF(R444="-","",IFERROR(VALUE(LEFT(Q444,LEN(Q444)-2)),""))</f>
        <v>97.36</v>
      </c>
      <c r="BO444" s="6" t="n">
        <f aca="false">IF(R444="-","",IFERROR(VALUE(LEFT(R444,LEN(R444)-5)),""))</f>
        <v>2.72</v>
      </c>
      <c r="BP444" s="6" t="n">
        <f aca="false">IF(R444="-","",IFERROR(VALUE(F444),""))</f>
        <v>265.15</v>
      </c>
      <c r="BQ444" s="4" t="n">
        <f aca="false">IF(R444="-",1,0)</f>
        <v>0</v>
      </c>
    </row>
    <row r="445" customFormat="false" ht="15" hidden="false" customHeight="false" outlineLevel="0" collapsed="false">
      <c r="A445" s="0" t="s">
        <v>1851</v>
      </c>
      <c r="B445" s="0" t="s">
        <v>1852</v>
      </c>
      <c r="C445" s="0" t="s">
        <v>70</v>
      </c>
      <c r="E445" s="3" t="n">
        <v>46275</v>
      </c>
      <c r="F445" s="4" t="s">
        <v>1861</v>
      </c>
      <c r="G445" s="5" t="n">
        <v>0.133634259259259</v>
      </c>
      <c r="H445" s="5" t="n">
        <v>0</v>
      </c>
      <c r="I445" s="5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5" t="n">
        <v>0</v>
      </c>
      <c r="P445" s="5" t="n">
        <v>0</v>
      </c>
      <c r="Q445" s="4" t="s">
        <v>1862</v>
      </c>
      <c r="R445" s="4" t="s">
        <v>1863</v>
      </c>
      <c r="S445" s="5" t="n">
        <v>0.000231481481481482</v>
      </c>
      <c r="T445" s="5" t="n">
        <v>0.0056712962962963</v>
      </c>
      <c r="U445" s="5" t="n">
        <v>0.00486111111111111</v>
      </c>
      <c r="V445" s="5" t="n">
        <v>0.00150462962962963</v>
      </c>
      <c r="W445" s="5" t="n">
        <v>0</v>
      </c>
      <c r="X445" s="5" t="n">
        <v>0</v>
      </c>
      <c r="Y445" s="5" t="n">
        <v>0</v>
      </c>
      <c r="Z445" s="0" t="n">
        <v>0</v>
      </c>
      <c r="AA445" s="0" t="n">
        <v>0</v>
      </c>
      <c r="AB445" s="0" t="n">
        <v>0</v>
      </c>
      <c r="AC445" s="4" t="s">
        <v>208</v>
      </c>
      <c r="AD445" s="4" t="s">
        <v>208</v>
      </c>
      <c r="AE445" s="4" t="s">
        <v>1860</v>
      </c>
      <c r="AF445" s="4" t="s">
        <v>1864</v>
      </c>
      <c r="AG445" s="5" t="n">
        <v>0.00310185185185185</v>
      </c>
      <c r="AH445" s="5" t="n">
        <v>0.170497685185185</v>
      </c>
      <c r="AI445" s="5" t="n">
        <v>0</v>
      </c>
      <c r="AJ445" s="5" t="n">
        <v>0</v>
      </c>
      <c r="AK445" s="5" t="n">
        <v>0</v>
      </c>
      <c r="AL445" s="5" t="n">
        <v>0</v>
      </c>
      <c r="AM445" s="4" t="s">
        <v>78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n">
        <v>0</v>
      </c>
      <c r="AW445" s="0" t="n">
        <v>0</v>
      </c>
      <c r="AX445" s="0" t="n">
        <v>0</v>
      </c>
      <c r="AY445" s="0" t="n">
        <v>0</v>
      </c>
      <c r="AZ445" s="0" t="n">
        <v>0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n">
        <v>0</v>
      </c>
      <c r="BF445" s="0" t="n">
        <v>0</v>
      </c>
      <c r="BG445" s="0" t="n">
        <v>0</v>
      </c>
      <c r="BH445" s="0" t="n">
        <v>0</v>
      </c>
      <c r="BI445" s="0" t="n">
        <v>0</v>
      </c>
      <c r="BJ445" s="0" t="n">
        <v>0</v>
      </c>
      <c r="BK445" s="0" t="n">
        <v>0</v>
      </c>
      <c r="BM445" s="6" t="n">
        <f aca="false">IFERROR(VALUE(F445),"")</f>
        <v>0.35</v>
      </c>
      <c r="BN445" s="6" t="n">
        <f aca="false">IF(R445="-","",IFERROR(VALUE(LEFT(Q445,LEN(Q445)-2)),""))</f>
        <v>1.05</v>
      </c>
      <c r="BO445" s="6" t="n">
        <f aca="false">IF(R445="-","",IFERROR(VALUE(LEFT(R445,LEN(R445)-5)),""))</f>
        <v>0.33</v>
      </c>
      <c r="BP445" s="6" t="n">
        <f aca="false">IF(R445="-","",IFERROR(VALUE(F445),""))</f>
        <v>0.35</v>
      </c>
      <c r="BQ445" s="4" t="n">
        <f aca="false">IF(R445="-",1,0)</f>
        <v>0</v>
      </c>
    </row>
    <row r="446" customFormat="false" ht="15" hidden="false" customHeight="false" outlineLevel="0" collapsed="false">
      <c r="A446" s="0" t="s">
        <v>1851</v>
      </c>
      <c r="B446" s="0" t="s">
        <v>1852</v>
      </c>
      <c r="C446" s="0" t="s">
        <v>70</v>
      </c>
      <c r="D446" s="0" t="s">
        <v>1865</v>
      </c>
      <c r="E446" s="3" t="n">
        <v>46276</v>
      </c>
      <c r="F446" s="4" t="s">
        <v>1866</v>
      </c>
      <c r="G446" s="5" t="n">
        <v>0.336747685185185</v>
      </c>
      <c r="H446" s="5" t="n">
        <v>0.266122685185185</v>
      </c>
      <c r="I446" s="5" t="n">
        <v>0.00320601851851852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19</v>
      </c>
      <c r="O446" s="5" t="n">
        <v>0</v>
      </c>
      <c r="P446" s="5" t="n">
        <v>0.0384259259259259</v>
      </c>
      <c r="Q446" s="4" t="s">
        <v>1867</v>
      </c>
      <c r="R446" s="4" t="s">
        <v>998</v>
      </c>
      <c r="S446" s="5" t="n">
        <v>0</v>
      </c>
      <c r="T446" s="5" t="n">
        <v>0.137268518518519</v>
      </c>
      <c r="U446" s="5" t="n">
        <v>0.105555555555556</v>
      </c>
      <c r="V446" s="5" t="n">
        <v>0.0680555555555556</v>
      </c>
      <c r="W446" s="5" t="n">
        <v>0</v>
      </c>
      <c r="X446" s="5" t="n">
        <v>0</v>
      </c>
      <c r="Y446" s="5" t="n">
        <v>0</v>
      </c>
      <c r="Z446" s="0" t="n">
        <v>0</v>
      </c>
      <c r="AA446" s="0" t="n">
        <v>0</v>
      </c>
      <c r="AB446" s="0" t="n">
        <v>0</v>
      </c>
      <c r="AC446" s="4" t="s">
        <v>208</v>
      </c>
      <c r="AD446" s="4" t="s">
        <v>208</v>
      </c>
      <c r="AE446" s="4" t="s">
        <v>1864</v>
      </c>
      <c r="AF446" s="4" t="s">
        <v>1868</v>
      </c>
      <c r="AG446" s="5" t="n">
        <v>0.2359375</v>
      </c>
      <c r="AH446" s="5" t="n">
        <v>0.180613425925926</v>
      </c>
      <c r="AI446" s="5" t="n">
        <v>0</v>
      </c>
      <c r="AJ446" s="5" t="n">
        <v>0</v>
      </c>
      <c r="AK446" s="5" t="n">
        <v>0</v>
      </c>
      <c r="AL446" s="5" t="n">
        <v>0</v>
      </c>
      <c r="AM446" s="4" t="s">
        <v>78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  <c r="AU446" s="0" t="n">
        <v>5</v>
      </c>
      <c r="AV446" s="0" t="n">
        <v>0</v>
      </c>
      <c r="AW446" s="0" t="n">
        <v>0</v>
      </c>
      <c r="AX446" s="0" t="n">
        <v>0</v>
      </c>
      <c r="AY446" s="0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0</v>
      </c>
      <c r="BK446" s="0" t="n">
        <v>0</v>
      </c>
      <c r="BM446" s="6" t="n">
        <f aca="false">IFERROR(VALUE(F446),"")</f>
        <v>123.35</v>
      </c>
      <c r="BN446" s="6" t="n">
        <f aca="false">IF(R446="-","",IFERROR(VALUE(LEFT(Q446,LEN(Q446)-2)),""))</f>
        <v>46.17</v>
      </c>
      <c r="BO446" s="6" t="n">
        <f aca="false">IF(R446="-","",IFERROR(VALUE(LEFT(R446,LEN(R446)-5)),""))</f>
        <v>2.67</v>
      </c>
      <c r="BP446" s="6" t="n">
        <f aca="false">IF(R446="-","",IFERROR(VALUE(F446),""))</f>
        <v>123.35</v>
      </c>
      <c r="BQ446" s="4" t="n">
        <f aca="false">IF(R446="-",1,0)</f>
        <v>0</v>
      </c>
    </row>
    <row r="447" customFormat="false" ht="15" hidden="false" customHeight="false" outlineLevel="0" collapsed="false">
      <c r="A447" s="0" t="s">
        <v>1851</v>
      </c>
      <c r="B447" s="0" t="s">
        <v>1852</v>
      </c>
      <c r="C447" s="0" t="s">
        <v>70</v>
      </c>
      <c r="E447" s="3" t="n">
        <v>46277</v>
      </c>
      <c r="F447" s="4" t="s">
        <v>95</v>
      </c>
      <c r="G447" s="5" t="n">
        <v>0</v>
      </c>
      <c r="H447" s="5" t="n">
        <v>0</v>
      </c>
      <c r="I447" s="5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5" t="n">
        <v>0</v>
      </c>
      <c r="P447" s="5" t="n">
        <v>0</v>
      </c>
      <c r="Q447" s="4" t="s">
        <v>73</v>
      </c>
      <c r="R447" s="4" t="s">
        <v>73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0" t="n">
        <v>0</v>
      </c>
      <c r="AA447" s="0" t="n">
        <v>0</v>
      </c>
      <c r="AB447" s="0" t="n">
        <v>0</v>
      </c>
      <c r="AC447" s="4" t="s">
        <v>208</v>
      </c>
      <c r="AD447" s="4" t="s">
        <v>208</v>
      </c>
      <c r="AE447" s="4" t="s">
        <v>1868</v>
      </c>
      <c r="AF447" s="4" t="s">
        <v>1868</v>
      </c>
      <c r="AG447" s="5" t="n">
        <v>0</v>
      </c>
      <c r="AH447" s="5" t="n">
        <v>0.00112268518518519</v>
      </c>
      <c r="AI447" s="5" t="n">
        <v>0</v>
      </c>
      <c r="AJ447" s="5" t="n">
        <v>0</v>
      </c>
      <c r="AK447" s="5" t="n">
        <v>0</v>
      </c>
      <c r="AL447" s="5" t="n">
        <v>0</v>
      </c>
      <c r="AM447" s="4" t="s">
        <v>78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0</v>
      </c>
      <c r="BI447" s="0" t="n">
        <v>0</v>
      </c>
      <c r="BJ447" s="0" t="n">
        <v>0</v>
      </c>
      <c r="BK447" s="0" t="n">
        <v>0</v>
      </c>
      <c r="BM447" s="6" t="n">
        <f aca="false">IFERROR(VALUE(F447),"")</f>
        <v>0</v>
      </c>
      <c r="BN447" s="6" t="str">
        <f aca="false">IF(R447="-","",IFERROR(VALUE(LEFT(Q447,LEN(Q447)-2)),""))</f>
        <v/>
      </c>
      <c r="BO447" s="6" t="str">
        <f aca="false">IF(R447="-","",IFERROR(VALUE(LEFT(R447,LEN(R447)-5)),""))</f>
        <v/>
      </c>
      <c r="BP447" s="6" t="str">
        <f aca="false">IF(R447="-","",IFERROR(VALUE(F447),""))</f>
        <v/>
      </c>
      <c r="BQ447" s="4" t="n">
        <f aca="false">IF(R447="-",1,0)</f>
        <v>1</v>
      </c>
    </row>
    <row r="448" customFormat="false" ht="15" hidden="false" customHeight="false" outlineLevel="0" collapsed="false">
      <c r="A448" s="0" t="s">
        <v>1851</v>
      </c>
      <c r="B448" s="0" t="s">
        <v>1852</v>
      </c>
      <c r="C448" s="0" t="s">
        <v>70</v>
      </c>
      <c r="D448" s="0" t="s">
        <v>1869</v>
      </c>
      <c r="E448" s="3" t="n">
        <v>46278</v>
      </c>
      <c r="F448" s="4" t="s">
        <v>1870</v>
      </c>
      <c r="G448" s="5" t="n">
        <v>0.133796296296296</v>
      </c>
      <c r="H448" s="5" t="n">
        <v>0.0601157407407407</v>
      </c>
      <c r="I448" s="5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6</v>
      </c>
      <c r="O448" s="5" t="n">
        <v>0</v>
      </c>
      <c r="P448" s="5" t="n">
        <v>0</v>
      </c>
      <c r="Q448" s="4" t="s">
        <v>1871</v>
      </c>
      <c r="R448" s="4" t="s">
        <v>1108</v>
      </c>
      <c r="S448" s="5" t="n">
        <v>0</v>
      </c>
      <c r="T448" s="5" t="n">
        <v>0.0357638888888889</v>
      </c>
      <c r="U448" s="5" t="n">
        <v>0.033912037037037</v>
      </c>
      <c r="V448" s="5" t="n">
        <v>0.0582175925925926</v>
      </c>
      <c r="W448" s="5" t="n">
        <v>0.000115740740740741</v>
      </c>
      <c r="X448" s="5" t="n">
        <v>0</v>
      </c>
      <c r="Y448" s="5" t="n">
        <v>0</v>
      </c>
      <c r="Z448" s="0" t="n">
        <v>0</v>
      </c>
      <c r="AA448" s="0" t="n">
        <v>0</v>
      </c>
      <c r="AB448" s="0" t="n">
        <v>0</v>
      </c>
      <c r="AC448" s="4" t="s">
        <v>208</v>
      </c>
      <c r="AD448" s="4" t="s">
        <v>73</v>
      </c>
      <c r="AE448" s="4" t="s">
        <v>1868</v>
      </c>
      <c r="AF448" s="4" t="s">
        <v>1872</v>
      </c>
      <c r="AG448" s="5" t="n">
        <v>0.114560185185185</v>
      </c>
      <c r="AH448" s="5" t="n">
        <v>0.0505324074074074</v>
      </c>
      <c r="AI448" s="5" t="n">
        <v>0</v>
      </c>
      <c r="AJ448" s="5" t="n">
        <v>0</v>
      </c>
      <c r="AK448" s="5" t="n">
        <v>0</v>
      </c>
      <c r="AL448" s="5" t="n">
        <v>0</v>
      </c>
      <c r="AM448" s="4" t="s">
        <v>78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  <c r="AU448" s="0" t="n">
        <v>0</v>
      </c>
      <c r="AV448" s="0" t="n">
        <v>0</v>
      </c>
      <c r="AW448" s="0" t="n">
        <v>0</v>
      </c>
      <c r="AX448" s="0" t="n">
        <v>0</v>
      </c>
      <c r="AY448" s="0" t="n">
        <v>0</v>
      </c>
      <c r="AZ448" s="0" t="n">
        <v>0</v>
      </c>
      <c r="BA448" s="0" t="n">
        <v>0</v>
      </c>
      <c r="BB448" s="0" t="n">
        <v>0</v>
      </c>
      <c r="BC448" s="0" t="n">
        <v>0</v>
      </c>
      <c r="BD448" s="0" t="n">
        <v>0</v>
      </c>
      <c r="BE448" s="0" t="n">
        <v>0</v>
      </c>
      <c r="BF448" s="0" t="n">
        <v>0</v>
      </c>
      <c r="BG448" s="0" t="n">
        <v>0</v>
      </c>
      <c r="BH448" s="0" t="n">
        <v>0</v>
      </c>
      <c r="BI448" s="0" t="n">
        <v>0</v>
      </c>
      <c r="BJ448" s="0" t="n">
        <v>0</v>
      </c>
      <c r="BK448" s="0" t="n">
        <v>0</v>
      </c>
      <c r="BM448" s="6" t="n">
        <f aca="false">IFERROR(VALUE(F448),"")</f>
        <v>79.15</v>
      </c>
      <c r="BN448" s="6" t="n">
        <f aca="false">IF(R448="-","",IFERROR(VALUE(LEFT(Q448,LEN(Q448)-2)),""))</f>
        <v>30.55</v>
      </c>
      <c r="BO448" s="6" t="n">
        <f aca="false">IF(R448="-","",IFERROR(VALUE(LEFT(R448,LEN(R448)-5)),""))</f>
        <v>2.59</v>
      </c>
      <c r="BP448" s="6" t="n">
        <f aca="false">IF(R448="-","",IFERROR(VALUE(F448),""))</f>
        <v>79.15</v>
      </c>
      <c r="BQ448" s="4" t="n">
        <f aca="false">IF(R448="-",1,0)</f>
        <v>0</v>
      </c>
    </row>
    <row r="449" customFormat="false" ht="15" hidden="false" customHeight="false" outlineLevel="0" collapsed="false">
      <c r="A449" s="0" t="s">
        <v>1851</v>
      </c>
      <c r="B449" s="0" t="s">
        <v>1852</v>
      </c>
      <c r="C449" s="0" t="s">
        <v>70</v>
      </c>
      <c r="D449" s="0" t="s">
        <v>211</v>
      </c>
      <c r="E449" s="3" t="n">
        <v>46279</v>
      </c>
      <c r="F449" s="4" t="s">
        <v>1873</v>
      </c>
      <c r="G449" s="5" t="n">
        <v>0.46275462962963</v>
      </c>
      <c r="H449" s="5" t="n">
        <v>0.460821759259259</v>
      </c>
      <c r="I449" s="5" t="n">
        <v>0.000243055555555556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2</v>
      </c>
      <c r="O449" s="5" t="n">
        <v>0</v>
      </c>
      <c r="P449" s="5" t="n">
        <v>0</v>
      </c>
      <c r="Q449" s="4" t="s">
        <v>1874</v>
      </c>
      <c r="R449" s="4" t="s">
        <v>492</v>
      </c>
      <c r="S449" s="5" t="n">
        <v>0</v>
      </c>
      <c r="T449" s="5" t="n">
        <v>0.127662037037037</v>
      </c>
      <c r="U449" s="5" t="n">
        <v>0.148032407407407</v>
      </c>
      <c r="V449" s="5" t="n">
        <v>0.178935185185185</v>
      </c>
      <c r="W449" s="5" t="n">
        <v>0.000231481481481482</v>
      </c>
      <c r="X449" s="5" t="n">
        <v>0</v>
      </c>
      <c r="Y449" s="5" t="n">
        <v>0</v>
      </c>
      <c r="Z449" s="0" t="n">
        <v>0</v>
      </c>
      <c r="AA449" s="0" t="n">
        <v>0</v>
      </c>
      <c r="AB449" s="0" t="n">
        <v>0</v>
      </c>
      <c r="AC449" s="4" t="s">
        <v>73</v>
      </c>
      <c r="AD449" s="4" t="s">
        <v>73</v>
      </c>
      <c r="AE449" s="4" t="s">
        <v>1872</v>
      </c>
      <c r="AF449" s="4" t="s">
        <v>1875</v>
      </c>
      <c r="AG449" s="5" t="n">
        <v>0.415439814814815</v>
      </c>
      <c r="AH449" s="5" t="n">
        <v>0.100810185185185</v>
      </c>
      <c r="AI449" s="5" t="n">
        <v>0</v>
      </c>
      <c r="AJ449" s="5" t="n">
        <v>0</v>
      </c>
      <c r="AK449" s="5" t="n">
        <v>0</v>
      </c>
      <c r="AL449" s="5" t="n">
        <v>0</v>
      </c>
      <c r="AM449" s="4" t="s">
        <v>78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  <c r="AU449" s="0" t="n">
        <v>0</v>
      </c>
      <c r="AV449" s="0" t="n">
        <v>0</v>
      </c>
      <c r="AW449" s="0" t="n">
        <v>0</v>
      </c>
      <c r="AX449" s="0" t="n">
        <v>0</v>
      </c>
      <c r="AY449" s="0" t="n">
        <v>0</v>
      </c>
      <c r="AZ449" s="0" t="n">
        <v>0</v>
      </c>
      <c r="BA449" s="0" t="n">
        <v>0</v>
      </c>
      <c r="BB449" s="0" t="n">
        <v>0</v>
      </c>
      <c r="BC449" s="0" t="n">
        <v>0</v>
      </c>
      <c r="BD449" s="0" t="n">
        <v>0</v>
      </c>
      <c r="BE449" s="0" t="n">
        <v>0</v>
      </c>
      <c r="BF449" s="0" t="n">
        <v>0</v>
      </c>
      <c r="BG449" s="0" t="n">
        <v>0</v>
      </c>
      <c r="BH449" s="0" t="n">
        <v>0</v>
      </c>
      <c r="BI449" s="0" t="n">
        <v>0</v>
      </c>
      <c r="BJ449" s="0" t="n">
        <v>0</v>
      </c>
      <c r="BK449" s="0" t="n">
        <v>0</v>
      </c>
      <c r="BM449" s="6" t="n">
        <f aca="false">IFERROR(VALUE(F449),"")</f>
        <v>282.25</v>
      </c>
      <c r="BN449" s="6" t="n">
        <f aca="false">IF(R449="-","",IFERROR(VALUE(LEFT(Q449,LEN(Q449)-2)),""))</f>
        <v>99.13</v>
      </c>
      <c r="BO449" s="6" t="n">
        <f aca="false">IF(R449="-","",IFERROR(VALUE(LEFT(R449,LEN(R449)-5)),""))</f>
        <v>2.85</v>
      </c>
      <c r="BP449" s="6" t="n">
        <f aca="false">IF(R449="-","",IFERROR(VALUE(F449),""))</f>
        <v>282.25</v>
      </c>
      <c r="BQ449" s="4" t="n">
        <f aca="false">IF(R449="-",1,0)</f>
        <v>0</v>
      </c>
    </row>
    <row r="450" customFormat="false" ht="15" hidden="false" customHeight="false" outlineLevel="0" collapsed="false">
      <c r="A450" s="0" t="s">
        <v>1876</v>
      </c>
      <c r="B450" s="0" t="s">
        <v>1877</v>
      </c>
      <c r="C450" s="0" t="s">
        <v>70</v>
      </c>
      <c r="D450" s="0" t="s">
        <v>1878</v>
      </c>
      <c r="E450" s="3" t="n">
        <v>46273</v>
      </c>
      <c r="F450" s="4" t="s">
        <v>1879</v>
      </c>
      <c r="G450" s="5" t="n">
        <v>0.278553240740741</v>
      </c>
      <c r="H450" s="5" t="n">
        <v>0.121145833333333</v>
      </c>
      <c r="I450" s="5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3</v>
      </c>
      <c r="O450" s="5" t="n">
        <v>0</v>
      </c>
      <c r="P450" s="5" t="n">
        <v>0</v>
      </c>
      <c r="Q450" s="4" t="s">
        <v>1880</v>
      </c>
      <c r="R450" s="4" t="s">
        <v>426</v>
      </c>
      <c r="S450" s="5" t="n">
        <v>0.000115740740740741</v>
      </c>
      <c r="T450" s="5" t="n">
        <v>0.096875</v>
      </c>
      <c r="U450" s="5" t="n">
        <v>0.0829861111111111</v>
      </c>
      <c r="V450" s="5" t="n">
        <v>0.0881944444444445</v>
      </c>
      <c r="W450" s="5" t="n">
        <v>0.000115740740740741</v>
      </c>
      <c r="X450" s="5" t="n">
        <v>0</v>
      </c>
      <c r="Y450" s="5" t="n">
        <v>0</v>
      </c>
      <c r="Z450" s="0" t="n">
        <v>0</v>
      </c>
      <c r="AA450" s="0" t="n">
        <v>0</v>
      </c>
      <c r="AB450" s="0" t="n">
        <v>0</v>
      </c>
      <c r="AC450" s="4" t="s">
        <v>1881</v>
      </c>
      <c r="AD450" s="4" t="s">
        <v>1881</v>
      </c>
      <c r="AE450" s="4" t="s">
        <v>1882</v>
      </c>
      <c r="AF450" s="4" t="s">
        <v>1883</v>
      </c>
      <c r="AG450" s="5" t="n">
        <v>0.230046296296296</v>
      </c>
      <c r="AH450" s="5" t="n">
        <v>0.151053240740741</v>
      </c>
      <c r="AI450" s="5" t="n">
        <v>0</v>
      </c>
      <c r="AJ450" s="5" t="n">
        <v>0</v>
      </c>
      <c r="AK450" s="5" t="n">
        <v>0</v>
      </c>
      <c r="AL450" s="5" t="n">
        <v>0</v>
      </c>
      <c r="AM450" s="4" t="s">
        <v>78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3</v>
      </c>
      <c r="AV450" s="0" t="n">
        <v>0</v>
      </c>
      <c r="AW450" s="0" t="n">
        <v>0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M450" s="6" t="n">
        <f aca="false">IFERROR(VALUE(F450),"")</f>
        <v>156.89</v>
      </c>
      <c r="BN450" s="6" t="n">
        <f aca="false">IF(R450="-","",IFERROR(VALUE(LEFT(Q450,LEN(Q450)-2)),""))</f>
        <v>55.88</v>
      </c>
      <c r="BO450" s="6" t="n">
        <f aca="false">IF(R450="-","",IFERROR(VALUE(LEFT(R450,LEN(R450)-5)),""))</f>
        <v>2.81</v>
      </c>
      <c r="BP450" s="6" t="n">
        <f aca="false">IF(R450="-","",IFERROR(VALUE(F450),""))</f>
        <v>156.89</v>
      </c>
      <c r="BQ450" s="4" t="n">
        <f aca="false">IF(R450="-",1,0)</f>
        <v>0</v>
      </c>
    </row>
    <row r="451" customFormat="false" ht="15" hidden="false" customHeight="false" outlineLevel="0" collapsed="false">
      <c r="A451" s="0" t="s">
        <v>1876</v>
      </c>
      <c r="B451" s="0" t="s">
        <v>1877</v>
      </c>
      <c r="C451" s="0" t="s">
        <v>70</v>
      </c>
      <c r="D451" s="0" t="s">
        <v>1884</v>
      </c>
      <c r="E451" s="3" t="n">
        <v>46274</v>
      </c>
      <c r="F451" s="4" t="s">
        <v>1885</v>
      </c>
      <c r="G451" s="5" t="n">
        <v>0.263414351851852</v>
      </c>
      <c r="H451" s="5" t="n">
        <v>0.121377314814815</v>
      </c>
      <c r="I451" s="5" t="n">
        <v>0.000104166666666667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1</v>
      </c>
      <c r="O451" s="5" t="n">
        <v>0</v>
      </c>
      <c r="P451" s="5" t="n">
        <v>0</v>
      </c>
      <c r="Q451" s="4" t="s">
        <v>1886</v>
      </c>
      <c r="R451" s="4" t="s">
        <v>1887</v>
      </c>
      <c r="S451" s="5" t="n">
        <v>0</v>
      </c>
      <c r="T451" s="5" t="n">
        <v>0.0756944444444444</v>
      </c>
      <c r="U451" s="5" t="n">
        <v>0.0835648148148148</v>
      </c>
      <c r="V451" s="5" t="n">
        <v>0.0993055555555556</v>
      </c>
      <c r="W451" s="5" t="n">
        <v>0.000231481481481482</v>
      </c>
      <c r="X451" s="5" t="n">
        <v>0</v>
      </c>
      <c r="Y451" s="5" t="n">
        <v>0</v>
      </c>
      <c r="Z451" s="0" t="n">
        <v>0</v>
      </c>
      <c r="AA451" s="0" t="n">
        <v>0</v>
      </c>
      <c r="AB451" s="0" t="n">
        <v>0</v>
      </c>
      <c r="AC451" s="4" t="s">
        <v>1881</v>
      </c>
      <c r="AD451" s="4" t="s">
        <v>1888</v>
      </c>
      <c r="AE451" s="4" t="s">
        <v>1883</v>
      </c>
      <c r="AF451" s="4" t="s">
        <v>1889</v>
      </c>
      <c r="AG451" s="5" t="n">
        <v>0.22775462962963</v>
      </c>
      <c r="AH451" s="5" t="n">
        <v>0.0689236111111111</v>
      </c>
      <c r="AI451" s="5" t="n">
        <v>0</v>
      </c>
      <c r="AJ451" s="5" t="n">
        <v>0</v>
      </c>
      <c r="AK451" s="5" t="n">
        <v>0</v>
      </c>
      <c r="AL451" s="5" t="n">
        <v>0</v>
      </c>
      <c r="AM451" s="4" t="s">
        <v>78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  <c r="AU451" s="0" t="n">
        <v>0</v>
      </c>
      <c r="AV451" s="0" t="n">
        <v>0</v>
      </c>
      <c r="AW451" s="0" t="n">
        <v>0</v>
      </c>
      <c r="AX451" s="0" t="n">
        <v>0</v>
      </c>
      <c r="AY451" s="0" t="n">
        <v>0</v>
      </c>
      <c r="AZ451" s="0" t="n">
        <v>0</v>
      </c>
      <c r="BA451" s="0" t="n">
        <v>0</v>
      </c>
      <c r="BB451" s="0" t="n">
        <v>0</v>
      </c>
      <c r="BC451" s="0" t="n">
        <v>0</v>
      </c>
      <c r="BD451" s="0" t="n">
        <v>0</v>
      </c>
      <c r="BE451" s="0" t="n">
        <v>0</v>
      </c>
      <c r="BF451" s="0" t="n">
        <v>0</v>
      </c>
      <c r="BG451" s="0" t="n">
        <v>0</v>
      </c>
      <c r="BH451" s="0" t="n">
        <v>0</v>
      </c>
      <c r="BI451" s="0" t="n">
        <v>0</v>
      </c>
      <c r="BJ451" s="0" t="n">
        <v>0</v>
      </c>
      <c r="BK451" s="0" t="n">
        <v>0</v>
      </c>
      <c r="BM451" s="6" t="n">
        <f aca="false">IFERROR(VALUE(F451),"")</f>
        <v>166.37</v>
      </c>
      <c r="BN451" s="6" t="n">
        <f aca="false">IF(R451="-","",IFERROR(VALUE(LEFT(Q451,LEN(Q451)-2)),""))</f>
        <v>53.42</v>
      </c>
      <c r="BO451" s="6" t="n">
        <f aca="false">IF(R451="-","",IFERROR(VALUE(LEFT(R451,LEN(R451)-5)),""))</f>
        <v>3.11</v>
      </c>
      <c r="BP451" s="6" t="n">
        <f aca="false">IF(R451="-","",IFERROR(VALUE(F451),""))</f>
        <v>166.37</v>
      </c>
      <c r="BQ451" s="4" t="n">
        <f aca="false">IF(R451="-",1,0)</f>
        <v>0</v>
      </c>
    </row>
    <row r="452" customFormat="false" ht="15" hidden="false" customHeight="false" outlineLevel="0" collapsed="false">
      <c r="A452" s="0" t="s">
        <v>1876</v>
      </c>
      <c r="B452" s="0" t="s">
        <v>1877</v>
      </c>
      <c r="C452" s="0" t="s">
        <v>70</v>
      </c>
      <c r="D452" s="0" t="s">
        <v>1878</v>
      </c>
      <c r="E452" s="3" t="n">
        <v>46275</v>
      </c>
      <c r="F452" s="4" t="s">
        <v>1890</v>
      </c>
      <c r="G452" s="5" t="n">
        <v>0.273888888888889</v>
      </c>
      <c r="H452" s="5" t="n">
        <v>0.139108796296296</v>
      </c>
      <c r="I452" s="5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5" t="n">
        <v>0</v>
      </c>
      <c r="P452" s="5" t="n">
        <v>0</v>
      </c>
      <c r="Q452" s="4" t="s">
        <v>1891</v>
      </c>
      <c r="R452" s="4" t="s">
        <v>1075</v>
      </c>
      <c r="S452" s="5" t="n">
        <v>0</v>
      </c>
      <c r="T452" s="5" t="n">
        <v>0.0850694444444445</v>
      </c>
      <c r="U452" s="5" t="n">
        <v>0.097337962962963</v>
      </c>
      <c r="V452" s="5" t="n">
        <v>0.0797916666666667</v>
      </c>
      <c r="W452" s="5" t="n">
        <v>0.000115740740740741</v>
      </c>
      <c r="X452" s="5" t="n">
        <v>0</v>
      </c>
      <c r="Y452" s="5" t="n">
        <v>0.000115740740740741</v>
      </c>
      <c r="Z452" s="0" t="n">
        <v>0</v>
      </c>
      <c r="AA452" s="0" t="n">
        <v>0</v>
      </c>
      <c r="AB452" s="0" t="n">
        <v>0</v>
      </c>
      <c r="AC452" s="4" t="s">
        <v>1888</v>
      </c>
      <c r="AD452" s="4" t="s">
        <v>1881</v>
      </c>
      <c r="AE452" s="4" t="s">
        <v>1889</v>
      </c>
      <c r="AF452" s="4" t="s">
        <v>1892</v>
      </c>
      <c r="AG452" s="5" t="n">
        <v>0.231261574074074</v>
      </c>
      <c r="AH452" s="5" t="n">
        <v>0.0880671296296296</v>
      </c>
      <c r="AI452" s="5" t="n">
        <v>0</v>
      </c>
      <c r="AJ452" s="5" t="n">
        <v>0</v>
      </c>
      <c r="AK452" s="5" t="n">
        <v>0</v>
      </c>
      <c r="AL452" s="5" t="n">
        <v>0</v>
      </c>
      <c r="AM452" s="4" t="s">
        <v>78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  <c r="AU452" s="0" t="n">
        <v>1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0</v>
      </c>
      <c r="BC452" s="0" t="n">
        <v>0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0</v>
      </c>
      <c r="BI452" s="0" t="n">
        <v>0</v>
      </c>
      <c r="BJ452" s="0" t="n">
        <v>0</v>
      </c>
      <c r="BK452" s="0" t="n">
        <v>0</v>
      </c>
      <c r="BM452" s="6" t="n">
        <f aca="false">IFERROR(VALUE(F452),"")</f>
        <v>167.29</v>
      </c>
      <c r="BN452" s="6" t="n">
        <f aca="false">IF(R452="-","",IFERROR(VALUE(LEFT(Q452,LEN(Q452)-2)),""))</f>
        <v>52.84</v>
      </c>
      <c r="BO452" s="6" t="n">
        <f aca="false">IF(R452="-","",IFERROR(VALUE(LEFT(R452,LEN(R452)-5)),""))</f>
        <v>3.17</v>
      </c>
      <c r="BP452" s="6" t="n">
        <f aca="false">IF(R452="-","",IFERROR(VALUE(F452),""))</f>
        <v>167.29</v>
      </c>
      <c r="BQ452" s="4" t="n">
        <f aca="false">IF(R452="-",1,0)</f>
        <v>0</v>
      </c>
    </row>
    <row r="453" customFormat="false" ht="15" hidden="false" customHeight="false" outlineLevel="0" collapsed="false">
      <c r="A453" s="0" t="s">
        <v>1876</v>
      </c>
      <c r="B453" s="0" t="s">
        <v>1877</v>
      </c>
      <c r="C453" s="0" t="s">
        <v>70</v>
      </c>
      <c r="D453" s="0" t="s">
        <v>1893</v>
      </c>
      <c r="E453" s="3" t="n">
        <v>46276</v>
      </c>
      <c r="F453" s="4" t="s">
        <v>1894</v>
      </c>
      <c r="G453" s="5" t="n">
        <v>0.267060185185185</v>
      </c>
      <c r="H453" s="5" t="n">
        <v>0.337881944444445</v>
      </c>
      <c r="I453" s="5" t="n">
        <v>0.000520833333333333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3</v>
      </c>
      <c r="O453" s="5" t="n">
        <v>0</v>
      </c>
      <c r="P453" s="5" t="n">
        <v>0</v>
      </c>
      <c r="Q453" s="4" t="s">
        <v>1895</v>
      </c>
      <c r="R453" s="4" t="s">
        <v>369</v>
      </c>
      <c r="S453" s="5" t="n">
        <v>0.000115740740740741</v>
      </c>
      <c r="T453" s="5" t="n">
        <v>0.078125</v>
      </c>
      <c r="U453" s="5" t="n">
        <v>0.0849537037037037</v>
      </c>
      <c r="V453" s="5" t="n">
        <v>0.0940972222222222</v>
      </c>
      <c r="W453" s="5" t="n">
        <v>0</v>
      </c>
      <c r="X453" s="5" t="n">
        <v>0</v>
      </c>
      <c r="Y453" s="5" t="n">
        <v>0</v>
      </c>
      <c r="Z453" s="0" t="n">
        <v>0</v>
      </c>
      <c r="AA453" s="0" t="n">
        <v>0</v>
      </c>
      <c r="AB453" s="0" t="n">
        <v>0</v>
      </c>
      <c r="AC453" s="4" t="s">
        <v>1881</v>
      </c>
      <c r="AD453" s="4" t="s">
        <v>1888</v>
      </c>
      <c r="AE453" s="4" t="s">
        <v>1892</v>
      </c>
      <c r="AF453" s="4" t="s">
        <v>1896</v>
      </c>
      <c r="AG453" s="5" t="n">
        <v>0.228668981481482</v>
      </c>
      <c r="AH453" s="5" t="n">
        <v>0.111018518518519</v>
      </c>
      <c r="AI453" s="5" t="n">
        <v>0</v>
      </c>
      <c r="AJ453" s="5" t="n">
        <v>0</v>
      </c>
      <c r="AK453" s="5" t="n">
        <v>0</v>
      </c>
      <c r="AL453" s="5" t="n">
        <v>0</v>
      </c>
      <c r="AM453" s="4" t="s">
        <v>78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n">
        <v>0</v>
      </c>
      <c r="AW453" s="0" t="n">
        <v>0</v>
      </c>
      <c r="AX453" s="0" t="n">
        <v>0</v>
      </c>
      <c r="AY453" s="0" t="n">
        <v>0</v>
      </c>
      <c r="AZ453" s="0" t="n">
        <v>0</v>
      </c>
      <c r="BA453" s="0" t="n">
        <v>0</v>
      </c>
      <c r="BB453" s="0" t="n">
        <v>0</v>
      </c>
      <c r="BC453" s="0" t="n">
        <v>0</v>
      </c>
      <c r="BD453" s="0" t="n">
        <v>0</v>
      </c>
      <c r="BE453" s="0" t="n">
        <v>0</v>
      </c>
      <c r="BF453" s="0" t="n">
        <v>0</v>
      </c>
      <c r="BG453" s="0" t="n">
        <v>0</v>
      </c>
      <c r="BH453" s="0" t="n">
        <v>0</v>
      </c>
      <c r="BI453" s="0" t="n">
        <v>0</v>
      </c>
      <c r="BJ453" s="0" t="n">
        <v>0</v>
      </c>
      <c r="BK453" s="0" t="n">
        <v>0</v>
      </c>
      <c r="BM453" s="6" t="n">
        <f aca="false">IFERROR(VALUE(F453),"")</f>
        <v>166.55</v>
      </c>
      <c r="BN453" s="6" t="n">
        <f aca="false">IF(R453="-","",IFERROR(VALUE(LEFT(Q453,LEN(Q453)-2)),""))</f>
        <v>53.93</v>
      </c>
      <c r="BO453" s="6" t="n">
        <f aca="false">IF(R453="-","",IFERROR(VALUE(LEFT(R453,LEN(R453)-5)),""))</f>
        <v>3.09</v>
      </c>
      <c r="BP453" s="6" t="n">
        <f aca="false">IF(R453="-","",IFERROR(VALUE(F453),""))</f>
        <v>166.55</v>
      </c>
      <c r="BQ453" s="4" t="n">
        <f aca="false">IF(R453="-",1,0)</f>
        <v>0</v>
      </c>
    </row>
    <row r="454" customFormat="false" ht="15" hidden="false" customHeight="false" outlineLevel="0" collapsed="false">
      <c r="A454" s="0" t="s">
        <v>1876</v>
      </c>
      <c r="B454" s="0" t="s">
        <v>1877</v>
      </c>
      <c r="C454" s="0" t="s">
        <v>70</v>
      </c>
      <c r="D454" s="0" t="s">
        <v>1878</v>
      </c>
      <c r="E454" s="3" t="n">
        <v>46277</v>
      </c>
      <c r="F454" s="4" t="s">
        <v>234</v>
      </c>
      <c r="G454" s="5" t="n">
        <v>0.234872685185185</v>
      </c>
      <c r="H454" s="5" t="n">
        <v>0.104652777777778</v>
      </c>
      <c r="I454" s="5" t="n">
        <v>0.00445601851851852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1</v>
      </c>
      <c r="O454" s="5" t="n">
        <v>0</v>
      </c>
      <c r="P454" s="5" t="n">
        <v>0</v>
      </c>
      <c r="Q454" s="4" t="s">
        <v>1897</v>
      </c>
      <c r="R454" s="4" t="s">
        <v>553</v>
      </c>
      <c r="S454" s="5" t="n">
        <v>0</v>
      </c>
      <c r="T454" s="5" t="n">
        <v>0.0628472222222222</v>
      </c>
      <c r="U454" s="5" t="n">
        <v>0.0797453703703704</v>
      </c>
      <c r="V454" s="5" t="n">
        <v>0.0887731481481481</v>
      </c>
      <c r="W454" s="5" t="n">
        <v>0</v>
      </c>
      <c r="X454" s="5" t="n">
        <v>0</v>
      </c>
      <c r="Y454" s="5" t="n">
        <v>0</v>
      </c>
      <c r="Z454" s="0" t="n">
        <v>0</v>
      </c>
      <c r="AA454" s="0" t="n">
        <v>0</v>
      </c>
      <c r="AB454" s="0" t="n">
        <v>0</v>
      </c>
      <c r="AC454" s="4" t="s">
        <v>1888</v>
      </c>
      <c r="AD454" s="4" t="s">
        <v>1881</v>
      </c>
      <c r="AE454" s="4" t="s">
        <v>1896</v>
      </c>
      <c r="AF454" s="4" t="s">
        <v>1898</v>
      </c>
      <c r="AG454" s="5" t="n">
        <v>0.212384259259259</v>
      </c>
      <c r="AH454" s="5" t="n">
        <v>0.067337962962963</v>
      </c>
      <c r="AI454" s="5" t="n">
        <v>0</v>
      </c>
      <c r="AJ454" s="5" t="n">
        <v>0</v>
      </c>
      <c r="AK454" s="5" t="n">
        <v>0</v>
      </c>
      <c r="AL454" s="5" t="n">
        <v>0</v>
      </c>
      <c r="AM454" s="4" t="s">
        <v>78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  <c r="AU454" s="0" t="n">
        <v>1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0</v>
      </c>
      <c r="BE454" s="0" t="n">
        <v>0</v>
      </c>
      <c r="BF454" s="0" t="n">
        <v>0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M454" s="6" t="n">
        <f aca="false">IFERROR(VALUE(F454),"")</f>
        <v>167.34</v>
      </c>
      <c r="BN454" s="6" t="n">
        <f aca="false">IF(R454="-","",IFERROR(VALUE(LEFT(Q454,LEN(Q454)-2)),""))</f>
        <v>54.59</v>
      </c>
      <c r="BO454" s="6" t="n">
        <f aca="false">IF(R454="-","",IFERROR(VALUE(LEFT(R454,LEN(R454)-5)),""))</f>
        <v>3.07</v>
      </c>
      <c r="BP454" s="6" t="n">
        <f aca="false">IF(R454="-","",IFERROR(VALUE(F454),""))</f>
        <v>167.34</v>
      </c>
      <c r="BQ454" s="4" t="n">
        <f aca="false">IF(R454="-",1,0)</f>
        <v>0</v>
      </c>
    </row>
    <row r="455" customFormat="false" ht="15" hidden="false" customHeight="false" outlineLevel="0" collapsed="false">
      <c r="A455" s="0" t="s">
        <v>1876</v>
      </c>
      <c r="B455" s="0" t="s">
        <v>1877</v>
      </c>
      <c r="C455" s="0" t="s">
        <v>70</v>
      </c>
      <c r="E455" s="3" t="n">
        <v>46278</v>
      </c>
      <c r="F455" s="4" t="s">
        <v>95</v>
      </c>
      <c r="G455" s="5" t="n">
        <v>0</v>
      </c>
      <c r="H455" s="5" t="n">
        <v>0</v>
      </c>
      <c r="I455" s="5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5" t="n">
        <v>0</v>
      </c>
      <c r="P455" s="5" t="n">
        <v>0</v>
      </c>
      <c r="Q455" s="4" t="s">
        <v>73</v>
      </c>
      <c r="R455" s="4" t="s">
        <v>73</v>
      </c>
      <c r="S455" s="5" t="n">
        <v>0</v>
      </c>
      <c r="T455" s="5" t="n">
        <v>0</v>
      </c>
      <c r="U455" s="5" t="n">
        <v>0</v>
      </c>
      <c r="V455" s="5" t="n">
        <v>0</v>
      </c>
      <c r="W455" s="5" t="n">
        <v>0</v>
      </c>
      <c r="X455" s="5" t="n">
        <v>0</v>
      </c>
      <c r="Y455" s="5" t="n">
        <v>0</v>
      </c>
      <c r="Z455" s="0" t="n">
        <v>0</v>
      </c>
      <c r="AA455" s="0" t="n">
        <v>0</v>
      </c>
      <c r="AB455" s="0" t="n">
        <v>0</v>
      </c>
      <c r="AE455" s="4" t="s">
        <v>1898</v>
      </c>
      <c r="AF455" s="4" t="s">
        <v>1898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n">
        <v>0</v>
      </c>
      <c r="AM455" s="4" t="s">
        <v>78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  <c r="AU455" s="0" t="n">
        <v>0</v>
      </c>
      <c r="AV455" s="0" t="n">
        <v>0</v>
      </c>
      <c r="AW455" s="0" t="n">
        <v>0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0</v>
      </c>
      <c r="BI455" s="0" t="n">
        <v>0</v>
      </c>
      <c r="BJ455" s="0" t="n">
        <v>0</v>
      </c>
      <c r="BK455" s="0" t="n">
        <v>0</v>
      </c>
      <c r="BM455" s="6" t="n">
        <f aca="false">IFERROR(VALUE(F455),"")</f>
        <v>0</v>
      </c>
      <c r="BN455" s="6" t="str">
        <f aca="false">IF(R455="-","",IFERROR(VALUE(LEFT(Q455,LEN(Q455)-2)),""))</f>
        <v/>
      </c>
      <c r="BO455" s="6" t="str">
        <f aca="false">IF(R455="-","",IFERROR(VALUE(LEFT(R455,LEN(R455)-5)),""))</f>
        <v/>
      </c>
      <c r="BP455" s="6" t="str">
        <f aca="false">IF(R455="-","",IFERROR(VALUE(F455),""))</f>
        <v/>
      </c>
      <c r="BQ455" s="4" t="n">
        <f aca="false">IF(R455="-",1,0)</f>
        <v>1</v>
      </c>
    </row>
    <row r="456" customFormat="false" ht="15" hidden="false" customHeight="false" outlineLevel="0" collapsed="false">
      <c r="A456" s="0" t="s">
        <v>1876</v>
      </c>
      <c r="B456" s="0" t="s">
        <v>1877</v>
      </c>
      <c r="C456" s="0" t="s">
        <v>70</v>
      </c>
      <c r="D456" s="0" t="s">
        <v>1878</v>
      </c>
      <c r="E456" s="3" t="n">
        <v>46279</v>
      </c>
      <c r="F456" s="4" t="s">
        <v>1899</v>
      </c>
      <c r="G456" s="5" t="n">
        <v>0.245868055555556</v>
      </c>
      <c r="H456" s="5" t="n">
        <v>0.0925</v>
      </c>
      <c r="I456" s="5" t="n">
        <v>0.00210648148148148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5" t="n">
        <v>0</v>
      </c>
      <c r="P456" s="5" t="n">
        <v>0</v>
      </c>
      <c r="Q456" s="4" t="s">
        <v>1900</v>
      </c>
      <c r="R456" s="4" t="s">
        <v>553</v>
      </c>
      <c r="S456" s="5" t="n">
        <v>0</v>
      </c>
      <c r="T456" s="5" t="n">
        <v>0.078125</v>
      </c>
      <c r="U456" s="5" t="n">
        <v>0.0805555555555556</v>
      </c>
      <c r="V456" s="5" t="n">
        <v>0.0804398148148148</v>
      </c>
      <c r="W456" s="5" t="n">
        <v>0</v>
      </c>
      <c r="X456" s="5" t="n">
        <v>0</v>
      </c>
      <c r="Y456" s="5" t="n">
        <v>0</v>
      </c>
      <c r="Z456" s="0" t="n">
        <v>0</v>
      </c>
      <c r="AA456" s="0" t="n">
        <v>0</v>
      </c>
      <c r="AB456" s="0" t="n">
        <v>0</v>
      </c>
      <c r="AC456" s="4" t="s">
        <v>1881</v>
      </c>
      <c r="AD456" s="4" t="s">
        <v>1881</v>
      </c>
      <c r="AE456" s="4" t="s">
        <v>1898</v>
      </c>
      <c r="AF456" s="4" t="s">
        <v>1901</v>
      </c>
      <c r="AG456" s="5" t="n">
        <v>0.209293981481482</v>
      </c>
      <c r="AH456" s="5" t="n">
        <v>0.0812962962962963</v>
      </c>
      <c r="AI456" s="5" t="n">
        <v>0</v>
      </c>
      <c r="AJ456" s="5" t="n">
        <v>0</v>
      </c>
      <c r="AK456" s="5" t="n">
        <v>0</v>
      </c>
      <c r="AL456" s="5" t="n">
        <v>0</v>
      </c>
      <c r="AM456" s="4" t="s">
        <v>78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  <c r="AU456" s="0" t="n">
        <v>0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0</v>
      </c>
      <c r="BK456" s="0" t="n">
        <v>0</v>
      </c>
      <c r="BM456" s="6" t="n">
        <f aca="false">IFERROR(VALUE(F456),"")</f>
        <v>157.01</v>
      </c>
      <c r="BN456" s="6" t="n">
        <f aca="false">IF(R456="-","",IFERROR(VALUE(LEFT(Q456,LEN(Q456)-2)),""))</f>
        <v>51.2</v>
      </c>
      <c r="BO456" s="6" t="n">
        <f aca="false">IF(R456="-","",IFERROR(VALUE(LEFT(R456,LEN(R456)-5)),""))</f>
        <v>3.07</v>
      </c>
      <c r="BP456" s="6" t="n">
        <f aca="false">IF(R456="-","",IFERROR(VALUE(F456),""))</f>
        <v>157.01</v>
      </c>
      <c r="BQ456" s="4" t="n">
        <f aca="false">IF(R456="-",1,0)</f>
        <v>0</v>
      </c>
    </row>
    <row r="457" customFormat="false" ht="15" hidden="false" customHeight="false" outlineLevel="0" collapsed="false">
      <c r="A457" s="0" t="s">
        <v>1902</v>
      </c>
      <c r="B457" s="0" t="s">
        <v>1903</v>
      </c>
      <c r="C457" s="0" t="s">
        <v>70</v>
      </c>
      <c r="D457" s="0" t="s">
        <v>1653</v>
      </c>
      <c r="E457" s="3" t="n">
        <v>46273</v>
      </c>
      <c r="F457" s="4" t="s">
        <v>1904</v>
      </c>
      <c r="G457" s="5" t="n">
        <v>0.0766898148148148</v>
      </c>
      <c r="H457" s="5" t="n">
        <v>0.0593287037037037</v>
      </c>
      <c r="I457" s="5" t="n">
        <v>0.000208333333333333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5" t="n">
        <v>0</v>
      </c>
      <c r="P457" s="5" t="n">
        <v>0</v>
      </c>
      <c r="Q457" s="4" t="s">
        <v>1905</v>
      </c>
      <c r="R457" s="4" t="s">
        <v>1169</v>
      </c>
      <c r="S457" s="5" t="n">
        <v>0.000115740740740741</v>
      </c>
      <c r="T457" s="5" t="n">
        <v>0.0303240740740741</v>
      </c>
      <c r="U457" s="5" t="n">
        <v>0.0239583333333333</v>
      </c>
      <c r="V457" s="5" t="n">
        <v>0.0204861111111111</v>
      </c>
      <c r="W457" s="5" t="n">
        <v>0</v>
      </c>
      <c r="X457" s="5" t="n">
        <v>0</v>
      </c>
      <c r="Y457" s="5" t="n">
        <v>0</v>
      </c>
      <c r="Z457" s="0" t="n">
        <v>0</v>
      </c>
      <c r="AA457" s="0" t="n">
        <v>0</v>
      </c>
      <c r="AB457" s="0" t="n">
        <v>0</v>
      </c>
      <c r="AC457" s="4" t="s">
        <v>75</v>
      </c>
      <c r="AD457" s="4" t="s">
        <v>228</v>
      </c>
      <c r="AE457" s="4" t="s">
        <v>1906</v>
      </c>
      <c r="AF457" s="4" t="s">
        <v>1907</v>
      </c>
      <c r="AG457" s="5" t="n">
        <v>0.0594328703703704</v>
      </c>
      <c r="AH457" s="5" t="n">
        <v>0.0825694444444445</v>
      </c>
      <c r="AI457" s="5" t="n">
        <v>0</v>
      </c>
      <c r="AJ457" s="5" t="n">
        <v>0</v>
      </c>
      <c r="AK457" s="5" t="n">
        <v>0</v>
      </c>
      <c r="AL457" s="5" t="n">
        <v>0</v>
      </c>
      <c r="AM457" s="4" t="s">
        <v>78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n">
        <v>0</v>
      </c>
      <c r="AW457" s="0" t="n">
        <v>0</v>
      </c>
      <c r="AX457" s="0" t="n">
        <v>0</v>
      </c>
      <c r="AY457" s="0" t="n">
        <v>0</v>
      </c>
      <c r="AZ457" s="0" t="n">
        <v>0</v>
      </c>
      <c r="BA457" s="0" t="n">
        <v>0</v>
      </c>
      <c r="BB457" s="0" t="n">
        <v>0</v>
      </c>
      <c r="BC457" s="0" t="n">
        <v>0</v>
      </c>
      <c r="BD457" s="0" t="n">
        <v>0</v>
      </c>
      <c r="BE457" s="0" t="n">
        <v>0</v>
      </c>
      <c r="BF457" s="0" t="n">
        <v>0</v>
      </c>
      <c r="BG457" s="0" t="n">
        <v>0</v>
      </c>
      <c r="BH457" s="0" t="n">
        <v>0</v>
      </c>
      <c r="BI457" s="0" t="n">
        <v>0</v>
      </c>
      <c r="BJ457" s="0" t="n">
        <v>0</v>
      </c>
      <c r="BK457" s="0" t="n">
        <v>0</v>
      </c>
      <c r="BM457" s="6" t="n">
        <f aca="false">IFERROR(VALUE(F457),"")</f>
        <v>30.01</v>
      </c>
      <c r="BN457" s="6" t="n">
        <f aca="false">IF(R457="-","",IFERROR(VALUE(LEFT(Q457,LEN(Q457)-2)),""))</f>
        <v>11.4</v>
      </c>
      <c r="BO457" s="6" t="n">
        <f aca="false">IF(R457="-","",IFERROR(VALUE(LEFT(R457,LEN(R457)-5)),""))</f>
        <v>2.63</v>
      </c>
      <c r="BP457" s="6" t="n">
        <f aca="false">IF(R457="-","",IFERROR(VALUE(F457),""))</f>
        <v>30.01</v>
      </c>
      <c r="BQ457" s="4" t="n">
        <f aca="false">IF(R457="-",1,0)</f>
        <v>0</v>
      </c>
    </row>
    <row r="458" customFormat="false" ht="15" hidden="false" customHeight="false" outlineLevel="0" collapsed="false">
      <c r="A458" s="0" t="s">
        <v>1902</v>
      </c>
      <c r="B458" s="0" t="s">
        <v>1903</v>
      </c>
      <c r="C458" s="0" t="s">
        <v>70</v>
      </c>
      <c r="D458" s="0" t="s">
        <v>1908</v>
      </c>
      <c r="E458" s="3" t="n">
        <v>46274</v>
      </c>
      <c r="F458" s="4" t="s">
        <v>1909</v>
      </c>
      <c r="G458" s="5" t="n">
        <v>0.180798611111111</v>
      </c>
      <c r="H458" s="5" t="n">
        <v>0.171805555555556</v>
      </c>
      <c r="I458" s="5" t="n">
        <v>0.00502314814814815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2</v>
      </c>
      <c r="O458" s="5" t="n">
        <v>0</v>
      </c>
      <c r="P458" s="5" t="n">
        <v>0</v>
      </c>
      <c r="Q458" s="4" t="s">
        <v>1910</v>
      </c>
      <c r="R458" s="4" t="s">
        <v>401</v>
      </c>
      <c r="S458" s="5" t="n">
        <v>0</v>
      </c>
      <c r="T458" s="5" t="n">
        <v>0.0678240740740741</v>
      </c>
      <c r="U458" s="5" t="n">
        <v>0.0403935185185185</v>
      </c>
      <c r="V458" s="5" t="n">
        <v>0.0700231481481482</v>
      </c>
      <c r="W458" s="5" t="n">
        <v>0.000115740740740741</v>
      </c>
      <c r="X458" s="5" t="n">
        <v>0</v>
      </c>
      <c r="Y458" s="5" t="n">
        <v>0</v>
      </c>
      <c r="Z458" s="0" t="n">
        <v>0</v>
      </c>
      <c r="AA458" s="0" t="n">
        <v>0</v>
      </c>
      <c r="AB458" s="0" t="n">
        <v>0</v>
      </c>
      <c r="AC458" s="4" t="s">
        <v>75</v>
      </c>
      <c r="AD458" s="4" t="s">
        <v>1131</v>
      </c>
      <c r="AE458" s="4" t="s">
        <v>1907</v>
      </c>
      <c r="AF458" s="4" t="s">
        <v>1911</v>
      </c>
      <c r="AG458" s="5" t="n">
        <v>0.144502314814815</v>
      </c>
      <c r="AH458" s="5" t="n">
        <v>0.0625925925925926</v>
      </c>
      <c r="AI458" s="5" t="n">
        <v>0</v>
      </c>
      <c r="AJ458" s="5" t="n">
        <v>0</v>
      </c>
      <c r="AK458" s="5" t="n">
        <v>0</v>
      </c>
      <c r="AL458" s="5" t="n">
        <v>0</v>
      </c>
      <c r="AM458" s="4" t="s">
        <v>78</v>
      </c>
      <c r="AN458" s="0" t="n">
        <v>0</v>
      </c>
      <c r="AO458" s="0" t="n">
        <v>3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1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0</v>
      </c>
      <c r="BM458" s="6" t="n">
        <f aca="false">IFERROR(VALUE(F458),"")</f>
        <v>113.95</v>
      </c>
      <c r="BN458" s="6" t="n">
        <f aca="false">IF(R458="-","",IFERROR(VALUE(LEFT(Q458,LEN(Q458)-2)),""))</f>
        <v>39.81</v>
      </c>
      <c r="BO458" s="6" t="n">
        <f aca="false">IF(R458="-","",IFERROR(VALUE(LEFT(R458,LEN(R458)-5)),""))</f>
        <v>2.86</v>
      </c>
      <c r="BP458" s="6" t="n">
        <f aca="false">IF(R458="-","",IFERROR(VALUE(F458),""))</f>
        <v>113.95</v>
      </c>
      <c r="BQ458" s="4" t="n">
        <f aca="false">IF(R458="-",1,0)</f>
        <v>0</v>
      </c>
    </row>
    <row r="459" customFormat="false" ht="15" hidden="false" customHeight="false" outlineLevel="0" collapsed="false">
      <c r="A459" s="0" t="s">
        <v>1902</v>
      </c>
      <c r="B459" s="0" t="s">
        <v>1903</v>
      </c>
      <c r="C459" s="0" t="s">
        <v>70</v>
      </c>
      <c r="D459" s="0" t="s">
        <v>1912</v>
      </c>
      <c r="E459" s="3" t="n">
        <v>46275</v>
      </c>
      <c r="F459" s="4" t="s">
        <v>1913</v>
      </c>
      <c r="G459" s="5" t="n">
        <v>0.290046296296296</v>
      </c>
      <c r="H459" s="5" t="n">
        <v>0.282025462962963</v>
      </c>
      <c r="I459" s="5" t="n">
        <v>9.25925925925926E-005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7</v>
      </c>
      <c r="O459" s="5" t="n">
        <v>0</v>
      </c>
      <c r="P459" s="5" t="n">
        <v>0</v>
      </c>
      <c r="Q459" s="4" t="s">
        <v>1914</v>
      </c>
      <c r="R459" s="4" t="s">
        <v>1685</v>
      </c>
      <c r="S459" s="5" t="n">
        <v>0</v>
      </c>
      <c r="T459" s="5" t="n">
        <v>0.0788194444444444</v>
      </c>
      <c r="U459" s="5" t="n">
        <v>0.065625</v>
      </c>
      <c r="V459" s="5" t="n">
        <v>0.134375</v>
      </c>
      <c r="W459" s="5" t="n">
        <v>0.00127314814814815</v>
      </c>
      <c r="X459" s="5" t="n">
        <v>0</v>
      </c>
      <c r="Y459" s="5" t="n">
        <v>0</v>
      </c>
      <c r="Z459" s="0" t="n">
        <v>0</v>
      </c>
      <c r="AA459" s="0" t="n">
        <v>0</v>
      </c>
      <c r="AB459" s="0" t="n">
        <v>0</v>
      </c>
      <c r="AC459" s="4" t="s">
        <v>1131</v>
      </c>
      <c r="AD459" s="4" t="s">
        <v>1131</v>
      </c>
      <c r="AE459" s="4" t="s">
        <v>1911</v>
      </c>
      <c r="AF459" s="4" t="s">
        <v>1915</v>
      </c>
      <c r="AG459" s="5" t="n">
        <v>0.249664351851852</v>
      </c>
      <c r="AH459" s="5" t="n">
        <v>0.0587615740740741</v>
      </c>
      <c r="AI459" s="5" t="n">
        <v>0</v>
      </c>
      <c r="AJ459" s="5" t="n">
        <v>0</v>
      </c>
      <c r="AK459" s="5" t="n">
        <v>0</v>
      </c>
      <c r="AL459" s="5" t="n">
        <v>0</v>
      </c>
      <c r="AM459" s="4" t="s">
        <v>78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  <c r="AU459" s="0" t="n">
        <v>0</v>
      </c>
      <c r="AV459" s="0" t="n">
        <v>0</v>
      </c>
      <c r="AW459" s="0" t="n">
        <v>0</v>
      </c>
      <c r="AX459" s="0" t="n">
        <v>0</v>
      </c>
      <c r="AY459" s="0" t="n">
        <v>0</v>
      </c>
      <c r="AZ459" s="0" t="n">
        <v>0</v>
      </c>
      <c r="BA459" s="0" t="n">
        <v>0</v>
      </c>
      <c r="BB459" s="0" t="n">
        <v>0</v>
      </c>
      <c r="BC459" s="0" t="n">
        <v>0</v>
      </c>
      <c r="BD459" s="0" t="n">
        <v>0</v>
      </c>
      <c r="BE459" s="0" t="n">
        <v>0</v>
      </c>
      <c r="BF459" s="0" t="n">
        <v>0</v>
      </c>
      <c r="BG459" s="0" t="n">
        <v>0</v>
      </c>
      <c r="BH459" s="0" t="n">
        <v>0</v>
      </c>
      <c r="BI459" s="0" t="n">
        <v>0</v>
      </c>
      <c r="BJ459" s="0" t="n">
        <v>0</v>
      </c>
      <c r="BK459" s="0" t="n">
        <v>0</v>
      </c>
      <c r="BM459" s="6" t="n">
        <f aca="false">IFERROR(VALUE(F459),"")</f>
        <v>177.22</v>
      </c>
      <c r="BN459" s="6" t="n">
        <f aca="false">IF(R459="-","",IFERROR(VALUE(LEFT(Q459,LEN(Q459)-2)),""))</f>
        <v>68.09</v>
      </c>
      <c r="BO459" s="6" t="n">
        <f aca="false">IF(R459="-","",IFERROR(VALUE(LEFT(R459,LEN(R459)-5)),""))</f>
        <v>2.6</v>
      </c>
      <c r="BP459" s="6" t="n">
        <f aca="false">IF(R459="-","",IFERROR(VALUE(F459),""))</f>
        <v>177.22</v>
      </c>
      <c r="BQ459" s="4" t="n">
        <f aca="false">IF(R459="-",1,0)</f>
        <v>0</v>
      </c>
    </row>
    <row r="460" customFormat="false" ht="15" hidden="false" customHeight="false" outlineLevel="0" collapsed="false">
      <c r="A460" s="0" t="s">
        <v>1902</v>
      </c>
      <c r="B460" s="0" t="s">
        <v>1903</v>
      </c>
      <c r="C460" s="0" t="s">
        <v>70</v>
      </c>
      <c r="D460" s="0" t="s">
        <v>1912</v>
      </c>
      <c r="E460" s="3" t="n">
        <v>46276</v>
      </c>
      <c r="F460" s="4" t="s">
        <v>1916</v>
      </c>
      <c r="G460" s="5" t="n">
        <v>0.291319444444445</v>
      </c>
      <c r="H460" s="5" t="n">
        <v>0.284363425925926</v>
      </c>
      <c r="I460" s="5" t="n">
        <v>0.000115740740740741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12</v>
      </c>
      <c r="O460" s="5" t="n">
        <v>0</v>
      </c>
      <c r="P460" s="5" t="n">
        <v>0</v>
      </c>
      <c r="Q460" s="4" t="s">
        <v>1917</v>
      </c>
      <c r="R460" s="4" t="s">
        <v>1108</v>
      </c>
      <c r="S460" s="5" t="n">
        <v>0</v>
      </c>
      <c r="T460" s="5" t="n">
        <v>0.0792824074074074</v>
      </c>
      <c r="U460" s="5" t="n">
        <v>0.053125</v>
      </c>
      <c r="V460" s="5" t="n">
        <v>0.141087962962963</v>
      </c>
      <c r="W460" s="5" t="n">
        <v>0.00520833333333333</v>
      </c>
      <c r="X460" s="5" t="n">
        <v>0</v>
      </c>
      <c r="Y460" s="5" t="n">
        <v>0</v>
      </c>
      <c r="Z460" s="0" t="n">
        <v>0</v>
      </c>
      <c r="AA460" s="0" t="n">
        <v>0</v>
      </c>
      <c r="AB460" s="0" t="n">
        <v>0</v>
      </c>
      <c r="AC460" s="4" t="s">
        <v>1131</v>
      </c>
      <c r="AD460" s="4" t="s">
        <v>1131</v>
      </c>
      <c r="AE460" s="4" t="s">
        <v>1915</v>
      </c>
      <c r="AF460" s="4" t="s">
        <v>1918</v>
      </c>
      <c r="AG460" s="5" t="n">
        <v>0.24849537037037</v>
      </c>
      <c r="AH460" s="5" t="n">
        <v>0.0565046296296296</v>
      </c>
      <c r="AI460" s="5" t="n">
        <v>0</v>
      </c>
      <c r="AJ460" s="5" t="n">
        <v>0</v>
      </c>
      <c r="AK460" s="5" t="n">
        <v>0</v>
      </c>
      <c r="AL460" s="5" t="n">
        <v>0</v>
      </c>
      <c r="AM460" s="4" t="s">
        <v>78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  <c r="AU460" s="0" t="n">
        <v>1</v>
      </c>
      <c r="AV460" s="0" t="n">
        <v>0</v>
      </c>
      <c r="AW460" s="0" t="n">
        <v>0</v>
      </c>
      <c r="AX460" s="0" t="n">
        <v>0</v>
      </c>
      <c r="AY460" s="0" t="n">
        <v>0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0</v>
      </c>
      <c r="BJ460" s="0" t="n">
        <v>0</v>
      </c>
      <c r="BK460" s="0" t="n">
        <v>0</v>
      </c>
      <c r="BM460" s="6" t="n">
        <f aca="false">IFERROR(VALUE(F460),"")</f>
        <v>177.11</v>
      </c>
      <c r="BN460" s="6" t="n">
        <f aca="false">IF(R460="-","",IFERROR(VALUE(LEFT(Q460,LEN(Q460)-2)),""))</f>
        <v>68.39</v>
      </c>
      <c r="BO460" s="6" t="n">
        <f aca="false">IF(R460="-","",IFERROR(VALUE(LEFT(R460,LEN(R460)-5)),""))</f>
        <v>2.59</v>
      </c>
      <c r="BP460" s="6" t="n">
        <f aca="false">IF(R460="-","",IFERROR(VALUE(F460),""))</f>
        <v>177.11</v>
      </c>
      <c r="BQ460" s="4" t="n">
        <f aca="false">IF(R460="-",1,0)</f>
        <v>0</v>
      </c>
    </row>
    <row r="461" customFormat="false" ht="15" hidden="false" customHeight="false" outlineLevel="0" collapsed="false">
      <c r="A461" s="0" t="s">
        <v>1902</v>
      </c>
      <c r="B461" s="0" t="s">
        <v>1903</v>
      </c>
      <c r="C461" s="0" t="s">
        <v>70</v>
      </c>
      <c r="D461" s="0" t="s">
        <v>1919</v>
      </c>
      <c r="E461" s="3" t="n">
        <v>46277</v>
      </c>
      <c r="F461" s="4" t="s">
        <v>1920</v>
      </c>
      <c r="G461" s="5" t="n">
        <v>0.355625</v>
      </c>
      <c r="H461" s="5" t="n">
        <v>0.331041666666667</v>
      </c>
      <c r="I461" s="5" t="n">
        <v>0.000625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11</v>
      </c>
      <c r="O461" s="5" t="n">
        <v>0</v>
      </c>
      <c r="P461" s="5" t="n">
        <v>0</v>
      </c>
      <c r="Q461" s="4" t="s">
        <v>1921</v>
      </c>
      <c r="R461" s="4" t="s">
        <v>535</v>
      </c>
      <c r="S461" s="5" t="n">
        <v>0</v>
      </c>
      <c r="T461" s="5" t="n">
        <v>0.127893518518519</v>
      </c>
      <c r="U461" s="5" t="n">
        <v>0.0924768518518519</v>
      </c>
      <c r="V461" s="5" t="n">
        <v>0.128935185185185</v>
      </c>
      <c r="W461" s="5" t="n">
        <v>0.000810185185185185</v>
      </c>
      <c r="X461" s="5" t="n">
        <v>0</v>
      </c>
      <c r="Y461" s="5" t="n">
        <v>0</v>
      </c>
      <c r="Z461" s="0" t="n">
        <v>0</v>
      </c>
      <c r="AA461" s="0" t="n">
        <v>0</v>
      </c>
      <c r="AB461" s="0" t="n">
        <v>0</v>
      </c>
      <c r="AC461" s="4" t="s">
        <v>1131</v>
      </c>
      <c r="AD461" s="4" t="s">
        <v>1131</v>
      </c>
      <c r="AE461" s="4" t="s">
        <v>1918</v>
      </c>
      <c r="AF461" s="4" t="s">
        <v>1922</v>
      </c>
      <c r="AG461" s="5" t="n">
        <v>0.288159722222222</v>
      </c>
      <c r="AH461" s="5" t="n">
        <v>0.113819444444444</v>
      </c>
      <c r="AI461" s="5" t="n">
        <v>0</v>
      </c>
      <c r="AJ461" s="5" t="n">
        <v>0</v>
      </c>
      <c r="AK461" s="5" t="n">
        <v>0</v>
      </c>
      <c r="AL461" s="5" t="n">
        <v>0</v>
      </c>
      <c r="AM461" s="4" t="s">
        <v>78</v>
      </c>
      <c r="AN461" s="0" t="n">
        <v>0</v>
      </c>
      <c r="AO461" s="0" t="n">
        <v>1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n">
        <v>0</v>
      </c>
      <c r="AW461" s="0" t="n">
        <v>0</v>
      </c>
      <c r="AX461" s="0" t="n">
        <v>0</v>
      </c>
      <c r="AY461" s="0" t="n">
        <v>0</v>
      </c>
      <c r="AZ461" s="0" t="n">
        <v>0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M461" s="6" t="n">
        <f aca="false">IFERROR(VALUE(F461),"")</f>
        <v>227.46</v>
      </c>
      <c r="BN461" s="6" t="n">
        <f aca="false">IF(R461="-","",IFERROR(VALUE(LEFT(Q461,LEN(Q461)-2)),""))</f>
        <v>72.2</v>
      </c>
      <c r="BO461" s="6" t="n">
        <f aca="false">IF(R461="-","",IFERROR(VALUE(LEFT(R461,LEN(R461)-5)),""))</f>
        <v>3.15</v>
      </c>
      <c r="BP461" s="6" t="n">
        <f aca="false">IF(R461="-","",IFERROR(VALUE(F461),""))</f>
        <v>227.46</v>
      </c>
      <c r="BQ461" s="4" t="n">
        <f aca="false">IF(R461="-",1,0)</f>
        <v>0</v>
      </c>
    </row>
    <row r="462" customFormat="false" ht="15" hidden="false" customHeight="false" outlineLevel="0" collapsed="false">
      <c r="A462" s="0" t="s">
        <v>1902</v>
      </c>
      <c r="B462" s="0" t="s">
        <v>1903</v>
      </c>
      <c r="C462" s="0" t="s">
        <v>70</v>
      </c>
      <c r="D462" s="0" t="s">
        <v>1908</v>
      </c>
      <c r="E462" s="3" t="n">
        <v>46278</v>
      </c>
      <c r="F462" s="4" t="s">
        <v>1923</v>
      </c>
      <c r="G462" s="5" t="n">
        <v>0.275196759259259</v>
      </c>
      <c r="H462" s="5" t="n">
        <v>0.272326388888889</v>
      </c>
      <c r="I462" s="5" t="n">
        <v>0.0021412037037037</v>
      </c>
      <c r="J462" s="0" t="n">
        <v>0</v>
      </c>
      <c r="K462" s="0" t="n">
        <v>1</v>
      </c>
      <c r="L462" s="0" t="n">
        <v>0</v>
      </c>
      <c r="M462" s="0" t="n">
        <v>0</v>
      </c>
      <c r="N462" s="0" t="n">
        <v>50</v>
      </c>
      <c r="O462" s="5" t="n">
        <v>0</v>
      </c>
      <c r="P462" s="5" t="n">
        <v>0</v>
      </c>
      <c r="Q462" s="4" t="s">
        <v>1924</v>
      </c>
      <c r="R462" s="4" t="s">
        <v>1421</v>
      </c>
      <c r="S462" s="5" t="n">
        <v>0</v>
      </c>
      <c r="T462" s="5" t="n">
        <v>0.0719907407407407</v>
      </c>
      <c r="U462" s="5" t="n">
        <v>0.0601851851851852</v>
      </c>
      <c r="V462" s="5" t="n">
        <v>0.124421296296296</v>
      </c>
      <c r="W462" s="5" t="n">
        <v>0.00185185185185185</v>
      </c>
      <c r="X462" s="5" t="n">
        <v>0</v>
      </c>
      <c r="Y462" s="5" t="n">
        <v>0</v>
      </c>
      <c r="Z462" s="0" t="n">
        <v>0</v>
      </c>
      <c r="AA462" s="0" t="n">
        <v>0</v>
      </c>
      <c r="AB462" s="0" t="n">
        <v>0</v>
      </c>
      <c r="AC462" s="4" t="s">
        <v>1131</v>
      </c>
      <c r="AD462" s="4" t="s">
        <v>1131</v>
      </c>
      <c r="AE462" s="4" t="s">
        <v>1922</v>
      </c>
      <c r="AF462" s="4" t="s">
        <v>1925</v>
      </c>
      <c r="AG462" s="5" t="n">
        <v>0.229583333333333</v>
      </c>
      <c r="AH462" s="5" t="n">
        <v>0.090474537037037</v>
      </c>
      <c r="AI462" s="5" t="n">
        <v>0</v>
      </c>
      <c r="AJ462" s="5" t="n">
        <v>0</v>
      </c>
      <c r="AK462" s="5" t="n">
        <v>0</v>
      </c>
      <c r="AL462" s="5" t="n">
        <v>0</v>
      </c>
      <c r="AM462" s="4" t="s">
        <v>78</v>
      </c>
      <c r="AN462" s="0" t="n">
        <v>0</v>
      </c>
      <c r="AO462" s="0" t="n">
        <v>5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0</v>
      </c>
      <c r="AV462" s="0" t="n">
        <v>0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0</v>
      </c>
      <c r="BI462" s="0" t="n">
        <v>0</v>
      </c>
      <c r="BJ462" s="0" t="n">
        <v>0</v>
      </c>
      <c r="BK462" s="0" t="n">
        <v>0</v>
      </c>
      <c r="BM462" s="6" t="n">
        <f aca="false">IFERROR(VALUE(F462),"")</f>
        <v>177.23</v>
      </c>
      <c r="BN462" s="6" t="n">
        <f aca="false">IF(R462="-","",IFERROR(VALUE(LEFT(Q462,LEN(Q462)-2)),""))</f>
        <v>66.7</v>
      </c>
      <c r="BO462" s="6" t="n">
        <f aca="false">IF(R462="-","",IFERROR(VALUE(LEFT(R462,LEN(R462)-5)),""))</f>
        <v>2.66</v>
      </c>
      <c r="BP462" s="6" t="n">
        <f aca="false">IF(R462="-","",IFERROR(VALUE(F462),""))</f>
        <v>177.23</v>
      </c>
      <c r="BQ462" s="4" t="n">
        <f aca="false">IF(R462="-",1,0)</f>
        <v>0</v>
      </c>
    </row>
    <row r="463" customFormat="false" ht="15" hidden="false" customHeight="false" outlineLevel="0" collapsed="false">
      <c r="A463" s="0" t="s">
        <v>1902</v>
      </c>
      <c r="B463" s="0" t="s">
        <v>1903</v>
      </c>
      <c r="C463" s="0" t="s">
        <v>70</v>
      </c>
      <c r="D463" s="0" t="s">
        <v>1908</v>
      </c>
      <c r="E463" s="3" t="n">
        <v>46279</v>
      </c>
      <c r="F463" s="4" t="s">
        <v>1926</v>
      </c>
      <c r="G463" s="5" t="n">
        <v>0.291168981481482</v>
      </c>
      <c r="H463" s="5" t="n">
        <v>0.288125</v>
      </c>
      <c r="I463" s="5" t="n">
        <v>0.00158564814814815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26</v>
      </c>
      <c r="O463" s="5" t="n">
        <v>0</v>
      </c>
      <c r="P463" s="5" t="n">
        <v>0</v>
      </c>
      <c r="Q463" s="4" t="s">
        <v>1927</v>
      </c>
      <c r="R463" s="4" t="s">
        <v>289</v>
      </c>
      <c r="S463" s="5" t="n">
        <v>0</v>
      </c>
      <c r="T463" s="5" t="n">
        <v>0.0928240740740741</v>
      </c>
      <c r="U463" s="5" t="n">
        <v>0.0684027777777778</v>
      </c>
      <c r="V463" s="5" t="n">
        <v>0.124074074074074</v>
      </c>
      <c r="W463" s="5" t="n">
        <v>0.0025462962962963</v>
      </c>
      <c r="X463" s="5" t="n">
        <v>0</v>
      </c>
      <c r="Y463" s="5" t="n">
        <v>0</v>
      </c>
      <c r="Z463" s="0" t="n">
        <v>0</v>
      </c>
      <c r="AA463" s="0" t="n">
        <v>0</v>
      </c>
      <c r="AB463" s="0" t="n">
        <v>0</v>
      </c>
      <c r="AC463" s="4" t="s">
        <v>1131</v>
      </c>
      <c r="AD463" s="4" t="s">
        <v>1131</v>
      </c>
      <c r="AE463" s="4" t="s">
        <v>1925</v>
      </c>
      <c r="AF463" s="4" t="s">
        <v>1928</v>
      </c>
      <c r="AG463" s="5" t="n">
        <v>0.235625</v>
      </c>
      <c r="AH463" s="5" t="n">
        <v>0.0767592592592593</v>
      </c>
      <c r="AI463" s="5" t="n">
        <v>0</v>
      </c>
      <c r="AJ463" s="5" t="n">
        <v>0</v>
      </c>
      <c r="AK463" s="5" t="n">
        <v>0</v>
      </c>
      <c r="AL463" s="5" t="n">
        <v>0</v>
      </c>
      <c r="AM463" s="4" t="s">
        <v>78</v>
      </c>
      <c r="AN463" s="0" t="n">
        <v>0</v>
      </c>
      <c r="AO463" s="0" t="n">
        <v>2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  <c r="AU463" s="0" t="n">
        <v>0</v>
      </c>
      <c r="AV463" s="0" t="n">
        <v>0</v>
      </c>
      <c r="AW463" s="0" t="n">
        <v>0</v>
      </c>
      <c r="AX463" s="0" t="n">
        <v>0</v>
      </c>
      <c r="AY463" s="0" t="n">
        <v>0</v>
      </c>
      <c r="AZ463" s="0" t="n">
        <v>0</v>
      </c>
      <c r="BA463" s="0" t="n">
        <v>0</v>
      </c>
      <c r="BB463" s="0" t="n">
        <v>0</v>
      </c>
      <c r="BC463" s="0" t="n">
        <v>0</v>
      </c>
      <c r="BD463" s="0" t="n">
        <v>0</v>
      </c>
      <c r="BE463" s="0" t="n">
        <v>0</v>
      </c>
      <c r="BF463" s="0" t="n">
        <v>0</v>
      </c>
      <c r="BG463" s="0" t="n">
        <v>0</v>
      </c>
      <c r="BH463" s="0" t="n">
        <v>0</v>
      </c>
      <c r="BI463" s="0" t="n">
        <v>0</v>
      </c>
      <c r="BJ463" s="0" t="n">
        <v>0</v>
      </c>
      <c r="BK463" s="0" t="n">
        <v>0</v>
      </c>
      <c r="BM463" s="6" t="n">
        <f aca="false">IFERROR(VALUE(F463),"")</f>
        <v>177.19</v>
      </c>
      <c r="BN463" s="6" t="n">
        <f aca="false">IF(R463="-","",IFERROR(VALUE(LEFT(Q463,LEN(Q463)-2)),""))</f>
        <v>70.87</v>
      </c>
      <c r="BO463" s="6" t="n">
        <f aca="false">IF(R463="-","",IFERROR(VALUE(LEFT(R463,LEN(R463)-5)),""))</f>
        <v>2.5</v>
      </c>
      <c r="BP463" s="6" t="n">
        <f aca="false">IF(R463="-","",IFERROR(VALUE(F463),""))</f>
        <v>177.19</v>
      </c>
      <c r="BQ463" s="4" t="n">
        <f aca="false">IF(R463="-",1,0)</f>
        <v>0</v>
      </c>
    </row>
    <row r="464" customFormat="false" ht="15" hidden="false" customHeight="false" outlineLevel="0" collapsed="false">
      <c r="A464" s="0" t="s">
        <v>1929</v>
      </c>
      <c r="B464" s="0" t="s">
        <v>1930</v>
      </c>
      <c r="C464" s="0" t="s">
        <v>70</v>
      </c>
      <c r="D464" s="0" t="s">
        <v>1931</v>
      </c>
      <c r="E464" s="3" t="n">
        <v>46273</v>
      </c>
      <c r="F464" s="4" t="s">
        <v>1932</v>
      </c>
      <c r="G464" s="5" t="n">
        <v>0.236631944444444</v>
      </c>
      <c r="H464" s="5" t="n">
        <v>0.211481481481482</v>
      </c>
      <c r="I464" s="5" t="n">
        <v>0.00118055555555556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8</v>
      </c>
      <c r="O464" s="5" t="n">
        <v>0</v>
      </c>
      <c r="P464" s="5" t="n">
        <v>0</v>
      </c>
      <c r="Q464" s="4" t="s">
        <v>1933</v>
      </c>
      <c r="R464" s="4" t="s">
        <v>1421</v>
      </c>
      <c r="S464" s="5" t="n">
        <v>0</v>
      </c>
      <c r="T464" s="5" t="n">
        <v>0.0803240740740741</v>
      </c>
      <c r="U464" s="5" t="n">
        <v>0.0387847222222222</v>
      </c>
      <c r="V464" s="5" t="n">
        <v>0.109259259259259</v>
      </c>
      <c r="W464" s="5" t="n">
        <v>0.00225694444444444</v>
      </c>
      <c r="X464" s="5" t="n">
        <v>0</v>
      </c>
      <c r="Y464" s="5" t="n">
        <v>0.000532407407407407</v>
      </c>
      <c r="Z464" s="0" t="n">
        <v>0</v>
      </c>
      <c r="AA464" s="0" t="n">
        <v>0</v>
      </c>
      <c r="AB464" s="0" t="n">
        <v>0</v>
      </c>
      <c r="AC464" s="4" t="s">
        <v>75</v>
      </c>
      <c r="AD464" s="4" t="s">
        <v>1131</v>
      </c>
      <c r="AE464" s="4" t="s">
        <v>1934</v>
      </c>
      <c r="AF464" s="4" t="s">
        <v>1935</v>
      </c>
      <c r="AG464" s="5" t="n">
        <v>0.193553240740741</v>
      </c>
      <c r="AH464" s="5" t="n">
        <v>0.0565856481481482</v>
      </c>
      <c r="AI464" s="5" t="n">
        <v>0</v>
      </c>
      <c r="AJ464" s="5" t="n">
        <v>0</v>
      </c>
      <c r="AK464" s="5" t="n">
        <v>0</v>
      </c>
      <c r="AL464" s="5" t="n">
        <v>0</v>
      </c>
      <c r="AM464" s="4" t="s">
        <v>78</v>
      </c>
      <c r="AN464" s="0" t="n">
        <v>0</v>
      </c>
      <c r="AO464" s="0" t="n">
        <v>4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  <c r="AU464" s="0" t="n">
        <v>2</v>
      </c>
      <c r="AV464" s="0" t="n">
        <v>0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0</v>
      </c>
      <c r="BI464" s="0" t="n">
        <v>0</v>
      </c>
      <c r="BJ464" s="0" t="n">
        <v>0</v>
      </c>
      <c r="BK464" s="0" t="n">
        <v>0</v>
      </c>
      <c r="BM464" s="6" t="n">
        <f aca="false">IFERROR(VALUE(F464),"")</f>
        <v>136.94</v>
      </c>
      <c r="BN464" s="6" t="n">
        <f aca="false">IF(R464="-","",IFERROR(VALUE(LEFT(Q464,LEN(Q464)-2)),""))</f>
        <v>51.52</v>
      </c>
      <c r="BO464" s="6" t="n">
        <f aca="false">IF(R464="-","",IFERROR(VALUE(LEFT(R464,LEN(R464)-5)),""))</f>
        <v>2.66</v>
      </c>
      <c r="BP464" s="6" t="n">
        <f aca="false">IF(R464="-","",IFERROR(VALUE(F464),""))</f>
        <v>136.94</v>
      </c>
      <c r="BQ464" s="4" t="n">
        <f aca="false">IF(R464="-",1,0)</f>
        <v>0</v>
      </c>
    </row>
    <row r="465" customFormat="false" ht="15" hidden="false" customHeight="false" outlineLevel="0" collapsed="false">
      <c r="A465" s="0" t="s">
        <v>1929</v>
      </c>
      <c r="B465" s="0" t="s">
        <v>1930</v>
      </c>
      <c r="C465" s="0" t="s">
        <v>70</v>
      </c>
      <c r="D465" s="0" t="s">
        <v>1912</v>
      </c>
      <c r="E465" s="3" t="n">
        <v>46274</v>
      </c>
      <c r="F465" s="4" t="s">
        <v>1936</v>
      </c>
      <c r="G465" s="5" t="n">
        <v>0.302569444444444</v>
      </c>
      <c r="H465" s="5" t="n">
        <v>0.286273148148148</v>
      </c>
      <c r="I465" s="5" t="n">
        <v>4.62962962962963E-005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25</v>
      </c>
      <c r="O465" s="5" t="n">
        <v>0</v>
      </c>
      <c r="P465" s="5" t="n">
        <v>0.00704861111111111</v>
      </c>
      <c r="Q465" s="4" t="s">
        <v>1937</v>
      </c>
      <c r="R465" s="4" t="s">
        <v>1362</v>
      </c>
      <c r="S465" s="5" t="n">
        <v>0</v>
      </c>
      <c r="T465" s="5" t="n">
        <v>0.0792824074074074</v>
      </c>
      <c r="U465" s="5" t="n">
        <v>0.0606597222222222</v>
      </c>
      <c r="V465" s="5" t="n">
        <v>0.150914351851852</v>
      </c>
      <c r="W465" s="5" t="n">
        <v>0.00725694444444444</v>
      </c>
      <c r="X465" s="5" t="n">
        <v>0</v>
      </c>
      <c r="Y465" s="5" t="n">
        <v>0.000625</v>
      </c>
      <c r="Z465" s="0" t="n">
        <v>0</v>
      </c>
      <c r="AA465" s="0" t="n">
        <v>0</v>
      </c>
      <c r="AB465" s="0" t="n">
        <v>0</v>
      </c>
      <c r="AC465" s="4" t="s">
        <v>1131</v>
      </c>
      <c r="AD465" s="4" t="s">
        <v>1131</v>
      </c>
      <c r="AE465" s="4" t="s">
        <v>1935</v>
      </c>
      <c r="AF465" s="4" t="s">
        <v>1938</v>
      </c>
      <c r="AG465" s="5" t="n">
        <v>0.259918981481482</v>
      </c>
      <c r="AH465" s="5" t="n">
        <v>0.0490277777777778</v>
      </c>
      <c r="AI465" s="5" t="n">
        <v>0</v>
      </c>
      <c r="AJ465" s="5" t="n">
        <v>0</v>
      </c>
      <c r="AK465" s="5" t="n">
        <v>0</v>
      </c>
      <c r="AL465" s="5" t="n">
        <v>0</v>
      </c>
      <c r="AM465" s="4" t="s">
        <v>78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n">
        <v>0</v>
      </c>
      <c r="AW465" s="0" t="n">
        <v>0</v>
      </c>
      <c r="AX465" s="0" t="n">
        <v>0</v>
      </c>
      <c r="AY465" s="0" t="n">
        <v>0</v>
      </c>
      <c r="AZ465" s="0" t="n">
        <v>0</v>
      </c>
      <c r="BA465" s="0" t="n">
        <v>0</v>
      </c>
      <c r="BB465" s="0" t="n">
        <v>0</v>
      </c>
      <c r="BC465" s="0" t="n">
        <v>0</v>
      </c>
      <c r="BD465" s="0" t="n">
        <v>0</v>
      </c>
      <c r="BE465" s="0" t="n">
        <v>0</v>
      </c>
      <c r="BF465" s="0" t="n">
        <v>0</v>
      </c>
      <c r="BG465" s="0" t="n">
        <v>0</v>
      </c>
      <c r="BH465" s="0" t="n">
        <v>0</v>
      </c>
      <c r="BI465" s="0" t="n">
        <v>0</v>
      </c>
      <c r="BJ465" s="0" t="n">
        <v>0</v>
      </c>
      <c r="BK465" s="0" t="n">
        <v>0</v>
      </c>
      <c r="BM465" s="6" t="n">
        <f aca="false">IFERROR(VALUE(F465),"")</f>
        <v>177.7</v>
      </c>
      <c r="BN465" s="6" t="n">
        <f aca="false">IF(R465="-","",IFERROR(VALUE(LEFT(Q465,LEN(Q465)-2)),""))</f>
        <v>71.29</v>
      </c>
      <c r="BO465" s="6" t="n">
        <f aca="false">IF(R465="-","",IFERROR(VALUE(LEFT(R465,LEN(R465)-5)),""))</f>
        <v>2.49</v>
      </c>
      <c r="BP465" s="6" t="n">
        <f aca="false">IF(R465="-","",IFERROR(VALUE(F465),""))</f>
        <v>177.7</v>
      </c>
      <c r="BQ465" s="4" t="n">
        <f aca="false">IF(R465="-",1,0)</f>
        <v>0</v>
      </c>
    </row>
    <row r="466" customFormat="false" ht="15" hidden="false" customHeight="false" outlineLevel="0" collapsed="false">
      <c r="A466" s="0" t="s">
        <v>1929</v>
      </c>
      <c r="B466" s="0" t="s">
        <v>1930</v>
      </c>
      <c r="C466" s="0" t="s">
        <v>70</v>
      </c>
      <c r="D466" s="0" t="s">
        <v>1908</v>
      </c>
      <c r="E466" s="3" t="n">
        <v>46275</v>
      </c>
      <c r="F466" s="4" t="s">
        <v>1939</v>
      </c>
      <c r="G466" s="5" t="n">
        <v>0.349537037037037</v>
      </c>
      <c r="H466" s="5" t="n">
        <v>0.313310185185185</v>
      </c>
      <c r="I466" s="5" t="n">
        <v>0.00194444444444444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10</v>
      </c>
      <c r="O466" s="5" t="n">
        <v>0</v>
      </c>
      <c r="P466" s="5" t="n">
        <v>0.0109375</v>
      </c>
      <c r="Q466" s="4" t="s">
        <v>1940</v>
      </c>
      <c r="R466" s="4" t="s">
        <v>336</v>
      </c>
      <c r="S466" s="5" t="n">
        <v>0</v>
      </c>
      <c r="T466" s="5" t="n">
        <v>0.108564814814815</v>
      </c>
      <c r="U466" s="5" t="n">
        <v>0.0568634259259259</v>
      </c>
      <c r="V466" s="5" t="n">
        <v>0.167094907407407</v>
      </c>
      <c r="W466" s="5" t="n">
        <v>0.00265046296296296</v>
      </c>
      <c r="X466" s="5" t="n">
        <v>0</v>
      </c>
      <c r="Y466" s="5" t="n">
        <v>0.000439814814814815</v>
      </c>
      <c r="Z466" s="0" t="n">
        <v>0</v>
      </c>
      <c r="AA466" s="0" t="n">
        <v>0</v>
      </c>
      <c r="AB466" s="0" t="n">
        <v>0</v>
      </c>
      <c r="AC466" s="4" t="s">
        <v>1131</v>
      </c>
      <c r="AD466" s="4" t="s">
        <v>1131</v>
      </c>
      <c r="AE466" s="4" t="s">
        <v>1938</v>
      </c>
      <c r="AF466" s="4" t="s">
        <v>1941</v>
      </c>
      <c r="AG466" s="5" t="n">
        <v>0.279386574074074</v>
      </c>
      <c r="AH466" s="5" t="n">
        <v>0.0792939814814815</v>
      </c>
      <c r="AI466" s="5" t="n">
        <v>0</v>
      </c>
      <c r="AJ466" s="5" t="n">
        <v>0</v>
      </c>
      <c r="AK466" s="5" t="n">
        <v>0</v>
      </c>
      <c r="AL466" s="5" t="n">
        <v>0</v>
      </c>
      <c r="AM466" s="4" t="s">
        <v>78</v>
      </c>
      <c r="AN466" s="0" t="n">
        <v>0</v>
      </c>
      <c r="AO466" s="0" t="n">
        <v>2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n">
        <v>0</v>
      </c>
      <c r="AW466" s="0" t="n">
        <v>0</v>
      </c>
      <c r="AX466" s="0" t="n">
        <v>0</v>
      </c>
      <c r="AY466" s="0" t="n">
        <v>0</v>
      </c>
      <c r="AZ466" s="0" t="n">
        <v>0</v>
      </c>
      <c r="BA466" s="0" t="n">
        <v>0</v>
      </c>
      <c r="BB466" s="0" t="n">
        <v>0</v>
      </c>
      <c r="BC466" s="0" t="n">
        <v>0</v>
      </c>
      <c r="BD466" s="0" t="n">
        <v>0</v>
      </c>
      <c r="BE466" s="0" t="n">
        <v>0</v>
      </c>
      <c r="BF466" s="0" t="n">
        <v>0</v>
      </c>
      <c r="BG466" s="0" t="n">
        <v>0</v>
      </c>
      <c r="BH466" s="0" t="n">
        <v>0</v>
      </c>
      <c r="BI466" s="0" t="n">
        <v>0</v>
      </c>
      <c r="BJ466" s="0" t="n">
        <v>0</v>
      </c>
      <c r="BK466" s="0" t="n">
        <v>0</v>
      </c>
      <c r="BM466" s="6" t="n">
        <f aca="false">IFERROR(VALUE(F466),"")</f>
        <v>228.4</v>
      </c>
      <c r="BN466" s="6" t="n">
        <f aca="false">IF(R466="-","",IFERROR(VALUE(LEFT(Q466,LEN(Q466)-2)),""))</f>
        <v>80.66</v>
      </c>
      <c r="BO466" s="6" t="n">
        <f aca="false">IF(R466="-","",IFERROR(VALUE(LEFT(R466,LEN(R466)-5)),""))</f>
        <v>2.83</v>
      </c>
      <c r="BP466" s="6" t="n">
        <f aca="false">IF(R466="-","",IFERROR(VALUE(F466),""))</f>
        <v>228.4</v>
      </c>
      <c r="BQ466" s="4" t="n">
        <f aca="false">IF(R466="-",1,0)</f>
        <v>0</v>
      </c>
    </row>
    <row r="467" customFormat="false" ht="15" hidden="false" customHeight="false" outlineLevel="0" collapsed="false">
      <c r="A467" s="0" t="s">
        <v>1929</v>
      </c>
      <c r="B467" s="0" t="s">
        <v>1930</v>
      </c>
      <c r="C467" s="0" t="s">
        <v>70</v>
      </c>
      <c r="D467" s="0" t="s">
        <v>1908</v>
      </c>
      <c r="E467" s="3" t="n">
        <v>46276</v>
      </c>
      <c r="F467" s="4" t="s">
        <v>1942</v>
      </c>
      <c r="G467" s="5" t="n">
        <v>0.370127314814815</v>
      </c>
      <c r="H467" s="5" t="n">
        <v>0.328530092592593</v>
      </c>
      <c r="I467" s="5" t="n">
        <v>0.00210648148148148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5" t="n">
        <v>0</v>
      </c>
      <c r="P467" s="5" t="n">
        <v>0.0264814814814815</v>
      </c>
      <c r="Q467" s="4" t="s">
        <v>1943</v>
      </c>
      <c r="R467" s="4" t="s">
        <v>1944</v>
      </c>
      <c r="S467" s="5" t="n">
        <v>0</v>
      </c>
      <c r="T467" s="5" t="n">
        <v>0.134837962962963</v>
      </c>
      <c r="U467" s="5" t="n">
        <v>0.0525810185185185</v>
      </c>
      <c r="V467" s="5" t="n">
        <v>0.169143518518519</v>
      </c>
      <c r="W467" s="5" t="n">
        <v>0.00542824074074074</v>
      </c>
      <c r="X467" s="5" t="n">
        <v>0</v>
      </c>
      <c r="Y467" s="5" t="n">
        <v>0.00106481481481482</v>
      </c>
      <c r="Z467" s="0" t="n">
        <v>0</v>
      </c>
      <c r="AA467" s="0" t="n">
        <v>0</v>
      </c>
      <c r="AB467" s="0" t="n">
        <v>0</v>
      </c>
      <c r="AC467" s="4" t="s">
        <v>1131</v>
      </c>
      <c r="AD467" s="4" t="s">
        <v>1131</v>
      </c>
      <c r="AE467" s="4" t="s">
        <v>1941</v>
      </c>
      <c r="AF467" s="4" t="s">
        <v>1945</v>
      </c>
      <c r="AG467" s="5" t="n">
        <v>0.284270833333333</v>
      </c>
      <c r="AH467" s="5" t="n">
        <v>0.103078703703704</v>
      </c>
      <c r="AI467" s="5" t="n">
        <v>0</v>
      </c>
      <c r="AJ467" s="5" t="n">
        <v>0</v>
      </c>
      <c r="AK467" s="5" t="n">
        <v>0</v>
      </c>
      <c r="AL467" s="5" t="n">
        <v>0</v>
      </c>
      <c r="AM467" s="4" t="s">
        <v>78</v>
      </c>
      <c r="AN467" s="0" t="n">
        <v>0</v>
      </c>
      <c r="AO467" s="0" t="n">
        <v>3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  <c r="AU467" s="0" t="n">
        <v>3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M467" s="6" t="n">
        <f aca="false">IFERROR(VALUE(F467),"")</f>
        <v>228.28</v>
      </c>
      <c r="BN467" s="6" t="n">
        <f aca="false">IF(R467="-","",IFERROR(VALUE(LEFT(Q467,LEN(Q467)-2)),""))</f>
        <v>83.44</v>
      </c>
      <c r="BO467" s="6" t="n">
        <f aca="false">IF(R467="-","",IFERROR(VALUE(LEFT(R467,LEN(R467)-5)),""))</f>
        <v>2.74</v>
      </c>
      <c r="BP467" s="6" t="n">
        <f aca="false">IF(R467="-","",IFERROR(VALUE(F467),""))</f>
        <v>228.28</v>
      </c>
      <c r="BQ467" s="4" t="n">
        <f aca="false">IF(R467="-",1,0)</f>
        <v>0</v>
      </c>
    </row>
    <row r="468" customFormat="false" ht="15" hidden="false" customHeight="false" outlineLevel="0" collapsed="false">
      <c r="A468" s="0" t="s">
        <v>1929</v>
      </c>
      <c r="B468" s="0" t="s">
        <v>1930</v>
      </c>
      <c r="C468" s="0" t="s">
        <v>70</v>
      </c>
      <c r="D468" s="0" t="s">
        <v>1912</v>
      </c>
      <c r="E468" s="3" t="n">
        <v>46277</v>
      </c>
      <c r="F468" s="4" t="s">
        <v>1936</v>
      </c>
      <c r="G468" s="5" t="n">
        <v>0.302974537037037</v>
      </c>
      <c r="H468" s="5" t="n">
        <v>0.295011574074074</v>
      </c>
      <c r="I468" s="5" t="n">
        <v>0.000532407407407407</v>
      </c>
      <c r="J468" s="0" t="n">
        <v>0</v>
      </c>
      <c r="K468" s="0" t="n">
        <v>1</v>
      </c>
      <c r="L468" s="0" t="n">
        <v>0</v>
      </c>
      <c r="M468" s="0" t="n">
        <v>0</v>
      </c>
      <c r="N468" s="0" t="n">
        <v>4</v>
      </c>
      <c r="O468" s="5" t="n">
        <v>0</v>
      </c>
      <c r="P468" s="5" t="n">
        <v>0</v>
      </c>
      <c r="Q468" s="4" t="s">
        <v>1946</v>
      </c>
      <c r="R468" s="4" t="s">
        <v>1947</v>
      </c>
      <c r="S468" s="5" t="n">
        <v>0</v>
      </c>
      <c r="T468" s="5" t="n">
        <v>0.0804513888888889</v>
      </c>
      <c r="U468" s="5" t="n">
        <v>0.04625</v>
      </c>
      <c r="V468" s="5" t="n">
        <v>0.155775462962963</v>
      </c>
      <c r="W468" s="5" t="n">
        <v>0.0111689814814815</v>
      </c>
      <c r="X468" s="5" t="n">
        <v>1.15740740740741E-005</v>
      </c>
      <c r="Y468" s="5" t="n">
        <v>0.00201388888888889</v>
      </c>
      <c r="Z468" s="0" t="n">
        <v>0</v>
      </c>
      <c r="AA468" s="0" t="n">
        <v>0</v>
      </c>
      <c r="AB468" s="0" t="n">
        <v>0</v>
      </c>
      <c r="AC468" s="4" t="s">
        <v>1131</v>
      </c>
      <c r="AD468" s="4" t="s">
        <v>1131</v>
      </c>
      <c r="AE468" s="4" t="s">
        <v>1945</v>
      </c>
      <c r="AF468" s="4" t="s">
        <v>1948</v>
      </c>
      <c r="AG468" s="5" t="n">
        <v>0.257685185185185</v>
      </c>
      <c r="AH468" s="5" t="n">
        <v>0.0485648148148148</v>
      </c>
      <c r="AI468" s="5" t="n">
        <v>0</v>
      </c>
      <c r="AJ468" s="5" t="n">
        <v>0</v>
      </c>
      <c r="AK468" s="5" t="n">
        <v>0</v>
      </c>
      <c r="AL468" s="5" t="n">
        <v>0</v>
      </c>
      <c r="AM468" s="4" t="s">
        <v>78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  <c r="AU468" s="0" t="n">
        <v>1</v>
      </c>
      <c r="AV468" s="0" t="n">
        <v>0</v>
      </c>
      <c r="AW468" s="0" t="n">
        <v>0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0</v>
      </c>
      <c r="BF468" s="0" t="n">
        <v>0</v>
      </c>
      <c r="BG468" s="0" t="n">
        <v>0</v>
      </c>
      <c r="BH468" s="0" t="n">
        <v>0</v>
      </c>
      <c r="BI468" s="0" t="n">
        <v>0</v>
      </c>
      <c r="BJ468" s="0" t="n">
        <v>0</v>
      </c>
      <c r="BK468" s="0" t="n">
        <v>0</v>
      </c>
      <c r="BM468" s="6" t="n">
        <f aca="false">IFERROR(VALUE(F468),"")</f>
        <v>177.7</v>
      </c>
      <c r="BN468" s="6" t="n">
        <f aca="false">IF(R468="-","",IFERROR(VALUE(LEFT(Q468,LEN(Q468)-2)),""))</f>
        <v>78.23</v>
      </c>
      <c r="BO468" s="6" t="n">
        <f aca="false">IF(R468="-","",IFERROR(VALUE(LEFT(R468,LEN(R468)-5)),""))</f>
        <v>2.27</v>
      </c>
      <c r="BP468" s="6" t="n">
        <f aca="false">IF(R468="-","",IFERROR(VALUE(F468),""))</f>
        <v>177.7</v>
      </c>
      <c r="BQ468" s="4" t="n">
        <f aca="false">IF(R468="-",1,0)</f>
        <v>0</v>
      </c>
    </row>
    <row r="469" customFormat="false" ht="15" hidden="false" customHeight="false" outlineLevel="0" collapsed="false">
      <c r="A469" s="0" t="s">
        <v>1929</v>
      </c>
      <c r="B469" s="0" t="s">
        <v>1930</v>
      </c>
      <c r="C469" s="0" t="s">
        <v>70</v>
      </c>
      <c r="D469" s="0" t="s">
        <v>1127</v>
      </c>
      <c r="E469" s="3" t="n">
        <v>46278</v>
      </c>
      <c r="F469" s="4" t="s">
        <v>1949</v>
      </c>
      <c r="G469" s="5" t="n">
        <v>0.333240740740741</v>
      </c>
      <c r="H469" s="5" t="n">
        <v>0.314305555555556</v>
      </c>
      <c r="I469" s="5" t="n">
        <v>0.00171296296296296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12</v>
      </c>
      <c r="O469" s="5" t="n">
        <v>0</v>
      </c>
      <c r="P469" s="5" t="n">
        <v>0.00709490740740741</v>
      </c>
      <c r="Q469" s="4" t="s">
        <v>1950</v>
      </c>
      <c r="R469" s="4" t="s">
        <v>1400</v>
      </c>
      <c r="S469" s="5" t="n">
        <v>0</v>
      </c>
      <c r="T469" s="5" t="n">
        <v>0.0886574074074074</v>
      </c>
      <c r="U469" s="5" t="n">
        <v>0.0550115740740741</v>
      </c>
      <c r="V469" s="5" t="n">
        <v>0.160972222222222</v>
      </c>
      <c r="W469" s="5" t="n">
        <v>0.00645833333333333</v>
      </c>
      <c r="X469" s="5" t="n">
        <v>0</v>
      </c>
      <c r="Y469" s="5" t="n">
        <v>0.00274305555555556</v>
      </c>
      <c r="Z469" s="0" t="n">
        <v>0</v>
      </c>
      <c r="AA469" s="0" t="n">
        <v>0</v>
      </c>
      <c r="AB469" s="0" t="n">
        <v>0</v>
      </c>
      <c r="AC469" s="4" t="s">
        <v>1131</v>
      </c>
      <c r="AD469" s="4" t="s">
        <v>1131</v>
      </c>
      <c r="AE469" s="4" t="s">
        <v>1948</v>
      </c>
      <c r="AF469" s="4" t="s">
        <v>1951</v>
      </c>
      <c r="AG469" s="5" t="n">
        <v>0.275520833333333</v>
      </c>
      <c r="AH469" s="5" t="n">
        <v>0.066400462962963</v>
      </c>
      <c r="AI469" s="5" t="n">
        <v>0</v>
      </c>
      <c r="AJ469" s="5" t="n">
        <v>0</v>
      </c>
      <c r="AK469" s="5" t="n">
        <v>0</v>
      </c>
      <c r="AL469" s="5" t="n">
        <v>0</v>
      </c>
      <c r="AM469" s="4" t="s">
        <v>78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  <c r="AU469" s="0" t="n">
        <v>0</v>
      </c>
      <c r="AV469" s="0" t="n">
        <v>0</v>
      </c>
      <c r="AW469" s="0" t="n">
        <v>0</v>
      </c>
      <c r="AX469" s="0" t="n">
        <v>0</v>
      </c>
      <c r="AY469" s="0" t="n">
        <v>0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0</v>
      </c>
      <c r="BG469" s="0" t="n">
        <v>0</v>
      </c>
      <c r="BH469" s="0" t="n">
        <v>0</v>
      </c>
      <c r="BI469" s="0" t="n">
        <v>0</v>
      </c>
      <c r="BJ469" s="0" t="n">
        <v>0</v>
      </c>
      <c r="BK469" s="0" t="n">
        <v>0</v>
      </c>
      <c r="BM469" s="6" t="n">
        <f aca="false">IFERROR(VALUE(F469),"")</f>
        <v>226.6</v>
      </c>
      <c r="BN469" s="6" t="n">
        <f aca="false">IF(R469="-","",IFERROR(VALUE(LEFT(Q469,LEN(Q469)-2)),""))</f>
        <v>71.7</v>
      </c>
      <c r="BO469" s="6" t="n">
        <f aca="false">IF(R469="-","",IFERROR(VALUE(LEFT(R469,LEN(R469)-5)),""))</f>
        <v>3.16</v>
      </c>
      <c r="BP469" s="6" t="n">
        <f aca="false">IF(R469="-","",IFERROR(VALUE(F469),""))</f>
        <v>226.6</v>
      </c>
      <c r="BQ469" s="4" t="n">
        <f aca="false">IF(R469="-",1,0)</f>
        <v>0</v>
      </c>
    </row>
    <row r="470" customFormat="false" ht="15" hidden="false" customHeight="false" outlineLevel="0" collapsed="false">
      <c r="A470" s="0" t="s">
        <v>1929</v>
      </c>
      <c r="B470" s="0" t="s">
        <v>1930</v>
      </c>
      <c r="C470" s="0" t="s">
        <v>70</v>
      </c>
      <c r="D470" s="0" t="s">
        <v>1127</v>
      </c>
      <c r="E470" s="3" t="n">
        <v>46279</v>
      </c>
      <c r="F470" s="4" t="s">
        <v>1952</v>
      </c>
      <c r="G470" s="5" t="n">
        <v>0.337453703703704</v>
      </c>
      <c r="H470" s="5" t="n">
        <v>0.327731481481482</v>
      </c>
      <c r="I470" s="5" t="n">
        <v>0.00087962962962963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6</v>
      </c>
      <c r="O470" s="5" t="n">
        <v>0</v>
      </c>
      <c r="P470" s="5" t="n">
        <v>0</v>
      </c>
      <c r="Q470" s="4" t="s">
        <v>1953</v>
      </c>
      <c r="R470" s="4" t="s">
        <v>1341</v>
      </c>
      <c r="S470" s="5" t="n">
        <v>0.000347222222222222</v>
      </c>
      <c r="T470" s="5" t="n">
        <v>0.0951388888888889</v>
      </c>
      <c r="U470" s="5" t="n">
        <v>0.0622453703703704</v>
      </c>
      <c r="V470" s="5" t="n">
        <v>0.159988425925926</v>
      </c>
      <c r="W470" s="5" t="n">
        <v>0.00791666666666667</v>
      </c>
      <c r="X470" s="5" t="n">
        <v>0.000266203703703704</v>
      </c>
      <c r="Y470" s="5" t="n">
        <v>0.003125</v>
      </c>
      <c r="Z470" s="0" t="n">
        <v>0</v>
      </c>
      <c r="AA470" s="0" t="n">
        <v>0</v>
      </c>
      <c r="AB470" s="0" t="n">
        <v>0</v>
      </c>
      <c r="AC470" s="4" t="s">
        <v>1131</v>
      </c>
      <c r="AD470" s="4" t="s">
        <v>1131</v>
      </c>
      <c r="AE470" s="4" t="s">
        <v>1951</v>
      </c>
      <c r="AF470" s="4" t="s">
        <v>1954</v>
      </c>
      <c r="AG470" s="5" t="n">
        <v>0.288240740740741</v>
      </c>
      <c r="AH470" s="5" t="n">
        <v>0.062349537037037</v>
      </c>
      <c r="AI470" s="5" t="n">
        <v>0</v>
      </c>
      <c r="AJ470" s="5" t="n">
        <v>0</v>
      </c>
      <c r="AK470" s="5" t="n">
        <v>0</v>
      </c>
      <c r="AL470" s="5" t="n">
        <v>0</v>
      </c>
      <c r="AM470" s="4" t="s">
        <v>78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  <c r="AU470" s="0" t="n">
        <v>4</v>
      </c>
      <c r="AV470" s="0" t="n">
        <v>0</v>
      </c>
      <c r="AW470" s="0" t="n">
        <v>0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M470" s="6" t="n">
        <f aca="false">IFERROR(VALUE(F470),"")</f>
        <v>228.05</v>
      </c>
      <c r="BN470" s="6" t="n">
        <f aca="false">IF(R470="-","",IFERROR(VALUE(LEFT(Q470,LEN(Q470)-2)),""))</f>
        <v>75.94</v>
      </c>
      <c r="BO470" s="6" t="n">
        <f aca="false">IF(R470="-","",IFERROR(VALUE(LEFT(R470,LEN(R470)-5)),""))</f>
        <v>3</v>
      </c>
      <c r="BP470" s="6" t="n">
        <f aca="false">IF(R470="-","",IFERROR(VALUE(F470),""))</f>
        <v>228.05</v>
      </c>
      <c r="BQ470" s="4" t="n">
        <f aca="false">IF(R470="-",1,0)</f>
        <v>0</v>
      </c>
    </row>
    <row r="471" customFormat="false" ht="15" hidden="false" customHeight="false" outlineLevel="0" collapsed="false">
      <c r="A471" s="0" t="s">
        <v>1955</v>
      </c>
      <c r="B471" s="0" t="s">
        <v>1956</v>
      </c>
      <c r="C471" s="0" t="s">
        <v>70</v>
      </c>
      <c r="E471" s="3" t="n">
        <v>46273</v>
      </c>
      <c r="F471" s="4" t="s">
        <v>1957</v>
      </c>
      <c r="G471" s="5" t="n">
        <v>0.344016203703704</v>
      </c>
      <c r="H471" s="5" t="n">
        <v>0</v>
      </c>
      <c r="I471" s="5" t="n">
        <v>0.000844907407407407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5" t="n">
        <v>0</v>
      </c>
      <c r="P471" s="5" t="n">
        <v>0.00939814814814815</v>
      </c>
      <c r="Q471" s="4" t="s">
        <v>1958</v>
      </c>
      <c r="R471" s="4" t="s">
        <v>1959</v>
      </c>
      <c r="S471" s="5" t="n">
        <v>0</v>
      </c>
      <c r="T471" s="5" t="n">
        <v>0.153125</v>
      </c>
      <c r="U471" s="5" t="n">
        <v>0.115509259259259</v>
      </c>
      <c r="V471" s="5" t="n">
        <v>0.0700231481481482</v>
      </c>
      <c r="W471" s="5" t="n">
        <v>0</v>
      </c>
      <c r="X471" s="5" t="n">
        <v>0</v>
      </c>
      <c r="Y471" s="5" t="n">
        <v>0</v>
      </c>
      <c r="Z471" s="0" t="n">
        <v>0</v>
      </c>
      <c r="AA471" s="0" t="n">
        <v>0</v>
      </c>
      <c r="AB471" s="0" t="n">
        <v>0</v>
      </c>
      <c r="AC471" s="4" t="s">
        <v>887</v>
      </c>
      <c r="AD471" s="4" t="s">
        <v>882</v>
      </c>
      <c r="AE471" s="4" t="s">
        <v>1960</v>
      </c>
      <c r="AF471" s="4" t="s">
        <v>1961</v>
      </c>
      <c r="AG471" s="5" t="n">
        <v>0.281736111111111</v>
      </c>
      <c r="AH471" s="5" t="n">
        <v>0.13306712962963</v>
      </c>
      <c r="AI471" s="5" t="n">
        <v>0</v>
      </c>
      <c r="AJ471" s="5" t="n">
        <v>0</v>
      </c>
      <c r="AK471" s="5" t="n">
        <v>0</v>
      </c>
      <c r="AL471" s="5" t="n">
        <v>0</v>
      </c>
      <c r="AM471" s="4" t="s">
        <v>78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1</v>
      </c>
      <c r="BD471" s="0" t="n">
        <v>2</v>
      </c>
      <c r="BE471" s="0" t="n">
        <v>0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0</v>
      </c>
      <c r="BK471" s="0" t="n">
        <v>0</v>
      </c>
      <c r="BM471" s="6" t="n">
        <f aca="false">IFERROR(VALUE(F471),"")</f>
        <v>165.11</v>
      </c>
      <c r="BN471" s="6" t="n">
        <f aca="false">IF(R471="-","",IFERROR(VALUE(LEFT(Q471,LEN(Q471)-2)),""))</f>
        <v>96.99</v>
      </c>
      <c r="BO471" s="6" t="n">
        <f aca="false">IF(R471="-","",IFERROR(VALUE(LEFT(R471,LEN(R471)-5)),""))</f>
        <v>1.7</v>
      </c>
      <c r="BP471" s="6" t="n">
        <f aca="false">IF(R471="-","",IFERROR(VALUE(F471),""))</f>
        <v>165.11</v>
      </c>
      <c r="BQ471" s="4" t="n">
        <f aca="false">IF(R471="-",1,0)</f>
        <v>0</v>
      </c>
    </row>
    <row r="472" customFormat="false" ht="15" hidden="false" customHeight="false" outlineLevel="0" collapsed="false">
      <c r="A472" s="0" t="s">
        <v>1955</v>
      </c>
      <c r="B472" s="0" t="s">
        <v>1956</v>
      </c>
      <c r="C472" s="0" t="s">
        <v>70</v>
      </c>
      <c r="E472" s="3" t="n">
        <v>46274</v>
      </c>
      <c r="F472" s="4" t="s">
        <v>1962</v>
      </c>
      <c r="G472" s="5" t="n">
        <v>0.50912037037037</v>
      </c>
      <c r="H472" s="5" t="n">
        <v>0</v>
      </c>
      <c r="I472" s="5" t="n">
        <v>0.0062037037037037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1</v>
      </c>
      <c r="O472" s="5" t="n">
        <v>0</v>
      </c>
      <c r="P472" s="5" t="n">
        <v>0.110520833333333</v>
      </c>
      <c r="Q472" s="4" t="s">
        <v>1963</v>
      </c>
      <c r="R472" s="4" t="s">
        <v>1964</v>
      </c>
      <c r="S472" s="5" t="n">
        <v>0</v>
      </c>
      <c r="T472" s="5" t="n">
        <v>0.264467592592593</v>
      </c>
      <c r="U472" s="5" t="n">
        <v>0.140162037037037</v>
      </c>
      <c r="V472" s="5" t="n">
        <v>0.0982638888888889</v>
      </c>
      <c r="W472" s="5" t="n">
        <v>0</v>
      </c>
      <c r="X472" s="5" t="n">
        <v>0</v>
      </c>
      <c r="Y472" s="5" t="n">
        <v>0</v>
      </c>
      <c r="Z472" s="0" t="n">
        <v>0</v>
      </c>
      <c r="AA472" s="0" t="n">
        <v>0</v>
      </c>
      <c r="AB472" s="0" t="n">
        <v>0</v>
      </c>
      <c r="AC472" s="4" t="s">
        <v>887</v>
      </c>
      <c r="AD472" s="4" t="s">
        <v>882</v>
      </c>
      <c r="AE472" s="4" t="s">
        <v>1961</v>
      </c>
      <c r="AF472" s="4" t="s">
        <v>1965</v>
      </c>
      <c r="AG472" s="5" t="n">
        <v>0.356053240740741</v>
      </c>
      <c r="AH472" s="5" t="n">
        <v>0.195381944444445</v>
      </c>
      <c r="AI472" s="5" t="n">
        <v>0</v>
      </c>
      <c r="AJ472" s="5" t="n">
        <v>0</v>
      </c>
      <c r="AK472" s="5" t="n">
        <v>0</v>
      </c>
      <c r="AL472" s="5" t="n">
        <v>0</v>
      </c>
      <c r="AM472" s="4" t="s">
        <v>78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0</v>
      </c>
      <c r="BA472" s="0" t="n">
        <v>0</v>
      </c>
      <c r="BB472" s="0" t="n">
        <v>0</v>
      </c>
      <c r="BC472" s="0" t="n">
        <v>0</v>
      </c>
      <c r="BD472" s="0" t="n">
        <v>2</v>
      </c>
      <c r="BE472" s="0" t="n">
        <v>0</v>
      </c>
      <c r="BF472" s="0" t="n">
        <v>0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0</v>
      </c>
      <c r="BM472" s="6" t="n">
        <f aca="false">IFERROR(VALUE(F472),"")</f>
        <v>268.58</v>
      </c>
      <c r="BN472" s="6" t="n">
        <f aca="false">IF(R472="-","",IFERROR(VALUE(LEFT(Q472,LEN(Q472)-2)),""))</f>
        <v>139.52</v>
      </c>
      <c r="BO472" s="6" t="n">
        <f aca="false">IF(R472="-","",IFERROR(VALUE(LEFT(R472,LEN(R472)-5)),""))</f>
        <v>1.93</v>
      </c>
      <c r="BP472" s="6" t="n">
        <f aca="false">IF(R472="-","",IFERROR(VALUE(F472),""))</f>
        <v>268.58</v>
      </c>
      <c r="BQ472" s="4" t="n">
        <f aca="false">IF(R472="-",1,0)</f>
        <v>0</v>
      </c>
    </row>
    <row r="473" customFormat="false" ht="15" hidden="false" customHeight="false" outlineLevel="0" collapsed="false">
      <c r="A473" s="0" t="s">
        <v>1955</v>
      </c>
      <c r="B473" s="0" t="s">
        <v>1956</v>
      </c>
      <c r="C473" s="0" t="s">
        <v>70</v>
      </c>
      <c r="D473" s="0" t="s">
        <v>1966</v>
      </c>
      <c r="E473" s="3" t="n">
        <v>46275</v>
      </c>
      <c r="F473" s="4" t="s">
        <v>1967</v>
      </c>
      <c r="G473" s="5" t="n">
        <v>0.560104166666667</v>
      </c>
      <c r="H473" s="5" t="n">
        <v>0.521412037037037</v>
      </c>
      <c r="I473" s="5" t="n">
        <v>0.00712962962962963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2</v>
      </c>
      <c r="O473" s="5" t="n">
        <v>0</v>
      </c>
      <c r="P473" s="5" t="n">
        <v>0.019224537037037</v>
      </c>
      <c r="Q473" s="4" t="s">
        <v>1968</v>
      </c>
      <c r="R473" s="4" t="s">
        <v>1969</v>
      </c>
      <c r="S473" s="5" t="n">
        <v>0.000231481481481482</v>
      </c>
      <c r="T473" s="5" t="n">
        <v>0.21724537037037</v>
      </c>
      <c r="U473" s="5" t="n">
        <v>0.190856481481482</v>
      </c>
      <c r="V473" s="5" t="n">
        <v>0.136921296296296</v>
      </c>
      <c r="W473" s="5" t="n">
        <v>0</v>
      </c>
      <c r="X473" s="5" t="n">
        <v>0</v>
      </c>
      <c r="Y473" s="5" t="n">
        <v>0</v>
      </c>
      <c r="Z473" s="0" t="n">
        <v>0</v>
      </c>
      <c r="AA473" s="0" t="n">
        <v>0</v>
      </c>
      <c r="AB473" s="0" t="n">
        <v>0</v>
      </c>
      <c r="AC473" s="4" t="s">
        <v>887</v>
      </c>
      <c r="AD473" s="4" t="s">
        <v>882</v>
      </c>
      <c r="AE473" s="4" t="s">
        <v>1965</v>
      </c>
      <c r="AF473" s="4" t="s">
        <v>1970</v>
      </c>
      <c r="AG473" s="5" t="n">
        <v>0.460324074074074</v>
      </c>
      <c r="AH473" s="5" t="n">
        <v>0.191990740740741</v>
      </c>
      <c r="AI473" s="5" t="n">
        <v>0</v>
      </c>
      <c r="AJ473" s="5" t="n">
        <v>0</v>
      </c>
      <c r="AK473" s="5" t="n">
        <v>0</v>
      </c>
      <c r="AL473" s="5" t="n">
        <v>0</v>
      </c>
      <c r="AM473" s="4" t="s">
        <v>78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2</v>
      </c>
      <c r="AV473" s="0" t="n">
        <v>0</v>
      </c>
      <c r="AW473" s="0" t="n">
        <v>0</v>
      </c>
      <c r="AX473" s="0" t="n">
        <v>0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0</v>
      </c>
      <c r="BI473" s="0" t="n">
        <v>0</v>
      </c>
      <c r="BJ473" s="0" t="n">
        <v>0</v>
      </c>
      <c r="BK473" s="0" t="n">
        <v>0</v>
      </c>
      <c r="BM473" s="6" t="n">
        <f aca="false">IFERROR(VALUE(F473),"")</f>
        <v>303.29</v>
      </c>
      <c r="BN473" s="6" t="n">
        <f aca="false">IF(R473="-","",IFERROR(VALUE(LEFT(Q473,LEN(Q473)-2)),""))</f>
        <v>171.49</v>
      </c>
      <c r="BO473" s="6" t="n">
        <f aca="false">IF(R473="-","",IFERROR(VALUE(LEFT(R473,LEN(R473)-5)),""))</f>
        <v>1.77</v>
      </c>
      <c r="BP473" s="6" t="n">
        <f aca="false">IF(R473="-","",IFERROR(VALUE(F473),""))</f>
        <v>303.29</v>
      </c>
      <c r="BQ473" s="4" t="n">
        <f aca="false">IF(R473="-",1,0)</f>
        <v>0</v>
      </c>
    </row>
    <row r="474" customFormat="false" ht="15" hidden="false" customHeight="false" outlineLevel="0" collapsed="false">
      <c r="A474" s="0" t="s">
        <v>1955</v>
      </c>
      <c r="B474" s="0" t="s">
        <v>1956</v>
      </c>
      <c r="C474" s="0" t="s">
        <v>70</v>
      </c>
      <c r="D474" s="0" t="s">
        <v>1971</v>
      </c>
      <c r="E474" s="3" t="n">
        <v>46276</v>
      </c>
      <c r="F474" s="4" t="s">
        <v>1972</v>
      </c>
      <c r="G474" s="5" t="n">
        <v>0.415925925925926</v>
      </c>
      <c r="H474" s="5" t="n">
        <v>0.386053240740741</v>
      </c>
      <c r="I474" s="5" t="n">
        <v>0.00826388888888889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2</v>
      </c>
      <c r="O474" s="5" t="n">
        <v>0</v>
      </c>
      <c r="P474" s="5" t="n">
        <v>0</v>
      </c>
      <c r="Q474" s="4" t="s">
        <v>1973</v>
      </c>
      <c r="R474" s="4" t="s">
        <v>1974</v>
      </c>
      <c r="S474" s="5" t="n">
        <v>0.000115740740740741</v>
      </c>
      <c r="T474" s="5" t="n">
        <v>0.142708333333333</v>
      </c>
      <c r="U474" s="5" t="n">
        <v>0.142939814814815</v>
      </c>
      <c r="V474" s="5" t="n">
        <v>0.118402777777778</v>
      </c>
      <c r="W474" s="5" t="n">
        <v>0</v>
      </c>
      <c r="X474" s="5" t="n">
        <v>0</v>
      </c>
      <c r="Y474" s="5" t="n">
        <v>0</v>
      </c>
      <c r="Z474" s="0" t="n">
        <v>0</v>
      </c>
      <c r="AA474" s="0" t="n">
        <v>0</v>
      </c>
      <c r="AB474" s="0" t="n">
        <v>0</v>
      </c>
      <c r="AC474" s="4" t="s">
        <v>887</v>
      </c>
      <c r="AD474" s="4" t="s">
        <v>208</v>
      </c>
      <c r="AE474" s="4" t="s">
        <v>1970</v>
      </c>
      <c r="AF474" s="4" t="s">
        <v>1975</v>
      </c>
      <c r="AG474" s="5" t="n">
        <v>0.338622685185185</v>
      </c>
      <c r="AH474" s="5" t="n">
        <v>0.197858796296296</v>
      </c>
      <c r="AI474" s="5" t="n">
        <v>0</v>
      </c>
      <c r="AJ474" s="5" t="n">
        <v>0</v>
      </c>
      <c r="AK474" s="5" t="n">
        <v>0</v>
      </c>
      <c r="AL474" s="5" t="n">
        <v>0</v>
      </c>
      <c r="AM474" s="4" t="s">
        <v>78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  <c r="AU474" s="0" t="n">
        <v>3</v>
      </c>
      <c r="AV474" s="0" t="n">
        <v>0</v>
      </c>
      <c r="AW474" s="0" t="n">
        <v>0</v>
      </c>
      <c r="AX474" s="0" t="n">
        <v>0</v>
      </c>
      <c r="AY474" s="0" t="n">
        <v>0</v>
      </c>
      <c r="AZ474" s="0" t="n">
        <v>0</v>
      </c>
      <c r="BA474" s="0" t="n">
        <v>0</v>
      </c>
      <c r="BB474" s="0" t="n">
        <v>0</v>
      </c>
      <c r="BC474" s="0" t="n">
        <v>0</v>
      </c>
      <c r="BD474" s="0" t="n">
        <v>0</v>
      </c>
      <c r="BE474" s="0" t="n">
        <v>0</v>
      </c>
      <c r="BF474" s="0" t="n">
        <v>0</v>
      </c>
      <c r="BG474" s="0" t="n">
        <v>0</v>
      </c>
      <c r="BH474" s="0" t="n">
        <v>0</v>
      </c>
      <c r="BI474" s="0" t="n">
        <v>0</v>
      </c>
      <c r="BJ474" s="0" t="n">
        <v>0</v>
      </c>
      <c r="BK474" s="0" t="n">
        <v>0</v>
      </c>
      <c r="BM474" s="6" t="n">
        <f aca="false">IFERROR(VALUE(F474),"")</f>
        <v>240.95</v>
      </c>
      <c r="BN474" s="6" t="n">
        <f aca="false">IF(R474="-","",IFERROR(VALUE(LEFT(Q474,LEN(Q474)-2)),""))</f>
        <v>147.49</v>
      </c>
      <c r="BO474" s="6" t="n">
        <f aca="false">IF(R474="-","",IFERROR(VALUE(LEFT(R474,LEN(R474)-5)),""))</f>
        <v>1.63</v>
      </c>
      <c r="BP474" s="6" t="n">
        <f aca="false">IF(R474="-","",IFERROR(VALUE(F474),""))</f>
        <v>240.95</v>
      </c>
      <c r="BQ474" s="4" t="n">
        <f aca="false">IF(R474="-",1,0)</f>
        <v>0</v>
      </c>
    </row>
    <row r="475" customFormat="false" ht="15" hidden="false" customHeight="false" outlineLevel="0" collapsed="false">
      <c r="A475" s="0" t="s">
        <v>1955</v>
      </c>
      <c r="B475" s="0" t="s">
        <v>1956</v>
      </c>
      <c r="C475" s="0" t="s">
        <v>70</v>
      </c>
      <c r="D475" s="0" t="s">
        <v>1976</v>
      </c>
      <c r="E475" s="3" t="n">
        <v>46277</v>
      </c>
      <c r="F475" s="4" t="s">
        <v>1977</v>
      </c>
      <c r="G475" s="5" t="n">
        <v>0.48775462962963</v>
      </c>
      <c r="H475" s="5" t="n">
        <v>0.365243055555556</v>
      </c>
      <c r="I475" s="5" t="n">
        <v>0.00150462962962963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5</v>
      </c>
      <c r="O475" s="5" t="n">
        <v>0</v>
      </c>
      <c r="P475" s="5" t="n">
        <v>0</v>
      </c>
      <c r="Q475" s="4" t="s">
        <v>1978</v>
      </c>
      <c r="R475" s="4" t="s">
        <v>1979</v>
      </c>
      <c r="S475" s="5" t="n">
        <v>0.000231481481481482</v>
      </c>
      <c r="T475" s="5" t="n">
        <v>0.166435185185185</v>
      </c>
      <c r="U475" s="5" t="n">
        <v>0.169791666666667</v>
      </c>
      <c r="V475" s="5" t="n">
        <v>0.115972222222222</v>
      </c>
      <c r="W475" s="5" t="n">
        <v>0</v>
      </c>
      <c r="X475" s="5" t="n">
        <v>0</v>
      </c>
      <c r="Y475" s="5" t="n">
        <v>0</v>
      </c>
      <c r="Z475" s="0" t="n">
        <v>0</v>
      </c>
      <c r="AA475" s="0" t="n">
        <v>0</v>
      </c>
      <c r="AB475" s="0" t="n">
        <v>0</v>
      </c>
      <c r="AC475" s="4" t="s">
        <v>208</v>
      </c>
      <c r="AD475" s="4" t="s">
        <v>893</v>
      </c>
      <c r="AE475" s="4" t="s">
        <v>1975</v>
      </c>
      <c r="AF475" s="4" t="s">
        <v>1980</v>
      </c>
      <c r="AG475" s="5" t="n">
        <v>0.377893518518519</v>
      </c>
      <c r="AH475" s="5" t="n">
        <v>0.169236111111111</v>
      </c>
      <c r="AI475" s="5" t="n">
        <v>0</v>
      </c>
      <c r="AJ475" s="5" t="n">
        <v>0</v>
      </c>
      <c r="AK475" s="5" t="n">
        <v>0</v>
      </c>
      <c r="AL475" s="5" t="n">
        <v>0</v>
      </c>
      <c r="AM475" s="4" t="s">
        <v>78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  <c r="AU475" s="0" t="n">
        <v>8</v>
      </c>
      <c r="AV475" s="0" t="n">
        <v>0</v>
      </c>
      <c r="AW475" s="0" t="n">
        <v>0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0</v>
      </c>
      <c r="BC475" s="0" t="n">
        <v>1</v>
      </c>
      <c r="BD475" s="0" t="n">
        <v>0</v>
      </c>
      <c r="BE475" s="0" t="n">
        <v>0</v>
      </c>
      <c r="BF475" s="0" t="n">
        <v>0</v>
      </c>
      <c r="BG475" s="0" t="n">
        <v>0</v>
      </c>
      <c r="BH475" s="0" t="n">
        <v>0</v>
      </c>
      <c r="BI475" s="0" t="n">
        <v>0</v>
      </c>
      <c r="BJ475" s="0" t="n">
        <v>0</v>
      </c>
      <c r="BK475" s="0" t="n">
        <v>0</v>
      </c>
      <c r="BM475" s="6" t="n">
        <f aca="false">IFERROR(VALUE(F475),"")</f>
        <v>270.95</v>
      </c>
      <c r="BN475" s="6" t="n">
        <f aca="false">IF(R475="-","",IFERROR(VALUE(LEFT(Q475,LEN(Q475)-2)),""))</f>
        <v>162.98</v>
      </c>
      <c r="BO475" s="6" t="n">
        <f aca="false">IF(R475="-","",IFERROR(VALUE(LEFT(R475,LEN(R475)-5)),""))</f>
        <v>1.66</v>
      </c>
      <c r="BP475" s="6" t="n">
        <f aca="false">IF(R475="-","",IFERROR(VALUE(F475),""))</f>
        <v>270.95</v>
      </c>
      <c r="BQ475" s="4" t="n">
        <f aca="false">IF(R475="-",1,0)</f>
        <v>0</v>
      </c>
    </row>
    <row r="476" customFormat="false" ht="15" hidden="false" customHeight="false" outlineLevel="0" collapsed="false">
      <c r="A476" s="0" t="s">
        <v>1955</v>
      </c>
      <c r="B476" s="0" t="s">
        <v>1956</v>
      </c>
      <c r="C476" s="0" t="s">
        <v>70</v>
      </c>
      <c r="E476" s="3" t="n">
        <v>46278</v>
      </c>
      <c r="F476" s="4" t="s">
        <v>95</v>
      </c>
      <c r="G476" s="5" t="n">
        <v>0.00141203703703704</v>
      </c>
      <c r="H476" s="5" t="n">
        <v>0</v>
      </c>
      <c r="I476" s="5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5" t="n">
        <v>0</v>
      </c>
      <c r="P476" s="5" t="n">
        <v>0</v>
      </c>
      <c r="Q476" s="4" t="s">
        <v>73</v>
      </c>
      <c r="R476" s="4" t="s">
        <v>73</v>
      </c>
      <c r="S476" s="5" t="n">
        <v>0</v>
      </c>
      <c r="T476" s="5" t="n">
        <v>0.00127314814814815</v>
      </c>
      <c r="U476" s="5" t="n">
        <v>0</v>
      </c>
      <c r="V476" s="5" t="n">
        <v>0</v>
      </c>
      <c r="W476" s="5" t="n">
        <v>0</v>
      </c>
      <c r="X476" s="5" t="n">
        <v>0</v>
      </c>
      <c r="Y476" s="5" t="n">
        <v>0</v>
      </c>
      <c r="Z476" s="0" t="n">
        <v>0</v>
      </c>
      <c r="AA476" s="0" t="n">
        <v>0</v>
      </c>
      <c r="AB476" s="0" t="n">
        <v>0</v>
      </c>
      <c r="AC476" s="4" t="s">
        <v>893</v>
      </c>
      <c r="AD476" s="4" t="s">
        <v>893</v>
      </c>
      <c r="AE476" s="4" t="s">
        <v>1980</v>
      </c>
      <c r="AF476" s="4" t="s">
        <v>1980</v>
      </c>
      <c r="AG476" s="5" t="n">
        <v>0</v>
      </c>
      <c r="AH476" s="5" t="n">
        <v>0.001875</v>
      </c>
      <c r="AI476" s="5" t="n">
        <v>0</v>
      </c>
      <c r="AJ476" s="5" t="n">
        <v>0</v>
      </c>
      <c r="AK476" s="5" t="n">
        <v>0</v>
      </c>
      <c r="AL476" s="5" t="n">
        <v>0</v>
      </c>
      <c r="AM476" s="4" t="s">
        <v>78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M476" s="6" t="n">
        <f aca="false">IFERROR(VALUE(F476),"")</f>
        <v>0</v>
      </c>
      <c r="BN476" s="6" t="str">
        <f aca="false">IF(R476="-","",IFERROR(VALUE(LEFT(Q476,LEN(Q476)-2)),""))</f>
        <v/>
      </c>
      <c r="BO476" s="6" t="str">
        <f aca="false">IF(R476="-","",IFERROR(VALUE(LEFT(R476,LEN(R476)-5)),""))</f>
        <v/>
      </c>
      <c r="BP476" s="6" t="str">
        <f aca="false">IF(R476="-","",IFERROR(VALUE(F476),""))</f>
        <v/>
      </c>
      <c r="BQ476" s="4" t="n">
        <f aca="false">IF(R476="-",1,0)</f>
        <v>1</v>
      </c>
    </row>
    <row r="477" customFormat="false" ht="15" hidden="false" customHeight="false" outlineLevel="0" collapsed="false">
      <c r="A477" s="0" t="s">
        <v>1955</v>
      </c>
      <c r="B477" s="0" t="s">
        <v>1956</v>
      </c>
      <c r="C477" s="0" t="s">
        <v>70</v>
      </c>
      <c r="D477" s="0" t="s">
        <v>897</v>
      </c>
      <c r="E477" s="3" t="n">
        <v>46279</v>
      </c>
      <c r="F477" s="4" t="s">
        <v>1981</v>
      </c>
      <c r="G477" s="5" t="n">
        <v>0.354131944444445</v>
      </c>
      <c r="H477" s="5" t="n">
        <v>0.227569444444444</v>
      </c>
      <c r="I477" s="5" t="n">
        <v>8.10185185185185E-005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5" t="n">
        <v>0</v>
      </c>
      <c r="P477" s="5" t="n">
        <v>0.00767361111111111</v>
      </c>
      <c r="Q477" s="4" t="s">
        <v>1982</v>
      </c>
      <c r="R477" s="4" t="s">
        <v>1983</v>
      </c>
      <c r="S477" s="5" t="n">
        <v>0.000115740740740741</v>
      </c>
      <c r="T477" s="5" t="n">
        <v>0.129976851851852</v>
      </c>
      <c r="U477" s="5" t="n">
        <v>0.107291666666667</v>
      </c>
      <c r="V477" s="5" t="n">
        <v>0.0899305555555556</v>
      </c>
      <c r="W477" s="5" t="n">
        <v>0</v>
      </c>
      <c r="X477" s="5" t="n">
        <v>0</v>
      </c>
      <c r="Y477" s="5" t="n">
        <v>0</v>
      </c>
      <c r="Z477" s="0" t="n">
        <v>0</v>
      </c>
      <c r="AA477" s="0" t="n">
        <v>0</v>
      </c>
      <c r="AB477" s="0" t="n">
        <v>0</v>
      </c>
      <c r="AC477" s="4" t="s">
        <v>893</v>
      </c>
      <c r="AD477" s="4" t="s">
        <v>893</v>
      </c>
      <c r="AE477" s="4" t="s">
        <v>1980</v>
      </c>
      <c r="AF477" s="4" t="s">
        <v>1984</v>
      </c>
      <c r="AG477" s="5" t="n">
        <v>0.271041666666667</v>
      </c>
      <c r="AH477" s="5" t="n">
        <v>0.177210648148148</v>
      </c>
      <c r="AI477" s="5" t="n">
        <v>0</v>
      </c>
      <c r="AJ477" s="5" t="n">
        <v>0</v>
      </c>
      <c r="AK477" s="5" t="n">
        <v>0</v>
      </c>
      <c r="AL477" s="5" t="n">
        <v>0</v>
      </c>
      <c r="AM477" s="4" t="s">
        <v>78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  <c r="AU477" s="0" t="n">
        <v>1</v>
      </c>
      <c r="AV477" s="0" t="n">
        <v>0</v>
      </c>
      <c r="AW477" s="0" t="n">
        <v>0</v>
      </c>
      <c r="AX477" s="0" t="n">
        <v>0</v>
      </c>
      <c r="AY477" s="0" t="n">
        <v>0</v>
      </c>
      <c r="AZ477" s="0" t="n">
        <v>0</v>
      </c>
      <c r="BA477" s="0" t="n">
        <v>0</v>
      </c>
      <c r="BB477" s="0" t="n">
        <v>0</v>
      </c>
      <c r="BC477" s="0" t="n">
        <v>1</v>
      </c>
      <c r="BD477" s="0" t="n">
        <v>1</v>
      </c>
      <c r="BE477" s="0" t="n">
        <v>0</v>
      </c>
      <c r="BF477" s="0" t="n">
        <v>0</v>
      </c>
      <c r="BG477" s="0" t="n">
        <v>0</v>
      </c>
      <c r="BH477" s="0" t="n">
        <v>0</v>
      </c>
      <c r="BI477" s="0" t="n">
        <v>0</v>
      </c>
      <c r="BJ477" s="0" t="n">
        <v>0</v>
      </c>
      <c r="BK477" s="0" t="n">
        <v>0</v>
      </c>
      <c r="BM477" s="6" t="n">
        <f aca="false">IFERROR(VALUE(F477),"")</f>
        <v>183.35</v>
      </c>
      <c r="BN477" s="6" t="n">
        <f aca="false">IF(R477="-","",IFERROR(VALUE(LEFT(Q477,LEN(Q477)-2)),""))</f>
        <v>113.02</v>
      </c>
      <c r="BO477" s="6" t="n">
        <f aca="false">IF(R477="-","",IFERROR(VALUE(LEFT(R477,LEN(R477)-5)),""))</f>
        <v>1.62</v>
      </c>
      <c r="BP477" s="6" t="n">
        <f aca="false">IF(R477="-","",IFERROR(VALUE(F477),""))</f>
        <v>183.35</v>
      </c>
      <c r="BQ477" s="4" t="n">
        <f aca="false">IF(R477="-",1,0)</f>
        <v>0</v>
      </c>
    </row>
    <row r="478" customFormat="false" ht="15" hidden="false" customHeight="false" outlineLevel="0" collapsed="false">
      <c r="A478" s="0" t="s">
        <v>1985</v>
      </c>
      <c r="B478" s="0" t="s">
        <v>1986</v>
      </c>
      <c r="C478" s="0" t="s">
        <v>70</v>
      </c>
      <c r="E478" s="3" t="n">
        <v>46273</v>
      </c>
      <c r="F478" s="4" t="s">
        <v>95</v>
      </c>
      <c r="G478" s="5" t="n">
        <v>0</v>
      </c>
      <c r="H478" s="5" t="n">
        <v>0</v>
      </c>
      <c r="I478" s="5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5" t="n">
        <v>0</v>
      </c>
      <c r="P478" s="5" t="n">
        <v>0</v>
      </c>
      <c r="Q478" s="4" t="s">
        <v>73</v>
      </c>
      <c r="R478" s="4" t="s">
        <v>73</v>
      </c>
      <c r="S478" s="5" t="n">
        <v>0</v>
      </c>
      <c r="T478" s="5" t="n">
        <v>0</v>
      </c>
      <c r="U478" s="5" t="n">
        <v>0</v>
      </c>
      <c r="V478" s="5" t="n">
        <v>0</v>
      </c>
      <c r="W478" s="5" t="n">
        <v>0</v>
      </c>
      <c r="X478" s="5" t="n">
        <v>0</v>
      </c>
      <c r="Y478" s="5" t="n">
        <v>0</v>
      </c>
      <c r="Z478" s="0" t="n">
        <v>0</v>
      </c>
      <c r="AA478" s="0" t="n">
        <v>0</v>
      </c>
      <c r="AB478" s="0" t="n">
        <v>0</v>
      </c>
      <c r="AC478" s="4" t="s">
        <v>152</v>
      </c>
      <c r="AD478" s="4" t="s">
        <v>158</v>
      </c>
      <c r="AE478" s="4" t="s">
        <v>1987</v>
      </c>
      <c r="AF478" s="4" t="s">
        <v>1987</v>
      </c>
      <c r="AG478" s="5" t="n">
        <v>0</v>
      </c>
      <c r="AH478" s="5" t="n">
        <v>0.00146990740740741</v>
      </c>
      <c r="AI478" s="5" t="n">
        <v>0</v>
      </c>
      <c r="AJ478" s="5" t="n">
        <v>0</v>
      </c>
      <c r="AK478" s="5" t="n">
        <v>0</v>
      </c>
      <c r="AL478" s="5" t="n">
        <v>0</v>
      </c>
      <c r="AM478" s="4" t="s">
        <v>78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M478" s="6" t="n">
        <f aca="false">IFERROR(VALUE(F478),"")</f>
        <v>0</v>
      </c>
      <c r="BN478" s="6" t="str">
        <f aca="false">IF(R478="-","",IFERROR(VALUE(LEFT(Q478,LEN(Q478)-2)),""))</f>
        <v/>
      </c>
      <c r="BO478" s="6" t="str">
        <f aca="false">IF(R478="-","",IFERROR(VALUE(LEFT(R478,LEN(R478)-5)),""))</f>
        <v/>
      </c>
      <c r="BP478" s="6" t="str">
        <f aca="false">IF(R478="-","",IFERROR(VALUE(F478),""))</f>
        <v/>
      </c>
      <c r="BQ478" s="4" t="n">
        <f aca="false">IF(R478="-",1,0)</f>
        <v>1</v>
      </c>
    </row>
    <row r="479" customFormat="false" ht="15" hidden="false" customHeight="false" outlineLevel="0" collapsed="false">
      <c r="A479" s="0" t="s">
        <v>1985</v>
      </c>
      <c r="B479" s="0" t="s">
        <v>1986</v>
      </c>
      <c r="C479" s="0" t="s">
        <v>70</v>
      </c>
      <c r="E479" s="3" t="n">
        <v>46275</v>
      </c>
      <c r="F479" s="4" t="s">
        <v>1763</v>
      </c>
      <c r="G479" s="5" t="n">
        <v>0.00321759259259259</v>
      </c>
      <c r="H479" s="5" t="n">
        <v>0</v>
      </c>
      <c r="I479" s="5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5" t="n">
        <v>0</v>
      </c>
      <c r="P479" s="5" t="n">
        <v>0</v>
      </c>
      <c r="Q479" s="4" t="s">
        <v>73</v>
      </c>
      <c r="R479" s="4" t="s">
        <v>73</v>
      </c>
      <c r="S479" s="5" t="n">
        <v>0</v>
      </c>
      <c r="T479" s="5" t="n">
        <v>0.003125</v>
      </c>
      <c r="U479" s="5" t="n">
        <v>0</v>
      </c>
      <c r="V479" s="5" t="n">
        <v>0</v>
      </c>
      <c r="W479" s="5" t="n">
        <v>0</v>
      </c>
      <c r="X479" s="5" t="n">
        <v>0</v>
      </c>
      <c r="Y479" s="5" t="n">
        <v>0</v>
      </c>
      <c r="Z479" s="0" t="n">
        <v>0</v>
      </c>
      <c r="AA479" s="0" t="n">
        <v>0</v>
      </c>
      <c r="AB479" s="0" t="n">
        <v>0</v>
      </c>
      <c r="AC479" s="4" t="s">
        <v>152</v>
      </c>
      <c r="AD479" s="4" t="s">
        <v>152</v>
      </c>
      <c r="AE479" s="4" t="s">
        <v>1987</v>
      </c>
      <c r="AF479" s="4" t="s">
        <v>1988</v>
      </c>
      <c r="AG479" s="5" t="n">
        <v>0.00165509259259259</v>
      </c>
      <c r="AH479" s="5" t="n">
        <v>0.0119097222222222</v>
      </c>
      <c r="AI479" s="5" t="n">
        <v>0</v>
      </c>
      <c r="AJ479" s="5" t="n">
        <v>0</v>
      </c>
      <c r="AK479" s="5" t="n">
        <v>0</v>
      </c>
      <c r="AL479" s="5" t="n">
        <v>0</v>
      </c>
      <c r="AM479" s="4" t="s">
        <v>78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  <c r="AU479" s="0" t="n">
        <v>0</v>
      </c>
      <c r="AV479" s="0" t="n">
        <v>0</v>
      </c>
      <c r="AW479" s="0" t="n">
        <v>0</v>
      </c>
      <c r="AX479" s="0" t="n">
        <v>0</v>
      </c>
      <c r="AY479" s="0" t="n">
        <v>0</v>
      </c>
      <c r="AZ479" s="0" t="n">
        <v>0</v>
      </c>
      <c r="BA479" s="0" t="n">
        <v>0</v>
      </c>
      <c r="BB479" s="0" t="n">
        <v>0</v>
      </c>
      <c r="BC479" s="0" t="n">
        <v>0</v>
      </c>
      <c r="BD479" s="0" t="n">
        <v>0</v>
      </c>
      <c r="BE479" s="0" t="n">
        <v>0</v>
      </c>
      <c r="BF479" s="0" t="n">
        <v>0</v>
      </c>
      <c r="BG479" s="0" t="n">
        <v>0</v>
      </c>
      <c r="BH479" s="0" t="n">
        <v>0</v>
      </c>
      <c r="BI479" s="0" t="n">
        <v>0</v>
      </c>
      <c r="BJ479" s="0" t="n">
        <v>0</v>
      </c>
      <c r="BK479" s="0" t="n">
        <v>0</v>
      </c>
      <c r="BM479" s="6" t="n">
        <f aca="false">IFERROR(VALUE(F479),"")</f>
        <v>0.11</v>
      </c>
      <c r="BN479" s="6" t="str">
        <f aca="false">IF(R479="-","",IFERROR(VALUE(LEFT(Q479,LEN(Q479)-2)),""))</f>
        <v/>
      </c>
      <c r="BO479" s="6" t="str">
        <f aca="false">IF(R479="-","",IFERROR(VALUE(LEFT(R479,LEN(R479)-5)),""))</f>
        <v/>
      </c>
      <c r="BP479" s="6" t="str">
        <f aca="false">IF(R479="-","",IFERROR(VALUE(F479),""))</f>
        <v/>
      </c>
      <c r="BQ479" s="4" t="n">
        <f aca="false">IF(R479="-",1,0)</f>
        <v>1</v>
      </c>
    </row>
    <row r="480" customFormat="false" ht="15" hidden="false" customHeight="false" outlineLevel="0" collapsed="false">
      <c r="A480" s="0" t="s">
        <v>1985</v>
      </c>
      <c r="B480" s="0" t="s">
        <v>1986</v>
      </c>
      <c r="C480" s="0" t="s">
        <v>70</v>
      </c>
      <c r="E480" s="3" t="n">
        <v>46276</v>
      </c>
      <c r="F480" s="4" t="s">
        <v>95</v>
      </c>
      <c r="G480" s="5" t="n">
        <v>0.00837962962962963</v>
      </c>
      <c r="H480" s="5" t="n">
        <v>0</v>
      </c>
      <c r="I480" s="5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5" t="n">
        <v>0</v>
      </c>
      <c r="P480" s="5" t="n">
        <v>0.00836805555555556</v>
      </c>
      <c r="Q480" s="4" t="s">
        <v>1989</v>
      </c>
      <c r="R480" s="4" t="s">
        <v>454</v>
      </c>
      <c r="S480" s="5" t="n">
        <v>0</v>
      </c>
      <c r="T480" s="5" t="n">
        <v>0.00821759259259259</v>
      </c>
      <c r="U480" s="5" t="n">
        <v>0</v>
      </c>
      <c r="V480" s="5" t="n">
        <v>0</v>
      </c>
      <c r="W480" s="5" t="n">
        <v>0</v>
      </c>
      <c r="X480" s="5" t="n">
        <v>0</v>
      </c>
      <c r="Y480" s="5" t="n">
        <v>0</v>
      </c>
      <c r="Z480" s="0" t="n">
        <v>0</v>
      </c>
      <c r="AA480" s="0" t="n">
        <v>0</v>
      </c>
      <c r="AB480" s="0" t="n">
        <v>0</v>
      </c>
      <c r="AC480" s="4" t="s">
        <v>152</v>
      </c>
      <c r="AD480" s="4" t="s">
        <v>152</v>
      </c>
      <c r="AE480" s="4" t="s">
        <v>1988</v>
      </c>
      <c r="AF480" s="4" t="s">
        <v>1988</v>
      </c>
      <c r="AG480" s="5" t="n">
        <v>0</v>
      </c>
      <c r="AH480" s="5" t="n">
        <v>0.0194907407407407</v>
      </c>
      <c r="AI480" s="5" t="n">
        <v>0</v>
      </c>
      <c r="AJ480" s="5" t="n">
        <v>0</v>
      </c>
      <c r="AK480" s="5" t="n">
        <v>0</v>
      </c>
      <c r="AL480" s="5" t="n">
        <v>0</v>
      </c>
      <c r="AM480" s="4" t="s">
        <v>78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n">
        <v>0</v>
      </c>
      <c r="AW480" s="0" t="n">
        <v>0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0</v>
      </c>
      <c r="BJ480" s="0" t="n">
        <v>0</v>
      </c>
      <c r="BK480" s="0" t="n">
        <v>0</v>
      </c>
      <c r="BM480" s="6" t="n">
        <f aca="false">IFERROR(VALUE(F480),"")</f>
        <v>0</v>
      </c>
      <c r="BN480" s="6" t="n">
        <f aca="false">IF(R480="-","",IFERROR(VALUE(LEFT(Q480,LEN(Q480)-2)),""))</f>
        <v>0.99</v>
      </c>
      <c r="BO480" s="6" t="n">
        <f aca="false">IF(R480="-","",IFERROR(VALUE(LEFT(R480,LEN(R480)-5)),""))</f>
        <v>0</v>
      </c>
      <c r="BP480" s="6" t="n">
        <f aca="false">IF(R480="-","",IFERROR(VALUE(F480),""))</f>
        <v>0</v>
      </c>
      <c r="BQ480" s="4" t="n">
        <f aca="false">IF(R480="-",1,0)</f>
        <v>0</v>
      </c>
    </row>
    <row r="481" customFormat="false" ht="15" hidden="false" customHeight="false" outlineLevel="0" collapsed="false">
      <c r="A481" s="0" t="s">
        <v>1985</v>
      </c>
      <c r="B481" s="0" t="s">
        <v>1986</v>
      </c>
      <c r="C481" s="0" t="s">
        <v>70</v>
      </c>
      <c r="D481" s="0" t="s">
        <v>1990</v>
      </c>
      <c r="E481" s="3" t="n">
        <v>46277</v>
      </c>
      <c r="F481" s="4" t="s">
        <v>1991</v>
      </c>
      <c r="G481" s="5" t="n">
        <v>0.0525925925925926</v>
      </c>
      <c r="H481" s="5" t="n">
        <v>0.0321759259259259</v>
      </c>
      <c r="I481" s="5" t="n">
        <v>0.000115740740740741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2</v>
      </c>
      <c r="O481" s="5" t="n">
        <v>0</v>
      </c>
      <c r="P481" s="5" t="n">
        <v>0</v>
      </c>
      <c r="Q481" s="4" t="s">
        <v>1992</v>
      </c>
      <c r="R481" s="4" t="s">
        <v>1130</v>
      </c>
      <c r="S481" s="5" t="n">
        <v>0.000115740740740741</v>
      </c>
      <c r="T481" s="5" t="n">
        <v>0.0175925925925926</v>
      </c>
      <c r="U481" s="5" t="n">
        <v>0.0157407407407407</v>
      </c>
      <c r="V481" s="5" t="n">
        <v>0.000578703703703704</v>
      </c>
      <c r="W481" s="5" t="n">
        <v>0</v>
      </c>
      <c r="X481" s="5" t="n">
        <v>0</v>
      </c>
      <c r="Y481" s="5" t="n">
        <v>0</v>
      </c>
      <c r="Z481" s="0" t="n">
        <v>0</v>
      </c>
      <c r="AA481" s="0" t="n">
        <v>0</v>
      </c>
      <c r="AB481" s="0" t="n">
        <v>0</v>
      </c>
      <c r="AC481" s="4" t="s">
        <v>152</v>
      </c>
      <c r="AD481" s="4" t="s">
        <v>152</v>
      </c>
      <c r="AE481" s="4" t="s">
        <v>1988</v>
      </c>
      <c r="AF481" s="4" t="s">
        <v>1993</v>
      </c>
      <c r="AG481" s="5" t="n">
        <v>0.0263194444444444</v>
      </c>
      <c r="AH481" s="5" t="n">
        <v>0.0390740740740741</v>
      </c>
      <c r="AI481" s="5" t="n">
        <v>0</v>
      </c>
      <c r="AJ481" s="5" t="n">
        <v>0</v>
      </c>
      <c r="AK481" s="5" t="n">
        <v>0</v>
      </c>
      <c r="AL481" s="5" t="n">
        <v>0</v>
      </c>
      <c r="AM481" s="4" t="s">
        <v>78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  <c r="AU481" s="0" t="n">
        <v>0</v>
      </c>
      <c r="AV481" s="0" t="n">
        <v>0</v>
      </c>
      <c r="AW481" s="0" t="n">
        <v>0</v>
      </c>
      <c r="AX481" s="0" t="n">
        <v>0</v>
      </c>
      <c r="AY481" s="0" t="n">
        <v>0</v>
      </c>
      <c r="AZ481" s="0" t="n">
        <v>0</v>
      </c>
      <c r="BA481" s="0" t="n">
        <v>0</v>
      </c>
      <c r="BB481" s="0" t="n">
        <v>0</v>
      </c>
      <c r="BC481" s="0" t="n">
        <v>0</v>
      </c>
      <c r="BD481" s="0" t="n">
        <v>0</v>
      </c>
      <c r="BE481" s="0" t="n">
        <v>0</v>
      </c>
      <c r="BF481" s="0" t="n">
        <v>0</v>
      </c>
      <c r="BG481" s="0" t="n">
        <v>0</v>
      </c>
      <c r="BH481" s="0" t="n">
        <v>0</v>
      </c>
      <c r="BI481" s="0" t="n">
        <v>0</v>
      </c>
      <c r="BJ481" s="0" t="n">
        <v>0</v>
      </c>
      <c r="BK481" s="0" t="n">
        <v>0</v>
      </c>
      <c r="BM481" s="6" t="n">
        <f aca="false">IFERROR(VALUE(F481),"")</f>
        <v>25.29</v>
      </c>
      <c r="BN481" s="6" t="n">
        <f aca="false">IF(R481="-","",IFERROR(VALUE(LEFT(Q481,LEN(Q481)-2)),""))</f>
        <v>7.49</v>
      </c>
      <c r="BO481" s="6" t="n">
        <f aca="false">IF(R481="-","",IFERROR(VALUE(LEFT(R481,LEN(R481)-5)),""))</f>
        <v>3.38</v>
      </c>
      <c r="BP481" s="6" t="n">
        <f aca="false">IF(R481="-","",IFERROR(VALUE(F481),""))</f>
        <v>25.29</v>
      </c>
      <c r="BQ481" s="4" t="n">
        <f aca="false">IF(R481="-",1,0)</f>
        <v>0</v>
      </c>
    </row>
    <row r="482" customFormat="false" ht="15" hidden="false" customHeight="false" outlineLevel="0" collapsed="false">
      <c r="A482" s="0" t="s">
        <v>1985</v>
      </c>
      <c r="B482" s="0" t="s">
        <v>1986</v>
      </c>
      <c r="C482" s="0" t="s">
        <v>70</v>
      </c>
      <c r="D482" s="0" t="s">
        <v>1994</v>
      </c>
      <c r="E482" s="3" t="n">
        <v>46278</v>
      </c>
      <c r="F482" s="4" t="s">
        <v>1995</v>
      </c>
      <c r="G482" s="5" t="n">
        <v>0.523310185185185</v>
      </c>
      <c r="H482" s="5" t="n">
        <v>0.48400462962963</v>
      </c>
      <c r="I482" s="5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4</v>
      </c>
      <c r="O482" s="5" t="n">
        <v>0</v>
      </c>
      <c r="P482" s="5" t="n">
        <v>0.0303125</v>
      </c>
      <c r="Q482" s="4" t="s">
        <v>1996</v>
      </c>
      <c r="R482" s="4" t="s">
        <v>1997</v>
      </c>
      <c r="S482" s="5" t="n">
        <v>0.000578703703703704</v>
      </c>
      <c r="T482" s="5" t="n">
        <v>0.168981481481482</v>
      </c>
      <c r="U482" s="5" t="n">
        <v>0.235532407407407</v>
      </c>
      <c r="V482" s="5" t="n">
        <v>0.0832175925925926</v>
      </c>
      <c r="W482" s="5" t="n">
        <v>0</v>
      </c>
      <c r="X482" s="5" t="n">
        <v>0</v>
      </c>
      <c r="Y482" s="5" t="n">
        <v>0</v>
      </c>
      <c r="Z482" s="0" t="n">
        <v>0</v>
      </c>
      <c r="AA482" s="0" t="n">
        <v>0</v>
      </c>
      <c r="AB482" s="0" t="n">
        <v>0</v>
      </c>
      <c r="AC482" s="4" t="s">
        <v>158</v>
      </c>
      <c r="AD482" s="4" t="s">
        <v>1998</v>
      </c>
      <c r="AE482" s="4" t="s">
        <v>1993</v>
      </c>
      <c r="AF482" s="4" t="s">
        <v>1999</v>
      </c>
      <c r="AG482" s="5" t="n">
        <v>0.413252314814815</v>
      </c>
      <c r="AH482" s="5" t="n">
        <v>0.229722222222222</v>
      </c>
      <c r="AI482" s="5" t="n">
        <v>0</v>
      </c>
      <c r="AJ482" s="5" t="n">
        <v>0</v>
      </c>
      <c r="AK482" s="5" t="n">
        <v>0</v>
      </c>
      <c r="AL482" s="5" t="n">
        <v>0</v>
      </c>
      <c r="AM482" s="4" t="s">
        <v>78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  <c r="AU482" s="0" t="n">
        <v>0</v>
      </c>
      <c r="AV482" s="0" t="n">
        <v>0</v>
      </c>
      <c r="AW482" s="0" t="n">
        <v>0</v>
      </c>
      <c r="AX482" s="0" t="n">
        <v>0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0</v>
      </c>
      <c r="BD482" s="0" t="n">
        <v>0</v>
      </c>
      <c r="BE482" s="0" t="n">
        <v>0</v>
      </c>
      <c r="BF482" s="0" t="n">
        <v>0</v>
      </c>
      <c r="BG482" s="0" t="n">
        <v>0</v>
      </c>
      <c r="BH482" s="0" t="n">
        <v>0</v>
      </c>
      <c r="BI482" s="0" t="n">
        <v>0</v>
      </c>
      <c r="BJ482" s="0" t="n">
        <v>0</v>
      </c>
      <c r="BK482" s="0" t="n">
        <v>0</v>
      </c>
      <c r="BM482" s="6" t="n">
        <f aca="false">IFERROR(VALUE(F482),"")</f>
        <v>538.68</v>
      </c>
      <c r="BN482" s="6" t="n">
        <f aca="false">IF(R482="-","",IFERROR(VALUE(LEFT(Q482,LEN(Q482)-2)),""))</f>
        <v>154.5</v>
      </c>
      <c r="BO482" s="6" t="n">
        <f aca="false">IF(R482="-","",IFERROR(VALUE(LEFT(R482,LEN(R482)-5)),""))</f>
        <v>3.49</v>
      </c>
      <c r="BP482" s="6" t="n">
        <f aca="false">IF(R482="-","",IFERROR(VALUE(F482),""))</f>
        <v>538.68</v>
      </c>
      <c r="BQ482" s="4" t="n">
        <f aca="false">IF(R482="-",1,0)</f>
        <v>0</v>
      </c>
    </row>
    <row r="483" customFormat="false" ht="15" hidden="false" customHeight="false" outlineLevel="0" collapsed="false">
      <c r="A483" s="0" t="s">
        <v>1985</v>
      </c>
      <c r="B483" s="0" t="s">
        <v>1986</v>
      </c>
      <c r="C483" s="0" t="s">
        <v>70</v>
      </c>
      <c r="D483" s="0" t="s">
        <v>2000</v>
      </c>
      <c r="E483" s="3" t="n">
        <v>46279</v>
      </c>
      <c r="F483" s="4" t="s">
        <v>2001</v>
      </c>
      <c r="G483" s="5" t="n">
        <v>0.0181134259259259</v>
      </c>
      <c r="H483" s="5" t="n">
        <v>0.0105787037037037</v>
      </c>
      <c r="I483" s="5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5" t="n">
        <v>0</v>
      </c>
      <c r="P483" s="5" t="n">
        <v>0</v>
      </c>
      <c r="Q483" s="4" t="s">
        <v>2002</v>
      </c>
      <c r="R483" s="4" t="s">
        <v>1442</v>
      </c>
      <c r="S483" s="5" t="n">
        <v>0</v>
      </c>
      <c r="T483" s="5" t="n">
        <v>0.0162037037037037</v>
      </c>
      <c r="U483" s="5" t="n">
        <v>0.00138888888888889</v>
      </c>
      <c r="V483" s="5" t="n">
        <v>0</v>
      </c>
      <c r="W483" s="5" t="n">
        <v>0</v>
      </c>
      <c r="X483" s="5" t="n">
        <v>0</v>
      </c>
      <c r="Y483" s="5" t="n">
        <v>0</v>
      </c>
      <c r="Z483" s="0" t="n">
        <v>0</v>
      </c>
      <c r="AA483" s="0" t="n">
        <v>0</v>
      </c>
      <c r="AB483" s="0" t="n">
        <v>0</v>
      </c>
      <c r="AC483" s="4" t="s">
        <v>1276</v>
      </c>
      <c r="AD483" s="4" t="s">
        <v>1998</v>
      </c>
      <c r="AE483" s="4" t="s">
        <v>1999</v>
      </c>
      <c r="AF483" s="4" t="s">
        <v>2003</v>
      </c>
      <c r="AG483" s="5" t="n">
        <v>0.011712962962963</v>
      </c>
      <c r="AH483" s="5" t="n">
        <v>0.033900462962963</v>
      </c>
      <c r="AI483" s="5" t="n">
        <v>0</v>
      </c>
      <c r="AJ483" s="5" t="n">
        <v>0</v>
      </c>
      <c r="AK483" s="5" t="n">
        <v>0</v>
      </c>
      <c r="AL483" s="5" t="n">
        <v>0</v>
      </c>
      <c r="AM483" s="4" t="s">
        <v>78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0</v>
      </c>
      <c r="AW483" s="0" t="n">
        <v>0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M483" s="6" t="n">
        <f aca="false">IFERROR(VALUE(F483),"")</f>
        <v>1.19</v>
      </c>
      <c r="BN483" s="6" t="n">
        <f aca="false">IF(R483="-","",IFERROR(VALUE(LEFT(Q483,LEN(Q483)-2)),""))</f>
        <v>2.02</v>
      </c>
      <c r="BO483" s="6" t="n">
        <f aca="false">IF(R483="-","",IFERROR(VALUE(LEFT(R483,LEN(R483)-5)),""))</f>
        <v>0.59</v>
      </c>
      <c r="BP483" s="6" t="n">
        <f aca="false">IF(R483="-","",IFERROR(VALUE(F483),""))</f>
        <v>1.19</v>
      </c>
      <c r="BQ483" s="4" t="n">
        <f aca="false">IF(R483="-",1,0)</f>
        <v>0</v>
      </c>
    </row>
    <row r="484" customFormat="false" ht="15" hidden="false" customHeight="false" outlineLevel="0" collapsed="false">
      <c r="A484" s="0" t="s">
        <v>2004</v>
      </c>
      <c r="B484" s="0" t="s">
        <v>2005</v>
      </c>
      <c r="C484" s="0" t="s">
        <v>70</v>
      </c>
      <c r="D484" s="0" t="s">
        <v>2006</v>
      </c>
      <c r="E484" s="3" t="n">
        <v>46273</v>
      </c>
      <c r="F484" s="4" t="s">
        <v>95</v>
      </c>
      <c r="G484" s="5" t="n">
        <v>0.247476851851852</v>
      </c>
      <c r="H484" s="5" t="n">
        <v>0.129166666666667</v>
      </c>
      <c r="I484" s="5" t="n">
        <v>0.00087962962962963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2</v>
      </c>
      <c r="O484" s="5" t="n">
        <v>0</v>
      </c>
      <c r="P484" s="5" t="n">
        <v>0.0235532407407407</v>
      </c>
      <c r="Q484" s="4" t="s">
        <v>2007</v>
      </c>
      <c r="R484" s="4" t="s">
        <v>454</v>
      </c>
      <c r="S484" s="5" t="n">
        <v>0</v>
      </c>
      <c r="T484" s="5" t="n">
        <v>0.0945601851851852</v>
      </c>
      <c r="U484" s="5" t="n">
        <v>0.0543981481481482</v>
      </c>
      <c r="V484" s="5" t="n">
        <v>0.0277199074074074</v>
      </c>
      <c r="W484" s="5" t="n">
        <v>0.000162037037037037</v>
      </c>
      <c r="X484" s="5" t="n">
        <v>0</v>
      </c>
      <c r="Y484" s="5" t="n">
        <v>5.78703703703704E-005</v>
      </c>
      <c r="Z484" s="0" t="n">
        <v>0</v>
      </c>
      <c r="AA484" s="0" t="n">
        <v>0</v>
      </c>
      <c r="AB484" s="0" t="n">
        <v>0</v>
      </c>
      <c r="AC484" s="4" t="s">
        <v>614</v>
      </c>
      <c r="AD484" s="4" t="s">
        <v>158</v>
      </c>
      <c r="AE484" s="4" t="s">
        <v>2008</v>
      </c>
      <c r="AF484" s="4" t="s">
        <v>2008</v>
      </c>
      <c r="AG484" s="5" t="n">
        <v>0.130891203703704</v>
      </c>
      <c r="AH484" s="5" t="n">
        <v>0.221030092592593</v>
      </c>
      <c r="AI484" s="5" t="n">
        <v>0</v>
      </c>
      <c r="AJ484" s="5" t="n">
        <v>0</v>
      </c>
      <c r="AK484" s="5" t="n">
        <v>0</v>
      </c>
      <c r="AL484" s="5" t="n">
        <v>0</v>
      </c>
      <c r="AM484" s="4" t="s">
        <v>78</v>
      </c>
      <c r="AN484" s="0" t="n">
        <v>0</v>
      </c>
      <c r="AO484" s="0" t="n">
        <v>1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  <c r="AU484" s="0" t="n">
        <v>0</v>
      </c>
      <c r="AV484" s="0" t="n">
        <v>0</v>
      </c>
      <c r="AW484" s="0" t="n">
        <v>0</v>
      </c>
      <c r="AX484" s="0" t="n">
        <v>0</v>
      </c>
      <c r="AY484" s="0" t="n">
        <v>0</v>
      </c>
      <c r="AZ484" s="0" t="n">
        <v>0</v>
      </c>
      <c r="BA484" s="0" t="n">
        <v>0</v>
      </c>
      <c r="BB484" s="0" t="n">
        <v>0</v>
      </c>
      <c r="BC484" s="0" t="n">
        <v>0</v>
      </c>
      <c r="BD484" s="0" t="n">
        <v>0</v>
      </c>
      <c r="BE484" s="0" t="n">
        <v>0</v>
      </c>
      <c r="BF484" s="0" t="n">
        <v>0</v>
      </c>
      <c r="BG484" s="0" t="n">
        <v>0</v>
      </c>
      <c r="BH484" s="0" t="n">
        <v>0</v>
      </c>
      <c r="BI484" s="0" t="n">
        <v>0</v>
      </c>
      <c r="BJ484" s="0" t="n">
        <v>0</v>
      </c>
      <c r="BK484" s="0" t="n">
        <v>0</v>
      </c>
      <c r="BM484" s="6" t="n">
        <f aca="false">IFERROR(VALUE(F484),"")</f>
        <v>0</v>
      </c>
      <c r="BN484" s="6" t="n">
        <f aca="false">IF(R484="-","",IFERROR(VALUE(LEFT(Q484,LEN(Q484)-2)),""))</f>
        <v>46.5</v>
      </c>
      <c r="BO484" s="6" t="n">
        <f aca="false">IF(R484="-","",IFERROR(VALUE(LEFT(R484,LEN(R484)-5)),""))</f>
        <v>0</v>
      </c>
      <c r="BP484" s="6" t="n">
        <f aca="false">IF(R484="-","",IFERROR(VALUE(F484),""))</f>
        <v>0</v>
      </c>
      <c r="BQ484" s="4" t="n">
        <f aca="false">IF(R484="-",1,0)</f>
        <v>0</v>
      </c>
    </row>
    <row r="485" customFormat="false" ht="15" hidden="false" customHeight="false" outlineLevel="0" collapsed="false">
      <c r="A485" s="0" t="s">
        <v>2004</v>
      </c>
      <c r="B485" s="0" t="s">
        <v>2005</v>
      </c>
      <c r="C485" s="0" t="s">
        <v>70</v>
      </c>
      <c r="D485" s="0" t="s">
        <v>2009</v>
      </c>
      <c r="E485" s="3" t="n">
        <v>46274</v>
      </c>
      <c r="F485" s="4" t="s">
        <v>95</v>
      </c>
      <c r="G485" s="5" t="n">
        <v>0.147314814814815</v>
      </c>
      <c r="H485" s="5" t="n">
        <v>0.120324074074074</v>
      </c>
      <c r="I485" s="5" t="n">
        <v>0.00109953703703704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1</v>
      </c>
      <c r="O485" s="5" t="n">
        <v>0</v>
      </c>
      <c r="P485" s="5" t="n">
        <v>0.00738425925925926</v>
      </c>
      <c r="Q485" s="4" t="s">
        <v>2010</v>
      </c>
      <c r="R485" s="4" t="s">
        <v>454</v>
      </c>
      <c r="S485" s="5" t="n">
        <v>0</v>
      </c>
      <c r="T485" s="5" t="n">
        <v>0.0712962962962963</v>
      </c>
      <c r="U485" s="5" t="n">
        <v>0.0424768518518519</v>
      </c>
      <c r="V485" s="5" t="n">
        <v>0.0265046296296296</v>
      </c>
      <c r="W485" s="5" t="n">
        <v>0</v>
      </c>
      <c r="X485" s="5" t="n">
        <v>0</v>
      </c>
      <c r="Y485" s="5" t="n">
        <v>0</v>
      </c>
      <c r="Z485" s="0" t="n">
        <v>0</v>
      </c>
      <c r="AA485" s="0" t="n">
        <v>0</v>
      </c>
      <c r="AB485" s="0" t="n">
        <v>0</v>
      </c>
      <c r="AC485" s="4" t="s">
        <v>158</v>
      </c>
      <c r="AD485" s="4" t="s">
        <v>158</v>
      </c>
      <c r="AE485" s="4" t="s">
        <v>2008</v>
      </c>
      <c r="AF485" s="4" t="s">
        <v>2008</v>
      </c>
      <c r="AG485" s="5" t="n">
        <v>0.121064814814815</v>
      </c>
      <c r="AH485" s="5" t="n">
        <v>0.0960300925925926</v>
      </c>
      <c r="AI485" s="5" t="n">
        <v>0</v>
      </c>
      <c r="AJ485" s="5" t="n">
        <v>0</v>
      </c>
      <c r="AK485" s="5" t="n">
        <v>0</v>
      </c>
      <c r="AL485" s="5" t="n">
        <v>0</v>
      </c>
      <c r="AM485" s="4" t="s">
        <v>78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0</v>
      </c>
      <c r="BI485" s="0" t="n">
        <v>0</v>
      </c>
      <c r="BJ485" s="0" t="n">
        <v>0</v>
      </c>
      <c r="BK485" s="0" t="n">
        <v>0</v>
      </c>
      <c r="BM485" s="6" t="n">
        <f aca="false">IFERROR(VALUE(F485),"")</f>
        <v>0</v>
      </c>
      <c r="BN485" s="6" t="n">
        <f aca="false">IF(R485="-","",IFERROR(VALUE(LEFT(Q485,LEN(Q485)-2)),""))</f>
        <v>41.98</v>
      </c>
      <c r="BO485" s="6" t="n">
        <f aca="false">IF(R485="-","",IFERROR(VALUE(LEFT(R485,LEN(R485)-5)),""))</f>
        <v>0</v>
      </c>
      <c r="BP485" s="6" t="n">
        <f aca="false">IF(R485="-","",IFERROR(VALUE(F485),""))</f>
        <v>0</v>
      </c>
      <c r="BQ485" s="4" t="n">
        <f aca="false">IF(R485="-",1,0)</f>
        <v>0</v>
      </c>
    </row>
    <row r="486" customFormat="false" ht="15" hidden="false" customHeight="false" outlineLevel="0" collapsed="false">
      <c r="A486" s="0" t="s">
        <v>2004</v>
      </c>
      <c r="B486" s="0" t="s">
        <v>2005</v>
      </c>
      <c r="C486" s="0" t="s">
        <v>70</v>
      </c>
      <c r="D486" s="0" t="s">
        <v>2011</v>
      </c>
      <c r="E486" s="3" t="n">
        <v>46275</v>
      </c>
      <c r="F486" s="4" t="s">
        <v>95</v>
      </c>
      <c r="G486" s="5" t="n">
        <v>0.147685185185185</v>
      </c>
      <c r="H486" s="5" t="n">
        <v>0.113576388888889</v>
      </c>
      <c r="I486" s="5" t="n">
        <v>0.000625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5" t="n">
        <v>0</v>
      </c>
      <c r="P486" s="5" t="n">
        <v>0.00758101851851852</v>
      </c>
      <c r="Q486" s="4" t="s">
        <v>2012</v>
      </c>
      <c r="R486" s="4" t="s">
        <v>454</v>
      </c>
      <c r="S486" s="5" t="n">
        <v>0</v>
      </c>
      <c r="T486" s="5" t="n">
        <v>0.0710648148148148</v>
      </c>
      <c r="U486" s="5" t="n">
        <v>0.0449074074074074</v>
      </c>
      <c r="V486" s="5" t="n">
        <v>0.021412037037037</v>
      </c>
      <c r="W486" s="5" t="n">
        <v>0</v>
      </c>
      <c r="X486" s="5" t="n">
        <v>0</v>
      </c>
      <c r="Y486" s="5" t="n">
        <v>0</v>
      </c>
      <c r="Z486" s="0" t="n">
        <v>0</v>
      </c>
      <c r="AA486" s="0" t="n">
        <v>0</v>
      </c>
      <c r="AB486" s="0" t="n">
        <v>0</v>
      </c>
      <c r="AC486" s="4" t="s">
        <v>158</v>
      </c>
      <c r="AD486" s="4" t="s">
        <v>152</v>
      </c>
      <c r="AE486" s="4" t="s">
        <v>2008</v>
      </c>
      <c r="AF486" s="4" t="s">
        <v>2008</v>
      </c>
      <c r="AG486" s="5" t="n">
        <v>0.113252314814815</v>
      </c>
      <c r="AH486" s="5" t="n">
        <v>0.116990740740741</v>
      </c>
      <c r="AI486" s="5" t="n">
        <v>0</v>
      </c>
      <c r="AJ486" s="5" t="n">
        <v>0</v>
      </c>
      <c r="AK486" s="5" t="n">
        <v>0</v>
      </c>
      <c r="AL486" s="5" t="n">
        <v>0</v>
      </c>
      <c r="AM486" s="4" t="s">
        <v>78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  <c r="AU486" s="0" t="n">
        <v>0</v>
      </c>
      <c r="AV486" s="0" t="n">
        <v>0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0</v>
      </c>
      <c r="BF486" s="0" t="n">
        <v>0</v>
      </c>
      <c r="BG486" s="0" t="n">
        <v>0</v>
      </c>
      <c r="BH486" s="0" t="n">
        <v>0</v>
      </c>
      <c r="BI486" s="0" t="n">
        <v>0</v>
      </c>
      <c r="BJ486" s="0" t="n">
        <v>0</v>
      </c>
      <c r="BK486" s="0" t="n">
        <v>0</v>
      </c>
      <c r="BM486" s="6" t="n">
        <f aca="false">IFERROR(VALUE(F486),"")</f>
        <v>0</v>
      </c>
      <c r="BN486" s="6" t="n">
        <f aca="false">IF(R486="-","",IFERROR(VALUE(LEFT(Q486,LEN(Q486)-2)),""))</f>
        <v>41.5</v>
      </c>
      <c r="BO486" s="6" t="n">
        <f aca="false">IF(R486="-","",IFERROR(VALUE(LEFT(R486,LEN(R486)-5)),""))</f>
        <v>0</v>
      </c>
      <c r="BP486" s="6" t="n">
        <f aca="false">IF(R486="-","",IFERROR(VALUE(F486),""))</f>
        <v>0</v>
      </c>
      <c r="BQ486" s="4" t="n">
        <f aca="false">IF(R486="-",1,0)</f>
        <v>0</v>
      </c>
    </row>
    <row r="487" customFormat="false" ht="15" hidden="false" customHeight="false" outlineLevel="0" collapsed="false">
      <c r="A487" s="0" t="s">
        <v>2004</v>
      </c>
      <c r="B487" s="0" t="s">
        <v>2005</v>
      </c>
      <c r="C487" s="0" t="s">
        <v>70</v>
      </c>
      <c r="D487" s="0" t="s">
        <v>2013</v>
      </c>
      <c r="E487" s="3" t="n">
        <v>46276</v>
      </c>
      <c r="F487" s="4" t="s">
        <v>95</v>
      </c>
      <c r="G487" s="5" t="n">
        <v>0.415092592592593</v>
      </c>
      <c r="H487" s="5" t="n">
        <v>0.0535185185185185</v>
      </c>
      <c r="I487" s="5" t="n">
        <v>0.000520833333333333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3</v>
      </c>
      <c r="O487" s="5" t="n">
        <v>0</v>
      </c>
      <c r="P487" s="5" t="n">
        <v>0</v>
      </c>
      <c r="Q487" s="4" t="s">
        <v>2014</v>
      </c>
      <c r="R487" s="4" t="s">
        <v>454</v>
      </c>
      <c r="S487" s="5" t="n">
        <v>0.000347222222222222</v>
      </c>
      <c r="T487" s="5" t="n">
        <v>0.139699074074074</v>
      </c>
      <c r="U487" s="5" t="n">
        <v>0.131134259259259</v>
      </c>
      <c r="V487" s="5" t="n">
        <v>0.126157407407407</v>
      </c>
      <c r="W487" s="5" t="n">
        <v>0</v>
      </c>
      <c r="X487" s="5" t="n">
        <v>0</v>
      </c>
      <c r="Y487" s="5" t="n">
        <v>0</v>
      </c>
      <c r="Z487" s="0" t="n">
        <v>0</v>
      </c>
      <c r="AA487" s="0" t="n">
        <v>0</v>
      </c>
      <c r="AB487" s="0" t="n">
        <v>0</v>
      </c>
      <c r="AC487" s="4" t="s">
        <v>158</v>
      </c>
      <c r="AD487" s="4" t="s">
        <v>1076</v>
      </c>
      <c r="AE487" s="4" t="s">
        <v>2008</v>
      </c>
      <c r="AF487" s="4" t="s">
        <v>2008</v>
      </c>
      <c r="AG487" s="5" t="n">
        <v>0.349664351851852</v>
      </c>
      <c r="AH487" s="5" t="n">
        <v>0.1025</v>
      </c>
      <c r="AI487" s="5" t="n">
        <v>0</v>
      </c>
      <c r="AJ487" s="5" t="n">
        <v>0</v>
      </c>
      <c r="AK487" s="5" t="n">
        <v>0</v>
      </c>
      <c r="AL487" s="5" t="n">
        <v>0</v>
      </c>
      <c r="AM487" s="4" t="s">
        <v>78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1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5</v>
      </c>
      <c r="BE487" s="0" t="n">
        <v>0</v>
      </c>
      <c r="BF487" s="0" t="n">
        <v>0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M487" s="6" t="n">
        <f aca="false">IFERROR(VALUE(F487),"")</f>
        <v>0</v>
      </c>
      <c r="BN487" s="6" t="n">
        <f aca="false">IF(R487="-","",IFERROR(VALUE(LEFT(Q487,LEN(Q487)-2)),""))</f>
        <v>135.01</v>
      </c>
      <c r="BO487" s="6" t="n">
        <f aca="false">IF(R487="-","",IFERROR(VALUE(LEFT(R487,LEN(R487)-5)),""))</f>
        <v>0</v>
      </c>
      <c r="BP487" s="6" t="n">
        <f aca="false">IF(R487="-","",IFERROR(VALUE(F487),""))</f>
        <v>0</v>
      </c>
      <c r="BQ487" s="4" t="n">
        <f aca="false">IF(R487="-",1,0)</f>
        <v>0</v>
      </c>
    </row>
    <row r="488" customFormat="false" ht="15" hidden="false" customHeight="false" outlineLevel="0" collapsed="false">
      <c r="A488" s="0" t="s">
        <v>2004</v>
      </c>
      <c r="B488" s="0" t="s">
        <v>2005</v>
      </c>
      <c r="C488" s="0" t="s">
        <v>70</v>
      </c>
      <c r="D488" s="0" t="s">
        <v>2015</v>
      </c>
      <c r="E488" s="3" t="n">
        <v>46277</v>
      </c>
      <c r="F488" s="4" t="s">
        <v>95</v>
      </c>
      <c r="G488" s="5" t="n">
        <v>0.333553240740741</v>
      </c>
      <c r="H488" s="5" t="n">
        <v>0.331990740740741</v>
      </c>
      <c r="I488" s="5" t="n">
        <v>0.000613425925925926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2</v>
      </c>
      <c r="O488" s="5" t="n">
        <v>0</v>
      </c>
      <c r="P488" s="5" t="n">
        <v>0.00743055555555556</v>
      </c>
      <c r="Q488" s="4" t="s">
        <v>2016</v>
      </c>
      <c r="R488" s="4" t="s">
        <v>454</v>
      </c>
      <c r="S488" s="5" t="n">
        <v>0</v>
      </c>
      <c r="T488" s="5" t="n">
        <v>0.111574074074074</v>
      </c>
      <c r="U488" s="5" t="n">
        <v>0.1125</v>
      </c>
      <c r="V488" s="5" t="n">
        <v>0.0862268518518519</v>
      </c>
      <c r="W488" s="5" t="n">
        <v>0</v>
      </c>
      <c r="X488" s="5" t="n">
        <v>0</v>
      </c>
      <c r="Y488" s="5" t="n">
        <v>0</v>
      </c>
      <c r="Z488" s="0" t="n">
        <v>0</v>
      </c>
      <c r="AA488" s="0" t="n">
        <v>0</v>
      </c>
      <c r="AB488" s="0" t="n">
        <v>0</v>
      </c>
      <c r="AC488" s="4" t="s">
        <v>1076</v>
      </c>
      <c r="AD488" s="4" t="s">
        <v>1076</v>
      </c>
      <c r="AE488" s="4" t="s">
        <v>2008</v>
      </c>
      <c r="AF488" s="4" t="s">
        <v>2008</v>
      </c>
      <c r="AG488" s="5" t="n">
        <v>0.264537037037037</v>
      </c>
      <c r="AH488" s="5" t="n">
        <v>0.0757291666666667</v>
      </c>
      <c r="AI488" s="5" t="n">
        <v>0</v>
      </c>
      <c r="AJ488" s="5" t="n">
        <v>0</v>
      </c>
      <c r="AK488" s="5" t="n">
        <v>0</v>
      </c>
      <c r="AL488" s="5" t="n">
        <v>0</v>
      </c>
      <c r="AM488" s="4" t="s">
        <v>78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  <c r="AU488" s="0" t="n">
        <v>0</v>
      </c>
      <c r="AV488" s="0" t="n">
        <v>0</v>
      </c>
      <c r="AW488" s="0" t="n">
        <v>0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0</v>
      </c>
      <c r="BH488" s="0" t="n">
        <v>0</v>
      </c>
      <c r="BI488" s="0" t="n">
        <v>0</v>
      </c>
      <c r="BJ488" s="0" t="n">
        <v>0</v>
      </c>
      <c r="BK488" s="0" t="n">
        <v>0</v>
      </c>
      <c r="BM488" s="6" t="n">
        <f aca="false">IFERROR(VALUE(F488),"")</f>
        <v>0</v>
      </c>
      <c r="BN488" s="6" t="n">
        <f aca="false">IF(R488="-","",IFERROR(VALUE(LEFT(Q488,LEN(Q488)-2)),""))</f>
        <v>111.49</v>
      </c>
      <c r="BO488" s="6" t="n">
        <f aca="false">IF(R488="-","",IFERROR(VALUE(LEFT(R488,LEN(R488)-5)),""))</f>
        <v>0</v>
      </c>
      <c r="BP488" s="6" t="n">
        <f aca="false">IF(R488="-","",IFERROR(VALUE(F488),""))</f>
        <v>0</v>
      </c>
      <c r="BQ488" s="4" t="n">
        <f aca="false">IF(R488="-",1,0)</f>
        <v>0</v>
      </c>
    </row>
    <row r="489" customFormat="false" ht="15" hidden="false" customHeight="false" outlineLevel="0" collapsed="false">
      <c r="A489" s="0" t="s">
        <v>2004</v>
      </c>
      <c r="B489" s="0" t="s">
        <v>2005</v>
      </c>
      <c r="C489" s="0" t="s">
        <v>70</v>
      </c>
      <c r="E489" s="3" t="n">
        <v>46278</v>
      </c>
      <c r="F489" s="4" t="s">
        <v>95</v>
      </c>
      <c r="G489" s="5" t="n">
        <v>0.00175925925925926</v>
      </c>
      <c r="H489" s="5" t="n">
        <v>0</v>
      </c>
      <c r="I489" s="5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5" t="n">
        <v>0</v>
      </c>
      <c r="P489" s="5" t="n">
        <v>0</v>
      </c>
      <c r="Q489" s="4" t="s">
        <v>73</v>
      </c>
      <c r="R489" s="4" t="s">
        <v>73</v>
      </c>
      <c r="S489" s="5" t="n">
        <v>0</v>
      </c>
      <c r="T489" s="5" t="n">
        <v>0.00173611111111111</v>
      </c>
      <c r="U489" s="5" t="n">
        <v>0</v>
      </c>
      <c r="V489" s="5" t="n">
        <v>0</v>
      </c>
      <c r="W489" s="5" t="n">
        <v>0</v>
      </c>
      <c r="X489" s="5" t="n">
        <v>0</v>
      </c>
      <c r="Y489" s="5" t="n">
        <v>0</v>
      </c>
      <c r="Z489" s="0" t="n">
        <v>0</v>
      </c>
      <c r="AA489" s="0" t="n">
        <v>0</v>
      </c>
      <c r="AB489" s="0" t="n">
        <v>0</v>
      </c>
      <c r="AC489" s="4" t="s">
        <v>1076</v>
      </c>
      <c r="AD489" s="4" t="s">
        <v>1076</v>
      </c>
      <c r="AE489" s="4" t="s">
        <v>2008</v>
      </c>
      <c r="AF489" s="4" t="s">
        <v>2008</v>
      </c>
      <c r="AG489" s="5" t="n">
        <v>0.00056712962962963</v>
      </c>
      <c r="AH489" s="5" t="n">
        <v>0.00167824074074074</v>
      </c>
      <c r="AI489" s="5" t="n">
        <v>0</v>
      </c>
      <c r="AJ489" s="5" t="n">
        <v>0</v>
      </c>
      <c r="AK489" s="5" t="n">
        <v>0</v>
      </c>
      <c r="AL489" s="5" t="n">
        <v>0</v>
      </c>
      <c r="AM489" s="4" t="s">
        <v>78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0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M489" s="6" t="n">
        <f aca="false">IFERROR(VALUE(F489),"")</f>
        <v>0</v>
      </c>
      <c r="BN489" s="6" t="str">
        <f aca="false">IF(R489="-","",IFERROR(VALUE(LEFT(Q489,LEN(Q489)-2)),""))</f>
        <v/>
      </c>
      <c r="BO489" s="6" t="str">
        <f aca="false">IF(R489="-","",IFERROR(VALUE(LEFT(R489,LEN(R489)-5)),""))</f>
        <v/>
      </c>
      <c r="BP489" s="6" t="str">
        <f aca="false">IF(R489="-","",IFERROR(VALUE(F489),""))</f>
        <v/>
      </c>
      <c r="BQ489" s="4" t="n">
        <f aca="false">IF(R489="-",1,0)</f>
        <v>1</v>
      </c>
    </row>
    <row r="490" customFormat="false" ht="15" hidden="false" customHeight="false" outlineLevel="0" collapsed="false">
      <c r="A490" s="0" t="s">
        <v>2004</v>
      </c>
      <c r="B490" s="0" t="s">
        <v>2005</v>
      </c>
      <c r="C490" s="0" t="s">
        <v>70</v>
      </c>
      <c r="D490" s="0" t="s">
        <v>2017</v>
      </c>
      <c r="E490" s="3" t="n">
        <v>46279</v>
      </c>
      <c r="F490" s="4" t="s">
        <v>95</v>
      </c>
      <c r="G490" s="5" t="n">
        <v>0.384722222222222</v>
      </c>
      <c r="H490" s="5" t="n">
        <v>0.288275462962963</v>
      </c>
      <c r="I490" s="5" t="n">
        <v>0.000185185185185185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3</v>
      </c>
      <c r="O490" s="5" t="n">
        <v>0</v>
      </c>
      <c r="P490" s="5" t="n">
        <v>0.00833333333333333</v>
      </c>
      <c r="Q490" s="4" t="s">
        <v>2018</v>
      </c>
      <c r="R490" s="4" t="s">
        <v>454</v>
      </c>
      <c r="S490" s="5" t="n">
        <v>0.000347222222222222</v>
      </c>
      <c r="T490" s="5" t="n">
        <v>0.180439814814815</v>
      </c>
      <c r="U490" s="5" t="n">
        <v>0.144560185185185</v>
      </c>
      <c r="V490" s="5" t="n">
        <v>0.049537037037037</v>
      </c>
      <c r="W490" s="5" t="n">
        <v>0</v>
      </c>
      <c r="X490" s="5" t="n">
        <v>0</v>
      </c>
      <c r="Y490" s="5" t="n">
        <v>0</v>
      </c>
      <c r="Z490" s="0" t="n">
        <v>0</v>
      </c>
      <c r="AA490" s="0" t="n">
        <v>0</v>
      </c>
      <c r="AB490" s="0" t="n">
        <v>0</v>
      </c>
      <c r="AC490" s="4" t="s">
        <v>1076</v>
      </c>
      <c r="AD490" s="4" t="s">
        <v>1090</v>
      </c>
      <c r="AE490" s="4" t="s">
        <v>2008</v>
      </c>
      <c r="AF490" s="4" t="s">
        <v>2008</v>
      </c>
      <c r="AG490" s="5" t="n">
        <v>0.312303240740741</v>
      </c>
      <c r="AH490" s="5" t="n">
        <v>0.164236111111111</v>
      </c>
      <c r="AI490" s="5" t="n">
        <v>0</v>
      </c>
      <c r="AJ490" s="5" t="n">
        <v>0</v>
      </c>
      <c r="AK490" s="5" t="n">
        <v>0</v>
      </c>
      <c r="AL490" s="5" t="n">
        <v>0</v>
      </c>
      <c r="AM490" s="4" t="s">
        <v>78</v>
      </c>
      <c r="AN490" s="0" t="n">
        <v>0</v>
      </c>
      <c r="AO490" s="0" t="n">
        <v>1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0</v>
      </c>
      <c r="BC490" s="0" t="n">
        <v>0</v>
      </c>
      <c r="BD490" s="0" t="n">
        <v>1</v>
      </c>
      <c r="BE490" s="0" t="n">
        <v>0</v>
      </c>
      <c r="BF490" s="0" t="n">
        <v>0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M490" s="6" t="n">
        <f aca="false">IFERROR(VALUE(F490),"")</f>
        <v>0</v>
      </c>
      <c r="BN490" s="6" t="n">
        <f aca="false">IF(R490="-","",IFERROR(VALUE(LEFT(Q490,LEN(Q490)-2)),""))</f>
        <v>101.5</v>
      </c>
      <c r="BO490" s="6" t="n">
        <f aca="false">IF(R490="-","",IFERROR(VALUE(LEFT(R490,LEN(R490)-5)),""))</f>
        <v>0</v>
      </c>
      <c r="BP490" s="6" t="n">
        <f aca="false">IF(R490="-","",IFERROR(VALUE(F490),""))</f>
        <v>0</v>
      </c>
      <c r="BQ490" s="4" t="n">
        <f aca="false">IF(R490="-",1,0)</f>
        <v>0</v>
      </c>
    </row>
    <row r="491" customFormat="false" ht="15" hidden="false" customHeight="false" outlineLevel="0" collapsed="false">
      <c r="A491" s="0" t="s">
        <v>2019</v>
      </c>
      <c r="B491" s="0" t="s">
        <v>2020</v>
      </c>
      <c r="C491" s="0" t="s">
        <v>70</v>
      </c>
      <c r="D491" s="0" t="s">
        <v>2021</v>
      </c>
      <c r="E491" s="3" t="n">
        <v>46273</v>
      </c>
      <c r="F491" s="4" t="s">
        <v>2022</v>
      </c>
      <c r="G491" s="5" t="n">
        <v>0.212337962962963</v>
      </c>
      <c r="H491" s="5" t="n">
        <v>0.205706018518519</v>
      </c>
      <c r="I491" s="5" t="n">
        <v>5.78703703703704E-005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1</v>
      </c>
      <c r="O491" s="5" t="n">
        <v>0</v>
      </c>
      <c r="P491" s="5" t="n">
        <v>0.0101851851851852</v>
      </c>
      <c r="Q491" s="4" t="s">
        <v>2023</v>
      </c>
      <c r="R491" s="4" t="s">
        <v>1400</v>
      </c>
      <c r="S491" s="5" t="n">
        <v>0.000231481481481482</v>
      </c>
      <c r="T491" s="5" t="n">
        <v>0.0943287037037037</v>
      </c>
      <c r="U491" s="5" t="n">
        <v>0.109375</v>
      </c>
      <c r="V491" s="5" t="n">
        <v>0.00543981481481482</v>
      </c>
      <c r="W491" s="5" t="n">
        <v>0</v>
      </c>
      <c r="X491" s="5" t="n">
        <v>0</v>
      </c>
      <c r="Y491" s="5" t="n">
        <v>0</v>
      </c>
      <c r="Z491" s="0" t="n">
        <v>0</v>
      </c>
      <c r="AA491" s="0" t="n">
        <v>0</v>
      </c>
      <c r="AB491" s="0" t="n">
        <v>0</v>
      </c>
      <c r="AC491" s="4" t="s">
        <v>2024</v>
      </c>
      <c r="AD491" s="4" t="s">
        <v>2024</v>
      </c>
      <c r="AE491" s="4" t="s">
        <v>2025</v>
      </c>
      <c r="AF491" s="4" t="s">
        <v>2026</v>
      </c>
      <c r="AG491" s="5" t="n">
        <v>0.185034722222222</v>
      </c>
      <c r="AH491" s="5" t="n">
        <v>0.0660532407407408</v>
      </c>
      <c r="AI491" s="5" t="n">
        <v>0</v>
      </c>
      <c r="AJ491" s="5" t="n">
        <v>0</v>
      </c>
      <c r="AK491" s="5" t="n">
        <v>0</v>
      </c>
      <c r="AL491" s="5" t="n">
        <v>0</v>
      </c>
      <c r="AM491" s="4" t="s">
        <v>78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1</v>
      </c>
      <c r="AV491" s="0" t="n">
        <v>0</v>
      </c>
      <c r="AW491" s="0" t="n">
        <v>0</v>
      </c>
      <c r="AX491" s="0" t="n">
        <v>0</v>
      </c>
      <c r="AY491" s="0" t="n">
        <v>0</v>
      </c>
      <c r="AZ491" s="0" t="n">
        <v>0</v>
      </c>
      <c r="BA491" s="0" t="n">
        <v>0</v>
      </c>
      <c r="BB491" s="0" t="n">
        <v>0</v>
      </c>
      <c r="BC491" s="0" t="n">
        <v>0</v>
      </c>
      <c r="BD491" s="0" t="n">
        <v>0</v>
      </c>
      <c r="BE491" s="0" t="n">
        <v>0</v>
      </c>
      <c r="BF491" s="0" t="n">
        <v>0</v>
      </c>
      <c r="BG491" s="0" t="n">
        <v>0</v>
      </c>
      <c r="BH491" s="0" t="n">
        <v>0</v>
      </c>
      <c r="BI491" s="0" t="n">
        <v>0</v>
      </c>
      <c r="BJ491" s="0" t="n">
        <v>0</v>
      </c>
      <c r="BK491" s="0" t="n">
        <v>0</v>
      </c>
      <c r="BM491" s="6" t="n">
        <f aca="false">IFERROR(VALUE(F491),"")</f>
        <v>139.27</v>
      </c>
      <c r="BN491" s="6" t="n">
        <f aca="false">IF(R491="-","",IFERROR(VALUE(LEFT(Q491,LEN(Q491)-2)),""))</f>
        <v>44.03</v>
      </c>
      <c r="BO491" s="6" t="n">
        <f aca="false">IF(R491="-","",IFERROR(VALUE(LEFT(R491,LEN(R491)-5)),""))</f>
        <v>3.16</v>
      </c>
      <c r="BP491" s="6" t="n">
        <f aca="false">IF(R491="-","",IFERROR(VALUE(F491),""))</f>
        <v>139.27</v>
      </c>
      <c r="BQ491" s="4" t="n">
        <f aca="false">IF(R491="-",1,0)</f>
        <v>0</v>
      </c>
    </row>
    <row r="492" customFormat="false" ht="15" hidden="false" customHeight="false" outlineLevel="0" collapsed="false">
      <c r="A492" s="0" t="s">
        <v>2019</v>
      </c>
      <c r="B492" s="0" t="s">
        <v>2020</v>
      </c>
      <c r="C492" s="0" t="s">
        <v>70</v>
      </c>
      <c r="D492" s="0" t="s">
        <v>2027</v>
      </c>
      <c r="E492" s="3" t="n">
        <v>46274</v>
      </c>
      <c r="F492" s="4" t="s">
        <v>2028</v>
      </c>
      <c r="G492" s="5" t="n">
        <v>0.226018518518519</v>
      </c>
      <c r="H492" s="5" t="n">
        <v>0.00341435185185185</v>
      </c>
      <c r="I492" s="5" t="n">
        <v>0.000798611111111111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1</v>
      </c>
      <c r="O492" s="5" t="n">
        <v>0</v>
      </c>
      <c r="P492" s="5" t="n">
        <v>0.00768518518518519</v>
      </c>
      <c r="Q492" s="4" t="s">
        <v>2029</v>
      </c>
      <c r="R492" s="4" t="s">
        <v>958</v>
      </c>
      <c r="S492" s="5" t="n">
        <v>0</v>
      </c>
      <c r="T492" s="5" t="n">
        <v>0.110416666666667</v>
      </c>
      <c r="U492" s="5" t="n">
        <v>0.0957175925925926</v>
      </c>
      <c r="V492" s="5" t="n">
        <v>0.0148148148148148</v>
      </c>
      <c r="W492" s="5" t="n">
        <v>0</v>
      </c>
      <c r="X492" s="5" t="n">
        <v>0</v>
      </c>
      <c r="Y492" s="5" t="n">
        <v>0</v>
      </c>
      <c r="Z492" s="0" t="n">
        <v>0</v>
      </c>
      <c r="AA492" s="0" t="n">
        <v>0</v>
      </c>
      <c r="AB492" s="0" t="n">
        <v>0</v>
      </c>
      <c r="AC492" s="4" t="s">
        <v>2024</v>
      </c>
      <c r="AD492" s="4" t="s">
        <v>2024</v>
      </c>
      <c r="AE492" s="4" t="s">
        <v>2026</v>
      </c>
      <c r="AF492" s="4" t="s">
        <v>2030</v>
      </c>
      <c r="AG492" s="5" t="n">
        <v>0.191863425925926</v>
      </c>
      <c r="AH492" s="5" t="n">
        <v>0.0842592592592593</v>
      </c>
      <c r="AI492" s="5" t="n">
        <v>0.000162037037037037</v>
      </c>
      <c r="AJ492" s="5" t="n">
        <v>0</v>
      </c>
      <c r="AK492" s="5" t="n">
        <v>0</v>
      </c>
      <c r="AL492" s="5" t="n">
        <v>0</v>
      </c>
      <c r="AM492" s="4" t="s">
        <v>78</v>
      </c>
      <c r="AN492" s="0" t="n">
        <v>0</v>
      </c>
      <c r="AO492" s="0" t="n">
        <v>1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M492" s="6" t="n">
        <f aca="false">IFERROR(VALUE(F492),"")</f>
        <v>137.6</v>
      </c>
      <c r="BN492" s="6" t="n">
        <f aca="false">IF(R492="-","",IFERROR(VALUE(LEFT(Q492,LEN(Q492)-2)),""))</f>
        <v>40.99</v>
      </c>
      <c r="BO492" s="6" t="n">
        <f aca="false">IF(R492="-","",IFERROR(VALUE(LEFT(R492,LEN(R492)-5)),""))</f>
        <v>3.36</v>
      </c>
      <c r="BP492" s="6" t="n">
        <f aca="false">IF(R492="-","",IFERROR(VALUE(F492),""))</f>
        <v>137.6</v>
      </c>
      <c r="BQ492" s="4" t="n">
        <f aca="false">IF(R492="-",1,0)</f>
        <v>0</v>
      </c>
    </row>
    <row r="493" customFormat="false" ht="15" hidden="false" customHeight="false" outlineLevel="0" collapsed="false">
      <c r="A493" s="0" t="s">
        <v>2019</v>
      </c>
      <c r="B493" s="0" t="s">
        <v>2020</v>
      </c>
      <c r="C493" s="0" t="s">
        <v>70</v>
      </c>
      <c r="D493" s="0" t="s">
        <v>2031</v>
      </c>
      <c r="E493" s="3" t="n">
        <v>46275</v>
      </c>
      <c r="F493" s="4" t="s">
        <v>2032</v>
      </c>
      <c r="G493" s="5" t="n">
        <v>0.153854166666667</v>
      </c>
      <c r="H493" s="5" t="n">
        <v>0.0689814814814815</v>
      </c>
      <c r="I493" s="5" t="n">
        <v>0.000381944444444445</v>
      </c>
      <c r="J493" s="0" t="n">
        <v>0</v>
      </c>
      <c r="K493" s="0" t="n">
        <v>1</v>
      </c>
      <c r="L493" s="0" t="n">
        <v>0</v>
      </c>
      <c r="M493" s="0" t="n">
        <v>0</v>
      </c>
      <c r="N493" s="0" t="n">
        <v>0</v>
      </c>
      <c r="O493" s="5" t="n">
        <v>0</v>
      </c>
      <c r="P493" s="5" t="n">
        <v>0</v>
      </c>
      <c r="Q493" s="4" t="s">
        <v>2033</v>
      </c>
      <c r="R493" s="4" t="s">
        <v>2034</v>
      </c>
      <c r="S493" s="5" t="n">
        <v>0.000115740740740741</v>
      </c>
      <c r="T493" s="5" t="n">
        <v>0.0677083333333333</v>
      </c>
      <c r="U493" s="5" t="n">
        <v>0.0763888888888889</v>
      </c>
      <c r="V493" s="5" t="n">
        <v>0.00613425925925926</v>
      </c>
      <c r="W493" s="5" t="n">
        <v>0</v>
      </c>
      <c r="X493" s="5" t="n">
        <v>0</v>
      </c>
      <c r="Y493" s="5" t="n">
        <v>0</v>
      </c>
      <c r="Z493" s="0" t="n">
        <v>0</v>
      </c>
      <c r="AA493" s="0" t="n">
        <v>0</v>
      </c>
      <c r="AB493" s="0" t="n">
        <v>0</v>
      </c>
      <c r="AC493" s="4" t="s">
        <v>2024</v>
      </c>
      <c r="AD493" s="4" t="s">
        <v>2024</v>
      </c>
      <c r="AE493" s="4" t="s">
        <v>2030</v>
      </c>
      <c r="AF493" s="4" t="s">
        <v>2035</v>
      </c>
      <c r="AG493" s="5" t="n">
        <v>0.125405092592593</v>
      </c>
      <c r="AH493" s="5" t="n">
        <v>0.0514814814814815</v>
      </c>
      <c r="AI493" s="5" t="n">
        <v>0</v>
      </c>
      <c r="AJ493" s="5" t="n">
        <v>0</v>
      </c>
      <c r="AK493" s="5" t="n">
        <v>0</v>
      </c>
      <c r="AL493" s="5" t="n">
        <v>0</v>
      </c>
      <c r="AM493" s="4" t="s">
        <v>78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  <c r="AU493" s="0" t="n">
        <v>0</v>
      </c>
      <c r="AV493" s="0" t="n">
        <v>0</v>
      </c>
      <c r="AW493" s="0" t="n">
        <v>0</v>
      </c>
      <c r="AX493" s="0" t="n">
        <v>0</v>
      </c>
      <c r="AY493" s="0" t="n">
        <v>0</v>
      </c>
      <c r="AZ493" s="0" t="n">
        <v>0</v>
      </c>
      <c r="BA493" s="0" t="n">
        <v>0</v>
      </c>
      <c r="BB493" s="0" t="n">
        <v>0</v>
      </c>
      <c r="BC493" s="0" t="n">
        <v>0</v>
      </c>
      <c r="BD493" s="0" t="n">
        <v>0</v>
      </c>
      <c r="BE493" s="0" t="n">
        <v>0</v>
      </c>
      <c r="BF493" s="0" t="n">
        <v>0</v>
      </c>
      <c r="BG493" s="0" t="n">
        <v>0</v>
      </c>
      <c r="BH493" s="0" t="n">
        <v>0</v>
      </c>
      <c r="BI493" s="0" t="n">
        <v>0</v>
      </c>
      <c r="BJ493" s="0" t="n">
        <v>0</v>
      </c>
      <c r="BK493" s="0" t="n">
        <v>0</v>
      </c>
      <c r="BM493" s="6" t="n">
        <f aca="false">IFERROR(VALUE(F493),"")</f>
        <v>114.25</v>
      </c>
      <c r="BN493" s="6" t="n">
        <f aca="false">IF(R493="-","",IFERROR(VALUE(LEFT(Q493,LEN(Q493)-2)),""))</f>
        <v>29.98</v>
      </c>
      <c r="BO493" s="6" t="n">
        <f aca="false">IF(R493="-","",IFERROR(VALUE(LEFT(R493,LEN(R493)-5)),""))</f>
        <v>3.81</v>
      </c>
      <c r="BP493" s="6" t="n">
        <f aca="false">IF(R493="-","",IFERROR(VALUE(F493),""))</f>
        <v>114.25</v>
      </c>
      <c r="BQ493" s="4" t="n">
        <f aca="false">IF(R493="-",1,0)</f>
        <v>0</v>
      </c>
    </row>
    <row r="494" customFormat="false" ht="15" hidden="false" customHeight="false" outlineLevel="0" collapsed="false">
      <c r="A494" s="0" t="s">
        <v>2019</v>
      </c>
      <c r="B494" s="0" t="s">
        <v>2020</v>
      </c>
      <c r="C494" s="0" t="s">
        <v>70</v>
      </c>
      <c r="E494" s="3" t="n">
        <v>46276</v>
      </c>
      <c r="F494" s="4" t="s">
        <v>2036</v>
      </c>
      <c r="G494" s="5" t="n">
        <v>0.251736111111111</v>
      </c>
      <c r="H494" s="5" t="n">
        <v>0</v>
      </c>
      <c r="I494" s="5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5" t="n">
        <v>0</v>
      </c>
      <c r="P494" s="5" t="n">
        <v>0.0377777777777778</v>
      </c>
      <c r="Q494" s="4" t="s">
        <v>2037</v>
      </c>
      <c r="R494" s="4" t="s">
        <v>863</v>
      </c>
      <c r="S494" s="5" t="n">
        <v>0.000115740740740741</v>
      </c>
      <c r="T494" s="5" t="n">
        <v>0.13380787037037</v>
      </c>
      <c r="U494" s="5" t="n">
        <v>0.0838194444444445</v>
      </c>
      <c r="V494" s="5" t="n">
        <v>0.00915509259259259</v>
      </c>
      <c r="W494" s="5" t="n">
        <v>0.000173611111111111</v>
      </c>
      <c r="X494" s="5" t="n">
        <v>0</v>
      </c>
      <c r="Y494" s="5" t="n">
        <v>5.78703703703704E-005</v>
      </c>
      <c r="Z494" s="0" t="n">
        <v>0</v>
      </c>
      <c r="AA494" s="0" t="n">
        <v>0</v>
      </c>
      <c r="AB494" s="0" t="n">
        <v>0</v>
      </c>
      <c r="AC494" s="4" t="s">
        <v>2024</v>
      </c>
      <c r="AD494" s="4" t="s">
        <v>2024</v>
      </c>
      <c r="AE494" s="4" t="s">
        <v>2035</v>
      </c>
      <c r="AF494" s="4" t="s">
        <v>2038</v>
      </c>
      <c r="AG494" s="5" t="n">
        <v>0.156608796296296</v>
      </c>
      <c r="AH494" s="5" t="n">
        <v>0.111145833333333</v>
      </c>
      <c r="AI494" s="5" t="n">
        <v>0</v>
      </c>
      <c r="AJ494" s="5" t="n">
        <v>0</v>
      </c>
      <c r="AK494" s="5" t="n">
        <v>0</v>
      </c>
      <c r="AL494" s="5" t="n">
        <v>0</v>
      </c>
      <c r="AM494" s="4" t="s">
        <v>78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  <c r="AU494" s="0" t="n">
        <v>0</v>
      </c>
      <c r="AV494" s="0" t="n">
        <v>0</v>
      </c>
      <c r="AW494" s="0" t="n">
        <v>0</v>
      </c>
      <c r="AX494" s="0" t="n">
        <v>0</v>
      </c>
      <c r="AY494" s="0" t="n">
        <v>0</v>
      </c>
      <c r="AZ494" s="0" t="n">
        <v>0</v>
      </c>
      <c r="BA494" s="0" t="n">
        <v>0</v>
      </c>
      <c r="BB494" s="0" t="n">
        <v>0</v>
      </c>
      <c r="BC494" s="0" t="n">
        <v>0</v>
      </c>
      <c r="BD494" s="0" t="n">
        <v>0</v>
      </c>
      <c r="BE494" s="0" t="n">
        <v>0</v>
      </c>
      <c r="BF494" s="0" t="n">
        <v>0</v>
      </c>
      <c r="BG494" s="0" t="n">
        <v>0</v>
      </c>
      <c r="BH494" s="0" t="n">
        <v>0</v>
      </c>
      <c r="BI494" s="0" t="n">
        <v>0</v>
      </c>
      <c r="BJ494" s="0" t="n">
        <v>0</v>
      </c>
      <c r="BK494" s="0" t="n">
        <v>0</v>
      </c>
      <c r="BM494" s="6" t="n">
        <f aca="false">IFERROR(VALUE(F494),"")</f>
        <v>126.06</v>
      </c>
      <c r="BN494" s="6" t="n">
        <f aca="false">IF(R494="-","",IFERROR(VALUE(LEFT(Q494,LEN(Q494)-2)),""))</f>
        <v>38.5</v>
      </c>
      <c r="BO494" s="6" t="n">
        <f aca="false">IF(R494="-","",IFERROR(VALUE(LEFT(R494,LEN(R494)-5)),""))</f>
        <v>3.27</v>
      </c>
      <c r="BP494" s="6" t="n">
        <f aca="false">IF(R494="-","",IFERROR(VALUE(F494),""))</f>
        <v>126.06</v>
      </c>
      <c r="BQ494" s="4" t="n">
        <f aca="false">IF(R494="-",1,0)</f>
        <v>0</v>
      </c>
    </row>
    <row r="495" customFormat="false" ht="15" hidden="false" customHeight="false" outlineLevel="0" collapsed="false">
      <c r="A495" s="0" t="s">
        <v>2019</v>
      </c>
      <c r="B495" s="0" t="s">
        <v>2020</v>
      </c>
      <c r="C495" s="0" t="s">
        <v>70</v>
      </c>
      <c r="D495" s="0" t="s">
        <v>2039</v>
      </c>
      <c r="E495" s="3" t="n">
        <v>46279</v>
      </c>
      <c r="F495" s="4" t="s">
        <v>2040</v>
      </c>
      <c r="G495" s="5" t="n">
        <v>0.310659722222222</v>
      </c>
      <c r="H495" s="5" t="n">
        <v>0.310543981481482</v>
      </c>
      <c r="I495" s="5" t="n">
        <v>0.000104166666666667</v>
      </c>
      <c r="J495" s="0" t="n">
        <v>0</v>
      </c>
      <c r="K495" s="0" t="n">
        <v>1</v>
      </c>
      <c r="L495" s="0" t="n">
        <v>0</v>
      </c>
      <c r="M495" s="0" t="n">
        <v>0</v>
      </c>
      <c r="N495" s="0" t="n">
        <v>4</v>
      </c>
      <c r="O495" s="5" t="n">
        <v>0</v>
      </c>
      <c r="P495" s="5" t="n">
        <v>0.0242476851851852</v>
      </c>
      <c r="Q495" s="4" t="s">
        <v>2041</v>
      </c>
      <c r="R495" s="4" t="s">
        <v>497</v>
      </c>
      <c r="S495" s="5" t="n">
        <v>0</v>
      </c>
      <c r="T495" s="5" t="n">
        <v>0.132638888888889</v>
      </c>
      <c r="U495" s="5" t="n">
        <v>0.145717592592593</v>
      </c>
      <c r="V495" s="5" t="n">
        <v>0.0267361111111111</v>
      </c>
      <c r="W495" s="5" t="n">
        <v>0</v>
      </c>
      <c r="X495" s="5" t="n">
        <v>0</v>
      </c>
      <c r="Y495" s="5" t="n">
        <v>0</v>
      </c>
      <c r="Z495" s="0" t="n">
        <v>0</v>
      </c>
      <c r="AA495" s="0" t="n">
        <v>0</v>
      </c>
      <c r="AB495" s="0" t="n">
        <v>0</v>
      </c>
      <c r="AC495" s="4" t="s">
        <v>2024</v>
      </c>
      <c r="AD495" s="4" t="s">
        <v>2042</v>
      </c>
      <c r="AE495" s="4" t="s">
        <v>2038</v>
      </c>
      <c r="AF495" s="4" t="s">
        <v>2043</v>
      </c>
      <c r="AG495" s="5" t="n">
        <v>0.262175925925926</v>
      </c>
      <c r="AH495" s="5" t="n">
        <v>0.121099537037037</v>
      </c>
      <c r="AI495" s="5" t="n">
        <v>0</v>
      </c>
      <c r="AJ495" s="5" t="n">
        <v>0</v>
      </c>
      <c r="AK495" s="5" t="n">
        <v>0</v>
      </c>
      <c r="AL495" s="5" t="n">
        <v>0</v>
      </c>
      <c r="AM495" s="4" t="s">
        <v>78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  <c r="AU495" s="0" t="n">
        <v>3</v>
      </c>
      <c r="AV495" s="0" t="n">
        <v>0</v>
      </c>
      <c r="AW495" s="0" t="n">
        <v>0</v>
      </c>
      <c r="AX495" s="0" t="n">
        <v>0</v>
      </c>
      <c r="AY495" s="0" t="n">
        <v>0</v>
      </c>
      <c r="AZ495" s="0" t="n">
        <v>0</v>
      </c>
      <c r="BA495" s="0" t="n">
        <v>0</v>
      </c>
      <c r="BB495" s="0" t="n">
        <v>0</v>
      </c>
      <c r="BC495" s="0" t="n">
        <v>0</v>
      </c>
      <c r="BD495" s="0" t="n">
        <v>0</v>
      </c>
      <c r="BE495" s="0" t="n">
        <v>0</v>
      </c>
      <c r="BF495" s="0" t="n">
        <v>0</v>
      </c>
      <c r="BG495" s="0" t="n">
        <v>0</v>
      </c>
      <c r="BH495" s="0" t="n">
        <v>0</v>
      </c>
      <c r="BI495" s="0" t="n">
        <v>0</v>
      </c>
      <c r="BJ495" s="0" t="n">
        <v>0</v>
      </c>
      <c r="BK495" s="0" t="n">
        <v>0</v>
      </c>
      <c r="BM495" s="6" t="n">
        <f aca="false">IFERROR(VALUE(F495),"")</f>
        <v>223.43</v>
      </c>
      <c r="BN495" s="6" t="n">
        <f aca="false">IF(R495="-","",IFERROR(VALUE(LEFT(Q495,LEN(Q495)-2)),""))</f>
        <v>75.01</v>
      </c>
      <c r="BO495" s="6" t="n">
        <f aca="false">IF(R495="-","",IFERROR(VALUE(LEFT(R495,LEN(R495)-5)),""))</f>
        <v>2.98</v>
      </c>
      <c r="BP495" s="6" t="n">
        <f aca="false">IF(R495="-","",IFERROR(VALUE(F495),""))</f>
        <v>223.43</v>
      </c>
      <c r="BQ495" s="4" t="n">
        <f aca="false">IF(R495="-",1,0)</f>
        <v>0</v>
      </c>
    </row>
    <row r="496" customFormat="false" ht="15" hidden="false" customHeight="false" outlineLevel="0" collapsed="false">
      <c r="A496" s="0" t="s">
        <v>2044</v>
      </c>
      <c r="B496" s="0" t="s">
        <v>2045</v>
      </c>
      <c r="C496" s="0" t="s">
        <v>70</v>
      </c>
      <c r="D496" s="0" t="s">
        <v>2046</v>
      </c>
      <c r="E496" s="3" t="n">
        <v>46273</v>
      </c>
      <c r="F496" s="4" t="s">
        <v>2047</v>
      </c>
      <c r="G496" s="5" t="n">
        <v>0.524583333333333</v>
      </c>
      <c r="H496" s="5" t="n">
        <v>0.5103125</v>
      </c>
      <c r="I496" s="5" t="n">
        <v>0.00390046296296296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1</v>
      </c>
      <c r="O496" s="5" t="n">
        <v>0</v>
      </c>
      <c r="P496" s="5" t="n">
        <v>0.0154513888888889</v>
      </c>
      <c r="Q496" s="4" t="s">
        <v>1996</v>
      </c>
      <c r="R496" s="4" t="s">
        <v>2048</v>
      </c>
      <c r="S496" s="5" t="n">
        <v>0.000115740740740741</v>
      </c>
      <c r="T496" s="5" t="n">
        <v>0.159606481481482</v>
      </c>
      <c r="U496" s="5" t="n">
        <v>0.240972222222222</v>
      </c>
      <c r="V496" s="5" t="n">
        <v>0.120833333333333</v>
      </c>
      <c r="W496" s="5" t="n">
        <v>0</v>
      </c>
      <c r="X496" s="5" t="n">
        <v>0</v>
      </c>
      <c r="Y496" s="5" t="n">
        <v>0</v>
      </c>
      <c r="Z496" s="0" t="n">
        <v>0</v>
      </c>
      <c r="AA496" s="0" t="n">
        <v>0</v>
      </c>
      <c r="AB496" s="0" t="n">
        <v>0</v>
      </c>
      <c r="AC496" s="4" t="s">
        <v>614</v>
      </c>
      <c r="AD496" s="4" t="s">
        <v>2024</v>
      </c>
      <c r="AE496" s="4" t="s">
        <v>2049</v>
      </c>
      <c r="AF496" s="4" t="s">
        <v>2050</v>
      </c>
      <c r="AG496" s="5" t="n">
        <v>0.46224537037037</v>
      </c>
      <c r="AH496" s="5" t="n">
        <v>0.221006944444444</v>
      </c>
      <c r="AI496" s="5" t="n">
        <v>0</v>
      </c>
      <c r="AJ496" s="5" t="n">
        <v>0</v>
      </c>
      <c r="AK496" s="5" t="n">
        <v>0</v>
      </c>
      <c r="AL496" s="5" t="n">
        <v>0</v>
      </c>
      <c r="AM496" s="4" t="s">
        <v>78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  <c r="AU496" s="0" t="n">
        <v>4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0</v>
      </c>
      <c r="BI496" s="0" t="n">
        <v>0</v>
      </c>
      <c r="BJ496" s="0" t="n">
        <v>0</v>
      </c>
      <c r="BK496" s="0" t="n">
        <v>0</v>
      </c>
      <c r="BM496" s="6" t="n">
        <f aca="false">IFERROR(VALUE(F496),"")</f>
        <v>564.22</v>
      </c>
      <c r="BN496" s="6" t="n">
        <f aca="false">IF(R496="-","",IFERROR(VALUE(LEFT(Q496,LEN(Q496)-2)),""))</f>
        <v>154.5</v>
      </c>
      <c r="BO496" s="6" t="n">
        <f aca="false">IF(R496="-","",IFERROR(VALUE(LEFT(R496,LEN(R496)-5)),""))</f>
        <v>3.65</v>
      </c>
      <c r="BP496" s="6" t="n">
        <f aca="false">IF(R496="-","",IFERROR(VALUE(F496),""))</f>
        <v>564.22</v>
      </c>
      <c r="BQ496" s="4" t="n">
        <f aca="false">IF(R496="-",1,0)</f>
        <v>0</v>
      </c>
    </row>
    <row r="497" customFormat="false" ht="15" hidden="false" customHeight="false" outlineLevel="0" collapsed="false">
      <c r="A497" s="0" t="s">
        <v>2044</v>
      </c>
      <c r="B497" s="0" t="s">
        <v>2045</v>
      </c>
      <c r="C497" s="0" t="s">
        <v>70</v>
      </c>
      <c r="D497" s="0" t="s">
        <v>2051</v>
      </c>
      <c r="E497" s="3" t="n">
        <v>46274</v>
      </c>
      <c r="F497" s="4" t="s">
        <v>2052</v>
      </c>
      <c r="G497" s="5" t="n">
        <v>0.241365740740741</v>
      </c>
      <c r="H497" s="5" t="n">
        <v>0.226712962962963</v>
      </c>
      <c r="I497" s="5" t="n">
        <v>0.00126157407407407</v>
      </c>
      <c r="J497" s="0" t="n">
        <v>0</v>
      </c>
      <c r="K497" s="0" t="n">
        <v>1</v>
      </c>
      <c r="L497" s="0" t="n">
        <v>0</v>
      </c>
      <c r="M497" s="0" t="n">
        <v>0</v>
      </c>
      <c r="N497" s="0" t="n">
        <v>0</v>
      </c>
      <c r="O497" s="5" t="n">
        <v>0</v>
      </c>
      <c r="P497" s="5" t="n">
        <v>0.0240509259259259</v>
      </c>
      <c r="Q497" s="4" t="s">
        <v>2053</v>
      </c>
      <c r="R497" s="4" t="s">
        <v>1237</v>
      </c>
      <c r="S497" s="5" t="n">
        <v>0.000115740740740741</v>
      </c>
      <c r="T497" s="5" t="n">
        <v>0.128472222222222</v>
      </c>
      <c r="U497" s="5" t="n">
        <v>0.0878472222222222</v>
      </c>
      <c r="V497" s="5" t="n">
        <v>0.0186342592592593</v>
      </c>
      <c r="W497" s="5" t="n">
        <v>0</v>
      </c>
      <c r="X497" s="5" t="n">
        <v>0</v>
      </c>
      <c r="Y497" s="5" t="n">
        <v>0</v>
      </c>
      <c r="Z497" s="0" t="n">
        <v>0</v>
      </c>
      <c r="AA497" s="0" t="n">
        <v>0</v>
      </c>
      <c r="AB497" s="0" t="n">
        <v>0</v>
      </c>
      <c r="AC497" s="4" t="s">
        <v>2024</v>
      </c>
      <c r="AD497" s="4" t="s">
        <v>2024</v>
      </c>
      <c r="AE497" s="4" t="s">
        <v>2050</v>
      </c>
      <c r="AF497" s="4" t="s">
        <v>2054</v>
      </c>
      <c r="AG497" s="5" t="n">
        <v>0.197673611111111</v>
      </c>
      <c r="AH497" s="5" t="n">
        <v>0.0748726851851852</v>
      </c>
      <c r="AI497" s="5" t="n">
        <v>0</v>
      </c>
      <c r="AJ497" s="5" t="n">
        <v>0</v>
      </c>
      <c r="AK497" s="5" t="n">
        <v>0</v>
      </c>
      <c r="AL497" s="5" t="n">
        <v>0</v>
      </c>
      <c r="AM497" s="4" t="s">
        <v>78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0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0</v>
      </c>
      <c r="AZ497" s="0" t="n">
        <v>0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n">
        <v>0</v>
      </c>
      <c r="BF497" s="0" t="n">
        <v>0</v>
      </c>
      <c r="BG497" s="0" t="n">
        <v>0</v>
      </c>
      <c r="BH497" s="0" t="n">
        <v>0</v>
      </c>
      <c r="BI497" s="0" t="n">
        <v>0</v>
      </c>
      <c r="BJ497" s="0" t="n">
        <v>0</v>
      </c>
      <c r="BK497" s="0" t="n">
        <v>0</v>
      </c>
      <c r="BM497" s="6" t="n">
        <f aca="false">IFERROR(VALUE(F497),"")</f>
        <v>145.85</v>
      </c>
      <c r="BN497" s="6" t="n">
        <f aca="false">IF(R497="-","",IFERROR(VALUE(LEFT(Q497,LEN(Q497)-2)),""))</f>
        <v>52</v>
      </c>
      <c r="BO497" s="6" t="n">
        <f aca="false">IF(R497="-","",IFERROR(VALUE(LEFT(R497,LEN(R497)-5)),""))</f>
        <v>2.8</v>
      </c>
      <c r="BP497" s="6" t="n">
        <f aca="false">IF(R497="-","",IFERROR(VALUE(F497),""))</f>
        <v>145.85</v>
      </c>
      <c r="BQ497" s="4" t="n">
        <f aca="false">IF(R497="-",1,0)</f>
        <v>0</v>
      </c>
    </row>
    <row r="498" customFormat="false" ht="15" hidden="false" customHeight="false" outlineLevel="0" collapsed="false">
      <c r="A498" s="0" t="s">
        <v>2044</v>
      </c>
      <c r="B498" s="0" t="s">
        <v>2045</v>
      </c>
      <c r="C498" s="0" t="s">
        <v>70</v>
      </c>
      <c r="D498" s="0" t="s">
        <v>2055</v>
      </c>
      <c r="E498" s="3" t="n">
        <v>46275</v>
      </c>
      <c r="F498" s="4" t="s">
        <v>2056</v>
      </c>
      <c r="G498" s="5" t="n">
        <v>0.252210648148148</v>
      </c>
      <c r="H498" s="5" t="n">
        <v>0.00446759259259259</v>
      </c>
      <c r="I498" s="5" t="n">
        <v>9.25925925925926E-005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1</v>
      </c>
      <c r="O498" s="5" t="n">
        <v>0</v>
      </c>
      <c r="P498" s="5" t="n">
        <v>0.0217013888888889</v>
      </c>
      <c r="Q498" s="4" t="s">
        <v>2057</v>
      </c>
      <c r="R498" s="4" t="s">
        <v>2058</v>
      </c>
      <c r="S498" s="5" t="n">
        <v>0.000347222222222222</v>
      </c>
      <c r="T498" s="5" t="n">
        <v>0.132175925925926</v>
      </c>
      <c r="U498" s="5" t="n">
        <v>0.0969907407407407</v>
      </c>
      <c r="V498" s="5" t="n">
        <v>0.00891203703703704</v>
      </c>
      <c r="W498" s="5" t="n">
        <v>0</v>
      </c>
      <c r="X498" s="5" t="n">
        <v>0</v>
      </c>
      <c r="Y498" s="5" t="n">
        <v>0</v>
      </c>
      <c r="Z498" s="0" t="n">
        <v>0</v>
      </c>
      <c r="AA498" s="0" t="n">
        <v>0</v>
      </c>
      <c r="AB498" s="0" t="n">
        <v>0</v>
      </c>
      <c r="AC498" s="4" t="s">
        <v>2024</v>
      </c>
      <c r="AD498" s="4" t="s">
        <v>2024</v>
      </c>
      <c r="AE498" s="4" t="s">
        <v>2054</v>
      </c>
      <c r="AF498" s="4" t="s">
        <v>2059</v>
      </c>
      <c r="AG498" s="5" t="n">
        <v>0.184884259259259</v>
      </c>
      <c r="AH498" s="5" t="n">
        <v>0.189097222222222</v>
      </c>
      <c r="AI498" s="5" t="n">
        <v>0</v>
      </c>
      <c r="AJ498" s="5" t="n">
        <v>0</v>
      </c>
      <c r="AK498" s="5" t="n">
        <v>0</v>
      </c>
      <c r="AL498" s="5" t="n">
        <v>0</v>
      </c>
      <c r="AM498" s="4" t="s">
        <v>78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n">
        <v>0</v>
      </c>
      <c r="AW498" s="0" t="n">
        <v>0</v>
      </c>
      <c r="AX498" s="0" t="n">
        <v>0</v>
      </c>
      <c r="AY498" s="0" t="n">
        <v>0</v>
      </c>
      <c r="AZ498" s="0" t="n">
        <v>0</v>
      </c>
      <c r="BA498" s="0" t="n">
        <v>0</v>
      </c>
      <c r="BB498" s="0" t="n">
        <v>0</v>
      </c>
      <c r="BC498" s="0" t="n">
        <v>0</v>
      </c>
      <c r="BD498" s="0" t="n">
        <v>0</v>
      </c>
      <c r="BE498" s="0" t="n">
        <v>0</v>
      </c>
      <c r="BF498" s="0" t="n">
        <v>0</v>
      </c>
      <c r="BG498" s="0" t="n">
        <v>0</v>
      </c>
      <c r="BH498" s="0" t="n">
        <v>0</v>
      </c>
      <c r="BI498" s="0" t="n">
        <v>0</v>
      </c>
      <c r="BJ498" s="0" t="n">
        <v>0</v>
      </c>
      <c r="BK498" s="0" t="n">
        <v>0</v>
      </c>
      <c r="BM498" s="6" t="n">
        <f aca="false">IFERROR(VALUE(F498),"")</f>
        <v>131.93</v>
      </c>
      <c r="BN498" s="6" t="n">
        <f aca="false">IF(R498="-","",IFERROR(VALUE(LEFT(Q498,LEN(Q498)-2)),""))</f>
        <v>44.99</v>
      </c>
      <c r="BO498" s="6" t="n">
        <f aca="false">IF(R498="-","",IFERROR(VALUE(LEFT(R498,LEN(R498)-5)),""))</f>
        <v>2.93</v>
      </c>
      <c r="BP498" s="6" t="n">
        <f aca="false">IF(R498="-","",IFERROR(VALUE(F498),""))</f>
        <v>131.93</v>
      </c>
      <c r="BQ498" s="4" t="n">
        <f aca="false">IF(R498="-",1,0)</f>
        <v>0</v>
      </c>
    </row>
    <row r="499" customFormat="false" ht="15" hidden="false" customHeight="false" outlineLevel="0" collapsed="false">
      <c r="A499" s="0" t="s">
        <v>2044</v>
      </c>
      <c r="B499" s="0" t="s">
        <v>2045</v>
      </c>
      <c r="C499" s="0" t="s">
        <v>70</v>
      </c>
      <c r="E499" s="3" t="n">
        <v>46276</v>
      </c>
      <c r="F499" s="4" t="s">
        <v>2060</v>
      </c>
      <c r="G499" s="5" t="n">
        <v>0.262673611111111</v>
      </c>
      <c r="H499" s="5" t="n">
        <v>0</v>
      </c>
      <c r="I499" s="5" t="n">
        <v>0.000185185185185185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1</v>
      </c>
      <c r="O499" s="5" t="n">
        <v>0</v>
      </c>
      <c r="P499" s="5" t="n">
        <v>0.0413888888888889</v>
      </c>
      <c r="Q499" s="4" t="s">
        <v>2061</v>
      </c>
      <c r="R499" s="4" t="s">
        <v>437</v>
      </c>
      <c r="S499" s="5" t="n">
        <v>0.000347222222222222</v>
      </c>
      <c r="T499" s="5" t="n">
        <v>0.137268518518519</v>
      </c>
      <c r="U499" s="5" t="n">
        <v>0.102777777777778</v>
      </c>
      <c r="V499" s="5" t="n">
        <v>0.00578703703703704</v>
      </c>
      <c r="W499" s="5" t="n">
        <v>0</v>
      </c>
      <c r="X499" s="5" t="n">
        <v>0</v>
      </c>
      <c r="Y499" s="5" t="n">
        <v>0</v>
      </c>
      <c r="Z499" s="0" t="n">
        <v>0</v>
      </c>
      <c r="AA499" s="0" t="n">
        <v>0</v>
      </c>
      <c r="AB499" s="0" t="n">
        <v>0</v>
      </c>
      <c r="AC499" s="4" t="s">
        <v>2024</v>
      </c>
      <c r="AD499" s="4" t="s">
        <v>2062</v>
      </c>
      <c r="AE499" s="4" t="s">
        <v>2059</v>
      </c>
      <c r="AF499" s="4" t="s">
        <v>2063</v>
      </c>
      <c r="AG499" s="5" t="n">
        <v>0.180393518518519</v>
      </c>
      <c r="AH499" s="5" t="n">
        <v>0.169155092592593</v>
      </c>
      <c r="AI499" s="5" t="n">
        <v>0</v>
      </c>
      <c r="AJ499" s="5" t="n">
        <v>0</v>
      </c>
      <c r="AK499" s="5" t="n">
        <v>0</v>
      </c>
      <c r="AL499" s="5" t="n">
        <v>0</v>
      </c>
      <c r="AM499" s="4" t="s">
        <v>78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1</v>
      </c>
      <c r="AV499" s="0" t="n">
        <v>0</v>
      </c>
      <c r="AW499" s="0" t="n">
        <v>0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0</v>
      </c>
      <c r="BI499" s="0" t="n">
        <v>0</v>
      </c>
      <c r="BJ499" s="0" t="n">
        <v>0</v>
      </c>
      <c r="BK499" s="0" t="n">
        <v>0</v>
      </c>
      <c r="BM499" s="6" t="n">
        <f aca="false">IFERROR(VALUE(F499),"")</f>
        <v>131.47</v>
      </c>
      <c r="BN499" s="6" t="n">
        <f aca="false">IF(R499="-","",IFERROR(VALUE(LEFT(Q499,LEN(Q499)-2)),""))</f>
        <v>44.51</v>
      </c>
      <c r="BO499" s="6" t="n">
        <f aca="false">IF(R499="-","",IFERROR(VALUE(LEFT(R499,LEN(R499)-5)),""))</f>
        <v>2.95</v>
      </c>
      <c r="BP499" s="6" t="n">
        <f aca="false">IF(R499="-","",IFERROR(VALUE(F499),""))</f>
        <v>131.47</v>
      </c>
      <c r="BQ499" s="4" t="n">
        <f aca="false">IF(R499="-",1,0)</f>
        <v>0</v>
      </c>
    </row>
    <row r="500" customFormat="false" ht="15" hidden="false" customHeight="false" outlineLevel="0" collapsed="false">
      <c r="A500" s="0" t="s">
        <v>2044</v>
      </c>
      <c r="B500" s="0" t="s">
        <v>2045</v>
      </c>
      <c r="C500" s="0" t="s">
        <v>70</v>
      </c>
      <c r="E500" s="3" t="n">
        <v>46277</v>
      </c>
      <c r="F500" s="4" t="s">
        <v>457</v>
      </c>
      <c r="G500" s="5" t="n">
        <v>0.0436574074074074</v>
      </c>
      <c r="H500" s="5" t="n">
        <v>0</v>
      </c>
      <c r="I500" s="5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5" t="n">
        <v>0</v>
      </c>
      <c r="P500" s="5" t="n">
        <v>0.0207291666666667</v>
      </c>
      <c r="Q500" s="4" t="s">
        <v>2064</v>
      </c>
      <c r="R500" s="4" t="s">
        <v>454</v>
      </c>
      <c r="S500" s="5" t="n">
        <v>0.000231481481481482</v>
      </c>
      <c r="T500" s="5" t="n">
        <v>0.0418981481481482</v>
      </c>
      <c r="U500" s="5" t="n">
        <v>0.00324074074074074</v>
      </c>
      <c r="V500" s="5" t="n">
        <v>0.00104166666666667</v>
      </c>
      <c r="W500" s="5" t="n">
        <v>0</v>
      </c>
      <c r="X500" s="5" t="n">
        <v>0</v>
      </c>
      <c r="Y500" s="5" t="n">
        <v>0</v>
      </c>
      <c r="Z500" s="0" t="n">
        <v>0</v>
      </c>
      <c r="AA500" s="0" t="n">
        <v>0</v>
      </c>
      <c r="AB500" s="0" t="n">
        <v>0</v>
      </c>
      <c r="AC500" s="4" t="s">
        <v>2024</v>
      </c>
      <c r="AD500" s="4" t="s">
        <v>2024</v>
      </c>
      <c r="AE500" s="4" t="s">
        <v>2063</v>
      </c>
      <c r="AF500" s="4" t="s">
        <v>2063</v>
      </c>
      <c r="AG500" s="5" t="n">
        <v>0</v>
      </c>
      <c r="AH500" s="5" t="n">
        <v>0.0937847222222222</v>
      </c>
      <c r="AI500" s="5" t="n">
        <v>0</v>
      </c>
      <c r="AJ500" s="5" t="n">
        <v>0</v>
      </c>
      <c r="AK500" s="5" t="n">
        <v>0</v>
      </c>
      <c r="AL500" s="5" t="n">
        <v>0</v>
      </c>
      <c r="AM500" s="4" t="s">
        <v>78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M500" s="6" t="n">
        <f aca="false">IFERROR(VALUE(F500),"")</f>
        <v>0.01</v>
      </c>
      <c r="BN500" s="6" t="n">
        <f aca="false">IF(R500="-","",IFERROR(VALUE(LEFT(Q500,LEN(Q500)-2)),""))</f>
        <v>2.5</v>
      </c>
      <c r="BO500" s="6" t="n">
        <f aca="false">IF(R500="-","",IFERROR(VALUE(LEFT(R500,LEN(R500)-5)),""))</f>
        <v>0</v>
      </c>
      <c r="BP500" s="6" t="n">
        <f aca="false">IF(R500="-","",IFERROR(VALUE(F500),""))</f>
        <v>0.01</v>
      </c>
      <c r="BQ500" s="4" t="n">
        <f aca="false">IF(R500="-",1,0)</f>
        <v>0</v>
      </c>
    </row>
    <row r="501" customFormat="false" ht="15" hidden="false" customHeight="false" outlineLevel="0" collapsed="false">
      <c r="A501" s="0" t="s">
        <v>2044</v>
      </c>
      <c r="B501" s="0" t="s">
        <v>2045</v>
      </c>
      <c r="C501" s="0" t="s">
        <v>70</v>
      </c>
      <c r="E501" s="3" t="n">
        <v>46278</v>
      </c>
      <c r="F501" s="4" t="s">
        <v>457</v>
      </c>
      <c r="G501" s="5" t="n">
        <v>0.00766203703703704</v>
      </c>
      <c r="H501" s="5" t="n">
        <v>0</v>
      </c>
      <c r="I501" s="5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5" t="n">
        <v>0</v>
      </c>
      <c r="P501" s="5" t="n">
        <v>0</v>
      </c>
      <c r="Q501" s="4" t="s">
        <v>2065</v>
      </c>
      <c r="R501" s="4" t="s">
        <v>1160</v>
      </c>
      <c r="S501" s="5" t="n">
        <v>0.000115740740740741</v>
      </c>
      <c r="T501" s="5" t="n">
        <v>0.00613425925925926</v>
      </c>
      <c r="U501" s="5" t="n">
        <v>0.000347222222222222</v>
      </c>
      <c r="V501" s="5" t="n">
        <v>0</v>
      </c>
      <c r="W501" s="5" t="n">
        <v>0</v>
      </c>
      <c r="X501" s="5" t="n">
        <v>0</v>
      </c>
      <c r="Y501" s="5" t="n">
        <v>0</v>
      </c>
      <c r="Z501" s="0" t="n">
        <v>0</v>
      </c>
      <c r="AA501" s="0" t="n">
        <v>0</v>
      </c>
      <c r="AB501" s="0" t="n">
        <v>0</v>
      </c>
      <c r="AC501" s="4" t="s">
        <v>2024</v>
      </c>
      <c r="AD501" s="4" t="s">
        <v>2062</v>
      </c>
      <c r="AE501" s="4" t="s">
        <v>2063</v>
      </c>
      <c r="AF501" s="4" t="s">
        <v>2066</v>
      </c>
      <c r="AG501" s="5" t="n">
        <v>0</v>
      </c>
      <c r="AH501" s="5" t="n">
        <v>0.0201388888888889</v>
      </c>
      <c r="AI501" s="5" t="n">
        <v>0</v>
      </c>
      <c r="AJ501" s="5" t="n">
        <v>0</v>
      </c>
      <c r="AK501" s="5" t="n">
        <v>0</v>
      </c>
      <c r="AL501" s="5" t="n">
        <v>0</v>
      </c>
      <c r="AM501" s="4" t="s">
        <v>78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n">
        <v>0</v>
      </c>
      <c r="AW501" s="0" t="n">
        <v>0</v>
      </c>
      <c r="AX501" s="0" t="n">
        <v>0</v>
      </c>
      <c r="AY501" s="0" t="n">
        <v>0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0</v>
      </c>
      <c r="BI501" s="0" t="n">
        <v>0</v>
      </c>
      <c r="BJ501" s="0" t="n">
        <v>0</v>
      </c>
      <c r="BK501" s="0" t="n">
        <v>0</v>
      </c>
      <c r="BM501" s="6" t="n">
        <f aca="false">IFERROR(VALUE(F501),"")</f>
        <v>0.01</v>
      </c>
      <c r="BN501" s="6" t="n">
        <f aca="false">IF(R501="-","",IFERROR(VALUE(LEFT(Q501,LEN(Q501)-2)),""))</f>
        <v>1.02</v>
      </c>
      <c r="BO501" s="6" t="n">
        <f aca="false">IF(R501="-","",IFERROR(VALUE(LEFT(R501,LEN(R501)-5)),""))</f>
        <v>0.01</v>
      </c>
      <c r="BP501" s="6" t="n">
        <f aca="false">IF(R501="-","",IFERROR(VALUE(F501),""))</f>
        <v>0.01</v>
      </c>
      <c r="BQ501" s="4" t="n">
        <f aca="false">IF(R501="-",1,0)</f>
        <v>0</v>
      </c>
    </row>
    <row r="502" customFormat="false" ht="15" hidden="false" customHeight="false" outlineLevel="0" collapsed="false">
      <c r="A502" s="0" t="s">
        <v>2044</v>
      </c>
      <c r="B502" s="0" t="s">
        <v>2045</v>
      </c>
      <c r="C502" s="0" t="s">
        <v>70</v>
      </c>
      <c r="E502" s="3" t="n">
        <v>46279</v>
      </c>
      <c r="F502" s="4" t="s">
        <v>2067</v>
      </c>
      <c r="G502" s="5" t="n">
        <v>0.0788310185185185</v>
      </c>
      <c r="H502" s="5" t="n">
        <v>0</v>
      </c>
      <c r="I502" s="5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5" t="n">
        <v>0</v>
      </c>
      <c r="P502" s="5" t="n">
        <v>0.0353472222222222</v>
      </c>
      <c r="Q502" s="4" t="s">
        <v>2068</v>
      </c>
      <c r="R502" s="4" t="s">
        <v>2069</v>
      </c>
      <c r="S502" s="5" t="n">
        <v>0.000231481481481482</v>
      </c>
      <c r="T502" s="5" t="n">
        <v>0.0559027777777778</v>
      </c>
      <c r="U502" s="5" t="n">
        <v>0.00196759259259259</v>
      </c>
      <c r="V502" s="5" t="n">
        <v>0.000462962962962963</v>
      </c>
      <c r="W502" s="5" t="n">
        <v>0</v>
      </c>
      <c r="X502" s="5" t="n">
        <v>0</v>
      </c>
      <c r="Y502" s="5" t="n">
        <v>0</v>
      </c>
      <c r="Z502" s="0" t="n">
        <v>0</v>
      </c>
      <c r="AA502" s="0" t="n">
        <v>0</v>
      </c>
      <c r="AB502" s="0" t="n">
        <v>0</v>
      </c>
      <c r="AC502" s="4" t="s">
        <v>2024</v>
      </c>
      <c r="AD502" s="4" t="s">
        <v>2024</v>
      </c>
      <c r="AE502" s="4" t="s">
        <v>2066</v>
      </c>
      <c r="AF502" s="4" t="s">
        <v>2070</v>
      </c>
      <c r="AG502" s="5" t="n">
        <v>0.00488425925925926</v>
      </c>
      <c r="AH502" s="5" t="n">
        <v>0.11380787037037</v>
      </c>
      <c r="AI502" s="5" t="n">
        <v>0</v>
      </c>
      <c r="AJ502" s="5" t="n">
        <v>0</v>
      </c>
      <c r="AK502" s="5" t="n">
        <v>0</v>
      </c>
      <c r="AL502" s="5" t="n">
        <v>0</v>
      </c>
      <c r="AM502" s="4" t="s">
        <v>78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n">
        <v>0</v>
      </c>
      <c r="AW502" s="0" t="n">
        <v>0</v>
      </c>
      <c r="AX502" s="0" t="n">
        <v>0</v>
      </c>
      <c r="AY502" s="0" t="n">
        <v>0</v>
      </c>
      <c r="AZ502" s="0" t="n">
        <v>0</v>
      </c>
      <c r="BA502" s="0" t="n">
        <v>0</v>
      </c>
      <c r="BB502" s="0" t="n">
        <v>0</v>
      </c>
      <c r="BC502" s="0" t="n">
        <v>0</v>
      </c>
      <c r="BD502" s="0" t="n">
        <v>0</v>
      </c>
      <c r="BE502" s="0" t="n">
        <v>0</v>
      </c>
      <c r="BF502" s="0" t="n">
        <v>0</v>
      </c>
      <c r="BG502" s="0" t="n">
        <v>0</v>
      </c>
      <c r="BH502" s="0" t="n">
        <v>0</v>
      </c>
      <c r="BI502" s="0" t="n">
        <v>0</v>
      </c>
      <c r="BJ502" s="0" t="n">
        <v>0</v>
      </c>
      <c r="BK502" s="0" t="n">
        <v>0</v>
      </c>
      <c r="BM502" s="6" t="n">
        <f aca="false">IFERROR(VALUE(F502),"")</f>
        <v>0.42</v>
      </c>
      <c r="BN502" s="6" t="n">
        <f aca="false">IF(R502="-","",IFERROR(VALUE(LEFT(Q502,LEN(Q502)-2)),""))</f>
        <v>4.48</v>
      </c>
      <c r="BO502" s="6" t="n">
        <f aca="false">IF(R502="-","",IFERROR(VALUE(LEFT(R502,LEN(R502)-5)),""))</f>
        <v>0.09</v>
      </c>
      <c r="BP502" s="6" t="n">
        <f aca="false">IF(R502="-","",IFERROR(VALUE(F502),""))</f>
        <v>0.42</v>
      </c>
      <c r="BQ502" s="4" t="n">
        <f aca="false">IF(R502="-",1,0)</f>
        <v>0</v>
      </c>
    </row>
    <row r="503" customFormat="false" ht="15" hidden="false" customHeight="false" outlineLevel="0" collapsed="false">
      <c r="A503" s="0" t="s">
        <v>2071</v>
      </c>
      <c r="B503" s="0" t="s">
        <v>2072</v>
      </c>
      <c r="C503" s="0" t="s">
        <v>70</v>
      </c>
      <c r="D503" s="0" t="s">
        <v>2073</v>
      </c>
      <c r="E503" s="3" t="n">
        <v>46273</v>
      </c>
      <c r="F503" s="4" t="s">
        <v>2074</v>
      </c>
      <c r="G503" s="5" t="n">
        <v>0.601527777777778</v>
      </c>
      <c r="H503" s="5" t="n">
        <v>0.512337962962963</v>
      </c>
      <c r="I503" s="5" t="n">
        <v>0.0034375</v>
      </c>
      <c r="J503" s="0" t="n">
        <v>3</v>
      </c>
      <c r="K503" s="0" t="n">
        <v>7</v>
      </c>
      <c r="L503" s="0" t="n">
        <v>0</v>
      </c>
      <c r="M503" s="0" t="n">
        <v>0</v>
      </c>
      <c r="N503" s="0" t="n">
        <v>1</v>
      </c>
      <c r="O503" s="5" t="n">
        <v>0</v>
      </c>
      <c r="P503" s="5" t="n">
        <v>0</v>
      </c>
      <c r="Q503" s="4" t="s">
        <v>73</v>
      </c>
      <c r="R503" s="4" t="s">
        <v>73</v>
      </c>
      <c r="S503" s="5" t="n">
        <v>0</v>
      </c>
      <c r="T503" s="5" t="n">
        <v>0</v>
      </c>
      <c r="U503" s="5" t="n">
        <v>0</v>
      </c>
      <c r="V503" s="5" t="n">
        <v>0</v>
      </c>
      <c r="W503" s="5" t="n">
        <v>0</v>
      </c>
      <c r="X503" s="5" t="n">
        <v>0</v>
      </c>
      <c r="Y503" s="5" t="n">
        <v>0</v>
      </c>
      <c r="Z503" s="0" t="n">
        <v>0</v>
      </c>
      <c r="AA503" s="0" t="n">
        <v>0</v>
      </c>
      <c r="AB503" s="0" t="n">
        <v>0</v>
      </c>
      <c r="AC503" s="4" t="s">
        <v>852</v>
      </c>
      <c r="AD503" s="4" t="s">
        <v>2075</v>
      </c>
      <c r="AE503" s="4" t="s">
        <v>2076</v>
      </c>
      <c r="AF503" s="4" t="s">
        <v>2077</v>
      </c>
      <c r="AG503" s="5" t="n">
        <v>0.526608796296296</v>
      </c>
      <c r="AH503" s="5" t="n">
        <v>0.165335648148148</v>
      </c>
      <c r="AI503" s="5" t="n">
        <v>0</v>
      </c>
      <c r="AJ503" s="5" t="n">
        <v>0</v>
      </c>
      <c r="AK503" s="5" t="n">
        <v>0</v>
      </c>
      <c r="AL503" s="5" t="n">
        <v>0</v>
      </c>
      <c r="AM503" s="4" t="s">
        <v>78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  <c r="AU503" s="0" t="n">
        <v>0</v>
      </c>
      <c r="AV503" s="0" t="n">
        <v>0</v>
      </c>
      <c r="AW503" s="0" t="n">
        <v>1</v>
      </c>
      <c r="AX503" s="0" t="n">
        <v>0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0</v>
      </c>
      <c r="BE503" s="0" t="n">
        <v>0</v>
      </c>
      <c r="BF503" s="0" t="n">
        <v>0</v>
      </c>
      <c r="BG503" s="0" t="n">
        <v>0</v>
      </c>
      <c r="BH503" s="0" t="n">
        <v>0</v>
      </c>
      <c r="BI503" s="0" t="n">
        <v>0</v>
      </c>
      <c r="BJ503" s="0" t="n">
        <v>0</v>
      </c>
      <c r="BK503" s="0" t="n">
        <v>0</v>
      </c>
      <c r="BM503" s="6" t="n">
        <f aca="false">IFERROR(VALUE(F503),"")</f>
        <v>654.1</v>
      </c>
      <c r="BN503" s="6" t="str">
        <f aca="false">IF(R503="-","",IFERROR(VALUE(LEFT(Q503,LEN(Q503)-2)),""))</f>
        <v/>
      </c>
      <c r="BO503" s="6" t="str">
        <f aca="false">IF(R503="-","",IFERROR(VALUE(LEFT(R503,LEN(R503)-5)),""))</f>
        <v/>
      </c>
      <c r="BP503" s="6" t="str">
        <f aca="false">IF(R503="-","",IFERROR(VALUE(F503),""))</f>
        <v/>
      </c>
      <c r="BQ503" s="4" t="n">
        <f aca="false">IF(R503="-",1,0)</f>
        <v>1</v>
      </c>
    </row>
    <row r="504" customFormat="false" ht="15" hidden="false" customHeight="false" outlineLevel="0" collapsed="false">
      <c r="A504" s="0" t="s">
        <v>2071</v>
      </c>
      <c r="B504" s="0" t="s">
        <v>2072</v>
      </c>
      <c r="C504" s="0" t="s">
        <v>70</v>
      </c>
      <c r="D504" s="0" t="s">
        <v>2078</v>
      </c>
      <c r="E504" s="3" t="n">
        <v>46274</v>
      </c>
      <c r="F504" s="4" t="s">
        <v>2079</v>
      </c>
      <c r="G504" s="5" t="n">
        <v>0.295011574074074</v>
      </c>
      <c r="H504" s="5" t="n">
        <v>0.0077662037037037</v>
      </c>
      <c r="I504" s="5" t="n">
        <v>6.94444444444444E-005</v>
      </c>
      <c r="J504" s="0" t="n">
        <v>2</v>
      </c>
      <c r="K504" s="0" t="n">
        <v>2</v>
      </c>
      <c r="L504" s="0" t="n">
        <v>0</v>
      </c>
      <c r="M504" s="0" t="n">
        <v>0</v>
      </c>
      <c r="N504" s="0" t="n">
        <v>2</v>
      </c>
      <c r="O504" s="5" t="n">
        <v>0</v>
      </c>
      <c r="P504" s="5" t="n">
        <v>0</v>
      </c>
      <c r="Q504" s="4" t="s">
        <v>73</v>
      </c>
      <c r="R504" s="4" t="s">
        <v>73</v>
      </c>
      <c r="S504" s="5" t="n">
        <v>0</v>
      </c>
      <c r="T504" s="5" t="n">
        <v>0</v>
      </c>
      <c r="U504" s="5" t="n">
        <v>0</v>
      </c>
      <c r="V504" s="5" t="n">
        <v>0</v>
      </c>
      <c r="W504" s="5" t="n">
        <v>0</v>
      </c>
      <c r="X504" s="5" t="n">
        <v>0</v>
      </c>
      <c r="Y504" s="5" t="n">
        <v>0</v>
      </c>
      <c r="Z504" s="0" t="n">
        <v>0</v>
      </c>
      <c r="AA504" s="0" t="n">
        <v>0</v>
      </c>
      <c r="AB504" s="0" t="n">
        <v>0</v>
      </c>
      <c r="AC504" s="4" t="s">
        <v>2075</v>
      </c>
      <c r="AD504" s="4" t="s">
        <v>2075</v>
      </c>
      <c r="AE504" s="4" t="s">
        <v>2080</v>
      </c>
      <c r="AF504" s="4" t="s">
        <v>2081</v>
      </c>
      <c r="AG504" s="5" t="n">
        <v>0.245127314814815</v>
      </c>
      <c r="AH504" s="5" t="n">
        <v>0.106354166666667</v>
      </c>
      <c r="AI504" s="5" t="n">
        <v>0</v>
      </c>
      <c r="AJ504" s="5" t="n">
        <v>0</v>
      </c>
      <c r="AK504" s="5" t="n">
        <v>0</v>
      </c>
      <c r="AL504" s="5" t="n">
        <v>0</v>
      </c>
      <c r="AM504" s="4" t="s">
        <v>78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0</v>
      </c>
      <c r="AZ504" s="0" t="n">
        <v>0</v>
      </c>
      <c r="BA504" s="0" t="n">
        <v>0</v>
      </c>
      <c r="BB504" s="0" t="n">
        <v>0</v>
      </c>
      <c r="BC504" s="0" t="n">
        <v>0</v>
      </c>
      <c r="BD504" s="0" t="n">
        <v>0</v>
      </c>
      <c r="BE504" s="0" t="n">
        <v>0</v>
      </c>
      <c r="BF504" s="0" t="n">
        <v>0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M504" s="6" t="n">
        <f aca="false">IFERROR(VALUE(F504),"")</f>
        <v>148.69</v>
      </c>
      <c r="BN504" s="6" t="str">
        <f aca="false">IF(R504="-","",IFERROR(VALUE(LEFT(Q504,LEN(Q504)-2)),""))</f>
        <v/>
      </c>
      <c r="BO504" s="6" t="str">
        <f aca="false">IF(R504="-","",IFERROR(VALUE(LEFT(R504,LEN(R504)-5)),""))</f>
        <v/>
      </c>
      <c r="BP504" s="6" t="str">
        <f aca="false">IF(R504="-","",IFERROR(VALUE(F504),""))</f>
        <v/>
      </c>
      <c r="BQ504" s="4" t="n">
        <f aca="false">IF(R504="-",1,0)</f>
        <v>1</v>
      </c>
    </row>
    <row r="505" customFormat="false" ht="15" hidden="false" customHeight="false" outlineLevel="0" collapsed="false">
      <c r="A505" s="0" t="s">
        <v>2071</v>
      </c>
      <c r="B505" s="0" t="s">
        <v>2072</v>
      </c>
      <c r="C505" s="0" t="s">
        <v>70</v>
      </c>
      <c r="D505" s="0" t="s">
        <v>2082</v>
      </c>
      <c r="E505" s="3" t="n">
        <v>46275</v>
      </c>
      <c r="F505" s="4" t="s">
        <v>2083</v>
      </c>
      <c r="G505" s="5" t="n">
        <v>0.3675</v>
      </c>
      <c r="H505" s="5" t="n">
        <v>0.150868055555556</v>
      </c>
      <c r="I505" s="5" t="n">
        <v>9.25925925925926E-005</v>
      </c>
      <c r="J505" s="0" t="n">
        <v>2</v>
      </c>
      <c r="K505" s="0" t="n">
        <v>9</v>
      </c>
      <c r="L505" s="0" t="n">
        <v>0</v>
      </c>
      <c r="M505" s="0" t="n">
        <v>0</v>
      </c>
      <c r="N505" s="0" t="n">
        <v>1</v>
      </c>
      <c r="O505" s="5" t="n">
        <v>0</v>
      </c>
      <c r="P505" s="5" t="n">
        <v>0</v>
      </c>
      <c r="Q505" s="4" t="s">
        <v>73</v>
      </c>
      <c r="R505" s="4" t="s">
        <v>73</v>
      </c>
      <c r="S505" s="5" t="n">
        <v>0</v>
      </c>
      <c r="T505" s="5" t="n">
        <v>0</v>
      </c>
      <c r="U505" s="5" t="n">
        <v>0</v>
      </c>
      <c r="V505" s="5" t="n">
        <v>0</v>
      </c>
      <c r="W505" s="5" t="n">
        <v>0</v>
      </c>
      <c r="X505" s="5" t="n">
        <v>0</v>
      </c>
      <c r="Y505" s="5" t="n">
        <v>0</v>
      </c>
      <c r="Z505" s="0" t="n">
        <v>0</v>
      </c>
      <c r="AA505" s="0" t="n">
        <v>0</v>
      </c>
      <c r="AB505" s="0" t="n">
        <v>0</v>
      </c>
      <c r="AC505" s="4" t="s">
        <v>2075</v>
      </c>
      <c r="AD505" s="4" t="s">
        <v>2084</v>
      </c>
      <c r="AE505" s="4" t="s">
        <v>2085</v>
      </c>
      <c r="AF505" s="4" t="s">
        <v>2086</v>
      </c>
      <c r="AG505" s="5" t="n">
        <v>0.283935185185185</v>
      </c>
      <c r="AH505" s="5" t="n">
        <v>0.138819444444444</v>
      </c>
      <c r="AI505" s="5" t="n">
        <v>0</v>
      </c>
      <c r="AJ505" s="5" t="n">
        <v>0</v>
      </c>
      <c r="AK505" s="5" t="n">
        <v>0</v>
      </c>
      <c r="AL505" s="5" t="n">
        <v>0</v>
      </c>
      <c r="AM505" s="4" t="s">
        <v>78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  <c r="AU505" s="0" t="n">
        <v>1</v>
      </c>
      <c r="AV505" s="0" t="n">
        <v>0</v>
      </c>
      <c r="AW505" s="0" t="n">
        <v>0</v>
      </c>
      <c r="AX505" s="0" t="n">
        <v>0</v>
      </c>
      <c r="AY505" s="0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M505" s="6" t="n">
        <f aca="false">IFERROR(VALUE(F505),"")</f>
        <v>180.34</v>
      </c>
      <c r="BN505" s="6" t="str">
        <f aca="false">IF(R505="-","",IFERROR(VALUE(LEFT(Q505,LEN(Q505)-2)),""))</f>
        <v/>
      </c>
      <c r="BO505" s="6" t="str">
        <f aca="false">IF(R505="-","",IFERROR(VALUE(LEFT(R505,LEN(R505)-5)),""))</f>
        <v/>
      </c>
      <c r="BP505" s="6" t="str">
        <f aca="false">IF(R505="-","",IFERROR(VALUE(F505),""))</f>
        <v/>
      </c>
      <c r="BQ505" s="4" t="n">
        <f aca="false">IF(R505="-",1,0)</f>
        <v>1</v>
      </c>
    </row>
    <row r="506" customFormat="false" ht="15" hidden="false" customHeight="false" outlineLevel="0" collapsed="false">
      <c r="A506" s="0" t="s">
        <v>2071</v>
      </c>
      <c r="B506" s="0" t="s">
        <v>2072</v>
      </c>
      <c r="C506" s="0" t="s">
        <v>70</v>
      </c>
      <c r="E506" s="3" t="n">
        <v>46276</v>
      </c>
      <c r="F506" s="4" t="s">
        <v>2087</v>
      </c>
      <c r="G506" s="5" t="n">
        <v>0.214456018518519</v>
      </c>
      <c r="H506" s="5" t="n">
        <v>0</v>
      </c>
      <c r="I506" s="5" t="n">
        <v>4.62962962962963E-005</v>
      </c>
      <c r="J506" s="0" t="n">
        <v>1</v>
      </c>
      <c r="K506" s="0" t="n">
        <v>2</v>
      </c>
      <c r="L506" s="0" t="n">
        <v>0</v>
      </c>
      <c r="M506" s="0" t="n">
        <v>0</v>
      </c>
      <c r="N506" s="0" t="n">
        <v>1</v>
      </c>
      <c r="O506" s="5" t="n">
        <v>0</v>
      </c>
      <c r="P506" s="5" t="n">
        <v>0</v>
      </c>
      <c r="Q506" s="4" t="s">
        <v>73</v>
      </c>
      <c r="R506" s="4" t="s">
        <v>73</v>
      </c>
      <c r="S506" s="5" t="n">
        <v>0</v>
      </c>
      <c r="T506" s="5" t="n">
        <v>0</v>
      </c>
      <c r="U506" s="5" t="n">
        <v>0</v>
      </c>
      <c r="V506" s="5" t="n">
        <v>0</v>
      </c>
      <c r="W506" s="5" t="n">
        <v>0</v>
      </c>
      <c r="X506" s="5" t="n">
        <v>0</v>
      </c>
      <c r="Y506" s="5" t="n">
        <v>0</v>
      </c>
      <c r="Z506" s="0" t="n">
        <v>0</v>
      </c>
      <c r="AA506" s="0" t="n">
        <v>0</v>
      </c>
      <c r="AB506" s="0" t="n">
        <v>0</v>
      </c>
      <c r="AC506" s="4" t="s">
        <v>2088</v>
      </c>
      <c r="AD506" s="4" t="s">
        <v>2088</v>
      </c>
      <c r="AE506" s="4" t="s">
        <v>2086</v>
      </c>
      <c r="AF506" s="4" t="s">
        <v>2089</v>
      </c>
      <c r="AG506" s="5" t="n">
        <v>0.160277777777778</v>
      </c>
      <c r="AH506" s="5" t="n">
        <v>0.073275462962963</v>
      </c>
      <c r="AI506" s="5" t="n">
        <v>0</v>
      </c>
      <c r="AJ506" s="5" t="n">
        <v>0</v>
      </c>
      <c r="AK506" s="5" t="n">
        <v>0</v>
      </c>
      <c r="AL506" s="5" t="n">
        <v>0</v>
      </c>
      <c r="AM506" s="4" t="s">
        <v>78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  <c r="AU506" s="0" t="n">
        <v>4</v>
      </c>
      <c r="AV506" s="0" t="n">
        <v>0</v>
      </c>
      <c r="AW506" s="0" t="n">
        <v>0</v>
      </c>
      <c r="AX506" s="0" t="n">
        <v>0</v>
      </c>
      <c r="AY506" s="0" t="n">
        <v>0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0</v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0</v>
      </c>
      <c r="BK506" s="0" t="n">
        <v>0</v>
      </c>
      <c r="BM506" s="6" t="n">
        <f aca="false">IFERROR(VALUE(F506),"")</f>
        <v>114.26</v>
      </c>
      <c r="BN506" s="6" t="str">
        <f aca="false">IF(R506="-","",IFERROR(VALUE(LEFT(Q506,LEN(Q506)-2)),""))</f>
        <v/>
      </c>
      <c r="BO506" s="6" t="str">
        <f aca="false">IF(R506="-","",IFERROR(VALUE(LEFT(R506,LEN(R506)-5)),""))</f>
        <v/>
      </c>
      <c r="BP506" s="6" t="str">
        <f aca="false">IF(R506="-","",IFERROR(VALUE(F506),""))</f>
        <v/>
      </c>
      <c r="BQ506" s="4" t="n">
        <f aca="false">IF(R506="-",1,0)</f>
        <v>1</v>
      </c>
    </row>
    <row r="507" customFormat="false" ht="15" hidden="false" customHeight="false" outlineLevel="0" collapsed="false">
      <c r="A507" s="0" t="s">
        <v>2071</v>
      </c>
      <c r="B507" s="0" t="s">
        <v>2072</v>
      </c>
      <c r="C507" s="0" t="s">
        <v>70</v>
      </c>
      <c r="E507" s="3" t="n">
        <v>46279</v>
      </c>
      <c r="F507" s="4" t="s">
        <v>2090</v>
      </c>
      <c r="G507" s="5" t="n">
        <v>0.226909722222222</v>
      </c>
      <c r="H507" s="5" t="n">
        <v>0</v>
      </c>
      <c r="I507" s="5" t="n">
        <v>6.94444444444444E-005</v>
      </c>
      <c r="J507" s="0" t="n">
        <v>2</v>
      </c>
      <c r="K507" s="0" t="n">
        <v>9</v>
      </c>
      <c r="L507" s="0" t="n">
        <v>0</v>
      </c>
      <c r="M507" s="0" t="n">
        <v>0</v>
      </c>
      <c r="N507" s="0" t="n">
        <v>1</v>
      </c>
      <c r="O507" s="5" t="n">
        <v>0</v>
      </c>
      <c r="P507" s="5" t="n">
        <v>0</v>
      </c>
      <c r="Q507" s="4" t="s">
        <v>73</v>
      </c>
      <c r="R507" s="4" t="s">
        <v>73</v>
      </c>
      <c r="S507" s="5" t="n">
        <v>0</v>
      </c>
      <c r="T507" s="5" t="n">
        <v>0</v>
      </c>
      <c r="U507" s="5" t="n">
        <v>0</v>
      </c>
      <c r="V507" s="5" t="n">
        <v>0</v>
      </c>
      <c r="W507" s="5" t="n">
        <v>0</v>
      </c>
      <c r="X507" s="5" t="n">
        <v>0</v>
      </c>
      <c r="Y507" s="5" t="n">
        <v>0</v>
      </c>
      <c r="Z507" s="0" t="n">
        <v>0</v>
      </c>
      <c r="AA507" s="0" t="n">
        <v>0</v>
      </c>
      <c r="AB507" s="0" t="n">
        <v>0</v>
      </c>
      <c r="AC507" s="4" t="s">
        <v>2088</v>
      </c>
      <c r="AD507" s="4" t="s">
        <v>2024</v>
      </c>
      <c r="AE507" s="4" t="s">
        <v>2089</v>
      </c>
      <c r="AF507" s="4" t="s">
        <v>2091</v>
      </c>
      <c r="AG507" s="5" t="n">
        <v>0.172349537037037</v>
      </c>
      <c r="AH507" s="5" t="n">
        <v>0.103356481481482</v>
      </c>
      <c r="AI507" s="5" t="n">
        <v>0</v>
      </c>
      <c r="AJ507" s="5" t="n">
        <v>0</v>
      </c>
      <c r="AK507" s="5" t="n">
        <v>0</v>
      </c>
      <c r="AL507" s="5" t="n">
        <v>0</v>
      </c>
      <c r="AM507" s="4" t="s">
        <v>78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  <c r="AU507" s="0" t="n">
        <v>3</v>
      </c>
      <c r="AV507" s="0" t="n">
        <v>0</v>
      </c>
      <c r="AW507" s="0" t="n">
        <v>1</v>
      </c>
      <c r="AX507" s="0" t="n">
        <v>0</v>
      </c>
      <c r="AY507" s="0" t="n">
        <v>0</v>
      </c>
      <c r="AZ507" s="0" t="n">
        <v>0</v>
      </c>
      <c r="BA507" s="0" t="n">
        <v>0</v>
      </c>
      <c r="BB507" s="0" t="n">
        <v>0</v>
      </c>
      <c r="BC507" s="0" t="n">
        <v>0</v>
      </c>
      <c r="BD507" s="0" t="n">
        <v>0</v>
      </c>
      <c r="BE507" s="0" t="n">
        <v>0</v>
      </c>
      <c r="BF507" s="0" t="n">
        <v>0</v>
      </c>
      <c r="BG507" s="0" t="n">
        <v>0</v>
      </c>
      <c r="BH507" s="0" t="n">
        <v>0</v>
      </c>
      <c r="BI507" s="0" t="n">
        <v>0</v>
      </c>
      <c r="BJ507" s="0" t="n">
        <v>0</v>
      </c>
      <c r="BK507" s="0" t="n">
        <v>0</v>
      </c>
      <c r="BM507" s="6" t="n">
        <f aca="false">IFERROR(VALUE(F507),"")</f>
        <v>136.36</v>
      </c>
      <c r="BN507" s="6" t="str">
        <f aca="false">IF(R507="-","",IFERROR(VALUE(LEFT(Q507,LEN(Q507)-2)),""))</f>
        <v/>
      </c>
      <c r="BO507" s="6" t="str">
        <f aca="false">IF(R507="-","",IFERROR(VALUE(LEFT(R507,LEN(R507)-5)),""))</f>
        <v/>
      </c>
      <c r="BP507" s="6" t="str">
        <f aca="false">IF(R507="-","",IFERROR(VALUE(F507),""))</f>
        <v/>
      </c>
      <c r="BQ507" s="4" t="n">
        <f aca="false">IF(R507="-",1,0)</f>
        <v>1</v>
      </c>
    </row>
    <row r="508" customFormat="false" ht="15" hidden="false" customHeight="false" outlineLevel="0" collapsed="false">
      <c r="A508" s="0" t="s">
        <v>2092</v>
      </c>
      <c r="B508" s="0" t="s">
        <v>2093</v>
      </c>
      <c r="C508" s="0" t="s">
        <v>70</v>
      </c>
      <c r="D508" s="0" t="s">
        <v>2051</v>
      </c>
      <c r="E508" s="3" t="n">
        <v>46273</v>
      </c>
      <c r="F508" s="4" t="s">
        <v>95</v>
      </c>
      <c r="G508" s="5" t="n">
        <v>0.222361111111111</v>
      </c>
      <c r="H508" s="5" t="n">
        <v>0.203321759259259</v>
      </c>
      <c r="I508" s="5" t="n">
        <v>0.00179398148148148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5" t="n">
        <v>0</v>
      </c>
      <c r="P508" s="5" t="n">
        <v>0</v>
      </c>
      <c r="Q508" s="4" t="s">
        <v>2094</v>
      </c>
      <c r="R508" s="4" t="s">
        <v>454</v>
      </c>
      <c r="S508" s="5" t="n">
        <v>0</v>
      </c>
      <c r="T508" s="5" t="n">
        <v>0.115625</v>
      </c>
      <c r="U508" s="5" t="n">
        <v>0.0931712962962963</v>
      </c>
      <c r="V508" s="5" t="n">
        <v>0.00949074074074074</v>
      </c>
      <c r="W508" s="5" t="n">
        <v>0</v>
      </c>
      <c r="X508" s="5" t="n">
        <v>0</v>
      </c>
      <c r="Y508" s="5" t="n">
        <v>0</v>
      </c>
      <c r="Z508" s="0" t="n">
        <v>0</v>
      </c>
      <c r="AA508" s="0" t="n">
        <v>0</v>
      </c>
      <c r="AB508" s="0" t="n">
        <v>0</v>
      </c>
      <c r="AC508" s="4" t="s">
        <v>2024</v>
      </c>
      <c r="AD508" s="4" t="s">
        <v>2024</v>
      </c>
      <c r="AE508" s="4" t="s">
        <v>2095</v>
      </c>
      <c r="AF508" s="4" t="s">
        <v>2095</v>
      </c>
      <c r="AG508" s="5" t="n">
        <v>0.18193287037037</v>
      </c>
      <c r="AH508" s="5" t="n">
        <v>0.103043981481482</v>
      </c>
      <c r="AI508" s="5" t="n">
        <v>0</v>
      </c>
      <c r="AJ508" s="5" t="n">
        <v>0</v>
      </c>
      <c r="AK508" s="5" t="n">
        <v>0</v>
      </c>
      <c r="AL508" s="5" t="n">
        <v>0</v>
      </c>
      <c r="AM508" s="4" t="s">
        <v>78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  <c r="AV508" s="0" t="n">
        <v>0</v>
      </c>
      <c r="AW508" s="0" t="n">
        <v>0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0</v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M508" s="6" t="n">
        <f aca="false">IFERROR(VALUE(F508),"")</f>
        <v>0</v>
      </c>
      <c r="BN508" s="6" t="n">
        <f aca="false">IF(R508="-","",IFERROR(VALUE(LEFT(Q508,LEN(Q508)-2)),""))</f>
        <v>49.5</v>
      </c>
      <c r="BO508" s="6" t="n">
        <f aca="false">IF(R508="-","",IFERROR(VALUE(LEFT(R508,LEN(R508)-5)),""))</f>
        <v>0</v>
      </c>
      <c r="BP508" s="6" t="n">
        <f aca="false">IF(R508="-","",IFERROR(VALUE(F508),""))</f>
        <v>0</v>
      </c>
      <c r="BQ508" s="4" t="n">
        <f aca="false">IF(R508="-",1,0)</f>
        <v>0</v>
      </c>
    </row>
    <row r="509" customFormat="false" ht="15" hidden="false" customHeight="false" outlineLevel="0" collapsed="false">
      <c r="A509" s="0" t="s">
        <v>2092</v>
      </c>
      <c r="B509" s="0" t="s">
        <v>2093</v>
      </c>
      <c r="C509" s="0" t="s">
        <v>70</v>
      </c>
      <c r="D509" s="0" t="s">
        <v>2096</v>
      </c>
      <c r="E509" s="3" t="n">
        <v>46274</v>
      </c>
      <c r="F509" s="4" t="s">
        <v>95</v>
      </c>
      <c r="G509" s="5" t="n">
        <v>0.301886574074074</v>
      </c>
      <c r="H509" s="5" t="n">
        <v>0.0071875</v>
      </c>
      <c r="I509" s="5" t="n">
        <v>0.000150462962962963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5" t="n">
        <v>0</v>
      </c>
      <c r="P509" s="5" t="n">
        <v>0.0175925925925926</v>
      </c>
      <c r="Q509" s="4" t="s">
        <v>2097</v>
      </c>
      <c r="R509" s="4" t="s">
        <v>454</v>
      </c>
      <c r="S509" s="5" t="n">
        <v>0</v>
      </c>
      <c r="T509" s="5" t="n">
        <v>0.0552083333333333</v>
      </c>
      <c r="U509" s="5" t="n">
        <v>0.0333333333333333</v>
      </c>
      <c r="V509" s="5" t="n">
        <v>0.0252314814814815</v>
      </c>
      <c r="W509" s="5" t="n">
        <v>0</v>
      </c>
      <c r="X509" s="5" t="n">
        <v>0</v>
      </c>
      <c r="Y509" s="5" t="n">
        <v>0</v>
      </c>
      <c r="Z509" s="0" t="n">
        <v>0</v>
      </c>
      <c r="AA509" s="0" t="n">
        <v>0</v>
      </c>
      <c r="AB509" s="0" t="n">
        <v>0</v>
      </c>
      <c r="AC509" s="4" t="s">
        <v>2024</v>
      </c>
      <c r="AD509" s="4" t="s">
        <v>2024</v>
      </c>
      <c r="AE509" s="4" t="s">
        <v>2095</v>
      </c>
      <c r="AF509" s="4" t="s">
        <v>2095</v>
      </c>
      <c r="AG509" s="5" t="n">
        <v>0.0829282407407408</v>
      </c>
      <c r="AH509" s="5" t="n">
        <v>0.249733796296296</v>
      </c>
      <c r="AI509" s="5" t="n">
        <v>0</v>
      </c>
      <c r="AJ509" s="5" t="n">
        <v>0</v>
      </c>
      <c r="AK509" s="5" t="n">
        <v>0</v>
      </c>
      <c r="AL509" s="5" t="n">
        <v>0</v>
      </c>
      <c r="AM509" s="4" t="s">
        <v>78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  <c r="AU509" s="0" t="n">
        <v>2</v>
      </c>
      <c r="AV509" s="0" t="n">
        <v>0</v>
      </c>
      <c r="AW509" s="0" t="n">
        <v>0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M509" s="6" t="n">
        <f aca="false">IFERROR(VALUE(F509),"")</f>
        <v>0</v>
      </c>
      <c r="BN509" s="6" t="n">
        <f aca="false">IF(R509="-","",IFERROR(VALUE(LEFT(Q509,LEN(Q509)-2)),""))</f>
        <v>32.51</v>
      </c>
      <c r="BO509" s="6" t="n">
        <f aca="false">IF(R509="-","",IFERROR(VALUE(LEFT(R509,LEN(R509)-5)),""))</f>
        <v>0</v>
      </c>
      <c r="BP509" s="6" t="n">
        <f aca="false">IF(R509="-","",IFERROR(VALUE(F509),""))</f>
        <v>0</v>
      </c>
      <c r="BQ509" s="4" t="n">
        <f aca="false">IF(R509="-",1,0)</f>
        <v>0</v>
      </c>
    </row>
    <row r="510" customFormat="false" ht="15" hidden="false" customHeight="false" outlineLevel="0" collapsed="false">
      <c r="A510" s="0" t="s">
        <v>2092</v>
      </c>
      <c r="B510" s="0" t="s">
        <v>2093</v>
      </c>
      <c r="C510" s="0" t="s">
        <v>70</v>
      </c>
      <c r="D510" s="0" t="s">
        <v>2051</v>
      </c>
      <c r="E510" s="3" t="n">
        <v>46275</v>
      </c>
      <c r="F510" s="4" t="s">
        <v>95</v>
      </c>
      <c r="G510" s="5" t="n">
        <v>0.234594907407407</v>
      </c>
      <c r="H510" s="5" t="n">
        <v>0.234594907407407</v>
      </c>
      <c r="I510" s="5" t="n">
        <v>0.000474537037037037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1</v>
      </c>
      <c r="O510" s="5" t="n">
        <v>0</v>
      </c>
      <c r="P510" s="5" t="n">
        <v>0.0139814814814815</v>
      </c>
      <c r="Q510" s="4" t="s">
        <v>2098</v>
      </c>
      <c r="R510" s="4" t="s">
        <v>454</v>
      </c>
      <c r="S510" s="5" t="n">
        <v>0.000115740740740741</v>
      </c>
      <c r="T510" s="5" t="n">
        <v>0.124884259259259</v>
      </c>
      <c r="U510" s="5" t="n">
        <v>0.0947916666666667</v>
      </c>
      <c r="V510" s="5" t="n">
        <v>0.0122685185185185</v>
      </c>
      <c r="W510" s="5" t="n">
        <v>0</v>
      </c>
      <c r="X510" s="5" t="n">
        <v>0</v>
      </c>
      <c r="Y510" s="5" t="n">
        <v>0</v>
      </c>
      <c r="Z510" s="0" t="n">
        <v>0</v>
      </c>
      <c r="AA510" s="0" t="n">
        <v>0</v>
      </c>
      <c r="AB510" s="0" t="n">
        <v>0</v>
      </c>
      <c r="AC510" s="4" t="s">
        <v>2024</v>
      </c>
      <c r="AD510" s="4" t="s">
        <v>2024</v>
      </c>
      <c r="AE510" s="4" t="s">
        <v>2095</v>
      </c>
      <c r="AF510" s="4" t="s">
        <v>2095</v>
      </c>
      <c r="AG510" s="5" t="n">
        <v>0.201886574074074</v>
      </c>
      <c r="AH510" s="5" t="n">
        <v>0.0703819444444444</v>
      </c>
      <c r="AI510" s="5" t="n">
        <v>0</v>
      </c>
      <c r="AJ510" s="5" t="n">
        <v>0</v>
      </c>
      <c r="AK510" s="5" t="n">
        <v>0</v>
      </c>
      <c r="AL510" s="5" t="n">
        <v>0</v>
      </c>
      <c r="AM510" s="4" t="s">
        <v>78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  <c r="AU510" s="0" t="n">
        <v>1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0</v>
      </c>
      <c r="BF510" s="0" t="n">
        <v>0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0</v>
      </c>
      <c r="BM510" s="6" t="n">
        <f aca="false">IFERROR(VALUE(F510),"")</f>
        <v>0</v>
      </c>
      <c r="BN510" s="6" t="n">
        <f aca="false">IF(R510="-","",IFERROR(VALUE(LEFT(Q510,LEN(Q510)-2)),""))</f>
        <v>54.98</v>
      </c>
      <c r="BO510" s="6" t="n">
        <f aca="false">IF(R510="-","",IFERROR(VALUE(LEFT(R510,LEN(R510)-5)),""))</f>
        <v>0</v>
      </c>
      <c r="BP510" s="6" t="n">
        <f aca="false">IF(R510="-","",IFERROR(VALUE(F510),""))</f>
        <v>0</v>
      </c>
      <c r="BQ510" s="4" t="n">
        <f aca="false">IF(R510="-",1,0)</f>
        <v>0</v>
      </c>
    </row>
    <row r="511" customFormat="false" ht="15" hidden="false" customHeight="false" outlineLevel="0" collapsed="false">
      <c r="A511" s="0" t="s">
        <v>2092</v>
      </c>
      <c r="B511" s="0" t="s">
        <v>2093</v>
      </c>
      <c r="C511" s="0" t="s">
        <v>70</v>
      </c>
      <c r="D511" s="0" t="s">
        <v>2099</v>
      </c>
      <c r="E511" s="3" t="n">
        <v>46276</v>
      </c>
      <c r="F511" s="4" t="s">
        <v>95</v>
      </c>
      <c r="G511" s="5" t="n">
        <v>0.28005787037037</v>
      </c>
      <c r="H511" s="5" t="n">
        <v>0.256898148148148</v>
      </c>
      <c r="I511" s="5" t="n">
        <v>0.00126157407407407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3</v>
      </c>
      <c r="O511" s="5" t="n">
        <v>0</v>
      </c>
      <c r="P511" s="5" t="n">
        <v>0.0368055555555556</v>
      </c>
      <c r="Q511" s="4" t="s">
        <v>2100</v>
      </c>
      <c r="R511" s="4" t="s">
        <v>454</v>
      </c>
      <c r="S511" s="5" t="n">
        <v>0.000115740740740741</v>
      </c>
      <c r="T511" s="5" t="n">
        <v>0.167013888888889</v>
      </c>
      <c r="U511" s="5" t="n">
        <v>0.0979166666666667</v>
      </c>
      <c r="V511" s="5" t="n">
        <v>0.0087962962962963</v>
      </c>
      <c r="W511" s="5" t="n">
        <v>0</v>
      </c>
      <c r="X511" s="5" t="n">
        <v>0</v>
      </c>
      <c r="Y511" s="5" t="n">
        <v>0</v>
      </c>
      <c r="Z511" s="0" t="n">
        <v>0</v>
      </c>
      <c r="AA511" s="0" t="n">
        <v>0</v>
      </c>
      <c r="AB511" s="0" t="n">
        <v>0</v>
      </c>
      <c r="AC511" s="4" t="s">
        <v>2024</v>
      </c>
      <c r="AD511" s="4" t="s">
        <v>2024</v>
      </c>
      <c r="AE511" s="4" t="s">
        <v>2095</v>
      </c>
      <c r="AF511" s="4" t="s">
        <v>2095</v>
      </c>
      <c r="AG511" s="5" t="n">
        <v>0.209513888888889</v>
      </c>
      <c r="AH511" s="5" t="n">
        <v>0.0791782407407407</v>
      </c>
      <c r="AI511" s="5" t="n">
        <v>0</v>
      </c>
      <c r="AJ511" s="5" t="n">
        <v>0</v>
      </c>
      <c r="AK511" s="5" t="n">
        <v>0</v>
      </c>
      <c r="AL511" s="5" t="n">
        <v>0</v>
      </c>
      <c r="AM511" s="4" t="s">
        <v>78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  <c r="AU511" s="0" t="n">
        <v>0</v>
      </c>
      <c r="AV511" s="0" t="n">
        <v>0</v>
      </c>
      <c r="AW511" s="0" t="n">
        <v>0</v>
      </c>
      <c r="AX511" s="0" t="n">
        <v>0</v>
      </c>
      <c r="AY511" s="0" t="n">
        <v>0</v>
      </c>
      <c r="AZ511" s="0" t="n">
        <v>0</v>
      </c>
      <c r="BA511" s="0" t="n">
        <v>0</v>
      </c>
      <c r="BB511" s="0" t="n">
        <v>0</v>
      </c>
      <c r="BC511" s="0" t="n">
        <v>0</v>
      </c>
      <c r="BD511" s="0" t="n">
        <v>0</v>
      </c>
      <c r="BE511" s="0" t="n">
        <v>0</v>
      </c>
      <c r="BF511" s="0" t="n">
        <v>0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M511" s="6" t="n">
        <f aca="false">IFERROR(VALUE(F511),"")</f>
        <v>0</v>
      </c>
      <c r="BN511" s="6" t="n">
        <f aca="false">IF(R511="-","",IFERROR(VALUE(LEFT(Q511,LEN(Q511)-2)),""))</f>
        <v>56.03</v>
      </c>
      <c r="BO511" s="6" t="n">
        <f aca="false">IF(R511="-","",IFERROR(VALUE(LEFT(R511,LEN(R511)-5)),""))</f>
        <v>0</v>
      </c>
      <c r="BP511" s="6" t="n">
        <f aca="false">IF(R511="-","",IFERROR(VALUE(F511),""))</f>
        <v>0</v>
      </c>
      <c r="BQ511" s="4" t="n">
        <f aca="false">IF(R511="-",1,0)</f>
        <v>0</v>
      </c>
    </row>
    <row r="512" customFormat="false" ht="15" hidden="false" customHeight="false" outlineLevel="0" collapsed="false">
      <c r="A512" s="0" t="s">
        <v>2092</v>
      </c>
      <c r="B512" s="0" t="s">
        <v>2093</v>
      </c>
      <c r="C512" s="0" t="s">
        <v>70</v>
      </c>
      <c r="E512" s="3" t="n">
        <v>46277</v>
      </c>
      <c r="F512" s="4" t="s">
        <v>95</v>
      </c>
      <c r="G512" s="5" t="n">
        <v>0.00760416666666667</v>
      </c>
      <c r="H512" s="5" t="n">
        <v>0</v>
      </c>
      <c r="I512" s="5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5" t="n">
        <v>0</v>
      </c>
      <c r="P512" s="5" t="n">
        <v>0</v>
      </c>
      <c r="Q512" s="4" t="s">
        <v>2101</v>
      </c>
      <c r="R512" s="4" t="s">
        <v>454</v>
      </c>
      <c r="S512" s="5" t="n">
        <v>0</v>
      </c>
      <c r="T512" s="5" t="n">
        <v>0.00601851851851852</v>
      </c>
      <c r="U512" s="5" t="n">
        <v>0.00127314814814815</v>
      </c>
      <c r="V512" s="5" t="n">
        <v>0</v>
      </c>
      <c r="W512" s="5" t="n">
        <v>0</v>
      </c>
      <c r="X512" s="5" t="n">
        <v>0</v>
      </c>
      <c r="Y512" s="5" t="n">
        <v>0</v>
      </c>
      <c r="Z512" s="0" t="n">
        <v>0</v>
      </c>
      <c r="AA512" s="0" t="n">
        <v>0</v>
      </c>
      <c r="AB512" s="0" t="n">
        <v>0</v>
      </c>
      <c r="AC512" s="4" t="s">
        <v>2024</v>
      </c>
      <c r="AD512" s="4" t="s">
        <v>2024</v>
      </c>
      <c r="AE512" s="4" t="s">
        <v>2095</v>
      </c>
      <c r="AF512" s="4" t="s">
        <v>2095</v>
      </c>
      <c r="AG512" s="5" t="n">
        <v>0.00346064814814815</v>
      </c>
      <c r="AH512" s="5" t="n">
        <v>0.0141666666666667</v>
      </c>
      <c r="AI512" s="5" t="n">
        <v>0</v>
      </c>
      <c r="AJ512" s="5" t="n">
        <v>0</v>
      </c>
      <c r="AK512" s="5" t="n">
        <v>0</v>
      </c>
      <c r="AL512" s="5" t="n">
        <v>0</v>
      </c>
      <c r="AM512" s="4" t="s">
        <v>78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0</v>
      </c>
      <c r="BE512" s="0" t="n">
        <v>0</v>
      </c>
      <c r="BF512" s="0" t="n">
        <v>0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0</v>
      </c>
      <c r="BM512" s="6" t="n">
        <f aca="false">IFERROR(VALUE(F512),"")</f>
        <v>0</v>
      </c>
      <c r="BN512" s="6" t="n">
        <f aca="false">IF(R512="-","",IFERROR(VALUE(LEFT(Q512,LEN(Q512)-2)),""))</f>
        <v>0.51</v>
      </c>
      <c r="BO512" s="6" t="n">
        <f aca="false">IF(R512="-","",IFERROR(VALUE(LEFT(R512,LEN(R512)-5)),""))</f>
        <v>0</v>
      </c>
      <c r="BP512" s="6" t="n">
        <f aca="false">IF(R512="-","",IFERROR(VALUE(F512),""))</f>
        <v>0</v>
      </c>
      <c r="BQ512" s="4" t="n">
        <f aca="false">IF(R512="-",1,0)</f>
        <v>0</v>
      </c>
    </row>
    <row r="513" customFormat="false" ht="15" hidden="false" customHeight="false" outlineLevel="0" collapsed="false">
      <c r="A513" s="0" t="s">
        <v>2092</v>
      </c>
      <c r="B513" s="0" t="s">
        <v>2093</v>
      </c>
      <c r="C513" s="0" t="s">
        <v>70</v>
      </c>
      <c r="E513" s="3" t="n">
        <v>46278</v>
      </c>
      <c r="F513" s="4" t="s">
        <v>95</v>
      </c>
      <c r="G513" s="5" t="n">
        <v>0.000555555555555556</v>
      </c>
      <c r="H513" s="5" t="n">
        <v>0</v>
      </c>
      <c r="I513" s="5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5" t="n">
        <v>0</v>
      </c>
      <c r="P513" s="5" t="n">
        <v>0</v>
      </c>
      <c r="Q513" s="4" t="s">
        <v>73</v>
      </c>
      <c r="R513" s="4" t="s">
        <v>73</v>
      </c>
      <c r="S513" s="5" t="n">
        <v>0</v>
      </c>
      <c r="T513" s="5" t="n">
        <v>0.000347222222222222</v>
      </c>
      <c r="U513" s="5" t="n">
        <v>0.000115740740740741</v>
      </c>
      <c r="V513" s="5" t="n">
        <v>0</v>
      </c>
      <c r="W513" s="5" t="n">
        <v>0</v>
      </c>
      <c r="X513" s="5" t="n">
        <v>0</v>
      </c>
      <c r="Y513" s="5" t="n">
        <v>0</v>
      </c>
      <c r="Z513" s="0" t="n">
        <v>0</v>
      </c>
      <c r="AA513" s="0" t="n">
        <v>0</v>
      </c>
      <c r="AB513" s="0" t="n">
        <v>0</v>
      </c>
      <c r="AC513" s="4" t="s">
        <v>2024</v>
      </c>
      <c r="AD513" s="4" t="s">
        <v>2024</v>
      </c>
      <c r="AE513" s="4" t="s">
        <v>2095</v>
      </c>
      <c r="AF513" s="4" t="s">
        <v>2095</v>
      </c>
      <c r="AG513" s="5" t="n">
        <v>0</v>
      </c>
      <c r="AH513" s="5" t="n">
        <v>0.00103009259259259</v>
      </c>
      <c r="AI513" s="5" t="n">
        <v>0</v>
      </c>
      <c r="AJ513" s="5" t="n">
        <v>0</v>
      </c>
      <c r="AK513" s="5" t="n">
        <v>0</v>
      </c>
      <c r="AL513" s="5" t="n">
        <v>0</v>
      </c>
      <c r="AM513" s="4" t="s">
        <v>78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  <c r="AU513" s="0" t="n">
        <v>0</v>
      </c>
      <c r="AV513" s="0" t="n">
        <v>0</v>
      </c>
      <c r="AW513" s="0" t="n">
        <v>0</v>
      </c>
      <c r="AX513" s="0" t="n">
        <v>0</v>
      </c>
      <c r="AY513" s="0" t="n">
        <v>0</v>
      </c>
      <c r="AZ513" s="0" t="n">
        <v>0</v>
      </c>
      <c r="BA513" s="0" t="n">
        <v>0</v>
      </c>
      <c r="BB513" s="0" t="n">
        <v>0</v>
      </c>
      <c r="BC513" s="0" t="n">
        <v>0</v>
      </c>
      <c r="BD513" s="0" t="n">
        <v>0</v>
      </c>
      <c r="BE513" s="0" t="n">
        <v>0</v>
      </c>
      <c r="BF513" s="0" t="n">
        <v>0</v>
      </c>
      <c r="BG513" s="0" t="n">
        <v>0</v>
      </c>
      <c r="BH513" s="0" t="n">
        <v>0</v>
      </c>
      <c r="BI513" s="0" t="n">
        <v>0</v>
      </c>
      <c r="BJ513" s="0" t="n">
        <v>0</v>
      </c>
      <c r="BK513" s="0" t="n">
        <v>0</v>
      </c>
      <c r="BM513" s="6" t="n">
        <f aca="false">IFERROR(VALUE(F513),"")</f>
        <v>0</v>
      </c>
      <c r="BN513" s="6" t="str">
        <f aca="false">IF(R513="-","",IFERROR(VALUE(LEFT(Q513,LEN(Q513)-2)),""))</f>
        <v/>
      </c>
      <c r="BO513" s="6" t="str">
        <f aca="false">IF(R513="-","",IFERROR(VALUE(LEFT(R513,LEN(R513)-5)),""))</f>
        <v/>
      </c>
      <c r="BP513" s="6" t="str">
        <f aca="false">IF(R513="-","",IFERROR(VALUE(F513),""))</f>
        <v/>
      </c>
      <c r="BQ513" s="4" t="n">
        <f aca="false">IF(R513="-",1,0)</f>
        <v>1</v>
      </c>
    </row>
    <row r="514" customFormat="false" ht="15" hidden="false" customHeight="false" outlineLevel="0" collapsed="false">
      <c r="A514" s="0" t="s">
        <v>2092</v>
      </c>
      <c r="B514" s="0" t="s">
        <v>2093</v>
      </c>
      <c r="C514" s="0" t="s">
        <v>70</v>
      </c>
      <c r="D514" s="0" t="s">
        <v>2102</v>
      </c>
      <c r="E514" s="3" t="n">
        <v>46279</v>
      </c>
      <c r="F514" s="4" t="s">
        <v>95</v>
      </c>
      <c r="G514" s="5" t="n">
        <v>0.260787037037037</v>
      </c>
      <c r="H514" s="5" t="n">
        <v>0.229837962962963</v>
      </c>
      <c r="I514" s="5" t="n">
        <v>0.000844907407407407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1</v>
      </c>
      <c r="O514" s="5" t="n">
        <v>0</v>
      </c>
      <c r="P514" s="5" t="n">
        <v>0.0438541666666667</v>
      </c>
      <c r="Q514" s="4" t="s">
        <v>2053</v>
      </c>
      <c r="R514" s="4" t="s">
        <v>454</v>
      </c>
      <c r="S514" s="5" t="n">
        <v>0.000231481481481482</v>
      </c>
      <c r="T514" s="5" t="n">
        <v>0.149189814814815</v>
      </c>
      <c r="U514" s="5" t="n">
        <v>0.096412037037037</v>
      </c>
      <c r="V514" s="5" t="n">
        <v>0.00810185185185185</v>
      </c>
      <c r="W514" s="5" t="n">
        <v>0</v>
      </c>
      <c r="X514" s="5" t="n">
        <v>0</v>
      </c>
      <c r="Y514" s="5" t="n">
        <v>0</v>
      </c>
      <c r="Z514" s="0" t="n">
        <v>0</v>
      </c>
      <c r="AA514" s="0" t="n">
        <v>0</v>
      </c>
      <c r="AB514" s="0" t="n">
        <v>0</v>
      </c>
      <c r="AC514" s="4" t="s">
        <v>2024</v>
      </c>
      <c r="AD514" s="4" t="s">
        <v>2024</v>
      </c>
      <c r="AE514" s="4" t="s">
        <v>2095</v>
      </c>
      <c r="AF514" s="4" t="s">
        <v>2095</v>
      </c>
      <c r="AG514" s="5" t="n">
        <v>0.196134259259259</v>
      </c>
      <c r="AH514" s="5" t="n">
        <v>0.0893402777777778</v>
      </c>
      <c r="AI514" s="5" t="n">
        <v>0</v>
      </c>
      <c r="AJ514" s="5" t="n">
        <v>0</v>
      </c>
      <c r="AK514" s="5" t="n">
        <v>0</v>
      </c>
      <c r="AL514" s="5" t="n">
        <v>0</v>
      </c>
      <c r="AM514" s="4" t="s">
        <v>78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0</v>
      </c>
      <c r="AU514" s="0" t="n">
        <v>1</v>
      </c>
      <c r="AV514" s="0" t="n">
        <v>0</v>
      </c>
      <c r="AW514" s="0" t="n">
        <v>0</v>
      </c>
      <c r="AX514" s="0" t="n">
        <v>0</v>
      </c>
      <c r="AY514" s="0" t="n">
        <v>0</v>
      </c>
      <c r="AZ514" s="0" t="n">
        <v>0</v>
      </c>
      <c r="BA514" s="0" t="n">
        <v>0</v>
      </c>
      <c r="BB514" s="0" t="n">
        <v>0</v>
      </c>
      <c r="BC514" s="0" t="n">
        <v>0</v>
      </c>
      <c r="BD514" s="0" t="n">
        <v>0</v>
      </c>
      <c r="BE514" s="0" t="n">
        <v>0</v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M514" s="6" t="n">
        <f aca="false">IFERROR(VALUE(F514),"")</f>
        <v>0</v>
      </c>
      <c r="BN514" s="6" t="n">
        <f aca="false">IF(R514="-","",IFERROR(VALUE(LEFT(Q514,LEN(Q514)-2)),""))</f>
        <v>52</v>
      </c>
      <c r="BO514" s="6" t="n">
        <f aca="false">IF(R514="-","",IFERROR(VALUE(LEFT(R514,LEN(R514)-5)),""))</f>
        <v>0</v>
      </c>
      <c r="BP514" s="6" t="n">
        <f aca="false">IF(R514="-","",IFERROR(VALUE(F514),""))</f>
        <v>0</v>
      </c>
      <c r="BQ514" s="4" t="n">
        <f aca="false">IF(R514="-",1,0)</f>
        <v>0</v>
      </c>
    </row>
    <row r="515" customFormat="false" ht="15" hidden="false" customHeight="false" outlineLevel="0" collapsed="false">
      <c r="A515" s="0" t="s">
        <v>2103</v>
      </c>
      <c r="B515" s="0" t="s">
        <v>2104</v>
      </c>
      <c r="C515" s="0" t="s">
        <v>70</v>
      </c>
      <c r="E515" s="3" t="n">
        <v>46273</v>
      </c>
      <c r="F515" s="4" t="s">
        <v>95</v>
      </c>
      <c r="G515" s="5" t="n">
        <v>0.00165509259259259</v>
      </c>
      <c r="H515" s="5" t="n">
        <v>0</v>
      </c>
      <c r="I515" s="5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5" t="n">
        <v>0</v>
      </c>
      <c r="P515" s="5" t="n">
        <v>0</v>
      </c>
      <c r="Q515" s="4" t="s">
        <v>2105</v>
      </c>
      <c r="R515" s="4" t="s">
        <v>454</v>
      </c>
      <c r="S515" s="5" t="n">
        <v>0.000115740740740741</v>
      </c>
      <c r="T515" s="5" t="n">
        <v>0.000231481481481482</v>
      </c>
      <c r="U515" s="5" t="n">
        <v>0.00127314814814815</v>
      </c>
      <c r="V515" s="5" t="n">
        <v>0</v>
      </c>
      <c r="W515" s="5" t="n">
        <v>0</v>
      </c>
      <c r="X515" s="5" t="n">
        <v>0</v>
      </c>
      <c r="Y515" s="5" t="n">
        <v>0</v>
      </c>
      <c r="Z515" s="0" t="n">
        <v>0</v>
      </c>
      <c r="AA515" s="0" t="n">
        <v>0</v>
      </c>
      <c r="AB515" s="0" t="n">
        <v>0</v>
      </c>
      <c r="AC515" s="4" t="s">
        <v>228</v>
      </c>
      <c r="AD515" s="4" t="s">
        <v>228</v>
      </c>
      <c r="AE515" s="4" t="s">
        <v>2106</v>
      </c>
      <c r="AF515" s="4" t="s">
        <v>2106</v>
      </c>
      <c r="AG515" s="5" t="n">
        <v>0</v>
      </c>
      <c r="AH515" s="5" t="n">
        <v>0.00532407407407407</v>
      </c>
      <c r="AI515" s="5" t="n">
        <v>0</v>
      </c>
      <c r="AJ515" s="5" t="n">
        <v>0</v>
      </c>
      <c r="AK515" s="5" t="n">
        <v>0</v>
      </c>
      <c r="AL515" s="5" t="n">
        <v>0</v>
      </c>
      <c r="AM515" s="4" t="s">
        <v>78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n">
        <v>0</v>
      </c>
      <c r="AW515" s="0" t="n">
        <v>0</v>
      </c>
      <c r="AX515" s="0" t="n">
        <v>0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0</v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M515" s="6" t="n">
        <f aca="false">IFERROR(VALUE(F515),"")</f>
        <v>0</v>
      </c>
      <c r="BN515" s="6" t="n">
        <f aca="false">IF(R515="-","",IFERROR(VALUE(LEFT(Q515,LEN(Q515)-2)),""))</f>
        <v>0.19</v>
      </c>
      <c r="BO515" s="6" t="n">
        <f aca="false">IF(R515="-","",IFERROR(VALUE(LEFT(R515,LEN(R515)-5)),""))</f>
        <v>0</v>
      </c>
      <c r="BP515" s="6" t="n">
        <f aca="false">IF(R515="-","",IFERROR(VALUE(F515),""))</f>
        <v>0</v>
      </c>
      <c r="BQ515" s="4" t="n">
        <f aca="false">IF(R515="-",1,0)</f>
        <v>0</v>
      </c>
    </row>
    <row r="516" customFormat="false" ht="15" hidden="false" customHeight="false" outlineLevel="0" collapsed="false">
      <c r="A516" s="0" t="s">
        <v>2103</v>
      </c>
      <c r="B516" s="0" t="s">
        <v>2104</v>
      </c>
      <c r="C516" s="0" t="s">
        <v>70</v>
      </c>
      <c r="D516" s="0" t="s">
        <v>2107</v>
      </c>
      <c r="E516" s="3" t="n">
        <v>46274</v>
      </c>
      <c r="F516" s="4" t="s">
        <v>2108</v>
      </c>
      <c r="G516" s="5" t="n">
        <v>0.271388888888889</v>
      </c>
      <c r="H516" s="5" t="n">
        <v>0.182546296296296</v>
      </c>
      <c r="I516" s="5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5" t="n">
        <v>0</v>
      </c>
      <c r="P516" s="5" t="n">
        <v>0.0249768518518519</v>
      </c>
      <c r="Q516" s="4" t="s">
        <v>2109</v>
      </c>
      <c r="R516" s="4" t="s">
        <v>361</v>
      </c>
      <c r="S516" s="5" t="n">
        <v>0</v>
      </c>
      <c r="T516" s="5" t="n">
        <v>0.0930555555555556</v>
      </c>
      <c r="U516" s="5" t="n">
        <v>0.0925925925925926</v>
      </c>
      <c r="V516" s="5" t="n">
        <v>0.0222222222222222</v>
      </c>
      <c r="W516" s="5" t="n">
        <v>0</v>
      </c>
      <c r="X516" s="5" t="n">
        <v>0</v>
      </c>
      <c r="Y516" s="5" t="n">
        <v>0</v>
      </c>
      <c r="Z516" s="0" t="n">
        <v>0</v>
      </c>
      <c r="AA516" s="0" t="n">
        <v>0</v>
      </c>
      <c r="AB516" s="0" t="n">
        <v>0</v>
      </c>
      <c r="AC516" s="4" t="s">
        <v>75</v>
      </c>
      <c r="AD516" s="4" t="s">
        <v>864</v>
      </c>
      <c r="AE516" s="4" t="s">
        <v>2106</v>
      </c>
      <c r="AF516" s="4" t="s">
        <v>2110</v>
      </c>
      <c r="AG516" s="5" t="n">
        <v>0.160983796296296</v>
      </c>
      <c r="AH516" s="5" t="n">
        <v>0.162372685185185</v>
      </c>
      <c r="AI516" s="5" t="n">
        <v>0</v>
      </c>
      <c r="AJ516" s="5" t="n">
        <v>0</v>
      </c>
      <c r="AK516" s="5" t="n">
        <v>0</v>
      </c>
      <c r="AL516" s="5" t="n">
        <v>0</v>
      </c>
      <c r="AM516" s="4" t="s">
        <v>78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0" t="n">
        <v>0</v>
      </c>
      <c r="BE516" s="0" t="n">
        <v>0</v>
      </c>
      <c r="BF516" s="0" t="n">
        <v>0</v>
      </c>
      <c r="BG516" s="0" t="n">
        <v>0</v>
      </c>
      <c r="BH516" s="0" t="n">
        <v>0</v>
      </c>
      <c r="BI516" s="0" t="n">
        <v>0</v>
      </c>
      <c r="BJ516" s="0" t="n">
        <v>0</v>
      </c>
      <c r="BK516" s="0" t="n">
        <v>0</v>
      </c>
      <c r="BM516" s="6" t="n">
        <f aca="false">IFERROR(VALUE(F516),"")</f>
        <v>180.75</v>
      </c>
      <c r="BN516" s="6" t="n">
        <f aca="false">IF(R516="-","",IFERROR(VALUE(LEFT(Q516,LEN(Q516)-2)),""))</f>
        <v>57.86</v>
      </c>
      <c r="BO516" s="6" t="n">
        <f aca="false">IF(R516="-","",IFERROR(VALUE(LEFT(R516,LEN(R516)-5)),""))</f>
        <v>3.12</v>
      </c>
      <c r="BP516" s="6" t="n">
        <f aca="false">IF(R516="-","",IFERROR(VALUE(F516),""))</f>
        <v>180.75</v>
      </c>
      <c r="BQ516" s="4" t="n">
        <f aca="false">IF(R516="-",1,0)</f>
        <v>0</v>
      </c>
    </row>
    <row r="517" customFormat="false" ht="15" hidden="false" customHeight="false" outlineLevel="0" collapsed="false">
      <c r="A517" s="0" t="s">
        <v>2103</v>
      </c>
      <c r="B517" s="0" t="s">
        <v>2104</v>
      </c>
      <c r="C517" s="0" t="s">
        <v>70</v>
      </c>
      <c r="D517" s="0" t="s">
        <v>855</v>
      </c>
      <c r="E517" s="3" t="n">
        <v>46275</v>
      </c>
      <c r="F517" s="4" t="s">
        <v>2111</v>
      </c>
      <c r="G517" s="5" t="n">
        <v>0.465706018518519</v>
      </c>
      <c r="H517" s="5" t="n">
        <v>0.267013888888889</v>
      </c>
      <c r="I517" s="5" t="n">
        <v>6.94444444444444E-005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4</v>
      </c>
      <c r="O517" s="5" t="n">
        <v>0</v>
      </c>
      <c r="P517" s="5" t="n">
        <v>0.0254861111111111</v>
      </c>
      <c r="Q517" s="4" t="s">
        <v>2112</v>
      </c>
      <c r="R517" s="4" t="s">
        <v>2113</v>
      </c>
      <c r="S517" s="5" t="n">
        <v>0.000115740740740741</v>
      </c>
      <c r="T517" s="5" t="n">
        <v>0.163657407407407</v>
      </c>
      <c r="U517" s="5" t="n">
        <v>0.2125</v>
      </c>
      <c r="V517" s="5" t="n">
        <v>0.0825231481481482</v>
      </c>
      <c r="W517" s="5" t="n">
        <v>0</v>
      </c>
      <c r="X517" s="5" t="n">
        <v>0</v>
      </c>
      <c r="Y517" s="5" t="n">
        <v>0</v>
      </c>
      <c r="Z517" s="0" t="n">
        <v>0</v>
      </c>
      <c r="AA517" s="0" t="n">
        <v>0</v>
      </c>
      <c r="AB517" s="0" t="n">
        <v>0</v>
      </c>
      <c r="AC517" s="4" t="s">
        <v>871</v>
      </c>
      <c r="AD517" s="4" t="s">
        <v>432</v>
      </c>
      <c r="AE517" s="4" t="s">
        <v>2110</v>
      </c>
      <c r="AF517" s="4" t="s">
        <v>2114</v>
      </c>
      <c r="AG517" s="5" t="n">
        <v>0.38556712962963</v>
      </c>
      <c r="AH517" s="5" t="n">
        <v>0.149872685185185</v>
      </c>
      <c r="AI517" s="5" t="n">
        <v>0</v>
      </c>
      <c r="AJ517" s="5" t="n">
        <v>0</v>
      </c>
      <c r="AK517" s="5" t="n">
        <v>0</v>
      </c>
      <c r="AL517" s="5" t="n">
        <v>0</v>
      </c>
      <c r="AM517" s="4" t="s">
        <v>78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4</v>
      </c>
      <c r="AV517" s="0" t="n">
        <v>0</v>
      </c>
      <c r="AW517" s="0" t="n">
        <v>1</v>
      </c>
      <c r="AX517" s="0" t="n">
        <v>0</v>
      </c>
      <c r="AY517" s="0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0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M517" s="6" t="n">
        <f aca="false">IFERROR(VALUE(F517),"")</f>
        <v>470.55</v>
      </c>
      <c r="BN517" s="6" t="n">
        <f aca="false">IF(R517="-","",IFERROR(VALUE(LEFT(Q517,LEN(Q517)-2)),""))</f>
        <v>142.4</v>
      </c>
      <c r="BO517" s="6" t="n">
        <f aca="false">IF(R517="-","",IFERROR(VALUE(LEFT(R517,LEN(R517)-5)),""))</f>
        <v>3.3</v>
      </c>
      <c r="BP517" s="6" t="n">
        <f aca="false">IF(R517="-","",IFERROR(VALUE(F517),""))</f>
        <v>470.55</v>
      </c>
      <c r="BQ517" s="4" t="n">
        <f aca="false">IF(R517="-",1,0)</f>
        <v>0</v>
      </c>
    </row>
    <row r="518" customFormat="false" ht="15" hidden="false" customHeight="false" outlineLevel="0" collapsed="false">
      <c r="A518" s="0" t="s">
        <v>2103</v>
      </c>
      <c r="B518" s="0" t="s">
        <v>2104</v>
      </c>
      <c r="C518" s="0" t="s">
        <v>70</v>
      </c>
      <c r="D518" s="0" t="s">
        <v>2115</v>
      </c>
      <c r="E518" s="3" t="n">
        <v>46276</v>
      </c>
      <c r="F518" s="4" t="s">
        <v>2116</v>
      </c>
      <c r="G518" s="5" t="n">
        <v>0.366111111111111</v>
      </c>
      <c r="H518" s="5" t="n">
        <v>0.364189814814815</v>
      </c>
      <c r="I518" s="5" t="n">
        <v>5.78703703703704E-005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14</v>
      </c>
      <c r="O518" s="5" t="n">
        <v>0</v>
      </c>
      <c r="P518" s="5" t="n">
        <v>0.0090162037037037</v>
      </c>
      <c r="Q518" s="4" t="s">
        <v>2117</v>
      </c>
      <c r="R518" s="4" t="s">
        <v>2113</v>
      </c>
      <c r="S518" s="5" t="n">
        <v>0</v>
      </c>
      <c r="T518" s="5" t="n">
        <v>0.10787037037037</v>
      </c>
      <c r="U518" s="5" t="n">
        <v>0.187962962962963</v>
      </c>
      <c r="V518" s="5" t="n">
        <v>0.0637731481481482</v>
      </c>
      <c r="W518" s="5" t="n">
        <v>0</v>
      </c>
      <c r="X518" s="5" t="n">
        <v>0</v>
      </c>
      <c r="Y518" s="5" t="n">
        <v>0</v>
      </c>
      <c r="Z518" s="0" t="n">
        <v>0</v>
      </c>
      <c r="AA518" s="0" t="n">
        <v>0</v>
      </c>
      <c r="AB518" s="0" t="n">
        <v>0</v>
      </c>
      <c r="AC518" s="4" t="s">
        <v>432</v>
      </c>
      <c r="AD518" s="4" t="s">
        <v>421</v>
      </c>
      <c r="AE518" s="4" t="s">
        <v>2114</v>
      </c>
      <c r="AF518" s="4" t="s">
        <v>2118</v>
      </c>
      <c r="AG518" s="5" t="n">
        <v>0.322858796296296</v>
      </c>
      <c r="AH518" s="5" t="n">
        <v>0.101840277777778</v>
      </c>
      <c r="AI518" s="5" t="n">
        <v>0</v>
      </c>
      <c r="AJ518" s="5" t="n">
        <v>0</v>
      </c>
      <c r="AK518" s="5" t="n">
        <v>0</v>
      </c>
      <c r="AL518" s="5" t="n">
        <v>0</v>
      </c>
      <c r="AM518" s="4" t="s">
        <v>78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  <c r="AU518" s="0" t="n">
        <v>4</v>
      </c>
      <c r="AV518" s="0" t="n">
        <v>0</v>
      </c>
      <c r="AW518" s="0" t="n">
        <v>0</v>
      </c>
      <c r="AX518" s="0" t="n">
        <v>0</v>
      </c>
      <c r="AY518" s="0" t="n">
        <v>0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M518" s="6" t="n">
        <f aca="false">IFERROR(VALUE(F518),"")</f>
        <v>391.58</v>
      </c>
      <c r="BN518" s="6" t="n">
        <f aca="false">IF(R518="-","",IFERROR(VALUE(LEFT(Q518,LEN(Q518)-2)),""))</f>
        <v>118.53</v>
      </c>
      <c r="BO518" s="6" t="n">
        <f aca="false">IF(R518="-","",IFERROR(VALUE(LEFT(R518,LEN(R518)-5)),""))</f>
        <v>3.3</v>
      </c>
      <c r="BP518" s="6" t="n">
        <f aca="false">IF(R518="-","",IFERROR(VALUE(F518),""))</f>
        <v>391.58</v>
      </c>
      <c r="BQ518" s="4" t="n">
        <f aca="false">IF(R518="-",1,0)</f>
        <v>0</v>
      </c>
    </row>
    <row r="519" customFormat="false" ht="15" hidden="false" customHeight="false" outlineLevel="0" collapsed="false">
      <c r="A519" s="0" t="s">
        <v>2103</v>
      </c>
      <c r="B519" s="0" t="s">
        <v>2104</v>
      </c>
      <c r="C519" s="0" t="s">
        <v>70</v>
      </c>
      <c r="D519" s="0" t="s">
        <v>2119</v>
      </c>
      <c r="E519" s="3" t="n">
        <v>46277</v>
      </c>
      <c r="F519" s="4" t="s">
        <v>2120</v>
      </c>
      <c r="G519" s="5" t="n">
        <v>0.344791666666667</v>
      </c>
      <c r="H519" s="5" t="n">
        <v>0.298518518518519</v>
      </c>
      <c r="I519" s="5" t="n">
        <v>0.000104166666666667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9</v>
      </c>
      <c r="O519" s="5" t="n">
        <v>0</v>
      </c>
      <c r="P519" s="5" t="n">
        <v>0.0279282407407407</v>
      </c>
      <c r="Q519" s="4" t="s">
        <v>2121</v>
      </c>
      <c r="R519" s="4" t="s">
        <v>870</v>
      </c>
      <c r="S519" s="5" t="n">
        <v>0.000231481481481482</v>
      </c>
      <c r="T519" s="5" t="n">
        <v>0.148842592592593</v>
      </c>
      <c r="U519" s="5" t="n">
        <v>0.121296296296296</v>
      </c>
      <c r="V519" s="5" t="n">
        <v>0.0486111111111111</v>
      </c>
      <c r="W519" s="5" t="n">
        <v>0</v>
      </c>
      <c r="X519" s="5" t="n">
        <v>0</v>
      </c>
      <c r="Y519" s="5" t="n">
        <v>0</v>
      </c>
      <c r="Z519" s="0" t="n">
        <v>0</v>
      </c>
      <c r="AA519" s="0" t="n">
        <v>0</v>
      </c>
      <c r="AB519" s="0" t="n">
        <v>0</v>
      </c>
      <c r="AC519" s="4" t="s">
        <v>421</v>
      </c>
      <c r="AD519" s="4" t="s">
        <v>882</v>
      </c>
      <c r="AE519" s="4" t="s">
        <v>2118</v>
      </c>
      <c r="AF519" s="4" t="s">
        <v>2122</v>
      </c>
      <c r="AG519" s="5" t="n">
        <v>0.258252314814815</v>
      </c>
      <c r="AH519" s="5" t="n">
        <v>0.159050925925926</v>
      </c>
      <c r="AI519" s="5" t="n">
        <v>0</v>
      </c>
      <c r="AJ519" s="5" t="n">
        <v>0</v>
      </c>
      <c r="AK519" s="5" t="n">
        <v>0</v>
      </c>
      <c r="AL519" s="5" t="n">
        <v>0</v>
      </c>
      <c r="AM519" s="4" t="s">
        <v>78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  <c r="AU519" s="0" t="n">
        <v>1</v>
      </c>
      <c r="AV519" s="0" t="n">
        <v>0</v>
      </c>
      <c r="AW519" s="0" t="n">
        <v>0</v>
      </c>
      <c r="AX519" s="0" t="n">
        <v>0</v>
      </c>
      <c r="AY519" s="0" t="n">
        <v>0</v>
      </c>
      <c r="AZ519" s="0" t="n">
        <v>0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0</v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M519" s="6" t="n">
        <f aca="false">IFERROR(VALUE(F519),"")</f>
        <v>251.92</v>
      </c>
      <c r="BN519" s="6" t="n">
        <f aca="false">IF(R519="-","",IFERROR(VALUE(LEFT(Q519,LEN(Q519)-2)),""))</f>
        <v>84.86</v>
      </c>
      <c r="BO519" s="6" t="n">
        <f aca="false">IF(R519="-","",IFERROR(VALUE(LEFT(R519,LEN(R519)-5)),""))</f>
        <v>2.97</v>
      </c>
      <c r="BP519" s="6" t="n">
        <f aca="false">IF(R519="-","",IFERROR(VALUE(F519),""))</f>
        <v>251.92</v>
      </c>
      <c r="BQ519" s="4" t="n">
        <f aca="false">IF(R519="-",1,0)</f>
        <v>0</v>
      </c>
    </row>
    <row r="520" customFormat="false" ht="15" hidden="false" customHeight="false" outlineLevel="0" collapsed="false">
      <c r="A520" s="0" t="s">
        <v>2103</v>
      </c>
      <c r="B520" s="0" t="s">
        <v>2104</v>
      </c>
      <c r="C520" s="0" t="s">
        <v>70</v>
      </c>
      <c r="D520" s="0" t="s">
        <v>2123</v>
      </c>
      <c r="E520" s="3" t="n">
        <v>46278</v>
      </c>
      <c r="F520" s="4" t="s">
        <v>2124</v>
      </c>
      <c r="G520" s="5" t="n">
        <v>0.325162037037037</v>
      </c>
      <c r="H520" s="5" t="n">
        <v>0.322858796296296</v>
      </c>
      <c r="I520" s="5" t="n">
        <v>0.000138888888888889</v>
      </c>
      <c r="J520" s="0" t="n">
        <v>0</v>
      </c>
      <c r="K520" s="0" t="n">
        <v>1</v>
      </c>
      <c r="L520" s="0" t="n">
        <v>0</v>
      </c>
      <c r="M520" s="0" t="n">
        <v>0</v>
      </c>
      <c r="N520" s="0" t="n">
        <v>10</v>
      </c>
      <c r="O520" s="5" t="n">
        <v>0</v>
      </c>
      <c r="P520" s="5" t="n">
        <v>0</v>
      </c>
      <c r="Q520" s="4" t="s">
        <v>2125</v>
      </c>
      <c r="R520" s="4" t="s">
        <v>1061</v>
      </c>
      <c r="S520" s="5" t="n">
        <v>0.000115740740740741</v>
      </c>
      <c r="T520" s="5" t="n">
        <v>0.101273148148148</v>
      </c>
      <c r="U520" s="5" t="n">
        <v>0.109722222222222</v>
      </c>
      <c r="V520" s="5" t="n">
        <v>0.072337962962963</v>
      </c>
      <c r="W520" s="5" t="n">
        <v>0</v>
      </c>
      <c r="X520" s="5" t="n">
        <v>0</v>
      </c>
      <c r="Y520" s="5" t="n">
        <v>0</v>
      </c>
      <c r="Z520" s="0" t="n">
        <v>0</v>
      </c>
      <c r="AA520" s="0" t="n">
        <v>0</v>
      </c>
      <c r="AB520" s="0" t="n">
        <v>0</v>
      </c>
      <c r="AC520" s="4" t="s">
        <v>887</v>
      </c>
      <c r="AD520" s="4" t="s">
        <v>882</v>
      </c>
      <c r="AE520" s="4" t="s">
        <v>2122</v>
      </c>
      <c r="AF520" s="4" t="s">
        <v>2126</v>
      </c>
      <c r="AG520" s="5" t="n">
        <v>0.255902777777778</v>
      </c>
      <c r="AH520" s="5" t="n">
        <v>0.110821759259259</v>
      </c>
      <c r="AI520" s="5" t="n">
        <v>0</v>
      </c>
      <c r="AJ520" s="5" t="n">
        <v>0</v>
      </c>
      <c r="AK520" s="5" t="n">
        <v>0</v>
      </c>
      <c r="AL520" s="5" t="n">
        <v>0</v>
      </c>
      <c r="AM520" s="4" t="s">
        <v>78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n">
        <v>0</v>
      </c>
      <c r="AW520" s="0" t="n">
        <v>0</v>
      </c>
      <c r="AX520" s="0" t="n">
        <v>0</v>
      </c>
      <c r="AY520" s="0" t="n">
        <v>0</v>
      </c>
      <c r="AZ520" s="0" t="n">
        <v>0</v>
      </c>
      <c r="BA520" s="0" t="n">
        <v>0</v>
      </c>
      <c r="BB520" s="0" t="n">
        <v>0</v>
      </c>
      <c r="BC520" s="0" t="n">
        <v>0</v>
      </c>
      <c r="BD520" s="0" t="n">
        <v>0</v>
      </c>
      <c r="BE520" s="0" t="n">
        <v>0</v>
      </c>
      <c r="BF520" s="0" t="n">
        <v>0</v>
      </c>
      <c r="BG520" s="0" t="n">
        <v>0</v>
      </c>
      <c r="BH520" s="0" t="n">
        <v>0</v>
      </c>
      <c r="BI520" s="0" t="n">
        <v>0</v>
      </c>
      <c r="BJ520" s="0" t="n">
        <v>0</v>
      </c>
      <c r="BK520" s="0" t="n">
        <v>0</v>
      </c>
      <c r="BM520" s="6" t="n">
        <f aca="false">IFERROR(VALUE(F520),"")</f>
        <v>301.23</v>
      </c>
      <c r="BN520" s="6" t="n">
        <f aca="false">IF(R520="-","",IFERROR(VALUE(LEFT(Q520,LEN(Q520)-2)),""))</f>
        <v>99.01</v>
      </c>
      <c r="BO520" s="6" t="n">
        <f aca="false">IF(R520="-","",IFERROR(VALUE(LEFT(R520,LEN(R520)-5)),""))</f>
        <v>3.04</v>
      </c>
      <c r="BP520" s="6" t="n">
        <f aca="false">IF(R520="-","",IFERROR(VALUE(F520),""))</f>
        <v>301.23</v>
      </c>
      <c r="BQ520" s="4" t="n">
        <f aca="false">IF(R520="-",1,0)</f>
        <v>0</v>
      </c>
    </row>
    <row r="521" customFormat="false" ht="15" hidden="false" customHeight="false" outlineLevel="0" collapsed="false">
      <c r="A521" s="0" t="s">
        <v>2103</v>
      </c>
      <c r="B521" s="0" t="s">
        <v>2104</v>
      </c>
      <c r="C521" s="0" t="s">
        <v>70</v>
      </c>
      <c r="D521" s="0" t="s">
        <v>2127</v>
      </c>
      <c r="E521" s="3" t="n">
        <v>46279</v>
      </c>
      <c r="F521" s="4" t="s">
        <v>2128</v>
      </c>
      <c r="G521" s="5" t="n">
        <v>0.486956018518519</v>
      </c>
      <c r="H521" s="5" t="n">
        <v>0.442962962962963</v>
      </c>
      <c r="I521" s="5" t="n">
        <v>0.00271990740740741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16</v>
      </c>
      <c r="O521" s="5" t="n">
        <v>0</v>
      </c>
      <c r="P521" s="5" t="n">
        <v>0</v>
      </c>
      <c r="Q521" s="4" t="s">
        <v>2129</v>
      </c>
      <c r="R521" s="4" t="s">
        <v>1237</v>
      </c>
      <c r="S521" s="5" t="n">
        <v>0.000231481481481482</v>
      </c>
      <c r="T521" s="5" t="n">
        <v>0.156840277777778</v>
      </c>
      <c r="U521" s="5" t="n">
        <v>0.196180555555556</v>
      </c>
      <c r="V521" s="5" t="n">
        <v>0.0984143518518519</v>
      </c>
      <c r="W521" s="5" t="n">
        <v>0.000173611111111111</v>
      </c>
      <c r="X521" s="5" t="n">
        <v>0</v>
      </c>
      <c r="Y521" s="5" t="n">
        <v>5.78703703703704E-005</v>
      </c>
      <c r="Z521" s="0" t="n">
        <v>0</v>
      </c>
      <c r="AA521" s="0" t="n">
        <v>0</v>
      </c>
      <c r="AB521" s="0" t="n">
        <v>0</v>
      </c>
      <c r="AC521" s="4" t="s">
        <v>887</v>
      </c>
      <c r="AD521" s="4" t="s">
        <v>208</v>
      </c>
      <c r="AE521" s="4" t="s">
        <v>2126</v>
      </c>
      <c r="AF521" s="4" t="s">
        <v>2130</v>
      </c>
      <c r="AG521" s="5" t="n">
        <v>0.396296296296296</v>
      </c>
      <c r="AH521" s="5" t="n">
        <v>0.2284375</v>
      </c>
      <c r="AI521" s="5" t="n">
        <v>0</v>
      </c>
      <c r="AJ521" s="5" t="n">
        <v>0</v>
      </c>
      <c r="AK521" s="5" t="n">
        <v>0</v>
      </c>
      <c r="AL521" s="5" t="n">
        <v>0</v>
      </c>
      <c r="AM521" s="4" t="s">
        <v>78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  <c r="AU521" s="0" t="n">
        <v>2</v>
      </c>
      <c r="AV521" s="0" t="n">
        <v>0</v>
      </c>
      <c r="AW521" s="0" t="n">
        <v>0</v>
      </c>
      <c r="AX521" s="0" t="n">
        <v>0</v>
      </c>
      <c r="AY521" s="0" t="n">
        <v>0</v>
      </c>
      <c r="AZ521" s="0" t="n">
        <v>0</v>
      </c>
      <c r="BA521" s="0" t="n">
        <v>0</v>
      </c>
      <c r="BB521" s="0" t="n">
        <v>0</v>
      </c>
      <c r="BC521" s="0" t="n">
        <v>0</v>
      </c>
      <c r="BD521" s="0" t="n">
        <v>0</v>
      </c>
      <c r="BE521" s="0" t="n">
        <v>0</v>
      </c>
      <c r="BF521" s="0" t="n">
        <v>0</v>
      </c>
      <c r="BG521" s="0" t="n">
        <v>0</v>
      </c>
      <c r="BH521" s="0" t="n">
        <v>0</v>
      </c>
      <c r="BI521" s="0" t="n">
        <v>0</v>
      </c>
      <c r="BJ521" s="0" t="n">
        <v>0</v>
      </c>
      <c r="BK521" s="0" t="n">
        <v>0</v>
      </c>
      <c r="BM521" s="6" t="n">
        <f aca="false">IFERROR(VALUE(F521),"")</f>
        <v>427.49</v>
      </c>
      <c r="BN521" s="6" t="n">
        <f aca="false">IF(R521="-","",IFERROR(VALUE(LEFT(Q521,LEN(Q521)-2)),""))</f>
        <v>152.54</v>
      </c>
      <c r="BO521" s="6" t="n">
        <f aca="false">IF(R521="-","",IFERROR(VALUE(LEFT(R521,LEN(R521)-5)),""))</f>
        <v>2.8</v>
      </c>
      <c r="BP521" s="6" t="n">
        <f aca="false">IF(R521="-","",IFERROR(VALUE(F521),""))</f>
        <v>427.49</v>
      </c>
      <c r="BQ521" s="4" t="n">
        <f aca="false">IF(R521="-",1,0)</f>
        <v>0</v>
      </c>
    </row>
    <row r="522" customFormat="false" ht="15" hidden="false" customHeight="false" outlineLevel="0" collapsed="false">
      <c r="A522" s="0" t="s">
        <v>2131</v>
      </c>
      <c r="B522" s="0" t="s">
        <v>2132</v>
      </c>
      <c r="C522" s="0" t="s">
        <v>70</v>
      </c>
      <c r="D522" s="0" t="s">
        <v>2133</v>
      </c>
      <c r="E522" s="3" t="n">
        <v>46273</v>
      </c>
      <c r="F522" s="4" t="s">
        <v>2134</v>
      </c>
      <c r="G522" s="5" t="n">
        <v>0.390104166666667</v>
      </c>
      <c r="H522" s="5" t="n">
        <v>0.248263888888889</v>
      </c>
      <c r="I522" s="5" t="n">
        <v>0.0012037037037037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5" t="n">
        <v>0</v>
      </c>
      <c r="P522" s="5" t="n">
        <v>0.046099537037037</v>
      </c>
      <c r="Q522" s="4" t="s">
        <v>2135</v>
      </c>
      <c r="R522" s="4" t="s">
        <v>1089</v>
      </c>
      <c r="S522" s="5" t="n">
        <v>0</v>
      </c>
      <c r="T522" s="5" t="n">
        <v>0.190740740740741</v>
      </c>
      <c r="U522" s="5" t="n">
        <v>0.0765046296296296</v>
      </c>
      <c r="V522" s="5" t="n">
        <v>0.0558796296296296</v>
      </c>
      <c r="W522" s="5" t="n">
        <v>0.000289351851851852</v>
      </c>
      <c r="X522" s="5" t="n">
        <v>0</v>
      </c>
      <c r="Y522" s="5" t="n">
        <v>0.000173611111111111</v>
      </c>
      <c r="Z522" s="0" t="n">
        <v>0</v>
      </c>
      <c r="AA522" s="0" t="n">
        <v>0</v>
      </c>
      <c r="AB522" s="0" t="n">
        <v>0</v>
      </c>
      <c r="AC522" s="4" t="s">
        <v>81</v>
      </c>
      <c r="AD522" s="4" t="s">
        <v>75</v>
      </c>
      <c r="AE522" s="4" t="s">
        <v>2136</v>
      </c>
      <c r="AF522" s="4" t="s">
        <v>2137</v>
      </c>
      <c r="AG522" s="5" t="n">
        <v>0.197696759259259</v>
      </c>
      <c r="AH522" s="5" t="n">
        <v>0.309641203703704</v>
      </c>
      <c r="AI522" s="5" t="n">
        <v>0</v>
      </c>
      <c r="AJ522" s="5" t="n">
        <v>0</v>
      </c>
      <c r="AK522" s="5" t="n">
        <v>0</v>
      </c>
      <c r="AL522" s="5" t="n">
        <v>0</v>
      </c>
      <c r="AM522" s="4" t="s">
        <v>78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  <c r="AU522" s="0" t="n">
        <v>4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0</v>
      </c>
      <c r="BA522" s="0" t="n">
        <v>0</v>
      </c>
      <c r="BB522" s="0" t="n">
        <v>0</v>
      </c>
      <c r="BC522" s="0" t="n">
        <v>0</v>
      </c>
      <c r="BD522" s="0" t="n">
        <v>0</v>
      </c>
      <c r="BE522" s="0" t="n">
        <v>0</v>
      </c>
      <c r="BF522" s="0" t="n">
        <v>0</v>
      </c>
      <c r="BG522" s="0" t="n">
        <v>0</v>
      </c>
      <c r="BH522" s="0" t="n">
        <v>0</v>
      </c>
      <c r="BI522" s="0" t="n">
        <v>0</v>
      </c>
      <c r="BJ522" s="0" t="n">
        <v>0</v>
      </c>
      <c r="BK522" s="0" t="n">
        <v>0</v>
      </c>
      <c r="BM522" s="6" t="n">
        <f aca="false">IFERROR(VALUE(F522),"")</f>
        <v>141.16</v>
      </c>
      <c r="BN522" s="6" t="n">
        <f aca="false">IF(R522="-","",IFERROR(VALUE(LEFT(Q522,LEN(Q522)-2)),""))</f>
        <v>58.02</v>
      </c>
      <c r="BO522" s="6" t="n">
        <f aca="false">IF(R522="-","",IFERROR(VALUE(LEFT(R522,LEN(R522)-5)),""))</f>
        <v>2.43</v>
      </c>
      <c r="BP522" s="6" t="n">
        <f aca="false">IF(R522="-","",IFERROR(VALUE(F522),""))</f>
        <v>141.16</v>
      </c>
      <c r="BQ522" s="4" t="n">
        <f aca="false">IF(R522="-",1,0)</f>
        <v>0</v>
      </c>
    </row>
    <row r="523" customFormat="false" ht="15" hidden="false" customHeight="false" outlineLevel="0" collapsed="false">
      <c r="A523" s="0" t="s">
        <v>2131</v>
      </c>
      <c r="B523" s="0" t="s">
        <v>2132</v>
      </c>
      <c r="C523" s="0" t="s">
        <v>70</v>
      </c>
      <c r="D523" s="0" t="s">
        <v>2138</v>
      </c>
      <c r="E523" s="3" t="n">
        <v>46274</v>
      </c>
      <c r="F523" s="4" t="s">
        <v>2139</v>
      </c>
      <c r="G523" s="5" t="n">
        <v>0.186111111111111</v>
      </c>
      <c r="H523" s="5" t="n">
        <v>0.142581018518519</v>
      </c>
      <c r="I523" s="5" t="n">
        <v>0.000347222222222222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5" t="n">
        <v>0</v>
      </c>
      <c r="P523" s="5" t="n">
        <v>0.0242476851851852</v>
      </c>
      <c r="Q523" s="4" t="s">
        <v>2140</v>
      </c>
      <c r="R523" s="4" t="s">
        <v>2141</v>
      </c>
      <c r="S523" s="5" t="n">
        <v>0</v>
      </c>
      <c r="T523" s="5" t="n">
        <v>0.0873842592592593</v>
      </c>
      <c r="U523" s="5" t="n">
        <v>0.0450231481481482</v>
      </c>
      <c r="V523" s="5" t="n">
        <v>0.0428240740740741</v>
      </c>
      <c r="W523" s="5" t="n">
        <v>0</v>
      </c>
      <c r="X523" s="5" t="n">
        <v>0</v>
      </c>
      <c r="Y523" s="5" t="n">
        <v>0</v>
      </c>
      <c r="Z523" s="0" t="n">
        <v>0</v>
      </c>
      <c r="AA523" s="0" t="n">
        <v>0</v>
      </c>
      <c r="AB523" s="0" t="n">
        <v>0</v>
      </c>
      <c r="AC523" s="4" t="s">
        <v>81</v>
      </c>
      <c r="AD523" s="4" t="s">
        <v>75</v>
      </c>
      <c r="AE523" s="4" t="s">
        <v>2137</v>
      </c>
      <c r="AF523" s="4" t="s">
        <v>2142</v>
      </c>
      <c r="AG523" s="5" t="n">
        <v>0.131747685185185</v>
      </c>
      <c r="AH523" s="5" t="n">
        <v>0.168310185185185</v>
      </c>
      <c r="AI523" s="5" t="n">
        <v>0.000439814814814815</v>
      </c>
      <c r="AJ523" s="5" t="n">
        <v>0</v>
      </c>
      <c r="AK523" s="5" t="n">
        <v>0</v>
      </c>
      <c r="AL523" s="5" t="n">
        <v>0</v>
      </c>
      <c r="AM523" s="4" t="s">
        <v>78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  <c r="AU523" s="0" t="n">
        <v>3</v>
      </c>
      <c r="AV523" s="0" t="n">
        <v>0</v>
      </c>
      <c r="AW523" s="0" t="n">
        <v>0</v>
      </c>
      <c r="AX523" s="0" t="n">
        <v>0</v>
      </c>
      <c r="AY523" s="0" t="n">
        <v>0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0</v>
      </c>
      <c r="BF523" s="0" t="n">
        <v>0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0</v>
      </c>
      <c r="BM523" s="6" t="n">
        <f aca="false">IFERROR(VALUE(F523),"")</f>
        <v>84.56</v>
      </c>
      <c r="BN523" s="6" t="n">
        <f aca="false">IF(R523="-","",IFERROR(VALUE(LEFT(Q523,LEN(Q523)-2)),""))</f>
        <v>34.99</v>
      </c>
      <c r="BO523" s="6" t="n">
        <f aca="false">IF(R523="-","",IFERROR(VALUE(LEFT(R523,LEN(R523)-5)),""))</f>
        <v>2.42</v>
      </c>
      <c r="BP523" s="6" t="n">
        <f aca="false">IF(R523="-","",IFERROR(VALUE(F523),""))</f>
        <v>84.56</v>
      </c>
      <c r="BQ523" s="4" t="n">
        <f aca="false">IF(R523="-",1,0)</f>
        <v>0</v>
      </c>
    </row>
    <row r="524" customFormat="false" ht="15" hidden="false" customHeight="false" outlineLevel="0" collapsed="false">
      <c r="A524" s="0" t="s">
        <v>2131</v>
      </c>
      <c r="B524" s="0" t="s">
        <v>2132</v>
      </c>
      <c r="C524" s="0" t="s">
        <v>70</v>
      </c>
      <c r="D524" s="0" t="s">
        <v>2143</v>
      </c>
      <c r="E524" s="3" t="n">
        <v>46275</v>
      </c>
      <c r="F524" s="4" t="s">
        <v>2144</v>
      </c>
      <c r="G524" s="5" t="n">
        <v>0.449189814814815</v>
      </c>
      <c r="H524" s="5" t="n">
        <v>0.405208333333333</v>
      </c>
      <c r="I524" s="5" t="n">
        <v>0.000671296296296296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5" t="n">
        <v>0</v>
      </c>
      <c r="P524" s="5" t="n">
        <v>0.0122916666666667</v>
      </c>
      <c r="Q524" s="4" t="s">
        <v>2145</v>
      </c>
      <c r="R524" s="4" t="s">
        <v>2146</v>
      </c>
      <c r="S524" s="5" t="n">
        <v>0.000231481481481482</v>
      </c>
      <c r="T524" s="5" t="n">
        <v>0.19537037037037</v>
      </c>
      <c r="U524" s="5" t="n">
        <v>0.130555555555556</v>
      </c>
      <c r="V524" s="5" t="n">
        <v>0.0853009259259259</v>
      </c>
      <c r="W524" s="5" t="n">
        <v>0</v>
      </c>
      <c r="X524" s="5" t="n">
        <v>0</v>
      </c>
      <c r="Y524" s="5" t="n">
        <v>0</v>
      </c>
      <c r="Z524" s="0" t="n">
        <v>0</v>
      </c>
      <c r="AA524" s="0" t="n">
        <v>0</v>
      </c>
      <c r="AB524" s="0" t="n">
        <v>0</v>
      </c>
      <c r="AC524" s="4" t="s">
        <v>81</v>
      </c>
      <c r="AD524" s="4" t="s">
        <v>75</v>
      </c>
      <c r="AE524" s="4" t="s">
        <v>2142</v>
      </c>
      <c r="AF524" s="4" t="s">
        <v>2147</v>
      </c>
      <c r="AG524" s="5" t="n">
        <v>0.339895833333333</v>
      </c>
      <c r="AH524" s="5" t="n">
        <v>0.162164351851852</v>
      </c>
      <c r="AI524" s="5" t="n">
        <v>0</v>
      </c>
      <c r="AJ524" s="5" t="n">
        <v>0</v>
      </c>
      <c r="AK524" s="5" t="n">
        <v>0</v>
      </c>
      <c r="AL524" s="5" t="n">
        <v>0</v>
      </c>
      <c r="AM524" s="4" t="s">
        <v>78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  <c r="AU524" s="0" t="n">
        <v>4</v>
      </c>
      <c r="AV524" s="0" t="n">
        <v>0</v>
      </c>
      <c r="AW524" s="0" t="n">
        <v>0</v>
      </c>
      <c r="AX524" s="0" t="n">
        <v>0</v>
      </c>
      <c r="AY524" s="0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0</v>
      </c>
      <c r="BE524" s="0" t="n">
        <v>0</v>
      </c>
      <c r="BF524" s="0" t="n">
        <v>0</v>
      </c>
      <c r="BG524" s="0" t="n">
        <v>0</v>
      </c>
      <c r="BH524" s="0" t="n">
        <v>0</v>
      </c>
      <c r="BI524" s="0" t="n">
        <v>0</v>
      </c>
      <c r="BJ524" s="0" t="n">
        <v>0</v>
      </c>
      <c r="BK524" s="0" t="n">
        <v>0</v>
      </c>
      <c r="BM524" s="6" t="n">
        <f aca="false">IFERROR(VALUE(F524),"")</f>
        <v>203.33</v>
      </c>
      <c r="BN524" s="6" t="n">
        <f aca="false">IF(R524="-","",IFERROR(VALUE(LEFT(Q524,LEN(Q524)-2)),""))</f>
        <v>80.5</v>
      </c>
      <c r="BO524" s="6" t="n">
        <f aca="false">IF(R524="-","",IFERROR(VALUE(LEFT(R524,LEN(R524)-5)),""))</f>
        <v>2.53</v>
      </c>
      <c r="BP524" s="6" t="n">
        <f aca="false">IF(R524="-","",IFERROR(VALUE(F524),""))</f>
        <v>203.33</v>
      </c>
      <c r="BQ524" s="4" t="n">
        <f aca="false">IF(R524="-",1,0)</f>
        <v>0</v>
      </c>
    </row>
    <row r="525" customFormat="false" ht="15" hidden="false" customHeight="false" outlineLevel="0" collapsed="false">
      <c r="A525" s="0" t="s">
        <v>2131</v>
      </c>
      <c r="B525" s="0" t="s">
        <v>2132</v>
      </c>
      <c r="C525" s="0" t="s">
        <v>70</v>
      </c>
      <c r="D525" s="0" t="s">
        <v>2148</v>
      </c>
      <c r="E525" s="3" t="n">
        <v>46276</v>
      </c>
      <c r="F525" s="4" t="s">
        <v>2149</v>
      </c>
      <c r="G525" s="5" t="n">
        <v>0.17037037037037</v>
      </c>
      <c r="H525" s="5" t="n">
        <v>0.158136574074074</v>
      </c>
      <c r="I525" s="5" t="n">
        <v>0.000659722222222222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5" t="n">
        <v>0</v>
      </c>
      <c r="P525" s="5" t="n">
        <v>0</v>
      </c>
      <c r="Q525" s="4" t="s">
        <v>2150</v>
      </c>
      <c r="R525" s="4" t="s">
        <v>294</v>
      </c>
      <c r="S525" s="5" t="n">
        <v>0</v>
      </c>
      <c r="T525" s="5" t="n">
        <v>0.0784722222222222</v>
      </c>
      <c r="U525" s="5" t="n">
        <v>0.0689814814814815</v>
      </c>
      <c r="V525" s="5" t="n">
        <v>0.0123842592592593</v>
      </c>
      <c r="W525" s="5" t="n">
        <v>0</v>
      </c>
      <c r="X525" s="5" t="n">
        <v>0</v>
      </c>
      <c r="Y525" s="5" t="n">
        <v>0</v>
      </c>
      <c r="Z525" s="0" t="n">
        <v>0</v>
      </c>
      <c r="AA525" s="0" t="n">
        <v>0</v>
      </c>
      <c r="AB525" s="0" t="n">
        <v>0</v>
      </c>
      <c r="AC525" s="4" t="s">
        <v>74</v>
      </c>
      <c r="AD525" s="4" t="s">
        <v>228</v>
      </c>
      <c r="AE525" s="4" t="s">
        <v>2147</v>
      </c>
      <c r="AF525" s="4" t="s">
        <v>2151</v>
      </c>
      <c r="AG525" s="5" t="n">
        <v>0.1478125</v>
      </c>
      <c r="AH525" s="5" t="n">
        <v>0.125532407407407</v>
      </c>
      <c r="AI525" s="5" t="n">
        <v>0</v>
      </c>
      <c r="AJ525" s="5" t="n">
        <v>0</v>
      </c>
      <c r="AK525" s="5" t="n">
        <v>0</v>
      </c>
      <c r="AL525" s="5" t="n">
        <v>0</v>
      </c>
      <c r="AM525" s="4" t="s">
        <v>78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0</v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M525" s="6" t="n">
        <f aca="false">IFERROR(VALUE(F525),"")</f>
        <v>65.47</v>
      </c>
      <c r="BN525" s="6" t="n">
        <f aca="false">IF(R525="-","",IFERROR(VALUE(LEFT(Q525,LEN(Q525)-2)),""))</f>
        <v>27.5</v>
      </c>
      <c r="BO525" s="6" t="n">
        <f aca="false">IF(R525="-","",IFERROR(VALUE(LEFT(R525,LEN(R525)-5)),""))</f>
        <v>2.38</v>
      </c>
      <c r="BP525" s="6" t="n">
        <f aca="false">IF(R525="-","",IFERROR(VALUE(F525),""))</f>
        <v>65.47</v>
      </c>
      <c r="BQ525" s="4" t="n">
        <f aca="false">IF(R525="-",1,0)</f>
        <v>0</v>
      </c>
    </row>
    <row r="526" customFormat="false" ht="15" hidden="false" customHeight="false" outlineLevel="0" collapsed="false">
      <c r="A526" s="0" t="s">
        <v>2131</v>
      </c>
      <c r="B526" s="0" t="s">
        <v>2132</v>
      </c>
      <c r="C526" s="0" t="s">
        <v>70</v>
      </c>
      <c r="D526" s="0" t="s">
        <v>2152</v>
      </c>
      <c r="E526" s="3" t="n">
        <v>46277</v>
      </c>
      <c r="F526" s="4" t="s">
        <v>2153</v>
      </c>
      <c r="G526" s="5" t="n">
        <v>0.168958333333333</v>
      </c>
      <c r="H526" s="5" t="n">
        <v>0.158252314814815</v>
      </c>
      <c r="I526" s="5" t="n">
        <v>0.000520833333333333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5" t="n">
        <v>0</v>
      </c>
      <c r="P526" s="5" t="n">
        <v>0</v>
      </c>
      <c r="Q526" s="4" t="s">
        <v>2140</v>
      </c>
      <c r="R526" s="4" t="s">
        <v>2154</v>
      </c>
      <c r="S526" s="5" t="n">
        <v>0</v>
      </c>
      <c r="T526" s="5" t="n">
        <v>0.0680555555555556</v>
      </c>
      <c r="U526" s="5" t="n">
        <v>0.0423611111111111</v>
      </c>
      <c r="V526" s="5" t="n">
        <v>0.0487268518518519</v>
      </c>
      <c r="W526" s="5" t="n">
        <v>0.000347222222222222</v>
      </c>
      <c r="X526" s="5" t="n">
        <v>0</v>
      </c>
      <c r="Y526" s="5" t="n">
        <v>0</v>
      </c>
      <c r="Z526" s="0" t="n">
        <v>0</v>
      </c>
      <c r="AA526" s="0" t="n">
        <v>0</v>
      </c>
      <c r="AB526" s="0" t="n">
        <v>0</v>
      </c>
      <c r="AC526" s="4" t="s">
        <v>75</v>
      </c>
      <c r="AD526" s="4" t="s">
        <v>74</v>
      </c>
      <c r="AE526" s="4" t="s">
        <v>2151</v>
      </c>
      <c r="AF526" s="4" t="s">
        <v>2155</v>
      </c>
      <c r="AG526" s="5" t="n">
        <v>0.132303240740741</v>
      </c>
      <c r="AH526" s="5" t="n">
        <v>0.0476967592592593</v>
      </c>
      <c r="AI526" s="5" t="n">
        <v>0</v>
      </c>
      <c r="AJ526" s="5" t="n">
        <v>0</v>
      </c>
      <c r="AK526" s="5" t="n">
        <v>0</v>
      </c>
      <c r="AL526" s="5" t="n">
        <v>0</v>
      </c>
      <c r="AM526" s="4" t="s">
        <v>78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  <c r="AU526" s="0" t="n">
        <v>2</v>
      </c>
      <c r="AV526" s="0" t="n">
        <v>0</v>
      </c>
      <c r="AW526" s="0" t="n">
        <v>0</v>
      </c>
      <c r="AX526" s="0" t="n">
        <v>0</v>
      </c>
      <c r="AY526" s="0" t="n">
        <v>0</v>
      </c>
      <c r="AZ526" s="0" t="n">
        <v>0</v>
      </c>
      <c r="BA526" s="0" t="n">
        <v>0</v>
      </c>
      <c r="BB526" s="0" t="n">
        <v>0</v>
      </c>
      <c r="BC526" s="0" t="n">
        <v>0</v>
      </c>
      <c r="BD526" s="0" t="n">
        <v>0</v>
      </c>
      <c r="BE526" s="0" t="n">
        <v>0</v>
      </c>
      <c r="BF526" s="0" t="n">
        <v>0</v>
      </c>
      <c r="BG526" s="0" t="n">
        <v>0</v>
      </c>
      <c r="BH526" s="0" t="n">
        <v>0</v>
      </c>
      <c r="BI526" s="0" t="n">
        <v>0</v>
      </c>
      <c r="BJ526" s="0" t="n">
        <v>0</v>
      </c>
      <c r="BK526" s="0" t="n">
        <v>0</v>
      </c>
      <c r="BM526" s="6" t="n">
        <f aca="false">IFERROR(VALUE(F526),"")</f>
        <v>89.86</v>
      </c>
      <c r="BN526" s="6" t="n">
        <f aca="false">IF(R526="-","",IFERROR(VALUE(LEFT(Q526,LEN(Q526)-2)),""))</f>
        <v>34.99</v>
      </c>
      <c r="BO526" s="6" t="n">
        <f aca="false">IF(R526="-","",IFERROR(VALUE(LEFT(R526,LEN(R526)-5)),""))</f>
        <v>2.57</v>
      </c>
      <c r="BP526" s="6" t="n">
        <f aca="false">IF(R526="-","",IFERROR(VALUE(F526),""))</f>
        <v>89.86</v>
      </c>
      <c r="BQ526" s="4" t="n">
        <f aca="false">IF(R526="-",1,0)</f>
        <v>0</v>
      </c>
    </row>
    <row r="527" customFormat="false" ht="15" hidden="false" customHeight="false" outlineLevel="0" collapsed="false">
      <c r="A527" s="0" t="s">
        <v>2131</v>
      </c>
      <c r="B527" s="0" t="s">
        <v>2132</v>
      </c>
      <c r="C527" s="0" t="s">
        <v>70</v>
      </c>
      <c r="D527" s="0" t="s">
        <v>2156</v>
      </c>
      <c r="E527" s="3" t="n">
        <v>46279</v>
      </c>
      <c r="F527" s="4" t="s">
        <v>2157</v>
      </c>
      <c r="G527" s="5" t="n">
        <v>0.2640625</v>
      </c>
      <c r="H527" s="5" t="n">
        <v>0.229965277777778</v>
      </c>
      <c r="I527" s="5" t="n">
        <v>0.00134259259259259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5" t="n">
        <v>0</v>
      </c>
      <c r="P527" s="5" t="n">
        <v>0.00842592592592593</v>
      </c>
      <c r="Q527" s="4" t="s">
        <v>2158</v>
      </c>
      <c r="R527" s="4" t="s">
        <v>289</v>
      </c>
      <c r="S527" s="5" t="n">
        <v>0.000231481481481482</v>
      </c>
      <c r="T527" s="5" t="n">
        <v>0.113773148148148</v>
      </c>
      <c r="U527" s="5" t="n">
        <v>0.0815972222222222</v>
      </c>
      <c r="V527" s="5" t="n">
        <v>0.0523148148148148</v>
      </c>
      <c r="W527" s="5" t="n">
        <v>0.000462962962962963</v>
      </c>
      <c r="X527" s="5" t="n">
        <v>0</v>
      </c>
      <c r="Y527" s="5" t="n">
        <v>0</v>
      </c>
      <c r="Z527" s="0" t="n">
        <v>0</v>
      </c>
      <c r="AA527" s="0" t="n">
        <v>0</v>
      </c>
      <c r="AB527" s="0" t="n">
        <v>0</v>
      </c>
      <c r="AC527" s="4" t="s">
        <v>74</v>
      </c>
      <c r="AD527" s="4" t="s">
        <v>228</v>
      </c>
      <c r="AE527" s="4" t="s">
        <v>2155</v>
      </c>
      <c r="AF527" s="4" t="s">
        <v>2159</v>
      </c>
      <c r="AG527" s="5" t="n">
        <v>0.200162037037037</v>
      </c>
      <c r="AH527" s="5" t="n">
        <v>0.147175925925926</v>
      </c>
      <c r="AI527" s="5" t="n">
        <v>0</v>
      </c>
      <c r="AJ527" s="5" t="n">
        <v>0</v>
      </c>
      <c r="AK527" s="5" t="n">
        <v>0</v>
      </c>
      <c r="AL527" s="5" t="n">
        <v>0</v>
      </c>
      <c r="AM527" s="4" t="s">
        <v>78</v>
      </c>
      <c r="AN527" s="0" t="n">
        <v>0</v>
      </c>
      <c r="AO527" s="0" t="n">
        <v>2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  <c r="AU527" s="0" t="n">
        <v>1</v>
      </c>
      <c r="AV527" s="0" t="n">
        <v>0</v>
      </c>
      <c r="AW527" s="0" t="n">
        <v>0</v>
      </c>
      <c r="AX527" s="0" t="n">
        <v>0</v>
      </c>
      <c r="AY527" s="0" t="n">
        <v>0</v>
      </c>
      <c r="AZ527" s="0" t="n">
        <v>0</v>
      </c>
      <c r="BA527" s="0" t="n">
        <v>0</v>
      </c>
      <c r="BB527" s="0" t="n">
        <v>0</v>
      </c>
      <c r="BC527" s="0" t="n">
        <v>0</v>
      </c>
      <c r="BD527" s="0" t="n">
        <v>0</v>
      </c>
      <c r="BE527" s="0" t="n">
        <v>0</v>
      </c>
      <c r="BF527" s="0" t="n">
        <v>0</v>
      </c>
      <c r="BG527" s="0" t="n">
        <v>0</v>
      </c>
      <c r="BH527" s="0" t="n">
        <v>0</v>
      </c>
      <c r="BI527" s="0" t="n">
        <v>0</v>
      </c>
      <c r="BJ527" s="0" t="n">
        <v>0</v>
      </c>
      <c r="BK527" s="0" t="n">
        <v>0</v>
      </c>
      <c r="BM527" s="6" t="n">
        <f aca="false">IFERROR(VALUE(F527),"")</f>
        <v>122.48</v>
      </c>
      <c r="BN527" s="6" t="n">
        <f aca="false">IF(R527="-","",IFERROR(VALUE(LEFT(Q527,LEN(Q527)-2)),""))</f>
        <v>49.01</v>
      </c>
      <c r="BO527" s="6" t="n">
        <f aca="false">IF(R527="-","",IFERROR(VALUE(LEFT(R527,LEN(R527)-5)),""))</f>
        <v>2.5</v>
      </c>
      <c r="BP527" s="6" t="n">
        <f aca="false">IF(R527="-","",IFERROR(VALUE(F527),""))</f>
        <v>122.48</v>
      </c>
      <c r="BQ527" s="4" t="n">
        <f aca="false">IF(R527="-",1,0)</f>
        <v>0</v>
      </c>
    </row>
    <row r="528" customFormat="false" ht="15" hidden="false" customHeight="false" outlineLevel="0" collapsed="false">
      <c r="A528" s="0" t="s">
        <v>2160</v>
      </c>
      <c r="B528" s="0" t="s">
        <v>2161</v>
      </c>
      <c r="C528" s="0" t="s">
        <v>70</v>
      </c>
      <c r="D528" s="0" t="s">
        <v>2162</v>
      </c>
      <c r="E528" s="3" t="n">
        <v>46273</v>
      </c>
      <c r="F528" s="4" t="s">
        <v>2163</v>
      </c>
      <c r="G528" s="5" t="n">
        <v>0.462210648148148</v>
      </c>
      <c r="H528" s="5" t="n">
        <v>0.448217592592593</v>
      </c>
      <c r="I528" s="5" t="n">
        <v>0.000104166666666667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7</v>
      </c>
      <c r="O528" s="5" t="n">
        <v>0</v>
      </c>
      <c r="P528" s="5" t="n">
        <v>0</v>
      </c>
      <c r="Q528" s="4" t="s">
        <v>73</v>
      </c>
      <c r="R528" s="4" t="s">
        <v>73</v>
      </c>
      <c r="S528" s="5" t="n">
        <v>0</v>
      </c>
      <c r="T528" s="5" t="n">
        <v>0</v>
      </c>
      <c r="U528" s="5" t="n">
        <v>0</v>
      </c>
      <c r="V528" s="5" t="n">
        <v>0</v>
      </c>
      <c r="W528" s="5" t="n">
        <v>0</v>
      </c>
      <c r="X528" s="5" t="n">
        <v>0</v>
      </c>
      <c r="Y528" s="5" t="n">
        <v>0</v>
      </c>
      <c r="Z528" s="0" t="n">
        <v>0</v>
      </c>
      <c r="AA528" s="0" t="n">
        <v>0</v>
      </c>
      <c r="AB528" s="0" t="n">
        <v>0</v>
      </c>
      <c r="AC528" s="4" t="s">
        <v>320</v>
      </c>
      <c r="AD528" s="4" t="s">
        <v>320</v>
      </c>
      <c r="AE528" s="4" t="s">
        <v>2164</v>
      </c>
      <c r="AF528" s="4" t="s">
        <v>2165</v>
      </c>
      <c r="AG528" s="5" t="n">
        <v>0.405358796296296</v>
      </c>
      <c r="AH528" s="5" t="n">
        <v>0.0621990740740741</v>
      </c>
      <c r="AI528" s="5" t="n">
        <v>2.31481481481482E-005</v>
      </c>
      <c r="AJ528" s="5" t="n">
        <v>0</v>
      </c>
      <c r="AK528" s="5" t="n">
        <v>0</v>
      </c>
      <c r="AL528" s="5" t="n">
        <v>0</v>
      </c>
      <c r="AM528" s="4" t="s">
        <v>78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  <c r="AU528" s="0" t="n">
        <v>26</v>
      </c>
      <c r="AV528" s="0" t="n">
        <v>0</v>
      </c>
      <c r="AW528" s="0" t="n">
        <v>0</v>
      </c>
      <c r="AX528" s="0" t="n">
        <v>0</v>
      </c>
      <c r="AY528" s="0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0" t="n">
        <v>0</v>
      </c>
      <c r="BE528" s="0" t="n">
        <v>0</v>
      </c>
      <c r="BF528" s="0" t="n">
        <v>0</v>
      </c>
      <c r="BG528" s="0" t="n">
        <v>0</v>
      </c>
      <c r="BH528" s="0" t="n">
        <v>0</v>
      </c>
      <c r="BI528" s="0" t="n">
        <v>0</v>
      </c>
      <c r="BJ528" s="0" t="n">
        <v>0</v>
      </c>
      <c r="BK528" s="0" t="n">
        <v>0</v>
      </c>
      <c r="BM528" s="6" t="n">
        <f aca="false">IFERROR(VALUE(F528),"")</f>
        <v>316.32</v>
      </c>
      <c r="BN528" s="6" t="str">
        <f aca="false">IF(R528="-","",IFERROR(VALUE(LEFT(Q528,LEN(Q528)-2)),""))</f>
        <v/>
      </c>
      <c r="BO528" s="6" t="str">
        <f aca="false">IF(R528="-","",IFERROR(VALUE(LEFT(R528,LEN(R528)-5)),""))</f>
        <v/>
      </c>
      <c r="BP528" s="6" t="str">
        <f aca="false">IF(R528="-","",IFERROR(VALUE(F528),""))</f>
        <v/>
      </c>
      <c r="BQ528" s="4" t="n">
        <f aca="false">IF(R528="-",1,0)</f>
        <v>1</v>
      </c>
    </row>
    <row r="529" customFormat="false" ht="15" hidden="false" customHeight="false" outlineLevel="0" collapsed="false">
      <c r="A529" s="0" t="s">
        <v>2160</v>
      </c>
      <c r="B529" s="0" t="s">
        <v>2161</v>
      </c>
      <c r="C529" s="0" t="s">
        <v>70</v>
      </c>
      <c r="D529" s="0" t="s">
        <v>2162</v>
      </c>
      <c r="E529" s="3" t="n">
        <v>46274</v>
      </c>
      <c r="F529" s="4" t="s">
        <v>2166</v>
      </c>
      <c r="G529" s="5" t="n">
        <v>0.425208333333333</v>
      </c>
      <c r="H529" s="5" t="n">
        <v>0.417453703703704</v>
      </c>
      <c r="I529" s="5" t="n">
        <v>1.15740740740741E-005</v>
      </c>
      <c r="J529" s="0" t="n">
        <v>0</v>
      </c>
      <c r="K529" s="0" t="n">
        <v>2</v>
      </c>
      <c r="L529" s="0" t="n">
        <v>0</v>
      </c>
      <c r="M529" s="0" t="n">
        <v>0</v>
      </c>
      <c r="N529" s="0" t="n">
        <v>4</v>
      </c>
      <c r="O529" s="5" t="n">
        <v>0</v>
      </c>
      <c r="P529" s="5" t="n">
        <v>0</v>
      </c>
      <c r="Q529" s="4" t="s">
        <v>73</v>
      </c>
      <c r="R529" s="4" t="s">
        <v>73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0</v>
      </c>
      <c r="X529" s="5" t="n">
        <v>0</v>
      </c>
      <c r="Y529" s="5" t="n">
        <v>0</v>
      </c>
      <c r="Z529" s="0" t="n">
        <v>0</v>
      </c>
      <c r="AA529" s="0" t="n">
        <v>0</v>
      </c>
      <c r="AB529" s="0" t="n">
        <v>0</v>
      </c>
      <c r="AC529" s="4" t="s">
        <v>320</v>
      </c>
      <c r="AD529" s="4" t="s">
        <v>320</v>
      </c>
      <c r="AE529" s="4" t="s">
        <v>2165</v>
      </c>
      <c r="AF529" s="4" t="s">
        <v>2167</v>
      </c>
      <c r="AG529" s="5" t="n">
        <v>0.363854166666667</v>
      </c>
      <c r="AH529" s="5" t="n">
        <v>0.0724768518518519</v>
      </c>
      <c r="AI529" s="5" t="n">
        <v>0</v>
      </c>
      <c r="AJ529" s="5" t="n">
        <v>0</v>
      </c>
      <c r="AK529" s="5" t="n">
        <v>0</v>
      </c>
      <c r="AL529" s="5" t="n">
        <v>0</v>
      </c>
      <c r="AM529" s="4" t="s">
        <v>78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14</v>
      </c>
      <c r="AV529" s="0" t="n">
        <v>0</v>
      </c>
      <c r="AW529" s="0" t="n">
        <v>0</v>
      </c>
      <c r="AX529" s="0" t="n">
        <v>0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M529" s="6" t="n">
        <f aca="false">IFERROR(VALUE(F529),"")</f>
        <v>278.92</v>
      </c>
      <c r="BN529" s="6" t="str">
        <f aca="false">IF(R529="-","",IFERROR(VALUE(LEFT(Q529,LEN(Q529)-2)),""))</f>
        <v/>
      </c>
      <c r="BO529" s="6" t="str">
        <f aca="false">IF(R529="-","",IFERROR(VALUE(LEFT(R529,LEN(R529)-5)),""))</f>
        <v/>
      </c>
      <c r="BP529" s="6" t="str">
        <f aca="false">IF(R529="-","",IFERROR(VALUE(F529),""))</f>
        <v/>
      </c>
      <c r="BQ529" s="4" t="n">
        <f aca="false">IF(R529="-",1,0)</f>
        <v>1</v>
      </c>
    </row>
    <row r="530" customFormat="false" ht="15" hidden="false" customHeight="false" outlineLevel="0" collapsed="false">
      <c r="A530" s="0" t="s">
        <v>2160</v>
      </c>
      <c r="B530" s="0" t="s">
        <v>2161</v>
      </c>
      <c r="C530" s="0" t="s">
        <v>70</v>
      </c>
      <c r="D530" s="0" t="s">
        <v>2162</v>
      </c>
      <c r="E530" s="3" t="n">
        <v>46275</v>
      </c>
      <c r="F530" s="4" t="s">
        <v>2168</v>
      </c>
      <c r="G530" s="5" t="n">
        <v>0.453587962962963</v>
      </c>
      <c r="H530" s="5" t="n">
        <v>0.427164351851852</v>
      </c>
      <c r="I530" s="5" t="n">
        <v>0.000104166666666667</v>
      </c>
      <c r="J530" s="0" t="n">
        <v>0</v>
      </c>
      <c r="K530" s="0" t="n">
        <v>1</v>
      </c>
      <c r="L530" s="0" t="n">
        <v>0</v>
      </c>
      <c r="M530" s="0" t="n">
        <v>0</v>
      </c>
      <c r="N530" s="0" t="n">
        <v>3</v>
      </c>
      <c r="O530" s="5" t="n">
        <v>0</v>
      </c>
      <c r="P530" s="5" t="n">
        <v>0</v>
      </c>
      <c r="Q530" s="4" t="s">
        <v>73</v>
      </c>
      <c r="R530" s="4" t="s">
        <v>73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0</v>
      </c>
      <c r="X530" s="5" t="n">
        <v>0</v>
      </c>
      <c r="Y530" s="5" t="n">
        <v>0</v>
      </c>
      <c r="Z530" s="0" t="n">
        <v>0</v>
      </c>
      <c r="AA530" s="0" t="n">
        <v>0</v>
      </c>
      <c r="AB530" s="0" t="n">
        <v>0</v>
      </c>
      <c r="AC530" s="4" t="s">
        <v>320</v>
      </c>
      <c r="AD530" s="4" t="s">
        <v>320</v>
      </c>
      <c r="AE530" s="4" t="s">
        <v>2167</v>
      </c>
      <c r="AF530" s="4" t="s">
        <v>2169</v>
      </c>
      <c r="AG530" s="5" t="n">
        <v>0.377662037037037</v>
      </c>
      <c r="AH530" s="5" t="n">
        <v>0.0868287037037037</v>
      </c>
      <c r="AI530" s="5" t="n">
        <v>0</v>
      </c>
      <c r="AJ530" s="5" t="n">
        <v>0</v>
      </c>
      <c r="AK530" s="5" t="n">
        <v>0</v>
      </c>
      <c r="AL530" s="5" t="n">
        <v>0</v>
      </c>
      <c r="AM530" s="4" t="s">
        <v>78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  <c r="AU530" s="0" t="n">
        <v>9</v>
      </c>
      <c r="AV530" s="0" t="n">
        <v>0</v>
      </c>
      <c r="AW530" s="0" t="n">
        <v>0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0</v>
      </c>
      <c r="BF530" s="0" t="n">
        <v>0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M530" s="6" t="n">
        <f aca="false">IFERROR(VALUE(F530),"")</f>
        <v>278.97</v>
      </c>
      <c r="BN530" s="6" t="str">
        <f aca="false">IF(R530="-","",IFERROR(VALUE(LEFT(Q530,LEN(Q530)-2)),""))</f>
        <v/>
      </c>
      <c r="BO530" s="6" t="str">
        <f aca="false">IF(R530="-","",IFERROR(VALUE(LEFT(R530,LEN(R530)-5)),""))</f>
        <v/>
      </c>
      <c r="BP530" s="6" t="str">
        <f aca="false">IF(R530="-","",IFERROR(VALUE(F530),""))</f>
        <v/>
      </c>
      <c r="BQ530" s="4" t="n">
        <f aca="false">IF(R530="-",1,0)</f>
        <v>1</v>
      </c>
    </row>
    <row r="531" customFormat="false" ht="15" hidden="false" customHeight="false" outlineLevel="0" collapsed="false">
      <c r="A531" s="0" t="s">
        <v>2160</v>
      </c>
      <c r="B531" s="0" t="s">
        <v>2161</v>
      </c>
      <c r="C531" s="0" t="s">
        <v>70</v>
      </c>
      <c r="D531" s="0" t="s">
        <v>2162</v>
      </c>
      <c r="E531" s="3" t="n">
        <v>46276</v>
      </c>
      <c r="F531" s="4" t="s">
        <v>2170</v>
      </c>
      <c r="G531" s="5" t="n">
        <v>0.482291666666667</v>
      </c>
      <c r="H531" s="5" t="n">
        <v>0.456851851851852</v>
      </c>
      <c r="I531" s="5" t="n">
        <v>0.000115740740740741</v>
      </c>
      <c r="J531" s="0" t="n">
        <v>0</v>
      </c>
      <c r="K531" s="0" t="n">
        <v>4</v>
      </c>
      <c r="L531" s="0" t="n">
        <v>0</v>
      </c>
      <c r="M531" s="0" t="n">
        <v>0</v>
      </c>
      <c r="N531" s="0" t="n">
        <v>6</v>
      </c>
      <c r="O531" s="5" t="n">
        <v>0</v>
      </c>
      <c r="P531" s="5" t="n">
        <v>0</v>
      </c>
      <c r="Q531" s="4" t="s">
        <v>73</v>
      </c>
      <c r="R531" s="4" t="s">
        <v>73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0</v>
      </c>
      <c r="X531" s="5" t="n">
        <v>0</v>
      </c>
      <c r="Y531" s="5" t="n">
        <v>0</v>
      </c>
      <c r="Z531" s="0" t="n">
        <v>0</v>
      </c>
      <c r="AA531" s="0" t="n">
        <v>0</v>
      </c>
      <c r="AB531" s="0" t="n">
        <v>0</v>
      </c>
      <c r="AC531" s="4" t="s">
        <v>320</v>
      </c>
      <c r="AD531" s="4" t="s">
        <v>320</v>
      </c>
      <c r="AE531" s="4" t="s">
        <v>2169</v>
      </c>
      <c r="AF531" s="4" t="s">
        <v>2171</v>
      </c>
      <c r="AG531" s="5" t="n">
        <v>0.421030092592593</v>
      </c>
      <c r="AH531" s="5" t="n">
        <v>0.0693518518518519</v>
      </c>
      <c r="AI531" s="5" t="n">
        <v>1.15740740740741E-005</v>
      </c>
      <c r="AJ531" s="5" t="n">
        <v>0</v>
      </c>
      <c r="AK531" s="5" t="n">
        <v>0</v>
      </c>
      <c r="AL531" s="5" t="n">
        <v>0</v>
      </c>
      <c r="AM531" s="4" t="s">
        <v>78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  <c r="AU531" s="0" t="n">
        <v>21</v>
      </c>
      <c r="AV531" s="0" t="n">
        <v>0</v>
      </c>
      <c r="AW531" s="0" t="n">
        <v>0</v>
      </c>
      <c r="AX531" s="0" t="n">
        <v>0</v>
      </c>
      <c r="AY531" s="0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0</v>
      </c>
      <c r="BE531" s="0" t="n">
        <v>0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M531" s="6" t="n">
        <f aca="false">IFERROR(VALUE(F531),"")</f>
        <v>315.01</v>
      </c>
      <c r="BN531" s="6" t="str">
        <f aca="false">IF(R531="-","",IFERROR(VALUE(LEFT(Q531,LEN(Q531)-2)),""))</f>
        <v/>
      </c>
      <c r="BO531" s="6" t="str">
        <f aca="false">IF(R531="-","",IFERROR(VALUE(LEFT(R531,LEN(R531)-5)),""))</f>
        <v/>
      </c>
      <c r="BP531" s="6" t="str">
        <f aca="false">IF(R531="-","",IFERROR(VALUE(F531),""))</f>
        <v/>
      </c>
      <c r="BQ531" s="4" t="n">
        <f aca="false">IF(R531="-",1,0)</f>
        <v>1</v>
      </c>
    </row>
    <row r="532" customFormat="false" ht="15" hidden="false" customHeight="false" outlineLevel="0" collapsed="false">
      <c r="A532" s="0" t="s">
        <v>2160</v>
      </c>
      <c r="B532" s="0" t="s">
        <v>2161</v>
      </c>
      <c r="C532" s="0" t="s">
        <v>70</v>
      </c>
      <c r="D532" s="0" t="s">
        <v>2162</v>
      </c>
      <c r="E532" s="3" t="n">
        <v>46279</v>
      </c>
      <c r="F532" s="4" t="s">
        <v>2172</v>
      </c>
      <c r="G532" s="5" t="n">
        <v>0.4471875</v>
      </c>
      <c r="H532" s="5" t="n">
        <v>0.437384259259259</v>
      </c>
      <c r="I532" s="5" t="n">
        <v>0.000138888888888889</v>
      </c>
      <c r="J532" s="0" t="n">
        <v>2</v>
      </c>
      <c r="K532" s="0" t="n">
        <v>5</v>
      </c>
      <c r="L532" s="0" t="n">
        <v>0</v>
      </c>
      <c r="M532" s="0" t="n">
        <v>0</v>
      </c>
      <c r="N532" s="0" t="n">
        <v>10</v>
      </c>
      <c r="O532" s="5" t="n">
        <v>0</v>
      </c>
      <c r="P532" s="5" t="n">
        <v>0</v>
      </c>
      <c r="Q532" s="4" t="s">
        <v>73</v>
      </c>
      <c r="R532" s="4" t="s">
        <v>73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0</v>
      </c>
      <c r="X532" s="5" t="n">
        <v>0</v>
      </c>
      <c r="Y532" s="5" t="n">
        <v>0</v>
      </c>
      <c r="Z532" s="0" t="n">
        <v>0</v>
      </c>
      <c r="AA532" s="0" t="n">
        <v>0</v>
      </c>
      <c r="AB532" s="0" t="n">
        <v>0</v>
      </c>
      <c r="AC532" s="4" t="s">
        <v>320</v>
      </c>
      <c r="AD532" s="4" t="s">
        <v>320</v>
      </c>
      <c r="AE532" s="4" t="s">
        <v>2171</v>
      </c>
      <c r="AF532" s="4" t="s">
        <v>2173</v>
      </c>
      <c r="AG532" s="5" t="n">
        <v>0.397199074074074</v>
      </c>
      <c r="AH532" s="5" t="n">
        <v>0.0595717592592593</v>
      </c>
      <c r="AI532" s="5" t="n">
        <v>0</v>
      </c>
      <c r="AJ532" s="5" t="n">
        <v>0</v>
      </c>
      <c r="AK532" s="5" t="n">
        <v>0</v>
      </c>
      <c r="AL532" s="5" t="n">
        <v>0</v>
      </c>
      <c r="AM532" s="4" t="s">
        <v>78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15</v>
      </c>
      <c r="AV532" s="0" t="n">
        <v>0</v>
      </c>
      <c r="AW532" s="0" t="n">
        <v>0</v>
      </c>
      <c r="AX532" s="0" t="n">
        <v>0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0</v>
      </c>
      <c r="BE532" s="0" t="n">
        <v>0</v>
      </c>
      <c r="BF532" s="0" t="n">
        <v>0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0</v>
      </c>
      <c r="BM532" s="6" t="n">
        <f aca="false">IFERROR(VALUE(F532),"")</f>
        <v>316.33</v>
      </c>
      <c r="BN532" s="6" t="str">
        <f aca="false">IF(R532="-","",IFERROR(VALUE(LEFT(Q532,LEN(Q532)-2)),""))</f>
        <v/>
      </c>
      <c r="BO532" s="6" t="str">
        <f aca="false">IF(R532="-","",IFERROR(VALUE(LEFT(R532,LEN(R532)-5)),""))</f>
        <v/>
      </c>
      <c r="BP532" s="6" t="str">
        <f aca="false">IF(R532="-","",IFERROR(VALUE(F532),""))</f>
        <v/>
      </c>
      <c r="BQ532" s="4" t="n">
        <f aca="false">IF(R532="-",1,0)</f>
        <v>1</v>
      </c>
    </row>
    <row r="533" customFormat="false" ht="15" hidden="false" customHeight="false" outlineLevel="0" collapsed="false">
      <c r="A533" s="0" t="s">
        <v>2174</v>
      </c>
      <c r="B533" s="0" t="s">
        <v>2175</v>
      </c>
      <c r="C533" s="0" t="s">
        <v>70</v>
      </c>
      <c r="D533" s="0" t="s">
        <v>2176</v>
      </c>
      <c r="E533" s="3" t="n">
        <v>46273</v>
      </c>
      <c r="F533" s="4" t="s">
        <v>2177</v>
      </c>
      <c r="G533" s="5" t="n">
        <v>0.471689814814815</v>
      </c>
      <c r="H533" s="5" t="n">
        <v>0.462638888888889</v>
      </c>
      <c r="I533" s="5" t="n">
        <v>0.00068287037037037</v>
      </c>
      <c r="J533" s="0" t="n">
        <v>0</v>
      </c>
      <c r="K533" s="0" t="n">
        <v>1</v>
      </c>
      <c r="L533" s="0" t="n">
        <v>0</v>
      </c>
      <c r="M533" s="0" t="n">
        <v>0</v>
      </c>
      <c r="N533" s="0" t="n">
        <v>0</v>
      </c>
      <c r="O533" s="5" t="n">
        <v>0</v>
      </c>
      <c r="P533" s="5" t="n">
        <v>0.0090625</v>
      </c>
      <c r="Q533" s="4" t="s">
        <v>2178</v>
      </c>
      <c r="R533" s="4" t="s">
        <v>2179</v>
      </c>
      <c r="S533" s="5" t="n">
        <v>0</v>
      </c>
      <c r="T533" s="5" t="n">
        <v>0.164699074074074</v>
      </c>
      <c r="U533" s="5" t="n">
        <v>0.192939814814815</v>
      </c>
      <c r="V533" s="5" t="n">
        <v>0.108449074074074</v>
      </c>
      <c r="W533" s="5" t="n">
        <v>0</v>
      </c>
      <c r="X533" s="5" t="n">
        <v>0</v>
      </c>
      <c r="Y533" s="5" t="n">
        <v>0</v>
      </c>
      <c r="Z533" s="0" t="n">
        <v>0</v>
      </c>
      <c r="AA533" s="0" t="n">
        <v>0</v>
      </c>
      <c r="AB533" s="0" t="n">
        <v>0</v>
      </c>
      <c r="AC533" s="4" t="s">
        <v>2180</v>
      </c>
      <c r="AD533" s="4" t="s">
        <v>2181</v>
      </c>
      <c r="AE533" s="4" t="s">
        <v>2182</v>
      </c>
      <c r="AF533" s="4" t="s">
        <v>2183</v>
      </c>
      <c r="AG533" s="5" t="n">
        <v>0.417986111111111</v>
      </c>
      <c r="AH533" s="5" t="n">
        <v>0.113032407407407</v>
      </c>
      <c r="AI533" s="5" t="n">
        <v>0</v>
      </c>
      <c r="AJ533" s="5" t="n">
        <v>0</v>
      </c>
      <c r="AK533" s="5" t="n">
        <v>0</v>
      </c>
      <c r="AL533" s="5" t="n">
        <v>0</v>
      </c>
      <c r="AM533" s="4" t="s">
        <v>78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  <c r="AU533" s="0" t="n">
        <v>3</v>
      </c>
      <c r="AV533" s="0" t="n">
        <v>0</v>
      </c>
      <c r="AW533" s="0" t="n">
        <v>0</v>
      </c>
      <c r="AX533" s="0" t="n">
        <v>0</v>
      </c>
      <c r="AY533" s="0" t="n">
        <v>0</v>
      </c>
      <c r="AZ533" s="0" t="n">
        <v>0</v>
      </c>
      <c r="BA533" s="0" t="n">
        <v>0</v>
      </c>
      <c r="BB533" s="0" t="n">
        <v>0</v>
      </c>
      <c r="BC533" s="0" t="n">
        <v>0</v>
      </c>
      <c r="BD533" s="0" t="n">
        <v>0</v>
      </c>
      <c r="BE533" s="0" t="n">
        <v>0</v>
      </c>
      <c r="BF533" s="0" t="n">
        <v>0</v>
      </c>
      <c r="BG533" s="0" t="n">
        <v>0</v>
      </c>
      <c r="BH533" s="0" t="n">
        <v>0</v>
      </c>
      <c r="BI533" s="0" t="n">
        <v>0</v>
      </c>
      <c r="BJ533" s="0" t="n">
        <v>0</v>
      </c>
      <c r="BK533" s="0" t="n">
        <v>0</v>
      </c>
      <c r="BM533" s="6" t="n">
        <f aca="false">IFERROR(VALUE(F533),"")</f>
        <v>291.9</v>
      </c>
      <c r="BN533" s="6" t="n">
        <f aca="false">IF(R533="-","",IFERROR(VALUE(LEFT(Q533,LEN(Q533)-2)),""))</f>
        <v>115.01</v>
      </c>
      <c r="BO533" s="6" t="n">
        <f aca="false">IF(R533="-","",IFERROR(VALUE(LEFT(R533,LEN(R533)-5)),""))</f>
        <v>2.54</v>
      </c>
      <c r="BP533" s="6" t="n">
        <f aca="false">IF(R533="-","",IFERROR(VALUE(F533),""))</f>
        <v>291.9</v>
      </c>
      <c r="BQ533" s="4" t="n">
        <f aca="false">IF(R533="-",1,0)</f>
        <v>0</v>
      </c>
    </row>
    <row r="534" customFormat="false" ht="15" hidden="false" customHeight="false" outlineLevel="0" collapsed="false">
      <c r="A534" s="0" t="s">
        <v>2174</v>
      </c>
      <c r="B534" s="0" t="s">
        <v>2175</v>
      </c>
      <c r="C534" s="0" t="s">
        <v>70</v>
      </c>
      <c r="D534" s="0" t="s">
        <v>2184</v>
      </c>
      <c r="E534" s="3" t="n">
        <v>46274</v>
      </c>
      <c r="F534" s="4" t="s">
        <v>2185</v>
      </c>
      <c r="G534" s="5" t="n">
        <v>0.387696759259259</v>
      </c>
      <c r="H534" s="5" t="n">
        <v>0.362453703703704</v>
      </c>
      <c r="I534" s="5" t="n">
        <v>0.00234953703703704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5" t="n">
        <v>0</v>
      </c>
      <c r="P534" s="5" t="n">
        <v>0.018599537037037</v>
      </c>
      <c r="Q534" s="4" t="s">
        <v>2186</v>
      </c>
      <c r="R534" s="4" t="s">
        <v>2187</v>
      </c>
      <c r="S534" s="5" t="n">
        <v>0</v>
      </c>
      <c r="T534" s="5" t="n">
        <v>0.130208333333333</v>
      </c>
      <c r="U534" s="5" t="n">
        <v>0.162731481481482</v>
      </c>
      <c r="V534" s="5" t="n">
        <v>0.0896990740740741</v>
      </c>
      <c r="W534" s="5" t="n">
        <v>0</v>
      </c>
      <c r="X534" s="5" t="n">
        <v>0</v>
      </c>
      <c r="Y534" s="5" t="n">
        <v>0</v>
      </c>
      <c r="Z534" s="0" t="n">
        <v>0</v>
      </c>
      <c r="AA534" s="0" t="n">
        <v>0</v>
      </c>
      <c r="AB534" s="0" t="n">
        <v>0</v>
      </c>
      <c r="AC534" s="4" t="s">
        <v>2180</v>
      </c>
      <c r="AD534" s="4" t="s">
        <v>2181</v>
      </c>
      <c r="AE534" s="4" t="s">
        <v>2183</v>
      </c>
      <c r="AF534" s="4" t="s">
        <v>2188</v>
      </c>
      <c r="AG534" s="5" t="n">
        <v>0.339618055555556</v>
      </c>
      <c r="AH534" s="5" t="n">
        <v>0.0795833333333333</v>
      </c>
      <c r="AI534" s="5" t="n">
        <v>0</v>
      </c>
      <c r="AJ534" s="5" t="n">
        <v>0</v>
      </c>
      <c r="AK534" s="5" t="n">
        <v>0</v>
      </c>
      <c r="AL534" s="5" t="n">
        <v>0</v>
      </c>
      <c r="AM534" s="4" t="s">
        <v>78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2</v>
      </c>
      <c r="AV534" s="0" t="n">
        <v>0</v>
      </c>
      <c r="AW534" s="0" t="n">
        <v>0</v>
      </c>
      <c r="AX534" s="0" t="n">
        <v>0</v>
      </c>
      <c r="AY534" s="0" t="n">
        <v>0</v>
      </c>
      <c r="AZ534" s="0" t="n">
        <v>0</v>
      </c>
      <c r="BA534" s="0" t="n">
        <v>0</v>
      </c>
      <c r="BB534" s="0" t="n">
        <v>0</v>
      </c>
      <c r="BC534" s="0" t="n">
        <v>0</v>
      </c>
      <c r="BD534" s="0" t="n">
        <v>0</v>
      </c>
      <c r="BE534" s="0" t="n">
        <v>0</v>
      </c>
      <c r="BF534" s="0" t="n">
        <v>0</v>
      </c>
      <c r="BG534" s="0" t="n">
        <v>0</v>
      </c>
      <c r="BH534" s="0" t="n">
        <v>0</v>
      </c>
      <c r="BI534" s="0" t="n">
        <v>0</v>
      </c>
      <c r="BJ534" s="0" t="n">
        <v>0</v>
      </c>
      <c r="BK534" s="0" t="n">
        <v>0</v>
      </c>
      <c r="BM534" s="6" t="n">
        <f aca="false">IFERROR(VALUE(F534),"")</f>
        <v>239.27</v>
      </c>
      <c r="BN534" s="6" t="n">
        <f aca="false">IF(R534="-","",IFERROR(VALUE(LEFT(Q534,LEN(Q534)-2)),""))</f>
        <v>94</v>
      </c>
      <c r="BO534" s="6" t="n">
        <f aca="false">IF(R534="-","",IFERROR(VALUE(LEFT(R534,LEN(R534)-5)),""))</f>
        <v>2.55</v>
      </c>
      <c r="BP534" s="6" t="n">
        <f aca="false">IF(R534="-","",IFERROR(VALUE(F534),""))</f>
        <v>239.27</v>
      </c>
      <c r="BQ534" s="4" t="n">
        <f aca="false">IF(R534="-",1,0)</f>
        <v>0</v>
      </c>
    </row>
    <row r="535" customFormat="false" ht="15" hidden="false" customHeight="false" outlineLevel="0" collapsed="false">
      <c r="A535" s="0" t="s">
        <v>2174</v>
      </c>
      <c r="B535" s="0" t="s">
        <v>2175</v>
      </c>
      <c r="C535" s="0" t="s">
        <v>70</v>
      </c>
      <c r="D535" s="0" t="s">
        <v>2176</v>
      </c>
      <c r="E535" s="3" t="n">
        <v>46275</v>
      </c>
      <c r="F535" s="4" t="s">
        <v>2189</v>
      </c>
      <c r="G535" s="5" t="n">
        <v>0.47068287037037</v>
      </c>
      <c r="H535" s="5" t="n">
        <v>0.458935185185185</v>
      </c>
      <c r="I535" s="5" t="n">
        <v>0.0009375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5" t="n">
        <v>0</v>
      </c>
      <c r="P535" s="5" t="n">
        <v>0.00715277777777778</v>
      </c>
      <c r="Q535" s="4" t="s">
        <v>2190</v>
      </c>
      <c r="R535" s="4" t="s">
        <v>1362</v>
      </c>
      <c r="S535" s="5" t="n">
        <v>0</v>
      </c>
      <c r="T535" s="5" t="n">
        <v>0.140393518518519</v>
      </c>
      <c r="U535" s="5" t="n">
        <v>0.190277777777778</v>
      </c>
      <c r="V535" s="5" t="n">
        <v>0.116550925925926</v>
      </c>
      <c r="W535" s="5" t="n">
        <v>0</v>
      </c>
      <c r="X535" s="5" t="n">
        <v>0</v>
      </c>
      <c r="Y535" s="5" t="n">
        <v>0</v>
      </c>
      <c r="Z535" s="0" t="n">
        <v>0</v>
      </c>
      <c r="AA535" s="0" t="n">
        <v>0</v>
      </c>
      <c r="AB535" s="0" t="n">
        <v>0</v>
      </c>
      <c r="AC535" s="4" t="s">
        <v>2181</v>
      </c>
      <c r="AD535" s="4" t="s">
        <v>2181</v>
      </c>
      <c r="AE535" s="4" t="s">
        <v>2188</v>
      </c>
      <c r="AF535" s="4" t="s">
        <v>2191</v>
      </c>
      <c r="AG535" s="5" t="n">
        <v>0.412291666666667</v>
      </c>
      <c r="AH535" s="5" t="n">
        <v>0.14369212962963</v>
      </c>
      <c r="AI535" s="5" t="n">
        <v>0</v>
      </c>
      <c r="AJ535" s="5" t="n">
        <v>0</v>
      </c>
      <c r="AK535" s="5" t="n">
        <v>0</v>
      </c>
      <c r="AL535" s="5" t="n">
        <v>0</v>
      </c>
      <c r="AM535" s="4" t="s">
        <v>78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3</v>
      </c>
      <c r="AV535" s="0" t="n">
        <v>0</v>
      </c>
      <c r="AW535" s="0" t="n">
        <v>0</v>
      </c>
      <c r="AX535" s="0" t="n">
        <v>0</v>
      </c>
      <c r="AY535" s="0" t="n">
        <v>0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0</v>
      </c>
      <c r="BE535" s="0" t="n">
        <v>0</v>
      </c>
      <c r="BF535" s="0" t="n">
        <v>0</v>
      </c>
      <c r="BG535" s="0" t="n">
        <v>0</v>
      </c>
      <c r="BH535" s="0" t="n">
        <v>0</v>
      </c>
      <c r="BI535" s="0" t="n">
        <v>0</v>
      </c>
      <c r="BJ535" s="0" t="n">
        <v>0</v>
      </c>
      <c r="BK535" s="0" t="n">
        <v>0</v>
      </c>
      <c r="BM535" s="6" t="n">
        <f aca="false">IFERROR(VALUE(F535),"")</f>
        <v>292.44</v>
      </c>
      <c r="BN535" s="6" t="n">
        <f aca="false">IF(R535="-","",IFERROR(VALUE(LEFT(Q535,LEN(Q535)-2)),""))</f>
        <v>117.49</v>
      </c>
      <c r="BO535" s="6" t="n">
        <f aca="false">IF(R535="-","",IFERROR(VALUE(LEFT(R535,LEN(R535)-5)),""))</f>
        <v>2.49</v>
      </c>
      <c r="BP535" s="6" t="n">
        <f aca="false">IF(R535="-","",IFERROR(VALUE(F535),""))</f>
        <v>292.44</v>
      </c>
      <c r="BQ535" s="4" t="n">
        <f aca="false">IF(R535="-",1,0)</f>
        <v>0</v>
      </c>
    </row>
    <row r="536" customFormat="false" ht="15" hidden="false" customHeight="false" outlineLevel="0" collapsed="false">
      <c r="A536" s="0" t="s">
        <v>2174</v>
      </c>
      <c r="B536" s="0" t="s">
        <v>2175</v>
      </c>
      <c r="C536" s="0" t="s">
        <v>70</v>
      </c>
      <c r="D536" s="0" t="s">
        <v>2176</v>
      </c>
      <c r="E536" s="3" t="n">
        <v>46276</v>
      </c>
      <c r="F536" s="4" t="s">
        <v>2192</v>
      </c>
      <c r="G536" s="5" t="n">
        <v>0.517939814814815</v>
      </c>
      <c r="H536" s="5" t="n">
        <v>0.513854166666667</v>
      </c>
      <c r="I536" s="5" t="n">
        <v>0.00375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1</v>
      </c>
      <c r="O536" s="5" t="n">
        <v>0</v>
      </c>
      <c r="P536" s="5" t="n">
        <v>0</v>
      </c>
      <c r="Q536" s="4" t="s">
        <v>2193</v>
      </c>
      <c r="R536" s="4" t="s">
        <v>1089</v>
      </c>
      <c r="S536" s="5" t="n">
        <v>0</v>
      </c>
      <c r="T536" s="5" t="n">
        <v>0.160763888888889</v>
      </c>
      <c r="U536" s="5" t="n">
        <v>0.199768518518519</v>
      </c>
      <c r="V536" s="5" t="n">
        <v>0.145717592592593</v>
      </c>
      <c r="W536" s="5" t="n">
        <v>0.000115740740740741</v>
      </c>
      <c r="X536" s="5" t="n">
        <v>0</v>
      </c>
      <c r="Y536" s="5" t="n">
        <v>0</v>
      </c>
      <c r="Z536" s="0" t="n">
        <v>0</v>
      </c>
      <c r="AA536" s="0" t="n">
        <v>0</v>
      </c>
      <c r="AB536" s="0" t="n">
        <v>0</v>
      </c>
      <c r="AC536" s="4" t="s">
        <v>2181</v>
      </c>
      <c r="AD536" s="4" t="s">
        <v>2181</v>
      </c>
      <c r="AE536" s="4" t="s">
        <v>2191</v>
      </c>
      <c r="AF536" s="4" t="s">
        <v>2194</v>
      </c>
      <c r="AG536" s="5" t="n">
        <v>0.463043981481482</v>
      </c>
      <c r="AH536" s="5" t="n">
        <v>0.130023148148148</v>
      </c>
      <c r="AI536" s="5" t="n">
        <v>0</v>
      </c>
      <c r="AJ536" s="5" t="n">
        <v>0</v>
      </c>
      <c r="AK536" s="5" t="n">
        <v>0</v>
      </c>
      <c r="AL536" s="5" t="n">
        <v>0</v>
      </c>
      <c r="AM536" s="4" t="s">
        <v>78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5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M536" s="6" t="n">
        <f aca="false">IFERROR(VALUE(F536),"")</f>
        <v>337.98</v>
      </c>
      <c r="BN536" s="6" t="n">
        <f aca="false">IF(R536="-","",IFERROR(VALUE(LEFT(Q536,LEN(Q536)-2)),""))</f>
        <v>138.99</v>
      </c>
      <c r="BO536" s="6" t="n">
        <f aca="false">IF(R536="-","",IFERROR(VALUE(LEFT(R536,LEN(R536)-5)),""))</f>
        <v>2.43</v>
      </c>
      <c r="BP536" s="6" t="n">
        <f aca="false">IF(R536="-","",IFERROR(VALUE(F536),""))</f>
        <v>337.98</v>
      </c>
      <c r="BQ536" s="4" t="n">
        <f aca="false">IF(R536="-",1,0)</f>
        <v>0</v>
      </c>
    </row>
    <row r="537" customFormat="false" ht="15" hidden="false" customHeight="false" outlineLevel="0" collapsed="false">
      <c r="A537" s="0" t="s">
        <v>2174</v>
      </c>
      <c r="B537" s="0" t="s">
        <v>2175</v>
      </c>
      <c r="C537" s="0" t="s">
        <v>70</v>
      </c>
      <c r="D537" s="0" t="s">
        <v>2184</v>
      </c>
      <c r="E537" s="3" t="n">
        <v>46277</v>
      </c>
      <c r="F537" s="4" t="s">
        <v>2195</v>
      </c>
      <c r="G537" s="5" t="n">
        <v>0.271064814814815</v>
      </c>
      <c r="H537" s="5" t="n">
        <v>0.259872685185185</v>
      </c>
      <c r="I537" s="5" t="n">
        <v>0.00145833333333333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1</v>
      </c>
      <c r="O537" s="5" t="n">
        <v>0</v>
      </c>
      <c r="P537" s="5" t="n">
        <v>0.00857638888888889</v>
      </c>
      <c r="Q537" s="4" t="s">
        <v>2196</v>
      </c>
      <c r="R537" s="4" t="s">
        <v>1527</v>
      </c>
      <c r="S537" s="5" t="n">
        <v>0</v>
      </c>
      <c r="T537" s="5" t="n">
        <v>0.0987268518518519</v>
      </c>
      <c r="U537" s="5" t="n">
        <v>0.0972222222222222</v>
      </c>
      <c r="V537" s="5" t="n">
        <v>0.0716435185185185</v>
      </c>
      <c r="W537" s="5" t="n">
        <v>0</v>
      </c>
      <c r="X537" s="5" t="n">
        <v>0</v>
      </c>
      <c r="Y537" s="5" t="n">
        <v>0</v>
      </c>
      <c r="Z537" s="0" t="n">
        <v>0</v>
      </c>
      <c r="AA537" s="0" t="n">
        <v>0</v>
      </c>
      <c r="AB537" s="0" t="n">
        <v>0</v>
      </c>
      <c r="AC537" s="4" t="s">
        <v>2181</v>
      </c>
      <c r="AD537" s="4" t="s">
        <v>2197</v>
      </c>
      <c r="AE537" s="4" t="s">
        <v>2194</v>
      </c>
      <c r="AF537" s="4" t="s">
        <v>2198</v>
      </c>
      <c r="AG537" s="5" t="n">
        <v>0.229722222222222</v>
      </c>
      <c r="AH537" s="5" t="n">
        <v>0.10005787037037</v>
      </c>
      <c r="AI537" s="5" t="n">
        <v>0</v>
      </c>
      <c r="AJ537" s="5" t="n">
        <v>0</v>
      </c>
      <c r="AK537" s="5" t="n">
        <v>0</v>
      </c>
      <c r="AL537" s="5" t="n">
        <v>0</v>
      </c>
      <c r="AM537" s="4" t="s">
        <v>78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  <c r="AU537" s="0" t="n">
        <v>3</v>
      </c>
      <c r="AV537" s="0" t="n">
        <v>0</v>
      </c>
      <c r="AW537" s="0" t="n">
        <v>0</v>
      </c>
      <c r="AX537" s="0" t="n">
        <v>0</v>
      </c>
      <c r="AY537" s="0" t="n">
        <v>0</v>
      </c>
      <c r="AZ537" s="0" t="n">
        <v>0</v>
      </c>
      <c r="BA537" s="0" t="n">
        <v>0</v>
      </c>
      <c r="BB537" s="0" t="n">
        <v>0</v>
      </c>
      <c r="BC537" s="0" t="n">
        <v>0</v>
      </c>
      <c r="BD537" s="0" t="n">
        <v>0</v>
      </c>
      <c r="BE537" s="0" t="n">
        <v>0</v>
      </c>
      <c r="BF537" s="0" t="n">
        <v>0</v>
      </c>
      <c r="BG537" s="0" t="n">
        <v>0</v>
      </c>
      <c r="BH537" s="0" t="n">
        <v>0</v>
      </c>
      <c r="BI537" s="0" t="n">
        <v>0</v>
      </c>
      <c r="BJ537" s="0" t="n">
        <v>0</v>
      </c>
      <c r="BK537" s="0" t="n">
        <v>0</v>
      </c>
      <c r="BM537" s="6" t="n">
        <f aca="false">IFERROR(VALUE(F537),"")</f>
        <v>167.78</v>
      </c>
      <c r="BN537" s="6" t="n">
        <f aca="false">IF(R537="-","",IFERROR(VALUE(LEFT(Q537,LEN(Q537)-2)),""))</f>
        <v>70.99</v>
      </c>
      <c r="BO537" s="6" t="n">
        <f aca="false">IF(R537="-","",IFERROR(VALUE(LEFT(R537,LEN(R537)-5)),""))</f>
        <v>2.36</v>
      </c>
      <c r="BP537" s="6" t="n">
        <f aca="false">IF(R537="-","",IFERROR(VALUE(F537),""))</f>
        <v>167.78</v>
      </c>
      <c r="BQ537" s="4" t="n">
        <f aca="false">IF(R537="-",1,0)</f>
        <v>0</v>
      </c>
    </row>
    <row r="538" customFormat="false" ht="15" hidden="false" customHeight="false" outlineLevel="0" collapsed="false">
      <c r="A538" s="0" t="s">
        <v>2174</v>
      </c>
      <c r="B538" s="0" t="s">
        <v>2175</v>
      </c>
      <c r="C538" s="0" t="s">
        <v>70</v>
      </c>
      <c r="D538" s="0" t="s">
        <v>2184</v>
      </c>
      <c r="E538" s="3" t="n">
        <v>46279</v>
      </c>
      <c r="F538" s="4" t="s">
        <v>2199</v>
      </c>
      <c r="G538" s="5" t="n">
        <v>0.419837962962963</v>
      </c>
      <c r="H538" s="5" t="n">
        <v>0.415821759259259</v>
      </c>
      <c r="I538" s="5" t="n">
        <v>0.0030787037037037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5" t="n">
        <v>0</v>
      </c>
      <c r="P538" s="5" t="n">
        <v>0.00736111111111111</v>
      </c>
      <c r="Q538" s="4" t="s">
        <v>2200</v>
      </c>
      <c r="R538" s="4" t="s">
        <v>2179</v>
      </c>
      <c r="S538" s="5" t="n">
        <v>0.000115740740740741</v>
      </c>
      <c r="T538" s="5" t="n">
        <v>0.133333333333333</v>
      </c>
      <c r="U538" s="5" t="n">
        <v>0.183101851851852</v>
      </c>
      <c r="V538" s="5" t="n">
        <v>0.0975694444444444</v>
      </c>
      <c r="W538" s="5" t="n">
        <v>0</v>
      </c>
      <c r="X538" s="5" t="n">
        <v>0</v>
      </c>
      <c r="Y538" s="5" t="n">
        <v>0</v>
      </c>
      <c r="Z538" s="0" t="n">
        <v>0</v>
      </c>
      <c r="AA538" s="0" t="n">
        <v>0</v>
      </c>
      <c r="AB538" s="0" t="n">
        <v>0</v>
      </c>
      <c r="AC538" s="4" t="s">
        <v>828</v>
      </c>
      <c r="AD538" s="4" t="s">
        <v>2180</v>
      </c>
      <c r="AE538" s="4" t="s">
        <v>2198</v>
      </c>
      <c r="AF538" s="4" t="s">
        <v>2201</v>
      </c>
      <c r="AG538" s="5" t="n">
        <v>0.370185185185185</v>
      </c>
      <c r="AH538" s="5" t="n">
        <v>0.1246875</v>
      </c>
      <c r="AI538" s="5" t="n">
        <v>0</v>
      </c>
      <c r="AJ538" s="5" t="n">
        <v>0</v>
      </c>
      <c r="AK538" s="5" t="n">
        <v>0</v>
      </c>
      <c r="AL538" s="5" t="n">
        <v>0</v>
      </c>
      <c r="AM538" s="4" t="s">
        <v>78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  <c r="AU538" s="0" t="n">
        <v>6</v>
      </c>
      <c r="AV538" s="0" t="n">
        <v>0</v>
      </c>
      <c r="AW538" s="0" t="n">
        <v>0</v>
      </c>
      <c r="AX538" s="0" t="n">
        <v>0</v>
      </c>
      <c r="AY538" s="0" t="n">
        <v>0</v>
      </c>
      <c r="AZ538" s="0" t="n">
        <v>0</v>
      </c>
      <c r="BA538" s="0" t="n">
        <v>0</v>
      </c>
      <c r="BB538" s="0" t="n">
        <v>0</v>
      </c>
      <c r="BC538" s="0" t="n">
        <v>0</v>
      </c>
      <c r="BD538" s="0" t="n">
        <v>0</v>
      </c>
      <c r="BE538" s="0" t="n">
        <v>0</v>
      </c>
      <c r="BF538" s="0" t="n">
        <v>0</v>
      </c>
      <c r="BG538" s="0" t="n">
        <v>0</v>
      </c>
      <c r="BH538" s="0" t="n">
        <v>0</v>
      </c>
      <c r="BI538" s="0" t="n">
        <v>0</v>
      </c>
      <c r="BJ538" s="0" t="n">
        <v>0</v>
      </c>
      <c r="BK538" s="0" t="n">
        <v>0</v>
      </c>
      <c r="BM538" s="6" t="n">
        <f aca="false">IFERROR(VALUE(F538),"")</f>
        <v>268.5</v>
      </c>
      <c r="BN538" s="6" t="n">
        <f aca="false">IF(R538="-","",IFERROR(VALUE(LEFT(Q538,LEN(Q538)-2)),""))</f>
        <v>105.5</v>
      </c>
      <c r="BO538" s="6" t="n">
        <f aca="false">IF(R538="-","",IFERROR(VALUE(LEFT(R538,LEN(R538)-5)),""))</f>
        <v>2.54</v>
      </c>
      <c r="BP538" s="6" t="n">
        <f aca="false">IF(R538="-","",IFERROR(VALUE(F538),""))</f>
        <v>268.5</v>
      </c>
      <c r="BQ538" s="4" t="n">
        <f aca="false">IF(R538="-",1,0)</f>
        <v>0</v>
      </c>
    </row>
    <row r="539" customFormat="false" ht="15" hidden="false" customHeight="false" outlineLevel="0" collapsed="false">
      <c r="A539" s="0" t="s">
        <v>2202</v>
      </c>
      <c r="B539" s="0" t="s">
        <v>2203</v>
      </c>
      <c r="C539" s="0" t="s">
        <v>70</v>
      </c>
      <c r="D539" s="0" t="s">
        <v>2204</v>
      </c>
      <c r="E539" s="3" t="n">
        <v>46273</v>
      </c>
      <c r="F539" s="4" t="s">
        <v>2205</v>
      </c>
      <c r="G539" s="5" t="n">
        <v>0.430717592592593</v>
      </c>
      <c r="H539" s="5" t="n">
        <v>0.421539351851852</v>
      </c>
      <c r="I539" s="5" t="n">
        <v>8.10185185185185E-005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1</v>
      </c>
      <c r="O539" s="5" t="n">
        <v>0</v>
      </c>
      <c r="P539" s="5" t="n">
        <v>0.00792824074074074</v>
      </c>
      <c r="Q539" s="4" t="s">
        <v>2206</v>
      </c>
      <c r="R539" s="4" t="s">
        <v>1609</v>
      </c>
      <c r="S539" s="5" t="n">
        <v>0</v>
      </c>
      <c r="T539" s="5" t="n">
        <v>0.158796296296296</v>
      </c>
      <c r="U539" s="5" t="n">
        <v>0.181712962962963</v>
      </c>
      <c r="V539" s="5" t="n">
        <v>0.084837962962963</v>
      </c>
      <c r="W539" s="5" t="n">
        <v>0</v>
      </c>
      <c r="X539" s="5" t="n">
        <v>0</v>
      </c>
      <c r="Y539" s="5" t="n">
        <v>0</v>
      </c>
      <c r="Z539" s="0" t="n">
        <v>0</v>
      </c>
      <c r="AA539" s="0" t="n">
        <v>0</v>
      </c>
      <c r="AB539" s="0" t="n">
        <v>0</v>
      </c>
      <c r="AC539" s="4" t="s">
        <v>2197</v>
      </c>
      <c r="AD539" s="4" t="s">
        <v>2207</v>
      </c>
      <c r="AE539" s="4" t="s">
        <v>2208</v>
      </c>
      <c r="AF539" s="4" t="s">
        <v>2209</v>
      </c>
      <c r="AG539" s="5" t="n">
        <v>0.371608796296296</v>
      </c>
      <c r="AH539" s="5" t="n">
        <v>0.0973842592592593</v>
      </c>
      <c r="AI539" s="5" t="n">
        <v>0</v>
      </c>
      <c r="AJ539" s="5" t="n">
        <v>0</v>
      </c>
      <c r="AK539" s="5" t="n">
        <v>0</v>
      </c>
      <c r="AL539" s="5" t="n">
        <v>0</v>
      </c>
      <c r="AM539" s="4" t="s">
        <v>78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2</v>
      </c>
      <c r="AV539" s="0" t="n">
        <v>0</v>
      </c>
      <c r="AW539" s="0" t="n">
        <v>0</v>
      </c>
      <c r="AX539" s="0" t="n">
        <v>0</v>
      </c>
      <c r="AY539" s="0" t="n">
        <v>0</v>
      </c>
      <c r="AZ539" s="0" t="n">
        <v>0</v>
      </c>
      <c r="BA539" s="0" t="n">
        <v>0</v>
      </c>
      <c r="BB539" s="0" t="n">
        <v>0</v>
      </c>
      <c r="BC539" s="0" t="n">
        <v>0</v>
      </c>
      <c r="BD539" s="0" t="n">
        <v>0</v>
      </c>
      <c r="BE539" s="0" t="n">
        <v>0</v>
      </c>
      <c r="BF539" s="0" t="n">
        <v>0</v>
      </c>
      <c r="BG539" s="0" t="n">
        <v>0</v>
      </c>
      <c r="BH539" s="0" t="n">
        <v>0</v>
      </c>
      <c r="BI539" s="0" t="n">
        <v>0</v>
      </c>
      <c r="BJ539" s="0" t="n">
        <v>0</v>
      </c>
      <c r="BK539" s="0" t="n">
        <v>0</v>
      </c>
      <c r="BM539" s="6" t="n">
        <f aca="false">IFERROR(VALUE(F539),"")</f>
        <v>255.18</v>
      </c>
      <c r="BN539" s="6" t="n">
        <f aca="false">IF(R539="-","",IFERROR(VALUE(LEFT(Q539,LEN(Q539)-2)),""))</f>
        <v>97.49</v>
      </c>
      <c r="BO539" s="6" t="n">
        <f aca="false">IF(R539="-","",IFERROR(VALUE(LEFT(R539,LEN(R539)-5)),""))</f>
        <v>2.62</v>
      </c>
      <c r="BP539" s="6" t="n">
        <f aca="false">IF(R539="-","",IFERROR(VALUE(F539),""))</f>
        <v>255.18</v>
      </c>
      <c r="BQ539" s="4" t="n">
        <f aca="false">IF(R539="-",1,0)</f>
        <v>0</v>
      </c>
    </row>
    <row r="540" customFormat="false" ht="15" hidden="false" customHeight="false" outlineLevel="0" collapsed="false">
      <c r="A540" s="0" t="s">
        <v>2202</v>
      </c>
      <c r="B540" s="0" t="s">
        <v>2203</v>
      </c>
      <c r="C540" s="0" t="s">
        <v>70</v>
      </c>
      <c r="D540" s="0" t="s">
        <v>2204</v>
      </c>
      <c r="E540" s="3" t="n">
        <v>46274</v>
      </c>
      <c r="F540" s="4" t="s">
        <v>2210</v>
      </c>
      <c r="G540" s="5" t="n">
        <v>0.45130787037037</v>
      </c>
      <c r="H540" s="5" t="n">
        <v>0.423761574074074</v>
      </c>
      <c r="I540" s="5" t="n">
        <v>0.000185185185185185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5" t="n">
        <v>0</v>
      </c>
      <c r="P540" s="5" t="n">
        <v>0.00697916666666667</v>
      </c>
      <c r="Q540" s="4" t="s">
        <v>2211</v>
      </c>
      <c r="R540" s="4" t="s">
        <v>1183</v>
      </c>
      <c r="S540" s="5" t="n">
        <v>0</v>
      </c>
      <c r="T540" s="5" t="n">
        <v>0.16412037037037</v>
      </c>
      <c r="U540" s="5" t="n">
        <v>0.182175925925926</v>
      </c>
      <c r="V540" s="5" t="n">
        <v>0.0872685185185185</v>
      </c>
      <c r="W540" s="5" t="n">
        <v>0</v>
      </c>
      <c r="X540" s="5" t="n">
        <v>0</v>
      </c>
      <c r="Y540" s="5" t="n">
        <v>0</v>
      </c>
      <c r="Z540" s="0" t="n">
        <v>0</v>
      </c>
      <c r="AA540" s="0" t="n">
        <v>0</v>
      </c>
      <c r="AB540" s="0" t="n">
        <v>0</v>
      </c>
      <c r="AC540" s="4" t="s">
        <v>2207</v>
      </c>
      <c r="AD540" s="4" t="s">
        <v>2180</v>
      </c>
      <c r="AE540" s="4" t="s">
        <v>2209</v>
      </c>
      <c r="AF540" s="4" t="s">
        <v>2212</v>
      </c>
      <c r="AG540" s="5" t="n">
        <v>0.367361111111111</v>
      </c>
      <c r="AH540" s="5" t="n">
        <v>0.178657407407407</v>
      </c>
      <c r="AI540" s="5" t="n">
        <v>0</v>
      </c>
      <c r="AJ540" s="5" t="n">
        <v>0</v>
      </c>
      <c r="AK540" s="5" t="n">
        <v>0</v>
      </c>
      <c r="AL540" s="5" t="n">
        <v>0</v>
      </c>
      <c r="AM540" s="4" t="s">
        <v>78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  <c r="AU540" s="0" t="n">
        <v>3</v>
      </c>
      <c r="AV540" s="0" t="n">
        <v>0</v>
      </c>
      <c r="AW540" s="0" t="n">
        <v>0</v>
      </c>
      <c r="AX540" s="0" t="n">
        <v>0</v>
      </c>
      <c r="AY540" s="0" t="n">
        <v>0</v>
      </c>
      <c r="AZ540" s="0" t="n">
        <v>0</v>
      </c>
      <c r="BA540" s="0" t="n">
        <v>0</v>
      </c>
      <c r="BB540" s="0" t="n">
        <v>0</v>
      </c>
      <c r="BC540" s="0" t="n">
        <v>0</v>
      </c>
      <c r="BD540" s="0" t="n">
        <v>0</v>
      </c>
      <c r="BE540" s="0" t="n">
        <v>0</v>
      </c>
      <c r="BF540" s="0" t="n">
        <v>0</v>
      </c>
      <c r="BG540" s="0" t="n">
        <v>0</v>
      </c>
      <c r="BH540" s="0" t="n">
        <v>0</v>
      </c>
      <c r="BI540" s="0" t="n">
        <v>0</v>
      </c>
      <c r="BJ540" s="0" t="n">
        <v>0</v>
      </c>
      <c r="BK540" s="0" t="n">
        <v>0</v>
      </c>
      <c r="BM540" s="6" t="n">
        <f aca="false">IFERROR(VALUE(F540),"")</f>
        <v>256.28</v>
      </c>
      <c r="BN540" s="6" t="n">
        <f aca="false">IF(R540="-","",IFERROR(VALUE(LEFT(Q540,LEN(Q540)-2)),""))</f>
        <v>97.01</v>
      </c>
      <c r="BO540" s="6" t="n">
        <f aca="false">IF(R540="-","",IFERROR(VALUE(LEFT(R540,LEN(R540)-5)),""))</f>
        <v>2.64</v>
      </c>
      <c r="BP540" s="6" t="n">
        <f aca="false">IF(R540="-","",IFERROR(VALUE(F540),""))</f>
        <v>256.28</v>
      </c>
      <c r="BQ540" s="4" t="n">
        <f aca="false">IF(R540="-",1,0)</f>
        <v>0</v>
      </c>
    </row>
    <row r="541" customFormat="false" ht="15" hidden="false" customHeight="false" outlineLevel="0" collapsed="false">
      <c r="A541" s="0" t="s">
        <v>2202</v>
      </c>
      <c r="B541" s="0" t="s">
        <v>2203</v>
      </c>
      <c r="C541" s="0" t="s">
        <v>70</v>
      </c>
      <c r="D541" s="0" t="s">
        <v>2213</v>
      </c>
      <c r="E541" s="3" t="n">
        <v>46275</v>
      </c>
      <c r="F541" s="4" t="s">
        <v>2214</v>
      </c>
      <c r="G541" s="5" t="n">
        <v>0.495914351851852</v>
      </c>
      <c r="H541" s="5" t="n">
        <v>0.449826388888889</v>
      </c>
      <c r="I541" s="5" t="n">
        <v>0.000381944444444445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5" t="n">
        <v>0</v>
      </c>
      <c r="P541" s="5" t="n">
        <v>0</v>
      </c>
      <c r="Q541" s="4" t="s">
        <v>2215</v>
      </c>
      <c r="R541" s="4" t="s">
        <v>998</v>
      </c>
      <c r="S541" s="5" t="n">
        <v>0</v>
      </c>
      <c r="T541" s="5" t="n">
        <v>0.17662037037037</v>
      </c>
      <c r="U541" s="5" t="n">
        <v>0.18587962962963</v>
      </c>
      <c r="V541" s="5" t="n">
        <v>0.0946759259259259</v>
      </c>
      <c r="W541" s="5" t="n">
        <v>0</v>
      </c>
      <c r="X541" s="5" t="n">
        <v>0.000115740740740741</v>
      </c>
      <c r="Y541" s="5" t="n">
        <v>0</v>
      </c>
      <c r="Z541" s="0" t="n">
        <v>0</v>
      </c>
      <c r="AA541" s="0" t="n">
        <v>0</v>
      </c>
      <c r="AB541" s="0" t="n">
        <v>0</v>
      </c>
      <c r="AC541" s="4" t="s">
        <v>2180</v>
      </c>
      <c r="AD541" s="4" t="s">
        <v>228</v>
      </c>
      <c r="AE541" s="4" t="s">
        <v>2212</v>
      </c>
      <c r="AF541" s="4" t="s">
        <v>2216</v>
      </c>
      <c r="AG541" s="5" t="n">
        <v>0.398958333333333</v>
      </c>
      <c r="AH541" s="5" t="n">
        <v>0.177881944444444</v>
      </c>
      <c r="AI541" s="5" t="n">
        <v>0</v>
      </c>
      <c r="AJ541" s="5" t="n">
        <v>0</v>
      </c>
      <c r="AK541" s="5" t="n">
        <v>0</v>
      </c>
      <c r="AL541" s="5" t="n">
        <v>0</v>
      </c>
      <c r="AM541" s="4" t="s">
        <v>78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6</v>
      </c>
      <c r="AV541" s="0" t="n">
        <v>0</v>
      </c>
      <c r="AW541" s="0" t="n">
        <v>0</v>
      </c>
      <c r="AX541" s="0" t="n">
        <v>0</v>
      </c>
      <c r="AY541" s="0" t="n">
        <v>0</v>
      </c>
      <c r="AZ541" s="0" t="n">
        <v>0</v>
      </c>
      <c r="BA541" s="0" t="n">
        <v>0</v>
      </c>
      <c r="BB541" s="0" t="n">
        <v>0</v>
      </c>
      <c r="BC541" s="0" t="n">
        <v>0</v>
      </c>
      <c r="BD541" s="0" t="n">
        <v>0</v>
      </c>
      <c r="BE541" s="0" t="n">
        <v>0</v>
      </c>
      <c r="BF541" s="0" t="n">
        <v>0</v>
      </c>
      <c r="BG541" s="0" t="n">
        <v>0</v>
      </c>
      <c r="BH541" s="0" t="n">
        <v>0</v>
      </c>
      <c r="BI541" s="0" t="n">
        <v>0</v>
      </c>
      <c r="BJ541" s="0" t="n">
        <v>0</v>
      </c>
      <c r="BK541" s="0" t="n">
        <v>0</v>
      </c>
      <c r="BM541" s="6" t="n">
        <f aca="false">IFERROR(VALUE(F541),"")</f>
        <v>267.34</v>
      </c>
      <c r="BN541" s="6" t="n">
        <f aca="false">IF(R541="-","",IFERROR(VALUE(LEFT(Q541,LEN(Q541)-2)),""))</f>
        <v>100</v>
      </c>
      <c r="BO541" s="6" t="n">
        <f aca="false">IF(R541="-","",IFERROR(VALUE(LEFT(R541,LEN(R541)-5)),""))</f>
        <v>2.67</v>
      </c>
      <c r="BP541" s="6" t="n">
        <f aca="false">IF(R541="-","",IFERROR(VALUE(F541),""))</f>
        <v>267.34</v>
      </c>
      <c r="BQ541" s="4" t="n">
        <f aca="false">IF(R541="-",1,0)</f>
        <v>0</v>
      </c>
    </row>
    <row r="542" customFormat="false" ht="15" hidden="false" customHeight="false" outlineLevel="0" collapsed="false">
      <c r="A542" s="0" t="s">
        <v>2202</v>
      </c>
      <c r="B542" s="0" t="s">
        <v>2203</v>
      </c>
      <c r="C542" s="0" t="s">
        <v>70</v>
      </c>
      <c r="D542" s="0" t="s">
        <v>2217</v>
      </c>
      <c r="E542" s="3" t="n">
        <v>46276</v>
      </c>
      <c r="F542" s="4" t="s">
        <v>2218</v>
      </c>
      <c r="G542" s="5" t="n">
        <v>0.487326388888889</v>
      </c>
      <c r="H542" s="5" t="n">
        <v>0.397731481481482</v>
      </c>
      <c r="I542" s="5" t="n">
        <v>0.000972222222222222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4</v>
      </c>
      <c r="O542" s="5" t="n">
        <v>0</v>
      </c>
      <c r="P542" s="5" t="n">
        <v>0.0291435185185185</v>
      </c>
      <c r="Q542" s="4" t="s">
        <v>2219</v>
      </c>
      <c r="R542" s="4" t="s">
        <v>2220</v>
      </c>
      <c r="S542" s="5" t="n">
        <v>0</v>
      </c>
      <c r="T542" s="5" t="n">
        <v>0.199074074074074</v>
      </c>
      <c r="U542" s="5" t="n">
        <v>0.122916666666667</v>
      </c>
      <c r="V542" s="5" t="n">
        <v>0.0998842592592593</v>
      </c>
      <c r="W542" s="5" t="n">
        <v>0.000231481481481482</v>
      </c>
      <c r="X542" s="5" t="n">
        <v>0</v>
      </c>
      <c r="Y542" s="5" t="n">
        <v>0</v>
      </c>
      <c r="Z542" s="0" t="n">
        <v>0</v>
      </c>
      <c r="AA542" s="0" t="n">
        <v>0</v>
      </c>
      <c r="AB542" s="0" t="n">
        <v>0</v>
      </c>
      <c r="AC542" s="4" t="s">
        <v>75</v>
      </c>
      <c r="AD542" s="4" t="s">
        <v>74</v>
      </c>
      <c r="AE542" s="4" t="s">
        <v>2216</v>
      </c>
      <c r="AF542" s="4" t="s">
        <v>2221</v>
      </c>
      <c r="AG542" s="5" t="n">
        <v>0.337708333333333</v>
      </c>
      <c r="AH542" s="5" t="n">
        <v>0.195914351851852</v>
      </c>
      <c r="AI542" s="5" t="n">
        <v>0</v>
      </c>
      <c r="AJ542" s="5" t="n">
        <v>0</v>
      </c>
      <c r="AK542" s="5" t="n">
        <v>0</v>
      </c>
      <c r="AL542" s="5" t="n">
        <v>0</v>
      </c>
      <c r="AM542" s="4" t="s">
        <v>78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  <c r="AU542" s="0" t="n">
        <v>7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M542" s="6" t="n">
        <f aca="false">IFERROR(VALUE(F542),"")</f>
        <v>211.02</v>
      </c>
      <c r="BN542" s="6" t="n">
        <f aca="false">IF(R542="-","",IFERROR(VALUE(LEFT(Q542,LEN(Q542)-2)),""))</f>
        <v>86.5</v>
      </c>
      <c r="BO542" s="6" t="n">
        <f aca="false">IF(R542="-","",IFERROR(VALUE(LEFT(R542,LEN(R542)-5)),""))</f>
        <v>2.44</v>
      </c>
      <c r="BP542" s="6" t="n">
        <f aca="false">IF(R542="-","",IFERROR(VALUE(F542),""))</f>
        <v>211.02</v>
      </c>
      <c r="BQ542" s="4" t="n">
        <f aca="false">IF(R542="-",1,0)</f>
        <v>0</v>
      </c>
    </row>
    <row r="543" customFormat="false" ht="15" hidden="false" customHeight="false" outlineLevel="0" collapsed="false">
      <c r="A543" s="0" t="s">
        <v>2202</v>
      </c>
      <c r="B543" s="0" t="s">
        <v>2203</v>
      </c>
      <c r="C543" s="0" t="s">
        <v>70</v>
      </c>
      <c r="D543" s="0" t="s">
        <v>2222</v>
      </c>
      <c r="E543" s="3" t="n">
        <v>46277</v>
      </c>
      <c r="F543" s="4" t="s">
        <v>2223</v>
      </c>
      <c r="G543" s="5" t="n">
        <v>0.258796296296296</v>
      </c>
      <c r="H543" s="5" t="n">
        <v>0.223564814814815</v>
      </c>
      <c r="I543" s="5" t="n">
        <v>0.000358796296296296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1</v>
      </c>
      <c r="O543" s="5" t="n">
        <v>0</v>
      </c>
      <c r="P543" s="5" t="n">
        <v>0.00260416666666667</v>
      </c>
      <c r="Q543" s="4" t="s">
        <v>2224</v>
      </c>
      <c r="R543" s="4" t="s">
        <v>2187</v>
      </c>
      <c r="S543" s="5" t="n">
        <v>0</v>
      </c>
      <c r="T543" s="5" t="n">
        <v>0.129513888888889</v>
      </c>
      <c r="U543" s="5" t="n">
        <v>0.0690972222222222</v>
      </c>
      <c r="V543" s="5" t="n">
        <v>0.0534722222222222</v>
      </c>
      <c r="W543" s="5" t="n">
        <v>0.000115740740740741</v>
      </c>
      <c r="X543" s="5" t="n">
        <v>0</v>
      </c>
      <c r="Y543" s="5" t="n">
        <v>0</v>
      </c>
      <c r="Z543" s="0" t="n">
        <v>0</v>
      </c>
      <c r="AA543" s="0" t="n">
        <v>0</v>
      </c>
      <c r="AB543" s="0" t="n">
        <v>0</v>
      </c>
      <c r="AC543" s="4" t="s">
        <v>81</v>
      </c>
      <c r="AD543" s="4" t="s">
        <v>74</v>
      </c>
      <c r="AE543" s="4" t="s">
        <v>2221</v>
      </c>
      <c r="AF543" s="4" t="s">
        <v>2225</v>
      </c>
      <c r="AG543" s="5" t="n">
        <v>0.190972222222222</v>
      </c>
      <c r="AH543" s="5" t="n">
        <v>0.139837962962963</v>
      </c>
      <c r="AI543" s="5" t="n">
        <v>0</v>
      </c>
      <c r="AJ543" s="5" t="n">
        <v>0</v>
      </c>
      <c r="AK543" s="5" t="n">
        <v>0</v>
      </c>
      <c r="AL543" s="5" t="n">
        <v>0</v>
      </c>
      <c r="AM543" s="4" t="s">
        <v>78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  <c r="AU543" s="0" t="n">
        <v>1</v>
      </c>
      <c r="AV543" s="0" t="n">
        <v>0</v>
      </c>
      <c r="AW543" s="0" t="n">
        <v>0</v>
      </c>
      <c r="AX543" s="0" t="n">
        <v>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0</v>
      </c>
      <c r="BF543" s="0" t="n">
        <v>0</v>
      </c>
      <c r="BG543" s="0" t="n">
        <v>0</v>
      </c>
      <c r="BH543" s="0" t="n">
        <v>0</v>
      </c>
      <c r="BI543" s="0" t="n">
        <v>0</v>
      </c>
      <c r="BJ543" s="0" t="n">
        <v>0</v>
      </c>
      <c r="BK543" s="0" t="n">
        <v>0</v>
      </c>
      <c r="BM543" s="6" t="n">
        <f aca="false">IFERROR(VALUE(F543),"")</f>
        <v>121</v>
      </c>
      <c r="BN543" s="6" t="n">
        <f aca="false">IF(R543="-","",IFERROR(VALUE(LEFT(Q543,LEN(Q543)-2)),""))</f>
        <v>47.5</v>
      </c>
      <c r="BO543" s="6" t="n">
        <f aca="false">IF(R543="-","",IFERROR(VALUE(LEFT(R543,LEN(R543)-5)),""))</f>
        <v>2.55</v>
      </c>
      <c r="BP543" s="6" t="n">
        <f aca="false">IF(R543="-","",IFERROR(VALUE(F543),""))</f>
        <v>121</v>
      </c>
      <c r="BQ543" s="4" t="n">
        <f aca="false">IF(R543="-",1,0)</f>
        <v>0</v>
      </c>
    </row>
    <row r="544" customFormat="false" ht="15" hidden="false" customHeight="false" outlineLevel="0" collapsed="false">
      <c r="A544" s="0" t="s">
        <v>2202</v>
      </c>
      <c r="B544" s="0" t="s">
        <v>2203</v>
      </c>
      <c r="C544" s="0" t="s">
        <v>70</v>
      </c>
      <c r="E544" s="3" t="n">
        <v>46278</v>
      </c>
      <c r="F544" s="4" t="s">
        <v>95</v>
      </c>
      <c r="G544" s="5" t="n">
        <v>0.00302083333333333</v>
      </c>
      <c r="H544" s="5" t="n">
        <v>0</v>
      </c>
      <c r="I544" s="5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5" t="n">
        <v>0</v>
      </c>
      <c r="P544" s="5" t="n">
        <v>0</v>
      </c>
      <c r="Q544" s="4" t="s">
        <v>73</v>
      </c>
      <c r="R544" s="4" t="s">
        <v>73</v>
      </c>
      <c r="S544" s="5" t="n">
        <v>0</v>
      </c>
      <c r="T544" s="5" t="n">
        <v>0</v>
      </c>
      <c r="U544" s="5" t="n">
        <v>0</v>
      </c>
      <c r="V544" s="5" t="n">
        <v>0</v>
      </c>
      <c r="W544" s="5" t="n">
        <v>0</v>
      </c>
      <c r="X544" s="5" t="n">
        <v>0</v>
      </c>
      <c r="Y544" s="5" t="n">
        <v>0</v>
      </c>
      <c r="Z544" s="0" t="n">
        <v>0</v>
      </c>
      <c r="AA544" s="0" t="n">
        <v>0</v>
      </c>
      <c r="AB544" s="0" t="n">
        <v>0</v>
      </c>
      <c r="AC544" s="4" t="s">
        <v>74</v>
      </c>
      <c r="AD544" s="4" t="s">
        <v>74</v>
      </c>
      <c r="AE544" s="4" t="s">
        <v>2225</v>
      </c>
      <c r="AF544" s="4" t="s">
        <v>2225</v>
      </c>
      <c r="AG544" s="5" t="n">
        <v>0</v>
      </c>
      <c r="AH544" s="5" t="n">
        <v>0.0034837962962963</v>
      </c>
      <c r="AI544" s="5" t="n">
        <v>0</v>
      </c>
      <c r="AJ544" s="5" t="n">
        <v>0</v>
      </c>
      <c r="AK544" s="5" t="n">
        <v>0</v>
      </c>
      <c r="AL544" s="5" t="n">
        <v>0</v>
      </c>
      <c r="AM544" s="4" t="s">
        <v>78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  <c r="AU544" s="0" t="n">
        <v>0</v>
      </c>
      <c r="AV544" s="0" t="n">
        <v>0</v>
      </c>
      <c r="AW544" s="0" t="n">
        <v>0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0</v>
      </c>
      <c r="BF544" s="0" t="n">
        <v>0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M544" s="6" t="n">
        <f aca="false">IFERROR(VALUE(F544),"")</f>
        <v>0</v>
      </c>
      <c r="BN544" s="6" t="str">
        <f aca="false">IF(R544="-","",IFERROR(VALUE(LEFT(Q544,LEN(Q544)-2)),""))</f>
        <v/>
      </c>
      <c r="BO544" s="6" t="str">
        <f aca="false">IF(R544="-","",IFERROR(VALUE(LEFT(R544,LEN(R544)-5)),""))</f>
        <v/>
      </c>
      <c r="BP544" s="6" t="str">
        <f aca="false">IF(R544="-","",IFERROR(VALUE(F544),""))</f>
        <v/>
      </c>
      <c r="BQ544" s="4" t="n">
        <f aca="false">IF(R544="-",1,0)</f>
        <v>1</v>
      </c>
    </row>
    <row r="545" customFormat="false" ht="15" hidden="false" customHeight="false" outlineLevel="0" collapsed="false">
      <c r="A545" s="0" t="s">
        <v>2202</v>
      </c>
      <c r="B545" s="0" t="s">
        <v>2203</v>
      </c>
      <c r="C545" s="0" t="s">
        <v>70</v>
      </c>
      <c r="D545" s="0" t="s">
        <v>2226</v>
      </c>
      <c r="E545" s="3" t="n">
        <v>46279</v>
      </c>
      <c r="F545" s="4" t="s">
        <v>2227</v>
      </c>
      <c r="G545" s="5" t="n">
        <v>0.379247685185185</v>
      </c>
      <c r="H545" s="5" t="n">
        <v>0.334548611111111</v>
      </c>
      <c r="I545" s="5" t="n">
        <v>0.00087962962962963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5" t="n">
        <v>0</v>
      </c>
      <c r="P545" s="5" t="n">
        <v>0.0272337962962963</v>
      </c>
      <c r="Q545" s="4" t="s">
        <v>2228</v>
      </c>
      <c r="R545" s="4" t="s">
        <v>1108</v>
      </c>
      <c r="S545" s="5" t="n">
        <v>0</v>
      </c>
      <c r="T545" s="5" t="n">
        <v>0.164699074074074</v>
      </c>
      <c r="U545" s="5" t="n">
        <v>0.13912037037037</v>
      </c>
      <c r="V545" s="5" t="n">
        <v>0.0604166666666667</v>
      </c>
      <c r="W545" s="5" t="n">
        <v>0</v>
      </c>
      <c r="X545" s="5" t="n">
        <v>0</v>
      </c>
      <c r="Y545" s="5" t="n">
        <v>0</v>
      </c>
      <c r="Z545" s="0" t="n">
        <v>0</v>
      </c>
      <c r="AA545" s="0" t="n">
        <v>0</v>
      </c>
      <c r="AB545" s="0" t="n">
        <v>0</v>
      </c>
      <c r="AC545" s="4" t="s">
        <v>74</v>
      </c>
      <c r="AD545" s="4" t="s">
        <v>75</v>
      </c>
      <c r="AE545" s="4" t="s">
        <v>2225</v>
      </c>
      <c r="AF545" s="4" t="s">
        <v>2229</v>
      </c>
      <c r="AG545" s="5" t="n">
        <v>0.295196759259259</v>
      </c>
      <c r="AH545" s="5" t="n">
        <v>0.177997685185185</v>
      </c>
      <c r="AI545" s="5" t="n">
        <v>0</v>
      </c>
      <c r="AJ545" s="5" t="n">
        <v>0</v>
      </c>
      <c r="AK545" s="5" t="n">
        <v>0</v>
      </c>
      <c r="AL545" s="5" t="n">
        <v>0</v>
      </c>
      <c r="AM545" s="4" t="s">
        <v>78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  <c r="AU545" s="0" t="n">
        <v>5</v>
      </c>
      <c r="AV545" s="0" t="n">
        <v>0</v>
      </c>
      <c r="AW545" s="0" t="n">
        <v>0</v>
      </c>
      <c r="AX545" s="0" t="n">
        <v>0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0" t="n">
        <v>0</v>
      </c>
      <c r="BE545" s="0" t="n">
        <v>0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M545" s="6" t="n">
        <f aca="false">IFERROR(VALUE(F545),"")</f>
        <v>185.46</v>
      </c>
      <c r="BN545" s="6" t="n">
        <f aca="false">IF(R545="-","",IFERROR(VALUE(LEFT(Q545,LEN(Q545)-2)),""))</f>
        <v>71.5</v>
      </c>
      <c r="BO545" s="6" t="n">
        <f aca="false">IF(R545="-","",IFERROR(VALUE(LEFT(R545,LEN(R545)-5)),""))</f>
        <v>2.59</v>
      </c>
      <c r="BP545" s="6" t="n">
        <f aca="false">IF(R545="-","",IFERROR(VALUE(F545),""))</f>
        <v>185.46</v>
      </c>
      <c r="BQ545" s="4" t="n">
        <f aca="false">IF(R545="-",1,0)</f>
        <v>0</v>
      </c>
    </row>
    <row r="546" customFormat="false" ht="15" hidden="false" customHeight="false" outlineLevel="0" collapsed="false">
      <c r="A546" s="0" t="s">
        <v>2230</v>
      </c>
      <c r="B546" s="0" t="s">
        <v>2231</v>
      </c>
      <c r="C546" s="0" t="s">
        <v>70</v>
      </c>
      <c r="D546" s="0" t="s">
        <v>2232</v>
      </c>
      <c r="E546" s="3" t="n">
        <v>46273</v>
      </c>
      <c r="F546" s="4" t="s">
        <v>2233</v>
      </c>
      <c r="G546" s="5" t="n">
        <v>0.48255787037037</v>
      </c>
      <c r="H546" s="5" t="n">
        <v>0.480949074074074</v>
      </c>
      <c r="I546" s="5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5" t="n">
        <v>0</v>
      </c>
      <c r="P546" s="5" t="n">
        <v>0</v>
      </c>
      <c r="Q546" s="4" t="s">
        <v>2234</v>
      </c>
      <c r="R546" s="4" t="s">
        <v>319</v>
      </c>
      <c r="S546" s="5" t="n">
        <v>0</v>
      </c>
      <c r="T546" s="5" t="n">
        <v>0.208101851851852</v>
      </c>
      <c r="U546" s="5" t="n">
        <v>0.172337962962963</v>
      </c>
      <c r="V546" s="5" t="n">
        <v>0.0876157407407407</v>
      </c>
      <c r="W546" s="5" t="n">
        <v>0</v>
      </c>
      <c r="X546" s="5" t="n">
        <v>0</v>
      </c>
      <c r="Y546" s="5" t="n">
        <v>0</v>
      </c>
      <c r="Z546" s="0" t="n">
        <v>0</v>
      </c>
      <c r="AA546" s="0" t="n">
        <v>0</v>
      </c>
      <c r="AB546" s="0" t="n">
        <v>0</v>
      </c>
      <c r="AC546" s="4" t="s">
        <v>228</v>
      </c>
      <c r="AD546" s="4" t="s">
        <v>2197</v>
      </c>
      <c r="AE546" s="4" t="s">
        <v>2235</v>
      </c>
      <c r="AF546" s="4" t="s">
        <v>2236</v>
      </c>
      <c r="AG546" s="5" t="n">
        <v>0.396979166666667</v>
      </c>
      <c r="AH546" s="5" t="n">
        <v>0.136087962962963</v>
      </c>
      <c r="AI546" s="5" t="n">
        <v>0</v>
      </c>
      <c r="AJ546" s="5" t="n">
        <v>0</v>
      </c>
      <c r="AK546" s="5" t="n">
        <v>0</v>
      </c>
      <c r="AL546" s="5" t="n">
        <v>0</v>
      </c>
      <c r="AM546" s="4" t="s">
        <v>78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9</v>
      </c>
      <c r="AV546" s="0" t="n">
        <v>0</v>
      </c>
      <c r="AW546" s="0" t="n">
        <v>0</v>
      </c>
      <c r="AX546" s="0" t="n">
        <v>0</v>
      </c>
      <c r="AY546" s="0" t="n">
        <v>0</v>
      </c>
      <c r="AZ546" s="0" t="n">
        <v>0</v>
      </c>
      <c r="BA546" s="0" t="n">
        <v>0</v>
      </c>
      <c r="BB546" s="0" t="n">
        <v>0</v>
      </c>
      <c r="BC546" s="0" t="n">
        <v>0</v>
      </c>
      <c r="BD546" s="0" t="n">
        <v>0</v>
      </c>
      <c r="BE546" s="0" t="n">
        <v>0</v>
      </c>
      <c r="BF546" s="0" t="n">
        <v>0</v>
      </c>
      <c r="BG546" s="0" t="n">
        <v>0</v>
      </c>
      <c r="BH546" s="0" t="n">
        <v>0</v>
      </c>
      <c r="BI546" s="0" t="n">
        <v>0</v>
      </c>
      <c r="BJ546" s="0" t="n">
        <v>0</v>
      </c>
      <c r="BK546" s="0" t="n">
        <v>0</v>
      </c>
      <c r="BM546" s="6" t="n">
        <f aca="false">IFERROR(VALUE(F546),"")</f>
        <v>256.43</v>
      </c>
      <c r="BN546" s="6" t="n">
        <f aca="false">IF(R546="-","",IFERROR(VALUE(LEFT(Q546,LEN(Q546)-2)),""))</f>
        <v>91.01</v>
      </c>
      <c r="BO546" s="6" t="n">
        <f aca="false">IF(R546="-","",IFERROR(VALUE(LEFT(R546,LEN(R546)-5)),""))</f>
        <v>2.82</v>
      </c>
      <c r="BP546" s="6" t="n">
        <f aca="false">IF(R546="-","",IFERROR(VALUE(F546),""))</f>
        <v>256.43</v>
      </c>
      <c r="BQ546" s="4" t="n">
        <f aca="false">IF(R546="-",1,0)</f>
        <v>0</v>
      </c>
    </row>
    <row r="547" customFormat="false" ht="15" hidden="false" customHeight="false" outlineLevel="0" collapsed="false">
      <c r="A547" s="0" t="s">
        <v>2230</v>
      </c>
      <c r="B547" s="0" t="s">
        <v>2231</v>
      </c>
      <c r="C547" s="0" t="s">
        <v>70</v>
      </c>
      <c r="D547" s="0" t="s">
        <v>2237</v>
      </c>
      <c r="E547" s="3" t="n">
        <v>46274</v>
      </c>
      <c r="F547" s="4" t="s">
        <v>2238</v>
      </c>
      <c r="G547" s="5" t="n">
        <v>0.404618055555556</v>
      </c>
      <c r="H547" s="5" t="n">
        <v>0.0799074074074074</v>
      </c>
      <c r="I547" s="5" t="n">
        <v>0.00025462962962963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5" t="n">
        <v>0</v>
      </c>
      <c r="P547" s="5" t="n">
        <v>0.0159953703703704</v>
      </c>
      <c r="Q547" s="4" t="s">
        <v>2239</v>
      </c>
      <c r="R547" s="4" t="s">
        <v>1169</v>
      </c>
      <c r="S547" s="5" t="n">
        <v>0</v>
      </c>
      <c r="T547" s="5" t="n">
        <v>0.166898148148148</v>
      </c>
      <c r="U547" s="5" t="n">
        <v>0.122337962962963</v>
      </c>
      <c r="V547" s="5" t="n">
        <v>0.10849537037037</v>
      </c>
      <c r="W547" s="5" t="n">
        <v>0.00111111111111111</v>
      </c>
      <c r="X547" s="5" t="n">
        <v>0</v>
      </c>
      <c r="Y547" s="5" t="n">
        <v>6.94444444444444E-005</v>
      </c>
      <c r="Z547" s="0" t="n">
        <v>0</v>
      </c>
      <c r="AA547" s="0" t="n">
        <v>0</v>
      </c>
      <c r="AB547" s="0" t="n">
        <v>0</v>
      </c>
      <c r="AC547" s="4" t="s">
        <v>2197</v>
      </c>
      <c r="AD547" s="4" t="s">
        <v>828</v>
      </c>
      <c r="AE547" s="4" t="s">
        <v>2236</v>
      </c>
      <c r="AF547" s="4" t="s">
        <v>2240</v>
      </c>
      <c r="AG547" s="5" t="n">
        <v>0.334467592592593</v>
      </c>
      <c r="AH547" s="5" t="n">
        <v>0.149201388888889</v>
      </c>
      <c r="AI547" s="5" t="n">
        <v>0</v>
      </c>
      <c r="AJ547" s="5" t="n">
        <v>0</v>
      </c>
      <c r="AK547" s="5" t="n">
        <v>0</v>
      </c>
      <c r="AL547" s="5" t="n">
        <v>0</v>
      </c>
      <c r="AM547" s="4" t="s">
        <v>78</v>
      </c>
      <c r="AN547" s="0" t="n">
        <v>0</v>
      </c>
      <c r="AO547" s="0" t="n">
        <v>1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1</v>
      </c>
      <c r="AV547" s="0" t="n">
        <v>0</v>
      </c>
      <c r="AW547" s="0" t="n">
        <v>0</v>
      </c>
      <c r="AX547" s="0" t="n">
        <v>0</v>
      </c>
      <c r="AY547" s="0" t="n">
        <v>0</v>
      </c>
      <c r="AZ547" s="0" t="n">
        <v>0</v>
      </c>
      <c r="BA547" s="0" t="n">
        <v>0</v>
      </c>
      <c r="BB547" s="0" t="n">
        <v>0</v>
      </c>
      <c r="BC547" s="0" t="n">
        <v>0</v>
      </c>
      <c r="BD547" s="0" t="n">
        <v>0</v>
      </c>
      <c r="BE547" s="0" t="n">
        <v>0</v>
      </c>
      <c r="BF547" s="0" t="n">
        <v>0</v>
      </c>
      <c r="BG547" s="0" t="n">
        <v>0</v>
      </c>
      <c r="BH547" s="0" t="n">
        <v>0</v>
      </c>
      <c r="BI547" s="0" t="n">
        <v>0</v>
      </c>
      <c r="BJ547" s="0" t="n">
        <v>0</v>
      </c>
      <c r="BK547" s="0" t="n">
        <v>0</v>
      </c>
      <c r="BM547" s="6" t="n">
        <f aca="false">IFERROR(VALUE(F547),"")</f>
        <v>235.29</v>
      </c>
      <c r="BN547" s="6" t="n">
        <f aca="false">IF(R547="-","",IFERROR(VALUE(LEFT(Q547,LEN(Q547)-2)),""))</f>
        <v>89.49</v>
      </c>
      <c r="BO547" s="6" t="n">
        <f aca="false">IF(R547="-","",IFERROR(VALUE(LEFT(R547,LEN(R547)-5)),""))</f>
        <v>2.63</v>
      </c>
      <c r="BP547" s="6" t="n">
        <f aca="false">IF(R547="-","",IFERROR(VALUE(F547),""))</f>
        <v>235.29</v>
      </c>
      <c r="BQ547" s="4" t="n">
        <f aca="false">IF(R547="-",1,0)</f>
        <v>0</v>
      </c>
    </row>
    <row r="548" customFormat="false" ht="15" hidden="false" customHeight="false" outlineLevel="0" collapsed="false">
      <c r="A548" s="0" t="s">
        <v>2230</v>
      </c>
      <c r="B548" s="0" t="s">
        <v>2231</v>
      </c>
      <c r="C548" s="0" t="s">
        <v>70</v>
      </c>
      <c r="D548" s="0" t="s">
        <v>2241</v>
      </c>
      <c r="E548" s="3" t="n">
        <v>46275</v>
      </c>
      <c r="F548" s="4" t="s">
        <v>2242</v>
      </c>
      <c r="G548" s="5" t="n">
        <v>0.367604166666667</v>
      </c>
      <c r="H548" s="5" t="n">
        <v>0.166944444444445</v>
      </c>
      <c r="I548" s="5" t="n">
        <v>0.000439814814814815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5" t="n">
        <v>0</v>
      </c>
      <c r="P548" s="5" t="n">
        <v>0.00706018518518519</v>
      </c>
      <c r="Q548" s="4" t="s">
        <v>2243</v>
      </c>
      <c r="R548" s="4" t="s">
        <v>1375</v>
      </c>
      <c r="S548" s="5" t="n">
        <v>0</v>
      </c>
      <c r="T548" s="5" t="n">
        <v>0.136458333333333</v>
      </c>
      <c r="U548" s="5" t="n">
        <v>0.146180555555556</v>
      </c>
      <c r="V548" s="5" t="n">
        <v>0.0761574074074074</v>
      </c>
      <c r="W548" s="5" t="n">
        <v>0.000578703703703704</v>
      </c>
      <c r="X548" s="5" t="n">
        <v>0</v>
      </c>
      <c r="Y548" s="5" t="n">
        <v>0</v>
      </c>
      <c r="Z548" s="0" t="n">
        <v>0</v>
      </c>
      <c r="AA548" s="0" t="n">
        <v>0</v>
      </c>
      <c r="AB548" s="0" t="n">
        <v>0</v>
      </c>
      <c r="AC548" s="4" t="s">
        <v>828</v>
      </c>
      <c r="AD548" s="4" t="s">
        <v>2244</v>
      </c>
      <c r="AE548" s="4" t="s">
        <v>2240</v>
      </c>
      <c r="AF548" s="4" t="s">
        <v>2245</v>
      </c>
      <c r="AG548" s="5" t="n">
        <v>0.30556712962963</v>
      </c>
      <c r="AH548" s="5" t="n">
        <v>0.127997685185185</v>
      </c>
      <c r="AI548" s="5" t="n">
        <v>0</v>
      </c>
      <c r="AJ548" s="5" t="n">
        <v>0</v>
      </c>
      <c r="AK548" s="5" t="n">
        <v>0</v>
      </c>
      <c r="AL548" s="5" t="n">
        <v>0</v>
      </c>
      <c r="AM548" s="4" t="s">
        <v>78</v>
      </c>
      <c r="AN548" s="0" t="n">
        <v>0</v>
      </c>
      <c r="AO548" s="0" t="n">
        <v>1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  <c r="AU548" s="0" t="n">
        <v>2</v>
      </c>
      <c r="AV548" s="0" t="n">
        <v>0</v>
      </c>
      <c r="AW548" s="0" t="n">
        <v>0</v>
      </c>
      <c r="AX548" s="0" t="n">
        <v>0</v>
      </c>
      <c r="AY548" s="0" t="n">
        <v>0</v>
      </c>
      <c r="AZ548" s="0" t="n">
        <v>0</v>
      </c>
      <c r="BA548" s="0" t="n">
        <v>0</v>
      </c>
      <c r="BB548" s="0" t="n">
        <v>0</v>
      </c>
      <c r="BC548" s="0" t="n">
        <v>0</v>
      </c>
      <c r="BD548" s="0" t="n">
        <v>0</v>
      </c>
      <c r="BE548" s="0" t="n">
        <v>0</v>
      </c>
      <c r="BF548" s="0" t="n">
        <v>0</v>
      </c>
      <c r="BG548" s="0" t="n">
        <v>0</v>
      </c>
      <c r="BH548" s="0" t="n">
        <v>0</v>
      </c>
      <c r="BI548" s="0" t="n">
        <v>0</v>
      </c>
      <c r="BJ548" s="0" t="n">
        <v>0</v>
      </c>
      <c r="BK548" s="0" t="n">
        <v>0</v>
      </c>
      <c r="BM548" s="6" t="n">
        <f aca="false">IFERROR(VALUE(F548),"")</f>
        <v>211.33</v>
      </c>
      <c r="BN548" s="6" t="n">
        <f aca="false">IF(R548="-","",IFERROR(VALUE(LEFT(Q548,LEN(Q548)-2)),""))</f>
        <v>76.51</v>
      </c>
      <c r="BO548" s="6" t="n">
        <f aca="false">IF(R548="-","",IFERROR(VALUE(LEFT(R548,LEN(R548)-5)),""))</f>
        <v>2.76</v>
      </c>
      <c r="BP548" s="6" t="n">
        <f aca="false">IF(R548="-","",IFERROR(VALUE(F548),""))</f>
        <v>211.33</v>
      </c>
      <c r="BQ548" s="4" t="n">
        <f aca="false">IF(R548="-",1,0)</f>
        <v>0</v>
      </c>
    </row>
    <row r="549" customFormat="false" ht="15" hidden="false" customHeight="false" outlineLevel="0" collapsed="false">
      <c r="A549" s="0" t="s">
        <v>2230</v>
      </c>
      <c r="B549" s="0" t="s">
        <v>2231</v>
      </c>
      <c r="C549" s="0" t="s">
        <v>70</v>
      </c>
      <c r="D549" s="0" t="s">
        <v>2241</v>
      </c>
      <c r="E549" s="3" t="n">
        <v>46276</v>
      </c>
      <c r="F549" s="4" t="s">
        <v>2246</v>
      </c>
      <c r="G549" s="5" t="n">
        <v>0.391944444444444</v>
      </c>
      <c r="H549" s="5" t="n">
        <v>0.377060185185185</v>
      </c>
      <c r="I549" s="5" t="n">
        <v>5.78703703703704E-005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5" t="n">
        <v>0</v>
      </c>
      <c r="P549" s="5" t="n">
        <v>0</v>
      </c>
      <c r="Q549" s="4" t="s">
        <v>2247</v>
      </c>
      <c r="R549" s="4" t="s">
        <v>340</v>
      </c>
      <c r="S549" s="5" t="n">
        <v>0</v>
      </c>
      <c r="T549" s="5" t="n">
        <v>0.122800925925926</v>
      </c>
      <c r="U549" s="5" t="n">
        <v>0.17650462962963</v>
      </c>
      <c r="V549" s="5" t="n">
        <v>0.0657407407407407</v>
      </c>
      <c r="W549" s="5" t="n">
        <v>0</v>
      </c>
      <c r="X549" s="5" t="n">
        <v>0</v>
      </c>
      <c r="Y549" s="5" t="n">
        <v>0</v>
      </c>
      <c r="Z549" s="0" t="n">
        <v>0</v>
      </c>
      <c r="AA549" s="0" t="n">
        <v>0</v>
      </c>
      <c r="AB549" s="0" t="n">
        <v>0</v>
      </c>
      <c r="AC549" s="4" t="s">
        <v>2244</v>
      </c>
      <c r="AD549" s="4" t="s">
        <v>2244</v>
      </c>
      <c r="AE549" s="4" t="s">
        <v>2245</v>
      </c>
      <c r="AF549" s="4" t="s">
        <v>2248</v>
      </c>
      <c r="AG549" s="5" t="n">
        <v>0.326782407407407</v>
      </c>
      <c r="AH549" s="5" t="n">
        <v>0.130219907407407</v>
      </c>
      <c r="AI549" s="5" t="n">
        <v>0</v>
      </c>
      <c r="AJ549" s="5" t="n">
        <v>0</v>
      </c>
      <c r="AK549" s="5" t="n">
        <v>0</v>
      </c>
      <c r="AL549" s="5" t="n">
        <v>0</v>
      </c>
      <c r="AM549" s="4" t="s">
        <v>78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  <c r="AU549" s="0" t="n">
        <v>5</v>
      </c>
      <c r="AV549" s="0" t="n">
        <v>0</v>
      </c>
      <c r="AW549" s="0" t="n">
        <v>0</v>
      </c>
      <c r="AX549" s="0" t="n">
        <v>0</v>
      </c>
      <c r="AY549" s="0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0</v>
      </c>
      <c r="BF549" s="0" t="n">
        <v>0</v>
      </c>
      <c r="BG549" s="0" t="n">
        <v>0</v>
      </c>
      <c r="BH549" s="0" t="n">
        <v>0</v>
      </c>
      <c r="BI549" s="0" t="n">
        <v>0</v>
      </c>
      <c r="BJ549" s="0" t="n">
        <v>0</v>
      </c>
      <c r="BK549" s="0" t="n">
        <v>0</v>
      </c>
      <c r="BM549" s="6" t="n">
        <f aca="false">IFERROR(VALUE(F549),"")</f>
        <v>236.18</v>
      </c>
      <c r="BN549" s="6" t="n">
        <f aca="false">IF(R549="-","",IFERROR(VALUE(LEFT(Q549,LEN(Q549)-2)),""))</f>
        <v>81.98</v>
      </c>
      <c r="BO549" s="6" t="n">
        <f aca="false">IF(R549="-","",IFERROR(VALUE(LEFT(R549,LEN(R549)-5)),""))</f>
        <v>2.88</v>
      </c>
      <c r="BP549" s="6" t="n">
        <f aca="false">IF(R549="-","",IFERROR(VALUE(F549),""))</f>
        <v>236.18</v>
      </c>
      <c r="BQ549" s="4" t="n">
        <f aca="false">IF(R549="-",1,0)</f>
        <v>0</v>
      </c>
    </row>
    <row r="550" customFormat="false" ht="15" hidden="false" customHeight="false" outlineLevel="0" collapsed="false">
      <c r="A550" s="0" t="s">
        <v>2230</v>
      </c>
      <c r="B550" s="0" t="s">
        <v>2231</v>
      </c>
      <c r="C550" s="0" t="s">
        <v>70</v>
      </c>
      <c r="D550" s="0" t="s">
        <v>2241</v>
      </c>
      <c r="E550" s="3" t="n">
        <v>46277</v>
      </c>
      <c r="F550" s="4" t="s">
        <v>2249</v>
      </c>
      <c r="G550" s="5" t="n">
        <v>0.417210648148148</v>
      </c>
      <c r="H550" s="5" t="n">
        <v>0.389398148148148</v>
      </c>
      <c r="I550" s="5" t="n">
        <v>8.10185185185185E-005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5" t="n">
        <v>0</v>
      </c>
      <c r="P550" s="5" t="n">
        <v>0</v>
      </c>
      <c r="Q550" s="4" t="s">
        <v>2250</v>
      </c>
      <c r="R550" s="4" t="s">
        <v>2058</v>
      </c>
      <c r="S550" s="5" t="n">
        <v>0</v>
      </c>
      <c r="T550" s="5" t="n">
        <v>0.10775462962963</v>
      </c>
      <c r="U550" s="5" t="n">
        <v>0.191666666666667</v>
      </c>
      <c r="V550" s="5" t="n">
        <v>0.0790509259259259</v>
      </c>
      <c r="W550" s="5" t="n">
        <v>0</v>
      </c>
      <c r="X550" s="5" t="n">
        <v>0</v>
      </c>
      <c r="Y550" s="5" t="n">
        <v>0</v>
      </c>
      <c r="Z550" s="0" t="n">
        <v>0</v>
      </c>
      <c r="AA550" s="0" t="n">
        <v>0</v>
      </c>
      <c r="AB550" s="0" t="n">
        <v>0</v>
      </c>
      <c r="AC550" s="4" t="s">
        <v>828</v>
      </c>
      <c r="AD550" s="4" t="s">
        <v>828</v>
      </c>
      <c r="AE550" s="4" t="s">
        <v>2248</v>
      </c>
      <c r="AF550" s="4" t="s">
        <v>2251</v>
      </c>
      <c r="AG550" s="5" t="n">
        <v>0.348402777777778</v>
      </c>
      <c r="AH550" s="5" t="n">
        <v>0.141724537037037</v>
      </c>
      <c r="AI550" s="5" t="n">
        <v>0</v>
      </c>
      <c r="AJ550" s="5" t="n">
        <v>0</v>
      </c>
      <c r="AK550" s="5" t="n">
        <v>0</v>
      </c>
      <c r="AL550" s="5" t="n">
        <v>0</v>
      </c>
      <c r="AM550" s="4" t="s">
        <v>78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3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0</v>
      </c>
      <c r="BF550" s="0" t="n">
        <v>0</v>
      </c>
      <c r="BG550" s="0" t="n">
        <v>0</v>
      </c>
      <c r="BH550" s="0" t="n">
        <v>0</v>
      </c>
      <c r="BI550" s="0" t="n">
        <v>0</v>
      </c>
      <c r="BJ550" s="0" t="n">
        <v>0</v>
      </c>
      <c r="BK550" s="0" t="n">
        <v>0</v>
      </c>
      <c r="BM550" s="6" t="n">
        <f aca="false">IFERROR(VALUE(F550),"")</f>
        <v>269.79</v>
      </c>
      <c r="BN550" s="6" t="n">
        <f aca="false">IF(R550="-","",IFERROR(VALUE(LEFT(Q550,LEN(Q550)-2)),""))</f>
        <v>92</v>
      </c>
      <c r="BO550" s="6" t="n">
        <f aca="false">IF(R550="-","",IFERROR(VALUE(LEFT(R550,LEN(R550)-5)),""))</f>
        <v>2.93</v>
      </c>
      <c r="BP550" s="6" t="n">
        <f aca="false">IF(R550="-","",IFERROR(VALUE(F550),""))</f>
        <v>269.79</v>
      </c>
      <c r="BQ550" s="4" t="n">
        <f aca="false">IF(R550="-",1,0)</f>
        <v>0</v>
      </c>
    </row>
    <row r="551" customFormat="false" ht="15" hidden="false" customHeight="false" outlineLevel="0" collapsed="false">
      <c r="A551" s="0" t="s">
        <v>2230</v>
      </c>
      <c r="B551" s="0" t="s">
        <v>2231</v>
      </c>
      <c r="C551" s="0" t="s">
        <v>70</v>
      </c>
      <c r="D551" s="0" t="s">
        <v>2241</v>
      </c>
      <c r="E551" s="3" t="n">
        <v>46278</v>
      </c>
      <c r="F551" s="4" t="s">
        <v>2252</v>
      </c>
      <c r="G551" s="5" t="n">
        <v>0.406388888888889</v>
      </c>
      <c r="H551" s="5" t="n">
        <v>0.382800925925926</v>
      </c>
      <c r="I551" s="5" t="n">
        <v>4.62962962962963E-005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5" t="n">
        <v>0</v>
      </c>
      <c r="P551" s="5" t="n">
        <v>0.0213541666666667</v>
      </c>
      <c r="Q551" s="4" t="s">
        <v>2253</v>
      </c>
      <c r="R551" s="4" t="s">
        <v>870</v>
      </c>
      <c r="S551" s="5" t="n">
        <v>0</v>
      </c>
      <c r="T551" s="5" t="n">
        <v>0.14375</v>
      </c>
      <c r="U551" s="5" t="n">
        <v>0.165740740740741</v>
      </c>
      <c r="V551" s="5" t="n">
        <v>0.078125</v>
      </c>
      <c r="W551" s="5" t="n">
        <v>0</v>
      </c>
      <c r="X551" s="5" t="n">
        <v>0</v>
      </c>
      <c r="Y551" s="5" t="n">
        <v>0</v>
      </c>
      <c r="Z551" s="0" t="n">
        <v>0</v>
      </c>
      <c r="AA551" s="0" t="n">
        <v>0</v>
      </c>
      <c r="AB551" s="0" t="n">
        <v>0</v>
      </c>
      <c r="AC551" s="4" t="s">
        <v>828</v>
      </c>
      <c r="AD551" s="4" t="s">
        <v>828</v>
      </c>
      <c r="AE551" s="4" t="s">
        <v>2251</v>
      </c>
      <c r="AF551" s="4" t="s">
        <v>2254</v>
      </c>
      <c r="AG551" s="5" t="n">
        <v>0.313287037037037</v>
      </c>
      <c r="AH551" s="5" t="n">
        <v>0.154872685185185</v>
      </c>
      <c r="AI551" s="5" t="n">
        <v>0</v>
      </c>
      <c r="AJ551" s="5" t="n">
        <v>0</v>
      </c>
      <c r="AK551" s="5" t="n">
        <v>0</v>
      </c>
      <c r="AL551" s="5" t="n">
        <v>0</v>
      </c>
      <c r="AM551" s="4" t="s">
        <v>78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3</v>
      </c>
      <c r="AV551" s="0" t="n">
        <v>0</v>
      </c>
      <c r="AW551" s="0" t="n">
        <v>0</v>
      </c>
      <c r="AX551" s="0" t="n">
        <v>0</v>
      </c>
      <c r="AY551" s="0" t="n">
        <v>0</v>
      </c>
      <c r="AZ551" s="0" t="n">
        <v>0</v>
      </c>
      <c r="BA551" s="0" t="n">
        <v>0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0</v>
      </c>
      <c r="BG551" s="0" t="n">
        <v>0</v>
      </c>
      <c r="BH551" s="0" t="n">
        <v>0</v>
      </c>
      <c r="BI551" s="0" t="n">
        <v>0</v>
      </c>
      <c r="BJ551" s="0" t="n">
        <v>0</v>
      </c>
      <c r="BK551" s="0" t="n">
        <v>0</v>
      </c>
      <c r="BM551" s="6" t="n">
        <f aca="false">IFERROR(VALUE(F551),"")</f>
        <v>255.45</v>
      </c>
      <c r="BN551" s="6" t="n">
        <f aca="false">IF(R551="-","",IFERROR(VALUE(LEFT(Q551,LEN(Q551)-2)),""))</f>
        <v>86.02</v>
      </c>
      <c r="BO551" s="6" t="n">
        <f aca="false">IF(R551="-","",IFERROR(VALUE(LEFT(R551,LEN(R551)-5)),""))</f>
        <v>2.97</v>
      </c>
      <c r="BP551" s="6" t="n">
        <f aca="false">IF(R551="-","",IFERROR(VALUE(F551),""))</f>
        <v>255.45</v>
      </c>
      <c r="BQ551" s="4" t="n">
        <f aca="false">IF(R551="-",1,0)</f>
        <v>0</v>
      </c>
    </row>
    <row r="552" customFormat="false" ht="15" hidden="false" customHeight="false" outlineLevel="0" collapsed="false">
      <c r="A552" s="0" t="s">
        <v>2230</v>
      </c>
      <c r="B552" s="0" t="s">
        <v>2231</v>
      </c>
      <c r="C552" s="0" t="s">
        <v>70</v>
      </c>
      <c r="D552" s="0" t="s">
        <v>2241</v>
      </c>
      <c r="E552" s="3" t="n">
        <v>46279</v>
      </c>
      <c r="F552" s="4" t="s">
        <v>2255</v>
      </c>
      <c r="G552" s="5" t="n">
        <v>0.418935185185185</v>
      </c>
      <c r="H552" s="5" t="n">
        <v>0.402685185185185</v>
      </c>
      <c r="I552" s="5" t="n">
        <v>0.000219907407407407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5" t="n">
        <v>0</v>
      </c>
      <c r="P552" s="5" t="n">
        <v>0.0164236111111111</v>
      </c>
      <c r="Q552" s="4" t="s">
        <v>2256</v>
      </c>
      <c r="R552" s="4" t="s">
        <v>1944</v>
      </c>
      <c r="S552" s="5" t="n">
        <v>0</v>
      </c>
      <c r="T552" s="5" t="n">
        <v>0.170833333333333</v>
      </c>
      <c r="U552" s="5" t="n">
        <v>0.165509259259259</v>
      </c>
      <c r="V552" s="5" t="n">
        <v>0.0759259259259259</v>
      </c>
      <c r="W552" s="5" t="n">
        <v>0</v>
      </c>
      <c r="X552" s="5" t="n">
        <v>0</v>
      </c>
      <c r="Y552" s="5" t="n">
        <v>0</v>
      </c>
      <c r="Z552" s="0" t="n">
        <v>0</v>
      </c>
      <c r="AA552" s="0" t="n">
        <v>0</v>
      </c>
      <c r="AB552" s="0" t="n">
        <v>0</v>
      </c>
      <c r="AC552" s="4" t="s">
        <v>2180</v>
      </c>
      <c r="AD552" s="4" t="s">
        <v>2244</v>
      </c>
      <c r="AE552" s="4" t="s">
        <v>2254</v>
      </c>
      <c r="AF552" s="4" t="s">
        <v>2257</v>
      </c>
      <c r="AG552" s="5" t="n">
        <v>0.343171296296296</v>
      </c>
      <c r="AH552" s="5" t="n">
        <v>0.130706018518519</v>
      </c>
      <c r="AI552" s="5" t="n">
        <v>0</v>
      </c>
      <c r="AJ552" s="5" t="n">
        <v>0</v>
      </c>
      <c r="AK552" s="5" t="n">
        <v>0</v>
      </c>
      <c r="AL552" s="5" t="n">
        <v>0</v>
      </c>
      <c r="AM552" s="4" t="s">
        <v>78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8</v>
      </c>
      <c r="AV552" s="0" t="n">
        <v>0</v>
      </c>
      <c r="AW552" s="0" t="n">
        <v>0</v>
      </c>
      <c r="AX552" s="0" t="n">
        <v>0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0</v>
      </c>
      <c r="BE552" s="0" t="n">
        <v>0</v>
      </c>
      <c r="BF552" s="0" t="n">
        <v>0</v>
      </c>
      <c r="BG552" s="0" t="n">
        <v>0</v>
      </c>
      <c r="BH552" s="0" t="n">
        <v>0</v>
      </c>
      <c r="BI552" s="0" t="n">
        <v>0</v>
      </c>
      <c r="BJ552" s="0" t="n">
        <v>0</v>
      </c>
      <c r="BK552" s="0" t="n">
        <v>0</v>
      </c>
      <c r="BM552" s="6" t="n">
        <f aca="false">IFERROR(VALUE(F552),"")</f>
        <v>235.92</v>
      </c>
      <c r="BN552" s="6" t="n">
        <f aca="false">IF(R552="-","",IFERROR(VALUE(LEFT(Q552,LEN(Q552)-2)),""))</f>
        <v>85.98</v>
      </c>
      <c r="BO552" s="6" t="n">
        <f aca="false">IF(R552="-","",IFERROR(VALUE(LEFT(R552,LEN(R552)-5)),""))</f>
        <v>2.74</v>
      </c>
      <c r="BP552" s="6" t="n">
        <f aca="false">IF(R552="-","",IFERROR(VALUE(F552),""))</f>
        <v>235.92</v>
      </c>
      <c r="BQ552" s="4" t="n">
        <f aca="false">IF(R552="-",1,0)</f>
        <v>0</v>
      </c>
    </row>
    <row r="553" customFormat="false" ht="15" hidden="false" customHeight="false" outlineLevel="0" collapsed="false">
      <c r="A553" s="0" t="s">
        <v>2258</v>
      </c>
      <c r="B553" s="0" t="s">
        <v>2259</v>
      </c>
      <c r="C553" s="0" t="s">
        <v>70</v>
      </c>
      <c r="D553" s="0" t="s">
        <v>2260</v>
      </c>
      <c r="E553" s="3" t="n">
        <v>46273</v>
      </c>
      <c r="F553" s="4" t="s">
        <v>2261</v>
      </c>
      <c r="G553" s="5" t="n">
        <v>0.6553125</v>
      </c>
      <c r="H553" s="5" t="n">
        <v>0.644872685185185</v>
      </c>
      <c r="I553" s="5" t="n">
        <v>0.0016087962962963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5" t="n">
        <v>0</v>
      </c>
      <c r="P553" s="5" t="n">
        <v>0</v>
      </c>
      <c r="Q553" s="4" t="s">
        <v>2262</v>
      </c>
      <c r="R553" s="4" t="s">
        <v>1089</v>
      </c>
      <c r="S553" s="5" t="n">
        <v>0</v>
      </c>
      <c r="T553" s="5" t="n">
        <v>0.292824074074074</v>
      </c>
      <c r="U553" s="5" t="n">
        <v>0.182638888888889</v>
      </c>
      <c r="V553" s="5" t="n">
        <v>0.134027777777778</v>
      </c>
      <c r="W553" s="5" t="n">
        <v>0.000462962962962963</v>
      </c>
      <c r="X553" s="5" t="n">
        <v>0</v>
      </c>
      <c r="Y553" s="5" t="n">
        <v>0</v>
      </c>
      <c r="Z553" s="0" t="n">
        <v>0</v>
      </c>
      <c r="AA553" s="0" t="n">
        <v>0</v>
      </c>
      <c r="AB553" s="0" t="n">
        <v>0</v>
      </c>
      <c r="AC553" s="4" t="s">
        <v>81</v>
      </c>
      <c r="AD553" s="4" t="s">
        <v>75</v>
      </c>
      <c r="AE553" s="4" t="s">
        <v>2263</v>
      </c>
      <c r="AF553" s="4" t="s">
        <v>2264</v>
      </c>
      <c r="AG553" s="5" t="n">
        <v>0.492569444444444</v>
      </c>
      <c r="AH553" s="5" t="n">
        <v>0.212534722222222</v>
      </c>
      <c r="AI553" s="5" t="n">
        <v>0</v>
      </c>
      <c r="AJ553" s="5" t="n">
        <v>0</v>
      </c>
      <c r="AK553" s="5" t="n">
        <v>0</v>
      </c>
      <c r="AL553" s="5" t="n">
        <v>0</v>
      </c>
      <c r="AM553" s="4" t="s">
        <v>78</v>
      </c>
      <c r="AN553" s="0" t="n">
        <v>0</v>
      </c>
      <c r="AO553" s="0" t="n">
        <v>1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  <c r="AU553" s="0" t="n">
        <v>19</v>
      </c>
      <c r="AV553" s="0" t="n">
        <v>0</v>
      </c>
      <c r="AW553" s="0" t="n">
        <v>0</v>
      </c>
      <c r="AX553" s="0" t="n">
        <v>0</v>
      </c>
      <c r="AY553" s="0" t="n">
        <v>0</v>
      </c>
      <c r="AZ553" s="0" t="n">
        <v>0</v>
      </c>
      <c r="BA553" s="0" t="n">
        <v>0</v>
      </c>
      <c r="BB553" s="0" t="n">
        <v>0</v>
      </c>
      <c r="BC553" s="0" t="n">
        <v>0</v>
      </c>
      <c r="BD553" s="0" t="n">
        <v>0</v>
      </c>
      <c r="BE553" s="0" t="n">
        <v>0</v>
      </c>
      <c r="BF553" s="0" t="n">
        <v>0</v>
      </c>
      <c r="BG553" s="0" t="n">
        <v>0</v>
      </c>
      <c r="BH553" s="0" t="n">
        <v>0</v>
      </c>
      <c r="BI553" s="0" t="n">
        <v>0</v>
      </c>
      <c r="BJ553" s="0" t="n">
        <v>0</v>
      </c>
      <c r="BK553" s="0" t="n">
        <v>0</v>
      </c>
      <c r="BM553" s="6" t="n">
        <f aca="false">IFERROR(VALUE(F553),"")</f>
        <v>329.91</v>
      </c>
      <c r="BN553" s="6" t="n">
        <f aca="false">IF(R553="-","",IFERROR(VALUE(LEFT(Q553,LEN(Q553)-2)),""))</f>
        <v>136</v>
      </c>
      <c r="BO553" s="6" t="n">
        <f aca="false">IF(R553="-","",IFERROR(VALUE(LEFT(R553,LEN(R553)-5)),""))</f>
        <v>2.43</v>
      </c>
      <c r="BP553" s="6" t="n">
        <f aca="false">IF(R553="-","",IFERROR(VALUE(F553),""))</f>
        <v>329.91</v>
      </c>
      <c r="BQ553" s="4" t="n">
        <f aca="false">IF(R553="-",1,0)</f>
        <v>0</v>
      </c>
    </row>
    <row r="554" customFormat="false" ht="15" hidden="false" customHeight="false" outlineLevel="0" collapsed="false">
      <c r="A554" s="0" t="s">
        <v>2258</v>
      </c>
      <c r="B554" s="0" t="s">
        <v>2259</v>
      </c>
      <c r="C554" s="0" t="s">
        <v>70</v>
      </c>
      <c r="D554" s="0" t="s">
        <v>2265</v>
      </c>
      <c r="E554" s="3" t="n">
        <v>46274</v>
      </c>
      <c r="F554" s="4" t="s">
        <v>2266</v>
      </c>
      <c r="G554" s="5" t="n">
        <v>0.664930555555556</v>
      </c>
      <c r="H554" s="5" t="n">
        <v>0.615115740740741</v>
      </c>
      <c r="I554" s="5" t="n">
        <v>0.0016087962962963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5" t="n">
        <v>0</v>
      </c>
      <c r="P554" s="5" t="n">
        <v>0.00734953703703704</v>
      </c>
      <c r="Q554" s="4" t="s">
        <v>2014</v>
      </c>
      <c r="R554" s="4" t="s">
        <v>1089</v>
      </c>
      <c r="S554" s="5" t="n">
        <v>0</v>
      </c>
      <c r="T554" s="5" t="n">
        <v>0.293518518518519</v>
      </c>
      <c r="U554" s="5" t="n">
        <v>0.173263888888889</v>
      </c>
      <c r="V554" s="5" t="n">
        <v>0.137268518518519</v>
      </c>
      <c r="W554" s="5" t="n">
        <v>0.000231481481481482</v>
      </c>
      <c r="X554" s="5" t="n">
        <v>0</v>
      </c>
      <c r="Y554" s="5" t="n">
        <v>0</v>
      </c>
      <c r="Z554" s="0" t="n">
        <v>0</v>
      </c>
      <c r="AA554" s="0" t="n">
        <v>0</v>
      </c>
      <c r="AB554" s="0" t="n">
        <v>0</v>
      </c>
      <c r="AC554" s="4" t="s">
        <v>81</v>
      </c>
      <c r="AD554" s="4" t="s">
        <v>74</v>
      </c>
      <c r="AE554" s="4" t="s">
        <v>2264</v>
      </c>
      <c r="AF554" s="4" t="s">
        <v>2267</v>
      </c>
      <c r="AG554" s="5" t="n">
        <v>0.48443287037037</v>
      </c>
      <c r="AH554" s="5" t="n">
        <v>0.289386574074074</v>
      </c>
      <c r="AI554" s="5" t="n">
        <v>0.00037037037037037</v>
      </c>
      <c r="AJ554" s="5" t="n">
        <v>0</v>
      </c>
      <c r="AK554" s="5" t="n">
        <v>0</v>
      </c>
      <c r="AL554" s="5" t="n">
        <v>0</v>
      </c>
      <c r="AM554" s="4" t="s">
        <v>78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  <c r="AU554" s="0" t="n">
        <v>17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0</v>
      </c>
      <c r="BE554" s="0" t="n">
        <v>0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M554" s="6" t="n">
        <f aca="false">IFERROR(VALUE(F554),"")</f>
        <v>328.71</v>
      </c>
      <c r="BN554" s="6" t="n">
        <f aca="false">IF(R554="-","",IFERROR(VALUE(LEFT(Q554,LEN(Q554)-2)),""))</f>
        <v>135.01</v>
      </c>
      <c r="BO554" s="6" t="n">
        <f aca="false">IF(R554="-","",IFERROR(VALUE(LEFT(R554,LEN(R554)-5)),""))</f>
        <v>2.43</v>
      </c>
      <c r="BP554" s="6" t="n">
        <f aca="false">IF(R554="-","",IFERROR(VALUE(F554),""))</f>
        <v>328.71</v>
      </c>
      <c r="BQ554" s="4" t="n">
        <f aca="false">IF(R554="-",1,0)</f>
        <v>0</v>
      </c>
    </row>
    <row r="555" customFormat="false" ht="15" hidden="false" customHeight="false" outlineLevel="0" collapsed="false">
      <c r="A555" s="0" t="s">
        <v>2258</v>
      </c>
      <c r="B555" s="0" t="s">
        <v>2259</v>
      </c>
      <c r="C555" s="0" t="s">
        <v>70</v>
      </c>
      <c r="D555" s="0" t="s">
        <v>2265</v>
      </c>
      <c r="E555" s="3" t="n">
        <v>46275</v>
      </c>
      <c r="F555" s="4" t="s">
        <v>2268</v>
      </c>
      <c r="G555" s="5" t="n">
        <v>0.681319444444445</v>
      </c>
      <c r="H555" s="5" t="n">
        <v>0.606944444444444</v>
      </c>
      <c r="I555" s="5" t="n">
        <v>0.00172453703703704</v>
      </c>
      <c r="J555" s="0" t="n">
        <v>0</v>
      </c>
      <c r="K555" s="0" t="n">
        <v>1</v>
      </c>
      <c r="L555" s="0" t="n">
        <v>0</v>
      </c>
      <c r="M555" s="0" t="n">
        <v>0</v>
      </c>
      <c r="N555" s="0" t="n">
        <v>0</v>
      </c>
      <c r="O555" s="5" t="n">
        <v>0</v>
      </c>
      <c r="P555" s="5" t="n">
        <v>0.00707175925925926</v>
      </c>
      <c r="Q555" s="4" t="s">
        <v>2269</v>
      </c>
      <c r="R555" s="4" t="s">
        <v>309</v>
      </c>
      <c r="S555" s="5" t="n">
        <v>0</v>
      </c>
      <c r="T555" s="5" t="n">
        <v>0.294791666666667</v>
      </c>
      <c r="U555" s="5" t="n">
        <v>0.181134259259259</v>
      </c>
      <c r="V555" s="5" t="n">
        <v>0.131712962962963</v>
      </c>
      <c r="W555" s="5" t="n">
        <v>0.000347222222222222</v>
      </c>
      <c r="X555" s="5" t="n">
        <v>0</v>
      </c>
      <c r="Y555" s="5" t="n">
        <v>0</v>
      </c>
      <c r="Z555" s="0" t="n">
        <v>0</v>
      </c>
      <c r="AA555" s="0" t="n">
        <v>0</v>
      </c>
      <c r="AB555" s="0" t="n">
        <v>0</v>
      </c>
      <c r="AC555" s="4" t="s">
        <v>81</v>
      </c>
      <c r="AD555" s="4" t="s">
        <v>74</v>
      </c>
      <c r="AE555" s="4" t="s">
        <v>2267</v>
      </c>
      <c r="AF555" s="4" t="s">
        <v>2270</v>
      </c>
      <c r="AG555" s="5" t="n">
        <v>0.487314814814815</v>
      </c>
      <c r="AH555" s="5" t="n">
        <v>0.260960648148148</v>
      </c>
      <c r="AI555" s="5" t="n">
        <v>0</v>
      </c>
      <c r="AJ555" s="5" t="n">
        <v>0</v>
      </c>
      <c r="AK555" s="5" t="n">
        <v>0</v>
      </c>
      <c r="AL555" s="5" t="n">
        <v>0</v>
      </c>
      <c r="AM555" s="4" t="s">
        <v>78</v>
      </c>
      <c r="AN555" s="0" t="n">
        <v>0</v>
      </c>
      <c r="AO555" s="0" t="n">
        <v>1</v>
      </c>
      <c r="AP555" s="0" t="n">
        <v>0</v>
      </c>
      <c r="AQ555" s="0" t="n">
        <v>0</v>
      </c>
      <c r="AR555" s="0" t="n">
        <v>0</v>
      </c>
      <c r="AS555" s="0" t="n">
        <v>1</v>
      </c>
      <c r="AT555" s="0" t="n">
        <v>0</v>
      </c>
      <c r="AU555" s="0" t="n">
        <v>22</v>
      </c>
      <c r="AV555" s="0" t="n">
        <v>0</v>
      </c>
      <c r="AW555" s="0" t="n">
        <v>0</v>
      </c>
      <c r="AX555" s="0" t="n">
        <v>0</v>
      </c>
      <c r="AY555" s="0" t="n">
        <v>0</v>
      </c>
      <c r="AZ555" s="0" t="n">
        <v>0</v>
      </c>
      <c r="BA555" s="0" t="n">
        <v>0</v>
      </c>
      <c r="BB555" s="0" t="n">
        <v>0</v>
      </c>
      <c r="BC555" s="0" t="n">
        <v>0</v>
      </c>
      <c r="BD555" s="0" t="n">
        <v>0</v>
      </c>
      <c r="BE555" s="0" t="n">
        <v>0</v>
      </c>
      <c r="BF555" s="0" t="n">
        <v>0</v>
      </c>
      <c r="BG555" s="0" t="n">
        <v>0</v>
      </c>
      <c r="BH555" s="0" t="n">
        <v>0</v>
      </c>
      <c r="BI555" s="0" t="n">
        <v>0</v>
      </c>
      <c r="BJ555" s="0" t="n">
        <v>0</v>
      </c>
      <c r="BK555" s="0" t="n">
        <v>0</v>
      </c>
      <c r="BM555" s="6" t="n">
        <f aca="false">IFERROR(VALUE(F555),"")</f>
        <v>328.28</v>
      </c>
      <c r="BN555" s="6" t="n">
        <f aca="false">IF(R555="-","",IFERROR(VALUE(LEFT(Q555,LEN(Q555)-2)),""))</f>
        <v>132.51</v>
      </c>
      <c r="BO555" s="6" t="n">
        <f aca="false">IF(R555="-","",IFERROR(VALUE(LEFT(R555,LEN(R555)-5)),""))</f>
        <v>2.48</v>
      </c>
      <c r="BP555" s="6" t="n">
        <f aca="false">IF(R555="-","",IFERROR(VALUE(F555),""))</f>
        <v>328.28</v>
      </c>
      <c r="BQ555" s="4" t="n">
        <f aca="false">IF(R555="-",1,0)</f>
        <v>0</v>
      </c>
    </row>
    <row r="556" customFormat="false" ht="15" hidden="false" customHeight="false" outlineLevel="0" collapsed="false">
      <c r="A556" s="0" t="s">
        <v>2258</v>
      </c>
      <c r="B556" s="0" t="s">
        <v>2259</v>
      </c>
      <c r="C556" s="0" t="s">
        <v>70</v>
      </c>
      <c r="D556" s="0" t="s">
        <v>2271</v>
      </c>
      <c r="E556" s="3" t="n">
        <v>46276</v>
      </c>
      <c r="F556" s="4" t="s">
        <v>2272</v>
      </c>
      <c r="G556" s="5" t="n">
        <v>0.594074074074074</v>
      </c>
      <c r="H556" s="5" t="n">
        <v>0.0205324074074074</v>
      </c>
      <c r="I556" s="5" t="n">
        <v>0.00261574074074074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5" t="n">
        <v>0</v>
      </c>
      <c r="P556" s="5" t="n">
        <v>0.0145601851851852</v>
      </c>
      <c r="Q556" s="4" t="s">
        <v>2273</v>
      </c>
      <c r="R556" s="4" t="s">
        <v>2274</v>
      </c>
      <c r="S556" s="5" t="n">
        <v>0</v>
      </c>
      <c r="T556" s="5" t="n">
        <v>0.271759259259259</v>
      </c>
      <c r="U556" s="5" t="n">
        <v>0.153240740740741</v>
      </c>
      <c r="V556" s="5" t="n">
        <v>0.150115740740741</v>
      </c>
      <c r="W556" s="5" t="n">
        <v>0.000115740740740741</v>
      </c>
      <c r="X556" s="5" t="n">
        <v>0</v>
      </c>
      <c r="Y556" s="5" t="n">
        <v>0</v>
      </c>
      <c r="Z556" s="0" t="n">
        <v>0</v>
      </c>
      <c r="AA556" s="0" t="n">
        <v>0</v>
      </c>
      <c r="AB556" s="0" t="n">
        <v>0</v>
      </c>
      <c r="AC556" s="4" t="s">
        <v>81</v>
      </c>
      <c r="AD556" s="4" t="s">
        <v>228</v>
      </c>
      <c r="AE556" s="4" t="s">
        <v>2270</v>
      </c>
      <c r="AF556" s="4" t="s">
        <v>2275</v>
      </c>
      <c r="AG556" s="5" t="n">
        <v>0.468599537037037</v>
      </c>
      <c r="AH556" s="5" t="n">
        <v>0.230532407407407</v>
      </c>
      <c r="AI556" s="5" t="n">
        <v>0</v>
      </c>
      <c r="AJ556" s="5" t="n">
        <v>0</v>
      </c>
      <c r="AK556" s="5" t="n">
        <v>0</v>
      </c>
      <c r="AL556" s="5" t="n">
        <v>0</v>
      </c>
      <c r="AM556" s="4" t="s">
        <v>78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17</v>
      </c>
      <c r="AV556" s="0" t="n">
        <v>0</v>
      </c>
      <c r="AW556" s="0" t="n">
        <v>0</v>
      </c>
      <c r="AX556" s="0" t="n">
        <v>0</v>
      </c>
      <c r="AY556" s="0" t="n">
        <v>0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0</v>
      </c>
      <c r="BE556" s="0" t="n">
        <v>0</v>
      </c>
      <c r="BF556" s="0" t="n">
        <v>0</v>
      </c>
      <c r="BG556" s="0" t="n">
        <v>0</v>
      </c>
      <c r="BH556" s="0" t="n">
        <v>0</v>
      </c>
      <c r="BI556" s="0" t="n">
        <v>0</v>
      </c>
      <c r="BJ556" s="0" t="n">
        <v>0</v>
      </c>
      <c r="BK556" s="0" t="n">
        <v>0</v>
      </c>
      <c r="BM556" s="6" t="n">
        <f aca="false">IFERROR(VALUE(F556),"")</f>
        <v>302.41</v>
      </c>
      <c r="BN556" s="6" t="n">
        <f aca="false">IF(R556="-","",IFERROR(VALUE(LEFT(Q556,LEN(Q556)-2)),""))</f>
        <v>126.46</v>
      </c>
      <c r="BO556" s="6" t="n">
        <f aca="false">IF(R556="-","",IFERROR(VALUE(LEFT(R556,LEN(R556)-5)),""))</f>
        <v>2.39</v>
      </c>
      <c r="BP556" s="6" t="n">
        <f aca="false">IF(R556="-","",IFERROR(VALUE(F556),""))</f>
        <v>302.41</v>
      </c>
      <c r="BQ556" s="4" t="n">
        <f aca="false">IF(R556="-",1,0)</f>
        <v>0</v>
      </c>
    </row>
    <row r="557" customFormat="false" ht="15" hidden="false" customHeight="false" outlineLevel="0" collapsed="false">
      <c r="A557" s="0" t="s">
        <v>2258</v>
      </c>
      <c r="B557" s="0" t="s">
        <v>2259</v>
      </c>
      <c r="C557" s="0" t="s">
        <v>70</v>
      </c>
      <c r="D557" s="0" t="s">
        <v>2276</v>
      </c>
      <c r="E557" s="3" t="n">
        <v>46277</v>
      </c>
      <c r="F557" s="4" t="s">
        <v>2277</v>
      </c>
      <c r="G557" s="5" t="n">
        <v>0.447164351851852</v>
      </c>
      <c r="H557" s="5" t="n">
        <v>0.420162037037037</v>
      </c>
      <c r="I557" s="5" t="n">
        <v>0.000625</v>
      </c>
      <c r="J557" s="0" t="n">
        <v>0</v>
      </c>
      <c r="K557" s="0" t="n">
        <v>1</v>
      </c>
      <c r="L557" s="0" t="n">
        <v>0</v>
      </c>
      <c r="M557" s="0" t="n">
        <v>0</v>
      </c>
      <c r="N557" s="0" t="n">
        <v>0</v>
      </c>
      <c r="O557" s="5" t="n">
        <v>0</v>
      </c>
      <c r="P557" s="5" t="n">
        <v>0</v>
      </c>
      <c r="Q557" s="4" t="s">
        <v>2278</v>
      </c>
      <c r="R557" s="4" t="s">
        <v>2220</v>
      </c>
      <c r="S557" s="5" t="n">
        <v>0</v>
      </c>
      <c r="T557" s="5" t="n">
        <v>0.218402777777778</v>
      </c>
      <c r="U557" s="5" t="n">
        <v>0.143171296296296</v>
      </c>
      <c r="V557" s="5" t="n">
        <v>0.0596064814814815</v>
      </c>
      <c r="W557" s="5" t="n">
        <v>0</v>
      </c>
      <c r="X557" s="5" t="n">
        <v>0</v>
      </c>
      <c r="Y557" s="5" t="n">
        <v>0</v>
      </c>
      <c r="Z557" s="0" t="n">
        <v>0</v>
      </c>
      <c r="AA557" s="0" t="n">
        <v>0</v>
      </c>
      <c r="AB557" s="0" t="n">
        <v>0</v>
      </c>
      <c r="AC557" s="4" t="s">
        <v>81</v>
      </c>
      <c r="AD557" s="4" t="s">
        <v>75</v>
      </c>
      <c r="AE557" s="4" t="s">
        <v>2275</v>
      </c>
      <c r="AF557" s="4" t="s">
        <v>2279</v>
      </c>
      <c r="AG557" s="5" t="n">
        <v>0.331944444444444</v>
      </c>
      <c r="AH557" s="5" t="n">
        <v>0.17568287037037</v>
      </c>
      <c r="AI557" s="5" t="n">
        <v>0</v>
      </c>
      <c r="AJ557" s="5" t="n">
        <v>0</v>
      </c>
      <c r="AK557" s="5" t="n">
        <v>0</v>
      </c>
      <c r="AL557" s="5" t="n">
        <v>0</v>
      </c>
      <c r="AM557" s="4" t="s">
        <v>78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  <c r="AU557" s="0" t="n">
        <v>9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0</v>
      </c>
      <c r="BK557" s="0" t="n">
        <v>0</v>
      </c>
      <c r="BM557" s="6" t="n">
        <f aca="false">IFERROR(VALUE(F557),"")</f>
        <v>206.44</v>
      </c>
      <c r="BN557" s="6" t="n">
        <f aca="false">IF(R557="-","",IFERROR(VALUE(LEFT(Q557,LEN(Q557)-2)),""))</f>
        <v>84.51</v>
      </c>
      <c r="BO557" s="6" t="n">
        <f aca="false">IF(R557="-","",IFERROR(VALUE(LEFT(R557,LEN(R557)-5)),""))</f>
        <v>2.44</v>
      </c>
      <c r="BP557" s="6" t="n">
        <f aca="false">IF(R557="-","",IFERROR(VALUE(F557),""))</f>
        <v>206.44</v>
      </c>
      <c r="BQ557" s="4" t="n">
        <f aca="false">IF(R557="-",1,0)</f>
        <v>0</v>
      </c>
    </row>
    <row r="558" customFormat="false" ht="15" hidden="false" customHeight="false" outlineLevel="0" collapsed="false">
      <c r="A558" s="0" t="s">
        <v>2258</v>
      </c>
      <c r="B558" s="0" t="s">
        <v>2259</v>
      </c>
      <c r="C558" s="0" t="s">
        <v>70</v>
      </c>
      <c r="D558" s="0" t="s">
        <v>2280</v>
      </c>
      <c r="E558" s="3" t="n">
        <v>46278</v>
      </c>
      <c r="F558" s="4" t="s">
        <v>2281</v>
      </c>
      <c r="G558" s="5" t="n">
        <v>0.673900462962963</v>
      </c>
      <c r="H558" s="5" t="n">
        <v>0.649675925925926</v>
      </c>
      <c r="I558" s="5" t="n">
        <v>0.0041087962962963</v>
      </c>
      <c r="J558" s="0" t="n">
        <v>0</v>
      </c>
      <c r="K558" s="0" t="n">
        <v>1</v>
      </c>
      <c r="L558" s="0" t="n">
        <v>0</v>
      </c>
      <c r="M558" s="0" t="n">
        <v>0</v>
      </c>
      <c r="N558" s="0" t="n">
        <v>0</v>
      </c>
      <c r="O558" s="5" t="n">
        <v>0</v>
      </c>
      <c r="P558" s="5" t="n">
        <v>0.0296990740740741</v>
      </c>
      <c r="Q558" s="4" t="s">
        <v>2282</v>
      </c>
      <c r="R558" s="4" t="s">
        <v>1685</v>
      </c>
      <c r="S558" s="5" t="n">
        <v>0</v>
      </c>
      <c r="T558" s="5" t="n">
        <v>0.329398148148148</v>
      </c>
      <c r="U558" s="5" t="n">
        <v>0.211574074074074</v>
      </c>
      <c r="V558" s="5" t="n">
        <v>0.10474537037037</v>
      </c>
      <c r="W558" s="5" t="n">
        <v>0</v>
      </c>
      <c r="X558" s="5" t="n">
        <v>0</v>
      </c>
      <c r="Y558" s="5" t="n">
        <v>0</v>
      </c>
      <c r="Z558" s="0" t="n">
        <v>0</v>
      </c>
      <c r="AA558" s="0" t="n">
        <v>0</v>
      </c>
      <c r="AB558" s="0" t="n">
        <v>0</v>
      </c>
      <c r="AC558" s="4" t="s">
        <v>81</v>
      </c>
      <c r="AD558" s="4" t="s">
        <v>74</v>
      </c>
      <c r="AE558" s="4" t="s">
        <v>2279</v>
      </c>
      <c r="AF558" s="4" t="s">
        <v>2283</v>
      </c>
      <c r="AG558" s="5" t="n">
        <v>0.489016203703704</v>
      </c>
      <c r="AH558" s="5" t="n">
        <v>0.233969907407407</v>
      </c>
      <c r="AI558" s="5" t="n">
        <v>0</v>
      </c>
      <c r="AJ558" s="5" t="n">
        <v>0</v>
      </c>
      <c r="AK558" s="5" t="n">
        <v>0</v>
      </c>
      <c r="AL558" s="5" t="n">
        <v>0</v>
      </c>
      <c r="AM558" s="4" t="s">
        <v>78</v>
      </c>
      <c r="AN558" s="0" t="n">
        <v>0</v>
      </c>
      <c r="AO558" s="0" t="n">
        <v>1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  <c r="AU558" s="0" t="n">
        <v>7</v>
      </c>
      <c r="AV558" s="0" t="n">
        <v>0</v>
      </c>
      <c r="AW558" s="0" t="n">
        <v>0</v>
      </c>
      <c r="AX558" s="0" t="n">
        <v>0</v>
      </c>
      <c r="AY558" s="0" t="n">
        <v>0</v>
      </c>
      <c r="AZ558" s="0" t="n">
        <v>0</v>
      </c>
      <c r="BA558" s="0" t="n">
        <v>0</v>
      </c>
      <c r="BB558" s="0" t="n">
        <v>0</v>
      </c>
      <c r="BC558" s="0" t="n">
        <v>0</v>
      </c>
      <c r="BD558" s="0" t="n">
        <v>0</v>
      </c>
      <c r="BE558" s="0" t="n">
        <v>0</v>
      </c>
      <c r="BF558" s="0" t="n">
        <v>0</v>
      </c>
      <c r="BG558" s="0" t="n">
        <v>0</v>
      </c>
      <c r="BH558" s="0" t="n">
        <v>0</v>
      </c>
      <c r="BI558" s="0" t="n">
        <v>0</v>
      </c>
      <c r="BJ558" s="0" t="n">
        <v>0</v>
      </c>
      <c r="BK558" s="0" t="n">
        <v>0</v>
      </c>
      <c r="BM558" s="6" t="n">
        <f aca="false">IFERROR(VALUE(F558),"")</f>
        <v>355.33</v>
      </c>
      <c r="BN558" s="6" t="n">
        <f aca="false">IF(R558="-","",IFERROR(VALUE(LEFT(Q558,LEN(Q558)-2)),""))</f>
        <v>136.48</v>
      </c>
      <c r="BO558" s="6" t="n">
        <f aca="false">IF(R558="-","",IFERROR(VALUE(LEFT(R558,LEN(R558)-5)),""))</f>
        <v>2.6</v>
      </c>
      <c r="BP558" s="6" t="n">
        <f aca="false">IF(R558="-","",IFERROR(VALUE(F558),""))</f>
        <v>355.33</v>
      </c>
      <c r="BQ558" s="4" t="n">
        <f aca="false">IF(R558="-",1,0)</f>
        <v>0</v>
      </c>
    </row>
    <row r="559" customFormat="false" ht="15" hidden="false" customHeight="false" outlineLevel="0" collapsed="false">
      <c r="A559" s="0" t="s">
        <v>2258</v>
      </c>
      <c r="B559" s="0" t="s">
        <v>2259</v>
      </c>
      <c r="C559" s="0" t="s">
        <v>70</v>
      </c>
      <c r="D559" s="0" t="s">
        <v>2284</v>
      </c>
      <c r="E559" s="3" t="n">
        <v>46279</v>
      </c>
      <c r="F559" s="4" t="s">
        <v>2285</v>
      </c>
      <c r="G559" s="5" t="n">
        <v>0.685775462962963</v>
      </c>
      <c r="H559" s="5" t="n">
        <v>0.662430555555556</v>
      </c>
      <c r="I559" s="5" t="n">
        <v>0.00372685185185185</v>
      </c>
      <c r="J559" s="0" t="n">
        <v>0</v>
      </c>
      <c r="K559" s="0" t="n">
        <v>1</v>
      </c>
      <c r="L559" s="0" t="n">
        <v>0</v>
      </c>
      <c r="M559" s="0" t="n">
        <v>0</v>
      </c>
      <c r="N559" s="0" t="n">
        <v>0</v>
      </c>
      <c r="O559" s="5" t="n">
        <v>0</v>
      </c>
      <c r="P559" s="5" t="n">
        <v>0</v>
      </c>
      <c r="Q559" s="4" t="s">
        <v>2286</v>
      </c>
      <c r="R559" s="4" t="s">
        <v>139</v>
      </c>
      <c r="S559" s="5" t="n">
        <v>0</v>
      </c>
      <c r="T559" s="5" t="n">
        <v>0.310532407407407</v>
      </c>
      <c r="U559" s="5" t="n">
        <v>0.195486111111111</v>
      </c>
      <c r="V559" s="5" t="n">
        <v>0.140740740740741</v>
      </c>
      <c r="W559" s="5" t="n">
        <v>0.000231481481481482</v>
      </c>
      <c r="X559" s="5" t="n">
        <v>0</v>
      </c>
      <c r="Y559" s="5" t="n">
        <v>0</v>
      </c>
      <c r="Z559" s="0" t="n">
        <v>0</v>
      </c>
      <c r="AA559" s="0" t="n">
        <v>0</v>
      </c>
      <c r="AB559" s="0" t="n">
        <v>0</v>
      </c>
      <c r="AC559" s="4" t="s">
        <v>81</v>
      </c>
      <c r="AD559" s="4" t="s">
        <v>74</v>
      </c>
      <c r="AE559" s="4" t="s">
        <v>2283</v>
      </c>
      <c r="AF559" s="4" t="s">
        <v>2287</v>
      </c>
      <c r="AG559" s="5" t="n">
        <v>0.523946759259259</v>
      </c>
      <c r="AH559" s="5" t="n">
        <v>0.224212962962963</v>
      </c>
      <c r="AI559" s="5" t="n">
        <v>0</v>
      </c>
      <c r="AJ559" s="5" t="n">
        <v>0</v>
      </c>
      <c r="AK559" s="5" t="n">
        <v>0</v>
      </c>
      <c r="AL559" s="5" t="n">
        <v>0</v>
      </c>
      <c r="AM559" s="4" t="s">
        <v>78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1</v>
      </c>
      <c r="AS559" s="0" t="n">
        <v>0</v>
      </c>
      <c r="AT559" s="0" t="n">
        <v>0</v>
      </c>
      <c r="AU559" s="0" t="n">
        <v>19</v>
      </c>
      <c r="AV559" s="0" t="n">
        <v>0</v>
      </c>
      <c r="AW559" s="0" t="n">
        <v>0</v>
      </c>
      <c r="AX559" s="0" t="n">
        <v>0</v>
      </c>
      <c r="AY559" s="0" t="n">
        <v>0</v>
      </c>
      <c r="AZ559" s="0" t="n">
        <v>0</v>
      </c>
      <c r="BA559" s="0" t="n">
        <v>0</v>
      </c>
      <c r="BB559" s="0" t="n">
        <v>0</v>
      </c>
      <c r="BC559" s="0" t="n">
        <v>0</v>
      </c>
      <c r="BD559" s="0" t="n">
        <v>0</v>
      </c>
      <c r="BE559" s="0" t="n">
        <v>0</v>
      </c>
      <c r="BF559" s="0" t="n">
        <v>0</v>
      </c>
      <c r="BG559" s="0" t="n">
        <v>0</v>
      </c>
      <c r="BH559" s="0" t="n">
        <v>0</v>
      </c>
      <c r="BI559" s="0" t="n">
        <v>0</v>
      </c>
      <c r="BJ559" s="0" t="n">
        <v>0</v>
      </c>
      <c r="BK559" s="0" t="n">
        <v>0</v>
      </c>
      <c r="BM559" s="6" t="n">
        <f aca="false">IFERROR(VALUE(F559),"")</f>
        <v>358.49</v>
      </c>
      <c r="BN559" s="6" t="n">
        <f aca="false">IF(R559="-","",IFERROR(VALUE(LEFT(Q559,LEN(Q559)-2)),""))</f>
        <v>145.5</v>
      </c>
      <c r="BO559" s="6" t="n">
        <f aca="false">IF(R559="-","",IFERROR(VALUE(LEFT(R559,LEN(R559)-5)),""))</f>
        <v>2.46</v>
      </c>
      <c r="BP559" s="6" t="n">
        <f aca="false">IF(R559="-","",IFERROR(VALUE(F559),""))</f>
        <v>358.49</v>
      </c>
      <c r="BQ559" s="4" t="n">
        <f aca="false">IF(R559="-",1,0)</f>
        <v>0</v>
      </c>
    </row>
    <row r="560" customFormat="false" ht="15" hidden="false" customHeight="false" outlineLevel="0" collapsed="false">
      <c r="A560" s="0" t="s">
        <v>2288</v>
      </c>
      <c r="B560" s="0" t="s">
        <v>2289</v>
      </c>
      <c r="C560" s="0" t="s">
        <v>70</v>
      </c>
      <c r="D560" s="0" t="s">
        <v>2204</v>
      </c>
      <c r="E560" s="3" t="n">
        <v>46275</v>
      </c>
      <c r="F560" s="4" t="s">
        <v>2290</v>
      </c>
      <c r="G560" s="5" t="n">
        <v>0.128634259259259</v>
      </c>
      <c r="H560" s="5" t="n">
        <v>0.0628935185185185</v>
      </c>
      <c r="I560" s="5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5" t="n">
        <v>0</v>
      </c>
      <c r="P560" s="5" t="n">
        <v>0.052962962962963</v>
      </c>
      <c r="Q560" s="4" t="s">
        <v>2291</v>
      </c>
      <c r="R560" s="4" t="s">
        <v>2292</v>
      </c>
      <c r="S560" s="5" t="n">
        <v>0.000115740740740741</v>
      </c>
      <c r="T560" s="5" t="n">
        <v>0.0863425925925926</v>
      </c>
      <c r="U560" s="5" t="n">
        <v>0.0291666666666667</v>
      </c>
      <c r="V560" s="5" t="n">
        <v>0.00902777777777778</v>
      </c>
      <c r="W560" s="5" t="n">
        <v>0.000115740740740741</v>
      </c>
      <c r="X560" s="5" t="n">
        <v>0</v>
      </c>
      <c r="Y560" s="5" t="n">
        <v>0</v>
      </c>
      <c r="Z560" s="0" t="n">
        <v>0</v>
      </c>
      <c r="AA560" s="0" t="n">
        <v>0</v>
      </c>
      <c r="AB560" s="0" t="n">
        <v>0</v>
      </c>
      <c r="AC560" s="4" t="s">
        <v>75</v>
      </c>
      <c r="AD560" s="4" t="s">
        <v>2207</v>
      </c>
      <c r="AE560" s="4" t="s">
        <v>2293</v>
      </c>
      <c r="AF560" s="4" t="s">
        <v>2294</v>
      </c>
      <c r="AG560" s="5" t="n">
        <v>0.055474537037037</v>
      </c>
      <c r="AH560" s="5" t="n">
        <v>0.0953935185185185</v>
      </c>
      <c r="AI560" s="5" t="n">
        <v>0</v>
      </c>
      <c r="AJ560" s="5" t="n">
        <v>0</v>
      </c>
      <c r="AK560" s="5" t="n">
        <v>0</v>
      </c>
      <c r="AL560" s="5" t="n">
        <v>0</v>
      </c>
      <c r="AM560" s="4" t="s">
        <v>78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1</v>
      </c>
      <c r="AV560" s="0" t="n">
        <v>0</v>
      </c>
      <c r="AW560" s="0" t="n">
        <v>0</v>
      </c>
      <c r="AX560" s="0" t="n">
        <v>0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0</v>
      </c>
      <c r="BE560" s="0" t="n">
        <v>0</v>
      </c>
      <c r="BF560" s="0" t="n">
        <v>0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0</v>
      </c>
      <c r="BM560" s="6" t="n">
        <f aca="false">IFERROR(VALUE(F560),"")</f>
        <v>28.92</v>
      </c>
      <c r="BN560" s="6" t="n">
        <f aca="false">IF(R560="-","",IFERROR(VALUE(LEFT(Q560,LEN(Q560)-2)),""))</f>
        <v>16</v>
      </c>
      <c r="BO560" s="6" t="n">
        <f aca="false">IF(R560="-","",IFERROR(VALUE(LEFT(R560,LEN(R560)-5)),""))</f>
        <v>1.81</v>
      </c>
      <c r="BP560" s="6" t="n">
        <f aca="false">IF(R560="-","",IFERROR(VALUE(F560),""))</f>
        <v>28.92</v>
      </c>
      <c r="BQ560" s="4" t="n">
        <f aca="false">IF(R560="-",1,0)</f>
        <v>0</v>
      </c>
    </row>
    <row r="561" customFormat="false" ht="15" hidden="false" customHeight="false" outlineLevel="0" collapsed="false">
      <c r="A561" s="0" t="s">
        <v>2288</v>
      </c>
      <c r="B561" s="0" t="s">
        <v>2289</v>
      </c>
      <c r="C561" s="0" t="s">
        <v>70</v>
      </c>
      <c r="D561" s="0" t="s">
        <v>2204</v>
      </c>
      <c r="E561" s="3" t="n">
        <v>46276</v>
      </c>
      <c r="F561" s="4" t="s">
        <v>2295</v>
      </c>
      <c r="G561" s="5" t="n">
        <v>0.41494212962963</v>
      </c>
      <c r="H561" s="5" t="n">
        <v>0.358460648148148</v>
      </c>
      <c r="I561" s="5" t="n">
        <v>0.00037037037037037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5" t="n">
        <v>0</v>
      </c>
      <c r="P561" s="5" t="n">
        <v>0.0178356481481482</v>
      </c>
      <c r="Q561" s="4" t="s">
        <v>2296</v>
      </c>
      <c r="R561" s="4" t="s">
        <v>448</v>
      </c>
      <c r="S561" s="5" t="n">
        <v>0</v>
      </c>
      <c r="T561" s="5" t="n">
        <v>0.143287037037037</v>
      </c>
      <c r="U561" s="5" t="n">
        <v>0.174884259259259</v>
      </c>
      <c r="V561" s="5" t="n">
        <v>0.0907407407407408</v>
      </c>
      <c r="W561" s="5" t="n">
        <v>0</v>
      </c>
      <c r="X561" s="5" t="n">
        <v>0</v>
      </c>
      <c r="Y561" s="5" t="n">
        <v>0</v>
      </c>
      <c r="Z561" s="0" t="n">
        <v>0</v>
      </c>
      <c r="AA561" s="0" t="n">
        <v>0</v>
      </c>
      <c r="AB561" s="0" t="n">
        <v>0</v>
      </c>
      <c r="AC561" s="4" t="s">
        <v>2207</v>
      </c>
      <c r="AD561" s="4" t="s">
        <v>828</v>
      </c>
      <c r="AE561" s="4" t="s">
        <v>2294</v>
      </c>
      <c r="AF561" s="4" t="s">
        <v>2297</v>
      </c>
      <c r="AG561" s="5" t="n">
        <v>0.355844907407407</v>
      </c>
      <c r="AH561" s="5" t="n">
        <v>0.106516203703704</v>
      </c>
      <c r="AI561" s="5" t="n">
        <v>0</v>
      </c>
      <c r="AJ561" s="5" t="n">
        <v>0</v>
      </c>
      <c r="AK561" s="5" t="n">
        <v>0</v>
      </c>
      <c r="AL561" s="5" t="n">
        <v>0</v>
      </c>
      <c r="AM561" s="4" t="s">
        <v>78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0</v>
      </c>
      <c r="AU561" s="0" t="n">
        <v>2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0</v>
      </c>
      <c r="BA561" s="0" t="n">
        <v>0</v>
      </c>
      <c r="BB561" s="0" t="n">
        <v>0</v>
      </c>
      <c r="BC561" s="0" t="n">
        <v>0</v>
      </c>
      <c r="BD561" s="0" t="n">
        <v>0</v>
      </c>
      <c r="BE561" s="0" t="n">
        <v>0</v>
      </c>
      <c r="BF561" s="0" t="n">
        <v>0</v>
      </c>
      <c r="BG561" s="0" t="n">
        <v>0</v>
      </c>
      <c r="BH561" s="0" t="n">
        <v>0</v>
      </c>
      <c r="BI561" s="0" t="n">
        <v>0</v>
      </c>
      <c r="BJ561" s="0" t="n">
        <v>0</v>
      </c>
      <c r="BK561" s="0" t="n">
        <v>0</v>
      </c>
      <c r="BM561" s="6" t="n">
        <f aca="false">IFERROR(VALUE(F561),"")</f>
        <v>254.4</v>
      </c>
      <c r="BN561" s="6" t="n">
        <f aca="false">IF(R561="-","",IFERROR(VALUE(LEFT(Q561,LEN(Q561)-2)),""))</f>
        <v>96</v>
      </c>
      <c r="BO561" s="6" t="n">
        <f aca="false">IF(R561="-","",IFERROR(VALUE(LEFT(R561,LEN(R561)-5)),""))</f>
        <v>2.65</v>
      </c>
      <c r="BP561" s="6" t="n">
        <f aca="false">IF(R561="-","",IFERROR(VALUE(F561),""))</f>
        <v>254.4</v>
      </c>
      <c r="BQ561" s="4" t="n">
        <f aca="false">IF(R561="-",1,0)</f>
        <v>0</v>
      </c>
    </row>
    <row r="562" customFormat="false" ht="15" hidden="false" customHeight="false" outlineLevel="0" collapsed="false">
      <c r="A562" s="0" t="s">
        <v>2288</v>
      </c>
      <c r="B562" s="0" t="s">
        <v>2289</v>
      </c>
      <c r="C562" s="0" t="s">
        <v>70</v>
      </c>
      <c r="E562" s="3" t="n">
        <v>46277</v>
      </c>
      <c r="F562" s="4" t="s">
        <v>95</v>
      </c>
      <c r="G562" s="5" t="n">
        <v>0</v>
      </c>
      <c r="H562" s="5" t="n">
        <v>0</v>
      </c>
      <c r="I562" s="5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5" t="n">
        <v>0</v>
      </c>
      <c r="P562" s="5" t="n">
        <v>0</v>
      </c>
      <c r="Q562" s="4" t="s">
        <v>73</v>
      </c>
      <c r="R562" s="4" t="s">
        <v>73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0</v>
      </c>
      <c r="X562" s="5" t="n">
        <v>0</v>
      </c>
      <c r="Y562" s="5" t="n">
        <v>0</v>
      </c>
      <c r="Z562" s="0" t="n">
        <v>0</v>
      </c>
      <c r="AA562" s="0" t="n">
        <v>0</v>
      </c>
      <c r="AB562" s="0" t="n">
        <v>0</v>
      </c>
      <c r="AE562" s="4" t="s">
        <v>2297</v>
      </c>
      <c r="AF562" s="4" t="s">
        <v>2297</v>
      </c>
      <c r="AG562" s="5" t="n">
        <v>0</v>
      </c>
      <c r="AH562" s="5" t="n">
        <v>0</v>
      </c>
      <c r="AI562" s="5" t="n">
        <v>0</v>
      </c>
      <c r="AJ562" s="5" t="n">
        <v>0</v>
      </c>
      <c r="AK562" s="5" t="n">
        <v>0</v>
      </c>
      <c r="AL562" s="5" t="n">
        <v>0</v>
      </c>
      <c r="AM562" s="4" t="s">
        <v>78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  <c r="AV562" s="0" t="n">
        <v>0</v>
      </c>
      <c r="AW562" s="0" t="n">
        <v>0</v>
      </c>
      <c r="AX562" s="0" t="n">
        <v>0</v>
      </c>
      <c r="AY562" s="0" t="n">
        <v>0</v>
      </c>
      <c r="AZ562" s="0" t="n">
        <v>0</v>
      </c>
      <c r="BA562" s="0" t="n">
        <v>0</v>
      </c>
      <c r="BB562" s="0" t="n">
        <v>0</v>
      </c>
      <c r="BC562" s="0" t="n">
        <v>0</v>
      </c>
      <c r="BD562" s="0" t="n">
        <v>0</v>
      </c>
      <c r="BE562" s="0" t="n">
        <v>0</v>
      </c>
      <c r="BF562" s="0" t="n">
        <v>0</v>
      </c>
      <c r="BG562" s="0" t="n">
        <v>0</v>
      </c>
      <c r="BH562" s="0" t="n">
        <v>0</v>
      </c>
      <c r="BI562" s="0" t="n">
        <v>0</v>
      </c>
      <c r="BJ562" s="0" t="n">
        <v>0</v>
      </c>
      <c r="BK562" s="0" t="n">
        <v>0</v>
      </c>
      <c r="BM562" s="6" t="n">
        <f aca="false">IFERROR(VALUE(F562),"")</f>
        <v>0</v>
      </c>
      <c r="BN562" s="6" t="str">
        <f aca="false">IF(R562="-","",IFERROR(VALUE(LEFT(Q562,LEN(Q562)-2)),""))</f>
        <v/>
      </c>
      <c r="BO562" s="6" t="str">
        <f aca="false">IF(R562="-","",IFERROR(VALUE(LEFT(R562,LEN(R562)-5)),""))</f>
        <v/>
      </c>
      <c r="BP562" s="6" t="str">
        <f aca="false">IF(R562="-","",IFERROR(VALUE(F562),""))</f>
        <v/>
      </c>
      <c r="BQ562" s="4" t="n">
        <f aca="false">IF(R562="-",1,0)</f>
        <v>1</v>
      </c>
    </row>
    <row r="563" customFormat="false" ht="15" hidden="false" customHeight="false" outlineLevel="0" collapsed="false">
      <c r="A563" s="0" t="s">
        <v>2288</v>
      </c>
      <c r="B563" s="0" t="s">
        <v>2289</v>
      </c>
      <c r="C563" s="0" t="s">
        <v>70</v>
      </c>
      <c r="E563" s="3" t="n">
        <v>46278</v>
      </c>
      <c r="F563" s="4" t="s">
        <v>95</v>
      </c>
      <c r="G563" s="5" t="n">
        <v>0</v>
      </c>
      <c r="H563" s="5" t="n">
        <v>0</v>
      </c>
      <c r="I563" s="5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5" t="n">
        <v>0</v>
      </c>
      <c r="P563" s="5" t="n">
        <v>0</v>
      </c>
      <c r="Q563" s="4" t="s">
        <v>73</v>
      </c>
      <c r="R563" s="4" t="s">
        <v>73</v>
      </c>
      <c r="S563" s="5" t="n">
        <v>0</v>
      </c>
      <c r="T563" s="5" t="n">
        <v>0</v>
      </c>
      <c r="U563" s="5" t="n">
        <v>0</v>
      </c>
      <c r="V563" s="5" t="n">
        <v>0</v>
      </c>
      <c r="W563" s="5" t="n">
        <v>0</v>
      </c>
      <c r="X563" s="5" t="n">
        <v>0</v>
      </c>
      <c r="Y563" s="5" t="n">
        <v>0</v>
      </c>
      <c r="Z563" s="0" t="n">
        <v>0</v>
      </c>
      <c r="AA563" s="0" t="n">
        <v>0</v>
      </c>
      <c r="AB563" s="0" t="n">
        <v>0</v>
      </c>
      <c r="AE563" s="4" t="s">
        <v>2297</v>
      </c>
      <c r="AF563" s="4" t="s">
        <v>2297</v>
      </c>
      <c r="AG563" s="5" t="n">
        <v>0</v>
      </c>
      <c r="AH563" s="5" t="n">
        <v>0</v>
      </c>
      <c r="AI563" s="5" t="n">
        <v>0</v>
      </c>
      <c r="AJ563" s="5" t="n">
        <v>0</v>
      </c>
      <c r="AK563" s="5" t="n">
        <v>0</v>
      </c>
      <c r="AL563" s="5" t="n">
        <v>0</v>
      </c>
      <c r="AM563" s="4" t="s">
        <v>78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0</v>
      </c>
      <c r="AU563" s="0" t="n">
        <v>0</v>
      </c>
      <c r="AV563" s="0" t="n">
        <v>0</v>
      </c>
      <c r="AW563" s="0" t="n">
        <v>0</v>
      </c>
      <c r="AX563" s="0" t="n">
        <v>0</v>
      </c>
      <c r="AY563" s="0" t="n">
        <v>0</v>
      </c>
      <c r="AZ563" s="0" t="n">
        <v>0</v>
      </c>
      <c r="BA563" s="0" t="n">
        <v>0</v>
      </c>
      <c r="BB563" s="0" t="n">
        <v>0</v>
      </c>
      <c r="BC563" s="0" t="n">
        <v>0</v>
      </c>
      <c r="BD563" s="0" t="n">
        <v>0</v>
      </c>
      <c r="BE563" s="0" t="n">
        <v>0</v>
      </c>
      <c r="BF563" s="0" t="n">
        <v>0</v>
      </c>
      <c r="BG563" s="0" t="n">
        <v>0</v>
      </c>
      <c r="BH563" s="0" t="n">
        <v>0</v>
      </c>
      <c r="BI563" s="0" t="n">
        <v>0</v>
      </c>
      <c r="BJ563" s="0" t="n">
        <v>0</v>
      </c>
      <c r="BK563" s="0" t="n">
        <v>0</v>
      </c>
      <c r="BM563" s="6" t="n">
        <f aca="false">IFERROR(VALUE(F563),"")</f>
        <v>0</v>
      </c>
      <c r="BN563" s="6" t="str">
        <f aca="false">IF(R563="-","",IFERROR(VALUE(LEFT(Q563,LEN(Q563)-2)),""))</f>
        <v/>
      </c>
      <c r="BO563" s="6" t="str">
        <f aca="false">IF(R563="-","",IFERROR(VALUE(LEFT(R563,LEN(R563)-5)),""))</f>
        <v/>
      </c>
      <c r="BP563" s="6" t="str">
        <f aca="false">IF(R563="-","",IFERROR(VALUE(F563),""))</f>
        <v/>
      </c>
      <c r="BQ563" s="4" t="n">
        <f aca="false">IF(R563="-",1,0)</f>
        <v>1</v>
      </c>
    </row>
    <row r="564" customFormat="false" ht="15" hidden="false" customHeight="false" outlineLevel="0" collapsed="false">
      <c r="A564" s="0" t="s">
        <v>2288</v>
      </c>
      <c r="B564" s="0" t="s">
        <v>2289</v>
      </c>
      <c r="C564" s="0" t="s">
        <v>70</v>
      </c>
      <c r="D564" s="0" t="s">
        <v>2298</v>
      </c>
      <c r="E564" s="3" t="n">
        <v>46279</v>
      </c>
      <c r="F564" s="4" t="s">
        <v>2299</v>
      </c>
      <c r="G564" s="5" t="n">
        <v>0.608344907407407</v>
      </c>
      <c r="H564" s="5" t="n">
        <v>0.56880787037037</v>
      </c>
      <c r="I564" s="5" t="n">
        <v>0.0009375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5" t="n">
        <v>0</v>
      </c>
      <c r="P564" s="5" t="n">
        <v>0</v>
      </c>
      <c r="Q564" s="4" t="s">
        <v>2300</v>
      </c>
      <c r="R564" s="4" t="s">
        <v>2154</v>
      </c>
      <c r="S564" s="5" t="n">
        <v>0</v>
      </c>
      <c r="T564" s="5" t="n">
        <v>0.246759259259259</v>
      </c>
      <c r="U564" s="5" t="n">
        <v>0.190856481481482</v>
      </c>
      <c r="V564" s="5" t="n">
        <v>0.143287037037037</v>
      </c>
      <c r="W564" s="5" t="n">
        <v>0</v>
      </c>
      <c r="X564" s="5" t="n">
        <v>0</v>
      </c>
      <c r="Y564" s="5" t="n">
        <v>0</v>
      </c>
      <c r="Z564" s="0" t="n">
        <v>0</v>
      </c>
      <c r="AA564" s="0" t="n">
        <v>0</v>
      </c>
      <c r="AB564" s="0" t="n">
        <v>0</v>
      </c>
      <c r="AC564" s="4" t="s">
        <v>828</v>
      </c>
      <c r="AD564" s="4" t="s">
        <v>74</v>
      </c>
      <c r="AE564" s="4" t="s">
        <v>2297</v>
      </c>
      <c r="AF564" s="4" t="s">
        <v>2301</v>
      </c>
      <c r="AG564" s="5" t="n">
        <v>0.481041666666667</v>
      </c>
      <c r="AH564" s="5" t="n">
        <v>0.198344907407407</v>
      </c>
      <c r="AI564" s="5" t="n">
        <v>0</v>
      </c>
      <c r="AJ564" s="5" t="n">
        <v>0</v>
      </c>
      <c r="AK564" s="5" t="n">
        <v>0</v>
      </c>
      <c r="AL564" s="5" t="n">
        <v>0</v>
      </c>
      <c r="AM564" s="4" t="s">
        <v>78</v>
      </c>
      <c r="AN564" s="0" t="n">
        <v>0</v>
      </c>
      <c r="AO564" s="0" t="n">
        <v>2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  <c r="AU564" s="0" t="n">
        <v>2</v>
      </c>
      <c r="AV564" s="0" t="n">
        <v>0</v>
      </c>
      <c r="AW564" s="0" t="n">
        <v>0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0" t="n">
        <v>0</v>
      </c>
      <c r="BE564" s="0" t="n">
        <v>0</v>
      </c>
      <c r="BF564" s="0" t="n">
        <v>0</v>
      </c>
      <c r="BG564" s="0" t="n">
        <v>0</v>
      </c>
      <c r="BH564" s="0" t="n">
        <v>0</v>
      </c>
      <c r="BI564" s="0" t="n">
        <v>0</v>
      </c>
      <c r="BJ564" s="0" t="n">
        <v>0</v>
      </c>
      <c r="BK564" s="0" t="n">
        <v>0</v>
      </c>
      <c r="BM564" s="6" t="n">
        <f aca="false">IFERROR(VALUE(F564),"")</f>
        <v>331.34</v>
      </c>
      <c r="BN564" s="6" t="n">
        <f aca="false">IF(R564="-","",IFERROR(VALUE(LEFT(Q564,LEN(Q564)-2)),""))</f>
        <v>128.99</v>
      </c>
      <c r="BO564" s="6" t="n">
        <f aca="false">IF(R564="-","",IFERROR(VALUE(LEFT(R564,LEN(R564)-5)),""))</f>
        <v>2.57</v>
      </c>
      <c r="BP564" s="6" t="n">
        <f aca="false">IF(R564="-","",IFERROR(VALUE(F564),""))</f>
        <v>331.34</v>
      </c>
      <c r="BQ564" s="4" t="n">
        <f aca="false">IF(R564="-",1,0)</f>
        <v>0</v>
      </c>
    </row>
    <row r="565" customFormat="false" ht="15" hidden="false" customHeight="false" outlineLevel="0" collapsed="false">
      <c r="A565" s="0" t="s">
        <v>2302</v>
      </c>
      <c r="B565" s="0" t="s">
        <v>2303</v>
      </c>
      <c r="C565" s="0" t="s">
        <v>70</v>
      </c>
      <c r="D565" s="0" t="s">
        <v>2304</v>
      </c>
      <c r="E565" s="3" t="n">
        <v>46273</v>
      </c>
      <c r="F565" s="4" t="s">
        <v>2305</v>
      </c>
      <c r="G565" s="5" t="n">
        <v>0.749131944444444</v>
      </c>
      <c r="H565" s="5" t="n">
        <v>0.740324074074074</v>
      </c>
      <c r="I565" s="5" t="n">
        <v>0.000393518518518519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5" t="n">
        <v>0</v>
      </c>
      <c r="P565" s="5" t="n">
        <v>0.00706018518518519</v>
      </c>
      <c r="Q565" s="4" t="s">
        <v>2306</v>
      </c>
      <c r="R565" s="4" t="s">
        <v>1179</v>
      </c>
      <c r="S565" s="5" t="n">
        <v>0</v>
      </c>
      <c r="T565" s="5" t="n">
        <v>0.255439814814815</v>
      </c>
      <c r="U565" s="5" t="n">
        <v>0.26724537037037</v>
      </c>
      <c r="V565" s="5" t="n">
        <v>0.173148148148148</v>
      </c>
      <c r="W565" s="5" t="n">
        <v>0</v>
      </c>
      <c r="X565" s="5" t="n">
        <v>0</v>
      </c>
      <c r="Y565" s="5" t="n">
        <v>0</v>
      </c>
      <c r="Z565" s="0" t="n">
        <v>0</v>
      </c>
      <c r="AA565" s="0" t="n">
        <v>0</v>
      </c>
      <c r="AB565" s="0" t="n">
        <v>0</v>
      </c>
      <c r="AC565" s="4" t="s">
        <v>75</v>
      </c>
      <c r="AD565" s="4" t="s">
        <v>228</v>
      </c>
      <c r="AE565" s="4" t="s">
        <v>2307</v>
      </c>
      <c r="AF565" s="4" t="s">
        <v>2308</v>
      </c>
      <c r="AG565" s="5" t="n">
        <v>0.594143518518519</v>
      </c>
      <c r="AH565" s="5" t="n">
        <v>0.227800925925926</v>
      </c>
      <c r="AI565" s="5" t="n">
        <v>0</v>
      </c>
      <c r="AJ565" s="5" t="n">
        <v>0</v>
      </c>
      <c r="AK565" s="5" t="n">
        <v>0</v>
      </c>
      <c r="AL565" s="5" t="n">
        <v>0</v>
      </c>
      <c r="AM565" s="4" t="s">
        <v>78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  <c r="AV565" s="0" t="n">
        <v>0</v>
      </c>
      <c r="AW565" s="0" t="n">
        <v>0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0</v>
      </c>
      <c r="BE565" s="0" t="n">
        <v>0</v>
      </c>
      <c r="BF565" s="0" t="n">
        <v>0</v>
      </c>
      <c r="BG565" s="0" t="n">
        <v>0</v>
      </c>
      <c r="BH565" s="0" t="n">
        <v>0</v>
      </c>
      <c r="BI565" s="0" t="n">
        <v>0</v>
      </c>
      <c r="BJ565" s="0" t="n">
        <v>0</v>
      </c>
      <c r="BK565" s="0" t="n">
        <v>0</v>
      </c>
      <c r="BM565" s="6" t="n">
        <f aca="false">IFERROR(VALUE(F565),"")</f>
        <v>487.49</v>
      </c>
      <c r="BN565" s="6" t="n">
        <f aca="false">IF(R565="-","",IFERROR(VALUE(LEFT(Q565,LEN(Q565)-2)),""))</f>
        <v>182.02</v>
      </c>
      <c r="BO565" s="6" t="n">
        <f aca="false">IF(R565="-","",IFERROR(VALUE(LEFT(R565,LEN(R565)-5)),""))</f>
        <v>2.68</v>
      </c>
      <c r="BP565" s="6" t="n">
        <f aca="false">IF(R565="-","",IFERROR(VALUE(F565),""))</f>
        <v>487.49</v>
      </c>
      <c r="BQ565" s="4" t="n">
        <f aca="false">IF(R565="-",1,0)</f>
        <v>0</v>
      </c>
    </row>
    <row r="566" customFormat="false" ht="15" hidden="false" customHeight="false" outlineLevel="0" collapsed="false">
      <c r="A566" s="0" t="s">
        <v>2302</v>
      </c>
      <c r="B566" s="0" t="s">
        <v>2303</v>
      </c>
      <c r="C566" s="0" t="s">
        <v>70</v>
      </c>
      <c r="D566" s="0" t="s">
        <v>2309</v>
      </c>
      <c r="E566" s="3" t="n">
        <v>46274</v>
      </c>
      <c r="F566" s="4" t="s">
        <v>2310</v>
      </c>
      <c r="G566" s="5" t="n">
        <v>0.715416666666667</v>
      </c>
      <c r="H566" s="5" t="n">
        <v>0.687395833333333</v>
      </c>
      <c r="I566" s="5" t="n">
        <v>0.00103009259259259</v>
      </c>
      <c r="J566" s="0" t="n">
        <v>0</v>
      </c>
      <c r="K566" s="0" t="n">
        <v>1</v>
      </c>
      <c r="L566" s="0" t="n">
        <v>0</v>
      </c>
      <c r="M566" s="0" t="n">
        <v>0</v>
      </c>
      <c r="N566" s="0" t="n">
        <v>0</v>
      </c>
      <c r="O566" s="5" t="n">
        <v>0</v>
      </c>
      <c r="P566" s="5" t="n">
        <v>0.00746527777777778</v>
      </c>
      <c r="Q566" s="4" t="s">
        <v>2311</v>
      </c>
      <c r="R566" s="4" t="s">
        <v>1609</v>
      </c>
      <c r="S566" s="5" t="n">
        <v>0</v>
      </c>
      <c r="T566" s="5" t="n">
        <v>0.232638888888889</v>
      </c>
      <c r="U566" s="5" t="n">
        <v>0.201851851851852</v>
      </c>
      <c r="V566" s="5" t="n">
        <v>0.243055555555556</v>
      </c>
      <c r="W566" s="5" t="n">
        <v>0</v>
      </c>
      <c r="X566" s="5" t="n">
        <v>0</v>
      </c>
      <c r="Y566" s="5" t="n">
        <v>0</v>
      </c>
      <c r="Z566" s="0" t="n">
        <v>0</v>
      </c>
      <c r="AA566" s="0" t="n">
        <v>0</v>
      </c>
      <c r="AB566" s="0" t="n">
        <v>0</v>
      </c>
      <c r="AC566" s="4" t="s">
        <v>75</v>
      </c>
      <c r="AD566" s="4" t="s">
        <v>75</v>
      </c>
      <c r="AE566" s="4" t="s">
        <v>2308</v>
      </c>
      <c r="AF566" s="4" t="s">
        <v>2312</v>
      </c>
      <c r="AG566" s="5" t="n">
        <v>0.586099537037037</v>
      </c>
      <c r="AH566" s="5" t="n">
        <v>0.1696875</v>
      </c>
      <c r="AI566" s="5" t="n">
        <v>0</v>
      </c>
      <c r="AJ566" s="5" t="n">
        <v>0</v>
      </c>
      <c r="AK566" s="5" t="n">
        <v>0</v>
      </c>
      <c r="AL566" s="5" t="n">
        <v>0</v>
      </c>
      <c r="AM566" s="4" t="s">
        <v>78</v>
      </c>
      <c r="AN566" s="0" t="n">
        <v>0</v>
      </c>
      <c r="AO566" s="0" t="n">
        <v>4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  <c r="AU566" s="0" t="n">
        <v>12</v>
      </c>
      <c r="AV566" s="0" t="n">
        <v>0</v>
      </c>
      <c r="AW566" s="0" t="n">
        <v>1</v>
      </c>
      <c r="AX566" s="0" t="n">
        <v>0</v>
      </c>
      <c r="AY566" s="0" t="n">
        <v>0</v>
      </c>
      <c r="AZ566" s="0" t="n">
        <v>0</v>
      </c>
      <c r="BA566" s="0" t="n">
        <v>0</v>
      </c>
      <c r="BB566" s="0" t="n">
        <v>0</v>
      </c>
      <c r="BC566" s="0" t="n">
        <v>0</v>
      </c>
      <c r="BD566" s="0" t="n">
        <v>0</v>
      </c>
      <c r="BE566" s="0" t="n">
        <v>0</v>
      </c>
      <c r="BF566" s="0" t="n">
        <v>0</v>
      </c>
      <c r="BG566" s="0" t="n">
        <v>0</v>
      </c>
      <c r="BH566" s="0" t="n">
        <v>0</v>
      </c>
      <c r="BI566" s="0" t="n">
        <v>0</v>
      </c>
      <c r="BJ566" s="0" t="n">
        <v>0</v>
      </c>
      <c r="BK566" s="0" t="n">
        <v>0</v>
      </c>
      <c r="BM566" s="6" t="n">
        <f aca="false">IFERROR(VALUE(F566),"")</f>
        <v>495.64</v>
      </c>
      <c r="BN566" s="6" t="n">
        <f aca="false">IF(R566="-","",IFERROR(VALUE(LEFT(Q566,LEN(Q566)-2)),""))</f>
        <v>188.96</v>
      </c>
      <c r="BO566" s="6" t="n">
        <f aca="false">IF(R566="-","",IFERROR(VALUE(LEFT(R566,LEN(R566)-5)),""))</f>
        <v>2.62</v>
      </c>
      <c r="BP566" s="6" t="n">
        <f aca="false">IF(R566="-","",IFERROR(VALUE(F566),""))</f>
        <v>495.64</v>
      </c>
      <c r="BQ566" s="4" t="n">
        <f aca="false">IF(R566="-",1,0)</f>
        <v>0</v>
      </c>
    </row>
    <row r="567" customFormat="false" ht="15" hidden="false" customHeight="false" outlineLevel="0" collapsed="false">
      <c r="A567" s="0" t="s">
        <v>2302</v>
      </c>
      <c r="B567" s="0" t="s">
        <v>2303</v>
      </c>
      <c r="C567" s="0" t="s">
        <v>70</v>
      </c>
      <c r="D567" s="0" t="s">
        <v>2313</v>
      </c>
      <c r="E567" s="3" t="n">
        <v>46275</v>
      </c>
      <c r="F567" s="4" t="s">
        <v>2314</v>
      </c>
      <c r="G567" s="5" t="n">
        <v>0.604456018518519</v>
      </c>
      <c r="H567" s="5" t="n">
        <v>0.354131944444445</v>
      </c>
      <c r="I567" s="5" t="n">
        <v>0.00331018518518519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5" t="n">
        <v>0</v>
      </c>
      <c r="P567" s="5" t="n">
        <v>0</v>
      </c>
      <c r="Q567" s="4" t="s">
        <v>2315</v>
      </c>
      <c r="R567" s="4" t="s">
        <v>2187</v>
      </c>
      <c r="S567" s="5" t="n">
        <v>0</v>
      </c>
      <c r="T567" s="5" t="n">
        <v>0.261458333333333</v>
      </c>
      <c r="U567" s="5" t="n">
        <v>0.19375</v>
      </c>
      <c r="V567" s="5" t="n">
        <v>0.110115740740741</v>
      </c>
      <c r="W567" s="5" t="n">
        <v>8.10185185185185E-005</v>
      </c>
      <c r="X567" s="5" t="n">
        <v>0</v>
      </c>
      <c r="Y567" s="5" t="n">
        <v>8.10185185185185E-005</v>
      </c>
      <c r="Z567" s="0" t="n">
        <v>0</v>
      </c>
      <c r="AA567" s="0" t="n">
        <v>0</v>
      </c>
      <c r="AB567" s="0" t="n">
        <v>0</v>
      </c>
      <c r="AC567" s="4" t="s">
        <v>74</v>
      </c>
      <c r="AD567" s="4" t="s">
        <v>74</v>
      </c>
      <c r="AE567" s="4" t="s">
        <v>2312</v>
      </c>
      <c r="AF567" s="4" t="s">
        <v>2316</v>
      </c>
      <c r="AG567" s="5" t="n">
        <v>0.479016203703704</v>
      </c>
      <c r="AH567" s="5" t="n">
        <v>0.200115740740741</v>
      </c>
      <c r="AI567" s="5" t="n">
        <v>0.000810185185185185</v>
      </c>
      <c r="AJ567" s="5" t="n">
        <v>0</v>
      </c>
      <c r="AK567" s="5" t="n">
        <v>0</v>
      </c>
      <c r="AL567" s="5" t="n">
        <v>0</v>
      </c>
      <c r="AM567" s="4" t="s">
        <v>78</v>
      </c>
      <c r="AN567" s="0" t="n">
        <v>0</v>
      </c>
      <c r="AO567" s="0" t="n">
        <v>3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  <c r="AU567" s="0" t="n">
        <v>12</v>
      </c>
      <c r="AV567" s="0" t="n">
        <v>0</v>
      </c>
      <c r="AW567" s="0" t="n">
        <v>0</v>
      </c>
      <c r="AX567" s="0" t="n">
        <v>0</v>
      </c>
      <c r="AY567" s="0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0</v>
      </c>
      <c r="BH567" s="0" t="n">
        <v>0</v>
      </c>
      <c r="BI567" s="0" t="n">
        <v>0</v>
      </c>
      <c r="BJ567" s="0" t="n">
        <v>0</v>
      </c>
      <c r="BK567" s="0" t="n">
        <v>0</v>
      </c>
      <c r="BM567" s="6" t="n">
        <f aca="false">IFERROR(VALUE(F567),"")</f>
        <v>323.06</v>
      </c>
      <c r="BN567" s="6" t="n">
        <f aca="false">IF(R567="-","",IFERROR(VALUE(LEFT(Q567,LEN(Q567)-2)),""))</f>
        <v>126.5</v>
      </c>
      <c r="BO567" s="6" t="n">
        <f aca="false">IF(R567="-","",IFERROR(VALUE(LEFT(R567,LEN(R567)-5)),""))</f>
        <v>2.55</v>
      </c>
      <c r="BP567" s="6" t="n">
        <f aca="false">IF(R567="-","",IFERROR(VALUE(F567),""))</f>
        <v>323.06</v>
      </c>
      <c r="BQ567" s="4" t="n">
        <f aca="false">IF(R567="-",1,0)</f>
        <v>0</v>
      </c>
    </row>
    <row r="568" customFormat="false" ht="15" hidden="false" customHeight="false" outlineLevel="0" collapsed="false">
      <c r="A568" s="0" t="s">
        <v>2302</v>
      </c>
      <c r="B568" s="0" t="s">
        <v>2303</v>
      </c>
      <c r="C568" s="0" t="s">
        <v>70</v>
      </c>
      <c r="D568" s="0" t="s">
        <v>2317</v>
      </c>
      <c r="E568" s="3" t="n">
        <v>46276</v>
      </c>
      <c r="F568" s="4" t="s">
        <v>2318</v>
      </c>
      <c r="G568" s="5" t="n">
        <v>0.835833333333333</v>
      </c>
      <c r="H568" s="5" t="n">
        <v>0.654155092592593</v>
      </c>
      <c r="I568" s="5" t="n">
        <v>0.00103009259259259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5" t="n">
        <v>0</v>
      </c>
      <c r="P568" s="5" t="n">
        <v>0.00758101851851852</v>
      </c>
      <c r="Q568" s="4" t="s">
        <v>2319</v>
      </c>
      <c r="R568" s="4" t="s">
        <v>2220</v>
      </c>
      <c r="S568" s="5" t="n">
        <v>0</v>
      </c>
      <c r="T568" s="5" t="n">
        <v>0.280787037037037</v>
      </c>
      <c r="U568" s="5" t="n">
        <v>0.204861111111111</v>
      </c>
      <c r="V568" s="5" t="n">
        <v>0.115277777777778</v>
      </c>
      <c r="W568" s="5" t="n">
        <v>0</v>
      </c>
      <c r="X568" s="5" t="n">
        <v>0</v>
      </c>
      <c r="Y568" s="5" t="n">
        <v>0</v>
      </c>
      <c r="Z568" s="0" t="n">
        <v>0</v>
      </c>
      <c r="AA568" s="0" t="n">
        <v>0</v>
      </c>
      <c r="AB568" s="0" t="n">
        <v>0</v>
      </c>
      <c r="AC568" s="4" t="s">
        <v>81</v>
      </c>
      <c r="AD568" s="4" t="s">
        <v>228</v>
      </c>
      <c r="AE568" s="4" t="s">
        <v>2316</v>
      </c>
      <c r="AF568" s="4" t="s">
        <v>2320</v>
      </c>
      <c r="AG568" s="5" t="n">
        <v>0.504259259259259</v>
      </c>
      <c r="AH568" s="5" t="n">
        <v>0.391111111111111</v>
      </c>
      <c r="AI568" s="5" t="n">
        <v>0.00143518518518519</v>
      </c>
      <c r="AJ568" s="5" t="n">
        <v>0</v>
      </c>
      <c r="AK568" s="5" t="n">
        <v>0</v>
      </c>
      <c r="AL568" s="5" t="n">
        <v>0</v>
      </c>
      <c r="AM568" s="4" t="s">
        <v>78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8</v>
      </c>
      <c r="AV568" s="0" t="n">
        <v>0</v>
      </c>
      <c r="AW568" s="0" t="n">
        <v>0</v>
      </c>
      <c r="AX568" s="0" t="n">
        <v>0</v>
      </c>
      <c r="AY568" s="0" t="n">
        <v>0</v>
      </c>
      <c r="AZ568" s="0" t="n">
        <v>0</v>
      </c>
      <c r="BA568" s="0" t="n">
        <v>0</v>
      </c>
      <c r="BB568" s="0" t="n">
        <v>0</v>
      </c>
      <c r="BC568" s="0" t="n">
        <v>0</v>
      </c>
      <c r="BD568" s="0" t="n">
        <v>0</v>
      </c>
      <c r="BE568" s="0" t="n">
        <v>0</v>
      </c>
      <c r="BF568" s="0" t="n">
        <v>0</v>
      </c>
      <c r="BG568" s="0" t="n">
        <v>0</v>
      </c>
      <c r="BH568" s="0" t="n">
        <v>0</v>
      </c>
      <c r="BI568" s="0" t="n">
        <v>0</v>
      </c>
      <c r="BJ568" s="0" t="n">
        <v>0</v>
      </c>
      <c r="BK568" s="0" t="n">
        <v>0</v>
      </c>
      <c r="BM568" s="6" t="n">
        <f aca="false">IFERROR(VALUE(F568),"")</f>
        <v>325.18</v>
      </c>
      <c r="BN568" s="6" t="n">
        <f aca="false">IF(R568="-","",IFERROR(VALUE(LEFT(Q568,LEN(Q568)-2)),""))</f>
        <v>133.02</v>
      </c>
      <c r="BO568" s="6" t="n">
        <f aca="false">IF(R568="-","",IFERROR(VALUE(LEFT(R568,LEN(R568)-5)),""))</f>
        <v>2.44</v>
      </c>
      <c r="BP568" s="6" t="n">
        <f aca="false">IF(R568="-","",IFERROR(VALUE(F568),""))</f>
        <v>325.18</v>
      </c>
      <c r="BQ568" s="4" t="n">
        <f aca="false">IF(R568="-",1,0)</f>
        <v>0</v>
      </c>
    </row>
    <row r="569" customFormat="false" ht="15" hidden="false" customHeight="false" outlineLevel="0" collapsed="false">
      <c r="A569" s="0" t="s">
        <v>2302</v>
      </c>
      <c r="B569" s="0" t="s">
        <v>2303</v>
      </c>
      <c r="C569" s="0" t="s">
        <v>70</v>
      </c>
      <c r="D569" s="0" t="s">
        <v>2321</v>
      </c>
      <c r="E569" s="3" t="n">
        <v>46277</v>
      </c>
      <c r="F569" s="4" t="s">
        <v>2322</v>
      </c>
      <c r="G569" s="5" t="n">
        <v>0.579212962962963</v>
      </c>
      <c r="H569" s="5" t="n">
        <v>0.567083333333333</v>
      </c>
      <c r="I569" s="5" t="n">
        <v>0.00128472222222222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5" t="n">
        <v>0</v>
      </c>
      <c r="P569" s="5" t="n">
        <v>0</v>
      </c>
      <c r="Q569" s="4" t="s">
        <v>2323</v>
      </c>
      <c r="R569" s="4" t="s">
        <v>2146</v>
      </c>
      <c r="S569" s="5" t="n">
        <v>0</v>
      </c>
      <c r="T569" s="5" t="n">
        <v>0.217939814814815</v>
      </c>
      <c r="U569" s="5" t="n">
        <v>0.178703703703704</v>
      </c>
      <c r="V569" s="5" t="n">
        <v>0.145729166666667</v>
      </c>
      <c r="W569" s="5" t="n">
        <v>0.00365740740740741</v>
      </c>
      <c r="X569" s="5" t="n">
        <v>0</v>
      </c>
      <c r="Y569" s="5" t="n">
        <v>0.00114583333333333</v>
      </c>
      <c r="Z569" s="0" t="n">
        <v>0</v>
      </c>
      <c r="AA569" s="0" t="n">
        <v>0</v>
      </c>
      <c r="AB569" s="0" t="n">
        <v>0</v>
      </c>
      <c r="AC569" s="4" t="s">
        <v>81</v>
      </c>
      <c r="AD569" s="4" t="s">
        <v>74</v>
      </c>
      <c r="AE569" s="4" t="s">
        <v>2320</v>
      </c>
      <c r="AF569" s="4" t="s">
        <v>2324</v>
      </c>
      <c r="AG569" s="5" t="n">
        <v>0.476886574074074</v>
      </c>
      <c r="AH569" s="5" t="n">
        <v>0.191493055555556</v>
      </c>
      <c r="AI569" s="5" t="n">
        <v>6.94444444444444E-005</v>
      </c>
      <c r="AJ569" s="5" t="n">
        <v>0</v>
      </c>
      <c r="AK569" s="5" t="n">
        <v>0</v>
      </c>
      <c r="AL569" s="5" t="n">
        <v>0</v>
      </c>
      <c r="AM569" s="4" t="s">
        <v>78</v>
      </c>
      <c r="AN569" s="0" t="n">
        <v>0</v>
      </c>
      <c r="AO569" s="0" t="n">
        <v>0</v>
      </c>
      <c r="AP569" s="0" t="n">
        <v>0</v>
      </c>
      <c r="AQ569" s="0" t="n">
        <v>0</v>
      </c>
      <c r="AR569" s="0" t="n">
        <v>0</v>
      </c>
      <c r="AS569" s="0" t="n">
        <v>0</v>
      </c>
      <c r="AT569" s="0" t="n">
        <v>0</v>
      </c>
      <c r="AU569" s="0" t="n">
        <v>5</v>
      </c>
      <c r="AV569" s="0" t="n">
        <v>0</v>
      </c>
      <c r="AW569" s="0" t="n">
        <v>0</v>
      </c>
      <c r="AX569" s="0" t="n">
        <v>0</v>
      </c>
      <c r="AY569" s="0" t="n">
        <v>0</v>
      </c>
      <c r="AZ569" s="0" t="n">
        <v>0</v>
      </c>
      <c r="BA569" s="0" t="n">
        <v>0</v>
      </c>
      <c r="BB569" s="0" t="n">
        <v>0</v>
      </c>
      <c r="BC569" s="0" t="n">
        <v>0</v>
      </c>
      <c r="BD569" s="0" t="n">
        <v>0</v>
      </c>
      <c r="BE569" s="0" t="n">
        <v>0</v>
      </c>
      <c r="BF569" s="0" t="n">
        <v>0</v>
      </c>
      <c r="BG569" s="0" t="n">
        <v>0</v>
      </c>
      <c r="BH569" s="0" t="n">
        <v>0</v>
      </c>
      <c r="BI569" s="0" t="n">
        <v>0</v>
      </c>
      <c r="BJ569" s="0" t="n">
        <v>0</v>
      </c>
      <c r="BK569" s="0" t="n">
        <v>0</v>
      </c>
      <c r="BM569" s="6" t="n">
        <f aca="false">IFERROR(VALUE(F569),"")</f>
        <v>342.75</v>
      </c>
      <c r="BN569" s="6" t="n">
        <f aca="false">IF(R569="-","",IFERROR(VALUE(LEFT(Q569,LEN(Q569)-2)),""))</f>
        <v>135.49</v>
      </c>
      <c r="BO569" s="6" t="n">
        <f aca="false">IF(R569="-","",IFERROR(VALUE(LEFT(R569,LEN(R569)-5)),""))</f>
        <v>2.53</v>
      </c>
      <c r="BP569" s="6" t="n">
        <f aca="false">IF(R569="-","",IFERROR(VALUE(F569),""))</f>
        <v>342.75</v>
      </c>
      <c r="BQ569" s="4" t="n">
        <f aca="false">IF(R569="-",1,0)</f>
        <v>0</v>
      </c>
    </row>
    <row r="570" customFormat="false" ht="15" hidden="false" customHeight="false" outlineLevel="0" collapsed="false">
      <c r="A570" s="0" t="s">
        <v>2302</v>
      </c>
      <c r="B570" s="0" t="s">
        <v>2303</v>
      </c>
      <c r="C570" s="0" t="s">
        <v>70</v>
      </c>
      <c r="E570" s="3" t="n">
        <v>46278</v>
      </c>
      <c r="F570" s="4" t="s">
        <v>123</v>
      </c>
      <c r="G570" s="5" t="n">
        <v>0.00201388888888889</v>
      </c>
      <c r="H570" s="5" t="n">
        <v>0</v>
      </c>
      <c r="I570" s="5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5" t="n">
        <v>0</v>
      </c>
      <c r="P570" s="5" t="n">
        <v>0</v>
      </c>
      <c r="Q570" s="4" t="s">
        <v>73</v>
      </c>
      <c r="R570" s="4" t="s">
        <v>73</v>
      </c>
      <c r="S570" s="5" t="n">
        <v>0</v>
      </c>
      <c r="T570" s="5" t="n">
        <v>0.00115740740740741</v>
      </c>
      <c r="U570" s="5" t="n">
        <v>0.000694444444444445</v>
      </c>
      <c r="V570" s="5" t="n">
        <v>0</v>
      </c>
      <c r="W570" s="5" t="n">
        <v>0</v>
      </c>
      <c r="X570" s="5" t="n">
        <v>0</v>
      </c>
      <c r="Y570" s="5" t="n">
        <v>0</v>
      </c>
      <c r="Z570" s="0" t="n">
        <v>0</v>
      </c>
      <c r="AA570" s="0" t="n">
        <v>0</v>
      </c>
      <c r="AB570" s="0" t="n">
        <v>0</v>
      </c>
      <c r="AC570" s="4" t="s">
        <v>74</v>
      </c>
      <c r="AD570" s="4" t="s">
        <v>81</v>
      </c>
      <c r="AE570" s="4" t="s">
        <v>2324</v>
      </c>
      <c r="AF570" s="4" t="s">
        <v>2325</v>
      </c>
      <c r="AG570" s="5" t="n">
        <v>0.00128472222222222</v>
      </c>
      <c r="AH570" s="5" t="n">
        <v>0.00278935185185185</v>
      </c>
      <c r="AI570" s="5" t="n">
        <v>0</v>
      </c>
      <c r="AJ570" s="5" t="n">
        <v>0</v>
      </c>
      <c r="AK570" s="5" t="n">
        <v>0</v>
      </c>
      <c r="AL570" s="5" t="n">
        <v>0</v>
      </c>
      <c r="AM570" s="4" t="s">
        <v>78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  <c r="AU570" s="0" t="n">
        <v>0</v>
      </c>
      <c r="AV570" s="0" t="n">
        <v>0</v>
      </c>
      <c r="AW570" s="0" t="n">
        <v>0</v>
      </c>
      <c r="AX570" s="0" t="n">
        <v>0</v>
      </c>
      <c r="AY570" s="0" t="n">
        <v>0</v>
      </c>
      <c r="AZ570" s="0" t="n">
        <v>0</v>
      </c>
      <c r="BA570" s="0" t="n">
        <v>0</v>
      </c>
      <c r="BB570" s="0" t="n">
        <v>0</v>
      </c>
      <c r="BC570" s="0" t="n">
        <v>0</v>
      </c>
      <c r="BD570" s="0" t="n">
        <v>0</v>
      </c>
      <c r="BE570" s="0" t="n">
        <v>0</v>
      </c>
      <c r="BF570" s="0" t="n">
        <v>0</v>
      </c>
      <c r="BG570" s="0" t="n">
        <v>0</v>
      </c>
      <c r="BH570" s="0" t="n">
        <v>0</v>
      </c>
      <c r="BI570" s="0" t="n">
        <v>0</v>
      </c>
      <c r="BJ570" s="0" t="n">
        <v>0</v>
      </c>
      <c r="BK570" s="0" t="n">
        <v>0</v>
      </c>
      <c r="BM570" s="6" t="n">
        <f aca="false">IFERROR(VALUE(F570),"")</f>
        <v>0.34</v>
      </c>
      <c r="BN570" s="6" t="str">
        <f aca="false">IF(R570="-","",IFERROR(VALUE(LEFT(Q570,LEN(Q570)-2)),""))</f>
        <v/>
      </c>
      <c r="BO570" s="6" t="str">
        <f aca="false">IF(R570="-","",IFERROR(VALUE(LEFT(R570,LEN(R570)-5)),""))</f>
        <v/>
      </c>
      <c r="BP570" s="6" t="str">
        <f aca="false">IF(R570="-","",IFERROR(VALUE(F570),""))</f>
        <v/>
      </c>
      <c r="BQ570" s="4" t="n">
        <f aca="false">IF(R570="-",1,0)</f>
        <v>1</v>
      </c>
    </row>
    <row r="571" customFormat="false" ht="15" hidden="false" customHeight="false" outlineLevel="0" collapsed="false">
      <c r="A571" s="0" t="s">
        <v>2302</v>
      </c>
      <c r="B571" s="0" t="s">
        <v>2303</v>
      </c>
      <c r="C571" s="0" t="s">
        <v>70</v>
      </c>
      <c r="D571" s="0" t="s">
        <v>2326</v>
      </c>
      <c r="E571" s="3" t="n">
        <v>46279</v>
      </c>
      <c r="F571" s="4" t="s">
        <v>2327</v>
      </c>
      <c r="G571" s="5" t="n">
        <v>0.649074074074074</v>
      </c>
      <c r="H571" s="5" t="n">
        <v>0.440740740740741</v>
      </c>
      <c r="I571" s="5" t="n">
        <v>0.00114583333333333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5" t="n">
        <v>0</v>
      </c>
      <c r="P571" s="5" t="n">
        <v>0</v>
      </c>
      <c r="Q571" s="4" t="s">
        <v>2328</v>
      </c>
      <c r="R571" s="4" t="s">
        <v>378</v>
      </c>
      <c r="S571" s="5" t="n">
        <v>0</v>
      </c>
      <c r="T571" s="5" t="n">
        <v>0.225462962962963</v>
      </c>
      <c r="U571" s="5" t="n">
        <v>0.209606481481482</v>
      </c>
      <c r="V571" s="5" t="n">
        <v>0.200462962962963</v>
      </c>
      <c r="W571" s="5" t="n">
        <v>0.000231481481481482</v>
      </c>
      <c r="X571" s="5" t="n">
        <v>0</v>
      </c>
      <c r="Y571" s="5" t="n">
        <v>0</v>
      </c>
      <c r="Z571" s="0" t="n">
        <v>0</v>
      </c>
      <c r="AA571" s="0" t="n">
        <v>0</v>
      </c>
      <c r="AB571" s="0" t="n">
        <v>0</v>
      </c>
      <c r="AC571" s="4" t="s">
        <v>81</v>
      </c>
      <c r="AD571" s="4" t="s">
        <v>74</v>
      </c>
      <c r="AE571" s="4" t="s">
        <v>2325</v>
      </c>
      <c r="AF571" s="4" t="s">
        <v>2329</v>
      </c>
      <c r="AG571" s="5" t="n">
        <v>0.55255787037037</v>
      </c>
      <c r="AH571" s="5" t="n">
        <v>0.170717592592593</v>
      </c>
      <c r="AI571" s="5" t="n">
        <v>0</v>
      </c>
      <c r="AJ571" s="5" t="n">
        <v>0</v>
      </c>
      <c r="AK571" s="5" t="n">
        <v>0</v>
      </c>
      <c r="AL571" s="5" t="n">
        <v>0</v>
      </c>
      <c r="AM571" s="4" t="s">
        <v>78</v>
      </c>
      <c r="AN571" s="0" t="n">
        <v>0</v>
      </c>
      <c r="AO571" s="0" t="n">
        <v>2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1</v>
      </c>
      <c r="AU571" s="0" t="n">
        <v>6</v>
      </c>
      <c r="AV571" s="0" t="n">
        <v>0</v>
      </c>
      <c r="AW571" s="0" t="n">
        <v>0</v>
      </c>
      <c r="AX571" s="0" t="n">
        <v>0</v>
      </c>
      <c r="AY571" s="0" t="n">
        <v>0</v>
      </c>
      <c r="AZ571" s="0" t="n">
        <v>0</v>
      </c>
      <c r="BA571" s="0" t="n">
        <v>0</v>
      </c>
      <c r="BB571" s="0" t="n">
        <v>0</v>
      </c>
      <c r="BC571" s="0" t="n">
        <v>0</v>
      </c>
      <c r="BD571" s="0" t="n">
        <v>0</v>
      </c>
      <c r="BE571" s="0" t="n">
        <v>0</v>
      </c>
      <c r="BF571" s="0" t="n">
        <v>0</v>
      </c>
      <c r="BG571" s="0" t="n">
        <v>0</v>
      </c>
      <c r="BH571" s="0" t="n">
        <v>0</v>
      </c>
      <c r="BI571" s="0" t="n">
        <v>0</v>
      </c>
      <c r="BJ571" s="0" t="n">
        <v>0</v>
      </c>
      <c r="BK571" s="0" t="n">
        <v>0</v>
      </c>
      <c r="BM571" s="6" t="n">
        <f aca="false">IFERROR(VALUE(F571),"")</f>
        <v>462.05</v>
      </c>
      <c r="BN571" s="6" t="n">
        <f aca="false">IF(R571="-","",IFERROR(VALUE(LEFT(Q571,LEN(Q571)-2)),""))</f>
        <v>170.5</v>
      </c>
      <c r="BO571" s="6" t="n">
        <f aca="false">IF(R571="-","",IFERROR(VALUE(LEFT(R571,LEN(R571)-5)),""))</f>
        <v>2.71</v>
      </c>
      <c r="BP571" s="6" t="n">
        <f aca="false">IF(R571="-","",IFERROR(VALUE(F571),""))</f>
        <v>462.05</v>
      </c>
      <c r="BQ571" s="4" t="n">
        <f aca="false">IF(R571="-",1,0)</f>
        <v>0</v>
      </c>
    </row>
    <row r="572" customFormat="false" ht="15" hidden="false" customHeight="false" outlineLevel="0" collapsed="false">
      <c r="A572" s="0" t="s">
        <v>2330</v>
      </c>
      <c r="B572" s="0" t="s">
        <v>2331</v>
      </c>
      <c r="C572" s="0" t="s">
        <v>70</v>
      </c>
      <c r="D572" s="0" t="s">
        <v>2332</v>
      </c>
      <c r="E572" s="3" t="n">
        <v>46273</v>
      </c>
      <c r="F572" s="4" t="s">
        <v>2333</v>
      </c>
      <c r="G572" s="5" t="n">
        <v>0.309525462962963</v>
      </c>
      <c r="H572" s="5" t="n">
        <v>0.2653125</v>
      </c>
      <c r="I572" s="5" t="n">
        <v>0.00184027777777778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5" t="n">
        <v>0</v>
      </c>
      <c r="P572" s="5" t="n">
        <v>0.0257175925925926</v>
      </c>
      <c r="Q572" s="4" t="s">
        <v>2334</v>
      </c>
      <c r="R572" s="4" t="s">
        <v>1944</v>
      </c>
      <c r="S572" s="5" t="n">
        <v>0.000115740740740741</v>
      </c>
      <c r="T572" s="5" t="n">
        <v>0.132291666666667</v>
      </c>
      <c r="U572" s="5" t="n">
        <v>0.160532407407407</v>
      </c>
      <c r="V572" s="5" t="n">
        <v>0.0127314814814815</v>
      </c>
      <c r="W572" s="5" t="n">
        <v>0</v>
      </c>
      <c r="X572" s="5" t="n">
        <v>0</v>
      </c>
      <c r="Y572" s="5" t="n">
        <v>0</v>
      </c>
      <c r="Z572" s="0" t="n">
        <v>0</v>
      </c>
      <c r="AA572" s="0" t="n">
        <v>0</v>
      </c>
      <c r="AB572" s="0" t="n">
        <v>0</v>
      </c>
      <c r="AC572" s="4" t="s">
        <v>152</v>
      </c>
      <c r="AD572" s="4" t="s">
        <v>228</v>
      </c>
      <c r="AE572" s="4" t="s">
        <v>2335</v>
      </c>
      <c r="AF572" s="4" t="s">
        <v>2336</v>
      </c>
      <c r="AG572" s="5" t="n">
        <v>0.229537037037037</v>
      </c>
      <c r="AH572" s="5" t="n">
        <v>0.12375</v>
      </c>
      <c r="AI572" s="5" t="n">
        <v>0</v>
      </c>
      <c r="AJ572" s="5" t="n">
        <v>0</v>
      </c>
      <c r="AK572" s="5" t="n">
        <v>0</v>
      </c>
      <c r="AL572" s="5" t="n">
        <v>0</v>
      </c>
      <c r="AM572" s="4" t="s">
        <v>78</v>
      </c>
      <c r="AN572" s="0" t="n">
        <v>0</v>
      </c>
      <c r="AO572" s="0" t="n">
        <v>1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  <c r="AU572" s="0" t="n">
        <v>2</v>
      </c>
      <c r="AV572" s="0" t="n">
        <v>0</v>
      </c>
      <c r="AW572" s="0" t="n">
        <v>0</v>
      </c>
      <c r="AX572" s="0" t="n">
        <v>0</v>
      </c>
      <c r="AY572" s="0" t="n">
        <v>0</v>
      </c>
      <c r="AZ572" s="0" t="n">
        <v>0</v>
      </c>
      <c r="BA572" s="0" t="n">
        <v>0</v>
      </c>
      <c r="BB572" s="0" t="n">
        <v>0</v>
      </c>
      <c r="BC572" s="0" t="n">
        <v>0</v>
      </c>
      <c r="BD572" s="0" t="n">
        <v>0</v>
      </c>
      <c r="BE572" s="0" t="n">
        <v>0</v>
      </c>
      <c r="BF572" s="0" t="n">
        <v>0</v>
      </c>
      <c r="BG572" s="0" t="n">
        <v>0</v>
      </c>
      <c r="BH572" s="0" t="n">
        <v>0</v>
      </c>
      <c r="BI572" s="0" t="n">
        <v>0</v>
      </c>
      <c r="BJ572" s="0" t="n">
        <v>0</v>
      </c>
      <c r="BK572" s="0" t="n">
        <v>0</v>
      </c>
      <c r="BM572" s="6" t="n">
        <f aca="false">IFERROR(VALUE(F572),"")</f>
        <v>255.9</v>
      </c>
      <c r="BN572" s="6" t="n">
        <f aca="false">IF(R572="-","",IFERROR(VALUE(LEFT(Q572,LEN(Q572)-2)),""))</f>
        <v>93.5</v>
      </c>
      <c r="BO572" s="6" t="n">
        <f aca="false">IF(R572="-","",IFERROR(VALUE(LEFT(R572,LEN(R572)-5)),""))</f>
        <v>2.74</v>
      </c>
      <c r="BP572" s="6" t="n">
        <f aca="false">IF(R572="-","",IFERROR(VALUE(F572),""))</f>
        <v>255.9</v>
      </c>
      <c r="BQ572" s="4" t="n">
        <f aca="false">IF(R572="-",1,0)</f>
        <v>0</v>
      </c>
    </row>
    <row r="573" customFormat="false" ht="15" hidden="false" customHeight="false" outlineLevel="0" collapsed="false">
      <c r="A573" s="0" t="s">
        <v>2330</v>
      </c>
      <c r="B573" s="0" t="s">
        <v>2331</v>
      </c>
      <c r="C573" s="0" t="s">
        <v>70</v>
      </c>
      <c r="D573" s="0" t="s">
        <v>2337</v>
      </c>
      <c r="E573" s="3" t="n">
        <v>46274</v>
      </c>
      <c r="F573" s="4" t="s">
        <v>2338</v>
      </c>
      <c r="G573" s="5" t="n">
        <v>0.20619212962963</v>
      </c>
      <c r="H573" s="5" t="n">
        <v>0.199814814814815</v>
      </c>
      <c r="I573" s="5" t="n">
        <v>0.000914351851851852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5" t="n">
        <v>0</v>
      </c>
      <c r="P573" s="5" t="n">
        <v>0</v>
      </c>
      <c r="Q573" s="4" t="s">
        <v>2339</v>
      </c>
      <c r="R573" s="4" t="s">
        <v>448</v>
      </c>
      <c r="S573" s="5" t="n">
        <v>0.000231481481481482</v>
      </c>
      <c r="T573" s="5" t="n">
        <v>0.0793981481481482</v>
      </c>
      <c r="U573" s="5" t="n">
        <v>0.110763888888889</v>
      </c>
      <c r="V573" s="5" t="n">
        <v>0.0101851851851852</v>
      </c>
      <c r="W573" s="5" t="n">
        <v>0</v>
      </c>
      <c r="X573" s="5" t="n">
        <v>0</v>
      </c>
      <c r="Y573" s="5" t="n">
        <v>0</v>
      </c>
      <c r="Z573" s="0" t="n">
        <v>0</v>
      </c>
      <c r="AA573" s="0" t="n">
        <v>0</v>
      </c>
      <c r="AB573" s="0" t="n">
        <v>0</v>
      </c>
      <c r="AC573" s="4" t="s">
        <v>75</v>
      </c>
      <c r="AD573" s="4" t="s">
        <v>744</v>
      </c>
      <c r="AE573" s="4" t="s">
        <v>2336</v>
      </c>
      <c r="AF573" s="4" t="s">
        <v>2340</v>
      </c>
      <c r="AG573" s="5" t="n">
        <v>0.184259259259259</v>
      </c>
      <c r="AH573" s="5" t="n">
        <v>0.0647916666666667</v>
      </c>
      <c r="AI573" s="5" t="n">
        <v>0</v>
      </c>
      <c r="AJ573" s="5" t="n">
        <v>0</v>
      </c>
      <c r="AK573" s="5" t="n">
        <v>0</v>
      </c>
      <c r="AL573" s="5" t="n">
        <v>0</v>
      </c>
      <c r="AM573" s="4" t="s">
        <v>78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0</v>
      </c>
      <c r="BH573" s="0" t="n">
        <v>0</v>
      </c>
      <c r="BI573" s="0" t="n">
        <v>0</v>
      </c>
      <c r="BJ573" s="0" t="n">
        <v>0</v>
      </c>
      <c r="BK573" s="0" t="n">
        <v>0</v>
      </c>
      <c r="BM573" s="6" t="n">
        <f aca="false">IFERROR(VALUE(F573),"")</f>
        <v>153.41</v>
      </c>
      <c r="BN573" s="6" t="n">
        <f aca="false">IF(R573="-","",IFERROR(VALUE(LEFT(Q573,LEN(Q573)-2)),""))</f>
        <v>58</v>
      </c>
      <c r="BO573" s="6" t="n">
        <f aca="false">IF(R573="-","",IFERROR(VALUE(LEFT(R573,LEN(R573)-5)),""))</f>
        <v>2.65</v>
      </c>
      <c r="BP573" s="6" t="n">
        <f aca="false">IF(R573="-","",IFERROR(VALUE(F573),""))</f>
        <v>153.41</v>
      </c>
      <c r="BQ573" s="4" t="n">
        <f aca="false">IF(R573="-",1,0)</f>
        <v>0</v>
      </c>
    </row>
    <row r="574" customFormat="false" ht="15" hidden="false" customHeight="false" outlineLevel="0" collapsed="false">
      <c r="A574" s="0" t="s">
        <v>2330</v>
      </c>
      <c r="B574" s="0" t="s">
        <v>2331</v>
      </c>
      <c r="C574" s="0" t="s">
        <v>70</v>
      </c>
      <c r="D574" s="0" t="s">
        <v>2341</v>
      </c>
      <c r="E574" s="3" t="n">
        <v>46275</v>
      </c>
      <c r="F574" s="4" t="s">
        <v>2342</v>
      </c>
      <c r="G574" s="5" t="n">
        <v>0.512858796296296</v>
      </c>
      <c r="H574" s="5" t="n">
        <v>0.335729166666667</v>
      </c>
      <c r="I574" s="5" t="n">
        <v>0.000231481481481482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5" t="n">
        <v>0</v>
      </c>
      <c r="P574" s="5" t="n">
        <v>0.14068287037037</v>
      </c>
      <c r="Q574" s="4" t="s">
        <v>2343</v>
      </c>
      <c r="R574" s="4" t="s">
        <v>448</v>
      </c>
      <c r="S574" s="5" t="n">
        <v>0.000231481481481482</v>
      </c>
      <c r="T574" s="5" t="n">
        <v>0.240636574074074</v>
      </c>
      <c r="U574" s="5" t="n">
        <v>0.226180555555556</v>
      </c>
      <c r="V574" s="5" t="n">
        <v>0.0135532407407407</v>
      </c>
      <c r="W574" s="5" t="n">
        <v>0.00025462962962963</v>
      </c>
      <c r="X574" s="5" t="n">
        <v>0</v>
      </c>
      <c r="Y574" s="5" t="n">
        <v>0.000138888888888889</v>
      </c>
      <c r="Z574" s="0" t="n">
        <v>0</v>
      </c>
      <c r="AA574" s="0" t="n">
        <v>0</v>
      </c>
      <c r="AB574" s="0" t="n">
        <v>0</v>
      </c>
      <c r="AC574" s="4" t="s">
        <v>744</v>
      </c>
      <c r="AD574" s="4" t="s">
        <v>152</v>
      </c>
      <c r="AE574" s="4" t="s">
        <v>2340</v>
      </c>
      <c r="AF574" s="4" t="s">
        <v>2344</v>
      </c>
      <c r="AG574" s="5" t="n">
        <v>0.306331018518519</v>
      </c>
      <c r="AH574" s="5" t="n">
        <v>0.307893518518519</v>
      </c>
      <c r="AI574" s="5" t="n">
        <v>0</v>
      </c>
      <c r="AJ574" s="5" t="n">
        <v>0</v>
      </c>
      <c r="AK574" s="5" t="n">
        <v>0</v>
      </c>
      <c r="AL574" s="5" t="n">
        <v>0</v>
      </c>
      <c r="AM574" s="4" t="s">
        <v>78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n">
        <v>0</v>
      </c>
      <c r="AW574" s="0" t="n">
        <v>0</v>
      </c>
      <c r="AX574" s="0" t="n">
        <v>0</v>
      </c>
      <c r="AY574" s="0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0" t="n">
        <v>0</v>
      </c>
      <c r="BE574" s="0" t="n">
        <v>0</v>
      </c>
      <c r="BF574" s="0" t="n">
        <v>0</v>
      </c>
      <c r="BG574" s="0" t="n">
        <v>0</v>
      </c>
      <c r="BH574" s="0" t="n">
        <v>0</v>
      </c>
      <c r="BI574" s="0" t="n">
        <v>0</v>
      </c>
      <c r="BJ574" s="0" t="n">
        <v>0</v>
      </c>
      <c r="BK574" s="0" t="n">
        <v>0</v>
      </c>
      <c r="BM574" s="6" t="n">
        <f aca="false">IFERROR(VALUE(F574),"")</f>
        <v>355.4</v>
      </c>
      <c r="BN574" s="6" t="n">
        <f aca="false">IF(R574="-","",IFERROR(VALUE(LEFT(Q574,LEN(Q574)-2)),""))</f>
        <v>134</v>
      </c>
      <c r="BO574" s="6" t="n">
        <f aca="false">IF(R574="-","",IFERROR(VALUE(LEFT(R574,LEN(R574)-5)),""))</f>
        <v>2.65</v>
      </c>
      <c r="BP574" s="6" t="n">
        <f aca="false">IF(R574="-","",IFERROR(VALUE(F574),""))</f>
        <v>355.4</v>
      </c>
      <c r="BQ574" s="4" t="n">
        <f aca="false">IF(R574="-",1,0)</f>
        <v>0</v>
      </c>
    </row>
    <row r="575" customFormat="false" ht="15" hidden="false" customHeight="false" outlineLevel="0" collapsed="false">
      <c r="A575" s="0" t="s">
        <v>2330</v>
      </c>
      <c r="B575" s="0" t="s">
        <v>2331</v>
      </c>
      <c r="C575" s="0" t="s">
        <v>70</v>
      </c>
      <c r="D575" s="0" t="s">
        <v>2345</v>
      </c>
      <c r="E575" s="3" t="n">
        <v>46276</v>
      </c>
      <c r="F575" s="4" t="s">
        <v>2346</v>
      </c>
      <c r="G575" s="5" t="n">
        <v>0.691319444444445</v>
      </c>
      <c r="H575" s="5" t="n">
        <v>0.664710648148148</v>
      </c>
      <c r="I575" s="5" t="n">
        <v>0.00670138888888889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5" t="n">
        <v>0</v>
      </c>
      <c r="P575" s="5" t="n">
        <v>0.0325462962962963</v>
      </c>
      <c r="Q575" s="4" t="s">
        <v>2347</v>
      </c>
      <c r="R575" s="4" t="s">
        <v>1421</v>
      </c>
      <c r="S575" s="5" t="n">
        <v>0</v>
      </c>
      <c r="T575" s="5" t="n">
        <v>0.184490740740741</v>
      </c>
      <c r="U575" s="5" t="n">
        <v>0.434513888888889</v>
      </c>
      <c r="V575" s="5" t="n">
        <v>0.0546296296296296</v>
      </c>
      <c r="W575" s="5" t="n">
        <v>0.000104166666666667</v>
      </c>
      <c r="X575" s="5" t="n">
        <v>0</v>
      </c>
      <c r="Y575" s="5" t="n">
        <v>0</v>
      </c>
      <c r="Z575" s="0" t="n">
        <v>0</v>
      </c>
      <c r="AA575" s="0" t="n">
        <v>0</v>
      </c>
      <c r="AB575" s="0" t="n">
        <v>0</v>
      </c>
      <c r="AC575" s="4" t="s">
        <v>158</v>
      </c>
      <c r="AD575" s="4" t="s">
        <v>1246</v>
      </c>
      <c r="AE575" s="4" t="s">
        <v>2344</v>
      </c>
      <c r="AF575" s="4" t="s">
        <v>2348</v>
      </c>
      <c r="AG575" s="5" t="n">
        <v>0.581006944444445</v>
      </c>
      <c r="AH575" s="5" t="n">
        <v>0.192013888888889</v>
      </c>
      <c r="AI575" s="5" t="n">
        <v>0</v>
      </c>
      <c r="AJ575" s="5" t="n">
        <v>0</v>
      </c>
      <c r="AK575" s="5" t="n">
        <v>0</v>
      </c>
      <c r="AL575" s="5" t="n">
        <v>0</v>
      </c>
      <c r="AM575" s="4" t="s">
        <v>78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  <c r="AU575" s="0" t="n">
        <v>4</v>
      </c>
      <c r="AV575" s="0" t="n">
        <v>0</v>
      </c>
      <c r="AW575" s="0" t="n">
        <v>1</v>
      </c>
      <c r="AX575" s="0" t="n">
        <v>0</v>
      </c>
      <c r="AY575" s="0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0" t="n">
        <v>0</v>
      </c>
      <c r="BE575" s="0" t="n">
        <v>0</v>
      </c>
      <c r="BF575" s="0" t="n">
        <v>0</v>
      </c>
      <c r="BG575" s="0" t="n">
        <v>0</v>
      </c>
      <c r="BH575" s="0" t="n">
        <v>0</v>
      </c>
      <c r="BI575" s="0" t="n">
        <v>0</v>
      </c>
      <c r="BJ575" s="0" t="n">
        <v>0</v>
      </c>
      <c r="BK575" s="0" t="n">
        <v>0</v>
      </c>
      <c r="BM575" s="6" t="n">
        <f aca="false">IFERROR(VALUE(F575),"")</f>
        <v>715.06</v>
      </c>
      <c r="BN575" s="6" t="n">
        <f aca="false">IF(R575="-","",IFERROR(VALUE(LEFT(Q575,LEN(Q575)-2)),""))</f>
        <v>269.01</v>
      </c>
      <c r="BO575" s="6" t="n">
        <f aca="false">IF(R575="-","",IFERROR(VALUE(LEFT(R575,LEN(R575)-5)),""))</f>
        <v>2.66</v>
      </c>
      <c r="BP575" s="6" t="n">
        <f aca="false">IF(R575="-","",IFERROR(VALUE(F575),""))</f>
        <v>715.06</v>
      </c>
      <c r="BQ575" s="4" t="n">
        <f aca="false">IF(R575="-",1,0)</f>
        <v>0</v>
      </c>
    </row>
    <row r="576" customFormat="false" ht="15" hidden="false" customHeight="false" outlineLevel="0" collapsed="false">
      <c r="A576" s="0" t="s">
        <v>2330</v>
      </c>
      <c r="B576" s="0" t="s">
        <v>2331</v>
      </c>
      <c r="C576" s="0" t="s">
        <v>70</v>
      </c>
      <c r="D576" s="0" t="s">
        <v>2349</v>
      </c>
      <c r="E576" s="3" t="n">
        <v>46277</v>
      </c>
      <c r="F576" s="4" t="s">
        <v>2350</v>
      </c>
      <c r="G576" s="5" t="n">
        <v>0.530196759259259</v>
      </c>
      <c r="H576" s="5" t="n">
        <v>0.397928240740741</v>
      </c>
      <c r="I576" s="5" t="n">
        <v>0.0022337962962963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5" t="n">
        <v>0</v>
      </c>
      <c r="P576" s="5" t="n">
        <v>0.0259143518518519</v>
      </c>
      <c r="Q576" s="4" t="s">
        <v>2351</v>
      </c>
      <c r="R576" s="4" t="s">
        <v>325</v>
      </c>
      <c r="S576" s="5" t="n">
        <v>0</v>
      </c>
      <c r="T576" s="5" t="n">
        <v>0.180439814814815</v>
      </c>
      <c r="U576" s="5" t="n">
        <v>0.262395833333333</v>
      </c>
      <c r="V576" s="5" t="n">
        <v>0.0198958333333333</v>
      </c>
      <c r="W576" s="5" t="n">
        <v>0.00037037037037037</v>
      </c>
      <c r="X576" s="5" t="n">
        <v>0</v>
      </c>
      <c r="Y576" s="5" t="n">
        <v>0.000208333333333333</v>
      </c>
      <c r="Z576" s="0" t="n">
        <v>0</v>
      </c>
      <c r="AA576" s="0" t="n">
        <v>0</v>
      </c>
      <c r="AB576" s="0" t="n">
        <v>0</v>
      </c>
      <c r="AC576" s="4" t="s">
        <v>1246</v>
      </c>
      <c r="AD576" s="4" t="s">
        <v>1076</v>
      </c>
      <c r="AE576" s="4" t="s">
        <v>2348</v>
      </c>
      <c r="AF576" s="4" t="s">
        <v>2352</v>
      </c>
      <c r="AG576" s="5" t="n">
        <v>0.383113425925926</v>
      </c>
      <c r="AH576" s="5" t="n">
        <v>0.204189814814815</v>
      </c>
      <c r="AI576" s="5" t="n">
        <v>0</v>
      </c>
      <c r="AJ576" s="5" t="n">
        <v>0</v>
      </c>
      <c r="AK576" s="5" t="n">
        <v>0</v>
      </c>
      <c r="AL576" s="5" t="n">
        <v>0</v>
      </c>
      <c r="AM576" s="4" t="s">
        <v>78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3</v>
      </c>
      <c r="AV576" s="0" t="n">
        <v>0</v>
      </c>
      <c r="AW576" s="0" t="n">
        <v>1</v>
      </c>
      <c r="AX576" s="0" t="n">
        <v>0</v>
      </c>
      <c r="AY576" s="0" t="n">
        <v>0</v>
      </c>
      <c r="AZ576" s="0" t="n">
        <v>0</v>
      </c>
      <c r="BA576" s="0" t="n">
        <v>0</v>
      </c>
      <c r="BB576" s="0" t="n">
        <v>0</v>
      </c>
      <c r="BC576" s="0" t="n">
        <v>0</v>
      </c>
      <c r="BD576" s="0" t="n">
        <v>0</v>
      </c>
      <c r="BE576" s="0" t="n">
        <v>0</v>
      </c>
      <c r="BF576" s="0" t="n">
        <v>0</v>
      </c>
      <c r="BG576" s="0" t="n">
        <v>0</v>
      </c>
      <c r="BH576" s="0" t="n">
        <v>0</v>
      </c>
      <c r="BI576" s="0" t="n">
        <v>0</v>
      </c>
      <c r="BJ576" s="0" t="n">
        <v>0</v>
      </c>
      <c r="BK576" s="0" t="n">
        <v>0</v>
      </c>
      <c r="BM576" s="6" t="n">
        <f aca="false">IFERROR(VALUE(F576),"")</f>
        <v>412.57</v>
      </c>
      <c r="BN576" s="6" t="n">
        <f aca="false">IF(R576="-","",IFERROR(VALUE(LEFT(Q576,LEN(Q576)-2)),""))</f>
        <v>144</v>
      </c>
      <c r="BO576" s="6" t="n">
        <f aca="false">IF(R576="-","",IFERROR(VALUE(LEFT(R576,LEN(R576)-5)),""))</f>
        <v>2.87</v>
      </c>
      <c r="BP576" s="6" t="n">
        <f aca="false">IF(R576="-","",IFERROR(VALUE(F576),""))</f>
        <v>412.57</v>
      </c>
      <c r="BQ576" s="4" t="n">
        <f aca="false">IF(R576="-",1,0)</f>
        <v>0</v>
      </c>
    </row>
    <row r="577" customFormat="false" ht="15" hidden="false" customHeight="false" outlineLevel="0" collapsed="false">
      <c r="A577" s="0" t="s">
        <v>2330</v>
      </c>
      <c r="B577" s="0" t="s">
        <v>2331</v>
      </c>
      <c r="C577" s="0" t="s">
        <v>70</v>
      </c>
      <c r="D577" s="0" t="s">
        <v>2353</v>
      </c>
      <c r="E577" s="3" t="n">
        <v>46278</v>
      </c>
      <c r="F577" s="4" t="s">
        <v>2354</v>
      </c>
      <c r="G577" s="5" t="n">
        <v>0.409502314814815</v>
      </c>
      <c r="H577" s="5" t="n">
        <v>0.397569444444444</v>
      </c>
      <c r="I577" s="5" t="n">
        <v>0.00195601851851852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5" t="n">
        <v>0</v>
      </c>
      <c r="P577" s="5" t="n">
        <v>0.00814814814814815</v>
      </c>
      <c r="Q577" s="4" t="s">
        <v>2355</v>
      </c>
      <c r="R577" s="4" t="s">
        <v>524</v>
      </c>
      <c r="S577" s="5" t="n">
        <v>0.000115740740740741</v>
      </c>
      <c r="T577" s="5" t="n">
        <v>0.119791666666667</v>
      </c>
      <c r="U577" s="5" t="n">
        <v>0.261111111111111</v>
      </c>
      <c r="V577" s="5" t="n">
        <v>0.015625</v>
      </c>
      <c r="W577" s="5" t="n">
        <v>0</v>
      </c>
      <c r="X577" s="5" t="n">
        <v>0</v>
      </c>
      <c r="Y577" s="5" t="n">
        <v>0</v>
      </c>
      <c r="Z577" s="0" t="n">
        <v>0</v>
      </c>
      <c r="AA577" s="0" t="n">
        <v>0</v>
      </c>
      <c r="AB577" s="0" t="n">
        <v>0</v>
      </c>
      <c r="AC577" s="4" t="s">
        <v>1076</v>
      </c>
      <c r="AD577" s="4" t="s">
        <v>152</v>
      </c>
      <c r="AE577" s="4" t="s">
        <v>2352</v>
      </c>
      <c r="AF577" s="4" t="s">
        <v>2356</v>
      </c>
      <c r="AG577" s="5" t="n">
        <v>0.354594907407407</v>
      </c>
      <c r="AH577" s="5" t="n">
        <v>0.072650462962963</v>
      </c>
      <c r="AI577" s="5" t="n">
        <v>0</v>
      </c>
      <c r="AJ577" s="5" t="n">
        <v>0</v>
      </c>
      <c r="AK577" s="5" t="n">
        <v>0</v>
      </c>
      <c r="AL577" s="5" t="n">
        <v>0</v>
      </c>
      <c r="AM577" s="4" t="s">
        <v>78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  <c r="AU577" s="0" t="n">
        <v>0</v>
      </c>
      <c r="AV577" s="0" t="n">
        <v>0</v>
      </c>
      <c r="AW577" s="0" t="n">
        <v>0</v>
      </c>
      <c r="AX577" s="0" t="n">
        <v>0</v>
      </c>
      <c r="AY577" s="0" t="n">
        <v>0</v>
      </c>
      <c r="AZ577" s="0" t="n">
        <v>0</v>
      </c>
      <c r="BA577" s="0" t="n">
        <v>0</v>
      </c>
      <c r="BB577" s="0" t="n">
        <v>0</v>
      </c>
      <c r="BC577" s="0" t="n">
        <v>0</v>
      </c>
      <c r="BD577" s="0" t="n">
        <v>0</v>
      </c>
      <c r="BE577" s="0" t="n">
        <v>0</v>
      </c>
      <c r="BF577" s="0" t="n">
        <v>0</v>
      </c>
      <c r="BG577" s="0" t="n">
        <v>0</v>
      </c>
      <c r="BH577" s="0" t="n">
        <v>0</v>
      </c>
      <c r="BI577" s="0" t="n">
        <v>0</v>
      </c>
      <c r="BJ577" s="0" t="n">
        <v>0</v>
      </c>
      <c r="BK577" s="0" t="n">
        <v>0</v>
      </c>
      <c r="BM577" s="6" t="n">
        <f aca="false">IFERROR(VALUE(F577),"")</f>
        <v>409.26</v>
      </c>
      <c r="BN577" s="6" t="n">
        <f aca="false">IF(R577="-","",IFERROR(VALUE(LEFT(Q577,LEN(Q577)-2)),""))</f>
        <v>146.5</v>
      </c>
      <c r="BO577" s="6" t="n">
        <f aca="false">IF(R577="-","",IFERROR(VALUE(LEFT(R577,LEN(R577)-5)),""))</f>
        <v>2.79</v>
      </c>
      <c r="BP577" s="6" t="n">
        <f aca="false">IF(R577="-","",IFERROR(VALUE(F577),""))</f>
        <v>409.26</v>
      </c>
      <c r="BQ577" s="4" t="n">
        <f aca="false">IF(R577="-",1,0)</f>
        <v>0</v>
      </c>
    </row>
    <row r="578" customFormat="false" ht="15" hidden="false" customHeight="false" outlineLevel="0" collapsed="false">
      <c r="A578" s="0" t="s">
        <v>2330</v>
      </c>
      <c r="B578" s="0" t="s">
        <v>2331</v>
      </c>
      <c r="C578" s="0" t="s">
        <v>70</v>
      </c>
      <c r="E578" s="3" t="n">
        <v>46279</v>
      </c>
      <c r="F578" s="4" t="s">
        <v>2357</v>
      </c>
      <c r="G578" s="5" t="n">
        <v>0.0208912037037037</v>
      </c>
      <c r="H578" s="5" t="n">
        <v>0</v>
      </c>
      <c r="I578" s="5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5" t="n">
        <v>0</v>
      </c>
      <c r="P578" s="5" t="n">
        <v>0.0106828703703704</v>
      </c>
      <c r="Q578" s="4" t="s">
        <v>2358</v>
      </c>
      <c r="R578" s="4" t="s">
        <v>2359</v>
      </c>
      <c r="S578" s="5" t="n">
        <v>0.000115740740740741</v>
      </c>
      <c r="T578" s="5" t="n">
        <v>0.0194444444444444</v>
      </c>
      <c r="U578" s="5" t="n">
        <v>0.000925925925925926</v>
      </c>
      <c r="V578" s="5" t="n">
        <v>0</v>
      </c>
      <c r="W578" s="5" t="n">
        <v>0</v>
      </c>
      <c r="X578" s="5" t="n">
        <v>0</v>
      </c>
      <c r="Y578" s="5" t="n">
        <v>0</v>
      </c>
      <c r="Z578" s="0" t="n">
        <v>0</v>
      </c>
      <c r="AA578" s="0" t="n">
        <v>0</v>
      </c>
      <c r="AB578" s="0" t="n">
        <v>0</v>
      </c>
      <c r="AC578" s="4" t="s">
        <v>152</v>
      </c>
      <c r="AD578" s="4" t="s">
        <v>152</v>
      </c>
      <c r="AE578" s="4" t="s">
        <v>2356</v>
      </c>
      <c r="AF578" s="4" t="s">
        <v>2360</v>
      </c>
      <c r="AG578" s="5" t="n">
        <v>0.00326388888888889</v>
      </c>
      <c r="AH578" s="5" t="n">
        <v>0.0190393518518519</v>
      </c>
      <c r="AI578" s="5" t="n">
        <v>0</v>
      </c>
      <c r="AJ578" s="5" t="n">
        <v>0</v>
      </c>
      <c r="AK578" s="5" t="n">
        <v>0</v>
      </c>
      <c r="AL578" s="5" t="n">
        <v>0</v>
      </c>
      <c r="AM578" s="4" t="s">
        <v>78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0</v>
      </c>
      <c r="AU578" s="0" t="n">
        <v>0</v>
      </c>
      <c r="AV578" s="0" t="n">
        <v>0</v>
      </c>
      <c r="AW578" s="0" t="n">
        <v>0</v>
      </c>
      <c r="AX578" s="0" t="n">
        <v>0</v>
      </c>
      <c r="AY578" s="0" t="n">
        <v>0</v>
      </c>
      <c r="AZ578" s="0" t="n">
        <v>0</v>
      </c>
      <c r="BA578" s="0" t="n">
        <v>0</v>
      </c>
      <c r="BB578" s="0" t="n">
        <v>0</v>
      </c>
      <c r="BC578" s="0" t="n">
        <v>0</v>
      </c>
      <c r="BD578" s="0" t="n">
        <v>0</v>
      </c>
      <c r="BE578" s="0" t="n">
        <v>0</v>
      </c>
      <c r="BF578" s="0" t="n">
        <v>0</v>
      </c>
      <c r="BG578" s="0" t="n">
        <v>0</v>
      </c>
      <c r="BH578" s="0" t="n">
        <v>0</v>
      </c>
      <c r="BI578" s="0" t="n">
        <v>0</v>
      </c>
      <c r="BJ578" s="0" t="n">
        <v>0</v>
      </c>
      <c r="BK578" s="0" t="n">
        <v>0</v>
      </c>
      <c r="BM578" s="6" t="n">
        <f aca="false">IFERROR(VALUE(F578),"")</f>
        <v>0.17</v>
      </c>
      <c r="BN578" s="6" t="n">
        <f aca="false">IF(R578="-","",IFERROR(VALUE(LEFT(Q578,LEN(Q578)-2)),""))</f>
        <v>1.5</v>
      </c>
      <c r="BO578" s="6" t="n">
        <f aca="false">IF(R578="-","",IFERROR(VALUE(LEFT(R578,LEN(R578)-5)),""))</f>
        <v>0.11</v>
      </c>
      <c r="BP578" s="6" t="n">
        <f aca="false">IF(R578="-","",IFERROR(VALUE(F578),""))</f>
        <v>0.17</v>
      </c>
      <c r="BQ578" s="4" t="n">
        <f aca="false">IF(R578="-",1,0)</f>
        <v>0</v>
      </c>
    </row>
    <row r="579" customFormat="false" ht="15" hidden="false" customHeight="false" outlineLevel="0" collapsed="false">
      <c r="A579" s="0" t="s">
        <v>2361</v>
      </c>
      <c r="B579" s="0" t="s">
        <v>2362</v>
      </c>
      <c r="C579" s="0" t="s">
        <v>70</v>
      </c>
      <c r="E579" s="3" t="n">
        <v>46274</v>
      </c>
      <c r="F579" s="4" t="s">
        <v>2363</v>
      </c>
      <c r="G579" s="5" t="n">
        <v>0.00685185185185185</v>
      </c>
      <c r="H579" s="5" t="n">
        <v>0</v>
      </c>
      <c r="I579" s="5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5" t="n">
        <v>0</v>
      </c>
      <c r="P579" s="5" t="n">
        <v>0</v>
      </c>
      <c r="Q579" s="4" t="s">
        <v>2101</v>
      </c>
      <c r="R579" s="4" t="s">
        <v>2364</v>
      </c>
      <c r="S579" s="5" t="n">
        <v>0</v>
      </c>
      <c r="T579" s="5" t="n">
        <v>0.00636574074074074</v>
      </c>
      <c r="U579" s="5" t="n">
        <v>0.000231481481481482</v>
      </c>
      <c r="V579" s="5" t="n">
        <v>0</v>
      </c>
      <c r="W579" s="5" t="n">
        <v>0</v>
      </c>
      <c r="X579" s="5" t="n">
        <v>0</v>
      </c>
      <c r="Y579" s="5" t="n">
        <v>0</v>
      </c>
      <c r="Z579" s="0" t="n">
        <v>0</v>
      </c>
      <c r="AA579" s="0" t="n">
        <v>0</v>
      </c>
      <c r="AB579" s="0" t="n">
        <v>0</v>
      </c>
      <c r="AC579" s="4" t="s">
        <v>2365</v>
      </c>
      <c r="AD579" s="4" t="s">
        <v>2365</v>
      </c>
      <c r="AE579" s="4" t="s">
        <v>2366</v>
      </c>
      <c r="AF579" s="4" t="s">
        <v>2367</v>
      </c>
      <c r="AG579" s="5" t="n">
        <v>0.00087962962962963</v>
      </c>
      <c r="AH579" s="5" t="n">
        <v>0.0315162037037037</v>
      </c>
      <c r="AI579" s="5" t="n">
        <v>0</v>
      </c>
      <c r="AJ579" s="5" t="n">
        <v>0</v>
      </c>
      <c r="AK579" s="5" t="n">
        <v>0</v>
      </c>
      <c r="AL579" s="5" t="n">
        <v>0</v>
      </c>
      <c r="AM579" s="4" t="s">
        <v>78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  <c r="AV579" s="0" t="n">
        <v>0</v>
      </c>
      <c r="AW579" s="0" t="n">
        <v>0</v>
      </c>
      <c r="AX579" s="0" t="n">
        <v>0</v>
      </c>
      <c r="AY579" s="0" t="n">
        <v>0</v>
      </c>
      <c r="AZ579" s="0" t="n">
        <v>0</v>
      </c>
      <c r="BA579" s="0" t="n">
        <v>0</v>
      </c>
      <c r="BB579" s="0" t="n">
        <v>0</v>
      </c>
      <c r="BC579" s="0" t="n">
        <v>0</v>
      </c>
      <c r="BD579" s="0" t="n">
        <v>0</v>
      </c>
      <c r="BE579" s="0" t="n">
        <v>0</v>
      </c>
      <c r="BF579" s="0" t="n">
        <v>0</v>
      </c>
      <c r="BG579" s="0" t="n">
        <v>0</v>
      </c>
      <c r="BH579" s="0" t="n">
        <v>0</v>
      </c>
      <c r="BI579" s="0" t="n">
        <v>0</v>
      </c>
      <c r="BJ579" s="0" t="n">
        <v>0</v>
      </c>
      <c r="BK579" s="0" t="n">
        <v>0</v>
      </c>
      <c r="BM579" s="6" t="n">
        <f aca="false">IFERROR(VALUE(F579),"")</f>
        <v>0.13</v>
      </c>
      <c r="BN579" s="6" t="n">
        <f aca="false">IF(R579="-","",IFERROR(VALUE(LEFT(Q579,LEN(Q579)-2)),""))</f>
        <v>0.51</v>
      </c>
      <c r="BO579" s="6" t="n">
        <f aca="false">IF(R579="-","",IFERROR(VALUE(LEFT(R579,LEN(R579)-5)),""))</f>
        <v>0.25</v>
      </c>
      <c r="BP579" s="6" t="n">
        <f aca="false">IF(R579="-","",IFERROR(VALUE(F579),""))</f>
        <v>0.13</v>
      </c>
      <c r="BQ579" s="4" t="n">
        <f aca="false">IF(R579="-",1,0)</f>
        <v>0</v>
      </c>
    </row>
    <row r="580" customFormat="false" ht="15" hidden="false" customHeight="false" outlineLevel="0" collapsed="false">
      <c r="A580" s="0" t="s">
        <v>2361</v>
      </c>
      <c r="B580" s="0" t="s">
        <v>2362</v>
      </c>
      <c r="C580" s="0" t="s">
        <v>70</v>
      </c>
      <c r="D580" s="0" t="s">
        <v>2368</v>
      </c>
      <c r="E580" s="3" t="n">
        <v>46275</v>
      </c>
      <c r="F580" s="4" t="s">
        <v>2369</v>
      </c>
      <c r="G580" s="5" t="n">
        <v>0.662916666666667</v>
      </c>
      <c r="H580" s="5" t="n">
        <v>0.621921296296296</v>
      </c>
      <c r="I580" s="5" t="n">
        <v>0.000324074074074074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1</v>
      </c>
      <c r="O580" s="5" t="n">
        <v>0</v>
      </c>
      <c r="P580" s="5" t="n">
        <v>0.0145949074074074</v>
      </c>
      <c r="Q580" s="4" t="s">
        <v>2370</v>
      </c>
      <c r="R580" s="4" t="s">
        <v>2371</v>
      </c>
      <c r="S580" s="5" t="n">
        <v>0.000115740740740741</v>
      </c>
      <c r="T580" s="5" t="n">
        <v>0.165856481481482</v>
      </c>
      <c r="U580" s="5" t="n">
        <v>0.262384259259259</v>
      </c>
      <c r="V580" s="5" t="n">
        <v>0.188888888888889</v>
      </c>
      <c r="W580" s="5" t="n">
        <v>0</v>
      </c>
      <c r="X580" s="5" t="n">
        <v>0</v>
      </c>
      <c r="Y580" s="5" t="n">
        <v>0</v>
      </c>
      <c r="Z580" s="0" t="n">
        <v>0</v>
      </c>
      <c r="AA580" s="0" t="n">
        <v>0</v>
      </c>
      <c r="AB580" s="0" t="n">
        <v>0</v>
      </c>
      <c r="AC580" s="4" t="s">
        <v>2372</v>
      </c>
      <c r="AD580" s="4" t="s">
        <v>1026</v>
      </c>
      <c r="AE580" s="4" t="s">
        <v>2367</v>
      </c>
      <c r="AF580" s="4" t="s">
        <v>2373</v>
      </c>
      <c r="AG580" s="5" t="n">
        <v>0.547152777777778</v>
      </c>
      <c r="AH580" s="5" t="n">
        <v>0.166793981481482</v>
      </c>
      <c r="AI580" s="5" t="n">
        <v>0</v>
      </c>
      <c r="AJ580" s="5" t="n">
        <v>0</v>
      </c>
      <c r="AK580" s="5" t="n">
        <v>0</v>
      </c>
      <c r="AL580" s="5" t="n">
        <v>0</v>
      </c>
      <c r="AM580" s="4" t="s">
        <v>78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3</v>
      </c>
      <c r="AS580" s="0" t="n">
        <v>0</v>
      </c>
      <c r="AT580" s="0" t="n">
        <v>0</v>
      </c>
      <c r="AU580" s="0" t="n">
        <v>15</v>
      </c>
      <c r="AV580" s="0" t="n">
        <v>0</v>
      </c>
      <c r="AW580" s="0" t="n">
        <v>0</v>
      </c>
      <c r="AX580" s="0" t="n">
        <v>0</v>
      </c>
      <c r="AY580" s="0" t="n">
        <v>0</v>
      </c>
      <c r="AZ580" s="0" t="n">
        <v>0</v>
      </c>
      <c r="BA580" s="0" t="n">
        <v>0</v>
      </c>
      <c r="BB580" s="0" t="n">
        <v>0</v>
      </c>
      <c r="BC580" s="0" t="n">
        <v>0</v>
      </c>
      <c r="BD580" s="0" t="n">
        <v>0</v>
      </c>
      <c r="BE580" s="0" t="n">
        <v>0</v>
      </c>
      <c r="BF580" s="0" t="n">
        <v>0</v>
      </c>
      <c r="BG580" s="0" t="n">
        <v>0</v>
      </c>
      <c r="BH580" s="0" t="n">
        <v>0</v>
      </c>
      <c r="BI580" s="0" t="n">
        <v>0</v>
      </c>
      <c r="BJ580" s="0" t="n">
        <v>0</v>
      </c>
      <c r="BK580" s="0" t="n">
        <v>0</v>
      </c>
      <c r="BM580" s="6" t="n">
        <f aca="false">IFERROR(VALUE(F580),"")</f>
        <v>762.39</v>
      </c>
      <c r="BN580" s="6" t="n">
        <f aca="false">IF(R580="-","",IFERROR(VALUE(LEFT(Q580,LEN(Q580)-2)),""))</f>
        <v>230.02</v>
      </c>
      <c r="BO580" s="6" t="n">
        <f aca="false">IF(R580="-","",IFERROR(VALUE(LEFT(R580,LEN(R580)-5)),""))</f>
        <v>3.31</v>
      </c>
      <c r="BP580" s="6" t="n">
        <f aca="false">IF(R580="-","",IFERROR(VALUE(F580),""))</f>
        <v>762.39</v>
      </c>
      <c r="BQ580" s="4" t="n">
        <f aca="false">IF(R580="-",1,0)</f>
        <v>0</v>
      </c>
    </row>
    <row r="581" customFormat="false" ht="15" hidden="false" customHeight="false" outlineLevel="0" collapsed="false">
      <c r="A581" s="0" t="s">
        <v>2361</v>
      </c>
      <c r="B581" s="0" t="s">
        <v>2362</v>
      </c>
      <c r="C581" s="0" t="s">
        <v>70</v>
      </c>
      <c r="D581" s="0" t="s">
        <v>2374</v>
      </c>
      <c r="E581" s="3" t="n">
        <v>46276</v>
      </c>
      <c r="F581" s="4" t="s">
        <v>2375</v>
      </c>
      <c r="G581" s="5" t="n">
        <v>0.638460648148148</v>
      </c>
      <c r="H581" s="5" t="n">
        <v>0.310694444444444</v>
      </c>
      <c r="I581" s="5" t="n">
        <v>0.00240740740740741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1</v>
      </c>
      <c r="O581" s="5" t="n">
        <v>0</v>
      </c>
      <c r="P581" s="5" t="n">
        <v>0.0110648148148148</v>
      </c>
      <c r="Q581" s="4" t="s">
        <v>2376</v>
      </c>
      <c r="R581" s="4" t="s">
        <v>948</v>
      </c>
      <c r="S581" s="5" t="n">
        <v>0.000115740740740741</v>
      </c>
      <c r="T581" s="5" t="n">
        <v>0.163310185185185</v>
      </c>
      <c r="U581" s="5" t="n">
        <v>0.258217592592593</v>
      </c>
      <c r="V581" s="5" t="n">
        <v>0.191550925925926</v>
      </c>
      <c r="W581" s="5" t="n">
        <v>0</v>
      </c>
      <c r="X581" s="5" t="n">
        <v>0</v>
      </c>
      <c r="Y581" s="5" t="n">
        <v>0</v>
      </c>
      <c r="Z581" s="0" t="n">
        <v>0</v>
      </c>
      <c r="AA581" s="0" t="n">
        <v>0</v>
      </c>
      <c r="AB581" s="0" t="n">
        <v>0</v>
      </c>
      <c r="AC581" s="4" t="s">
        <v>2377</v>
      </c>
      <c r="AD581" s="4" t="s">
        <v>75</v>
      </c>
      <c r="AE581" s="4" t="s">
        <v>2373</v>
      </c>
      <c r="AF581" s="4" t="s">
        <v>2378</v>
      </c>
      <c r="AG581" s="5" t="n">
        <v>0.541747685185185</v>
      </c>
      <c r="AH581" s="5" t="n">
        <v>0.168287037037037</v>
      </c>
      <c r="AI581" s="5" t="n">
        <v>0</v>
      </c>
      <c r="AJ581" s="5" t="n">
        <v>0</v>
      </c>
      <c r="AK581" s="5" t="n">
        <v>0</v>
      </c>
      <c r="AL581" s="5" t="n">
        <v>0</v>
      </c>
      <c r="AM581" s="4" t="s">
        <v>78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0</v>
      </c>
      <c r="AU581" s="0" t="n">
        <v>5</v>
      </c>
      <c r="AV581" s="0" t="n">
        <v>0</v>
      </c>
      <c r="AW581" s="0" t="n">
        <v>1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0</v>
      </c>
      <c r="BE581" s="0" t="n">
        <v>0</v>
      </c>
      <c r="BF581" s="0" t="n">
        <v>0</v>
      </c>
      <c r="BG581" s="0" t="n">
        <v>0</v>
      </c>
      <c r="BH581" s="0" t="n">
        <v>0</v>
      </c>
      <c r="BI581" s="0" t="n">
        <v>0</v>
      </c>
      <c r="BJ581" s="0" t="n">
        <v>0</v>
      </c>
      <c r="BK581" s="0" t="n">
        <v>0</v>
      </c>
      <c r="BM581" s="6" t="n">
        <f aca="false">IFERROR(VALUE(F581),"")</f>
        <v>745.5</v>
      </c>
      <c r="BN581" s="6" t="n">
        <f aca="false">IF(R581="-","",IFERROR(VALUE(LEFT(Q581,LEN(Q581)-2)),""))</f>
        <v>229.98</v>
      </c>
      <c r="BO581" s="6" t="n">
        <f aca="false">IF(R581="-","",IFERROR(VALUE(LEFT(R581,LEN(R581)-5)),""))</f>
        <v>3.24</v>
      </c>
      <c r="BP581" s="6" t="n">
        <f aca="false">IF(R581="-","",IFERROR(VALUE(F581),""))</f>
        <v>745.5</v>
      </c>
      <c r="BQ581" s="4" t="n">
        <f aca="false">IF(R581="-",1,0)</f>
        <v>0</v>
      </c>
    </row>
    <row r="582" customFormat="false" ht="15" hidden="false" customHeight="false" outlineLevel="0" collapsed="false">
      <c r="A582" s="0" t="s">
        <v>2361</v>
      </c>
      <c r="B582" s="0" t="s">
        <v>2362</v>
      </c>
      <c r="C582" s="0" t="s">
        <v>70</v>
      </c>
      <c r="D582" s="0" t="s">
        <v>2379</v>
      </c>
      <c r="E582" s="3" t="n">
        <v>46277</v>
      </c>
      <c r="F582" s="4" t="s">
        <v>2380</v>
      </c>
      <c r="G582" s="5" t="n">
        <v>0.807615740740741</v>
      </c>
      <c r="H582" s="5" t="n">
        <v>0.612118055555556</v>
      </c>
      <c r="I582" s="5" t="n">
        <v>0.000173611111111111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5" t="n">
        <v>0</v>
      </c>
      <c r="P582" s="5" t="n">
        <v>0.0100578703703704</v>
      </c>
      <c r="Q582" s="4" t="s">
        <v>2381</v>
      </c>
      <c r="R582" s="4" t="s">
        <v>1346</v>
      </c>
      <c r="S582" s="5" t="n">
        <v>0.000115740740740741</v>
      </c>
      <c r="T582" s="5" t="n">
        <v>0.132986111111111</v>
      </c>
      <c r="U582" s="5" t="n">
        <v>0.284953703703704</v>
      </c>
      <c r="V582" s="5" t="n">
        <v>0.13599537037037</v>
      </c>
      <c r="W582" s="5" t="n">
        <v>0</v>
      </c>
      <c r="X582" s="5" t="n">
        <v>0</v>
      </c>
      <c r="Y582" s="5" t="n">
        <v>0</v>
      </c>
      <c r="Z582" s="0" t="n">
        <v>0</v>
      </c>
      <c r="AA582" s="0" t="n">
        <v>0</v>
      </c>
      <c r="AB582" s="0" t="n">
        <v>0</v>
      </c>
      <c r="AC582" s="4" t="s">
        <v>75</v>
      </c>
      <c r="AD582" s="4" t="s">
        <v>1026</v>
      </c>
      <c r="AE582" s="4" t="s">
        <v>2378</v>
      </c>
      <c r="AF582" s="4" t="s">
        <v>2382</v>
      </c>
      <c r="AG582" s="5" t="n">
        <v>0.506875</v>
      </c>
      <c r="AH582" s="5" t="n">
        <v>0.352627314814815</v>
      </c>
      <c r="AI582" s="5" t="n">
        <v>0</v>
      </c>
      <c r="AJ582" s="5" t="n">
        <v>0</v>
      </c>
      <c r="AK582" s="5" t="n">
        <v>0</v>
      </c>
      <c r="AL582" s="5" t="n">
        <v>0</v>
      </c>
      <c r="AM582" s="4" t="s">
        <v>78</v>
      </c>
      <c r="AN582" s="0" t="n">
        <v>0</v>
      </c>
      <c r="AO582" s="0" t="n">
        <v>0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0</v>
      </c>
      <c r="AU582" s="0" t="n">
        <v>1</v>
      </c>
      <c r="AV582" s="0" t="n">
        <v>0</v>
      </c>
      <c r="AW582" s="0" t="n">
        <v>0</v>
      </c>
      <c r="AX582" s="0" t="n">
        <v>0</v>
      </c>
      <c r="AY582" s="0" t="n">
        <v>0</v>
      </c>
      <c r="AZ582" s="0" t="n">
        <v>0</v>
      </c>
      <c r="BA582" s="0" t="n">
        <v>0</v>
      </c>
      <c r="BB582" s="0" t="n">
        <v>0</v>
      </c>
      <c r="BC582" s="0" t="n">
        <v>0</v>
      </c>
      <c r="BD582" s="0" t="n">
        <v>0</v>
      </c>
      <c r="BE582" s="0" t="n">
        <v>0</v>
      </c>
      <c r="BF582" s="0" t="n">
        <v>0</v>
      </c>
      <c r="BG582" s="0" t="n">
        <v>0</v>
      </c>
      <c r="BH582" s="0" t="n">
        <v>0</v>
      </c>
      <c r="BI582" s="0" t="n">
        <v>0</v>
      </c>
      <c r="BJ582" s="0" t="n">
        <v>0</v>
      </c>
      <c r="BK582" s="0" t="n">
        <v>0</v>
      </c>
      <c r="BM582" s="6" t="n">
        <f aca="false">IFERROR(VALUE(F582),"")</f>
        <v>701.86</v>
      </c>
      <c r="BN582" s="6" t="n">
        <f aca="false">IF(R582="-","",IFERROR(VALUE(LEFT(Q582,LEN(Q582)-2)),""))</f>
        <v>211.52</v>
      </c>
      <c r="BO582" s="6" t="n">
        <f aca="false">IF(R582="-","",IFERROR(VALUE(LEFT(R582,LEN(R582)-5)),""))</f>
        <v>3.32</v>
      </c>
      <c r="BP582" s="6" t="n">
        <f aca="false">IF(R582="-","",IFERROR(VALUE(F582),""))</f>
        <v>701.86</v>
      </c>
      <c r="BQ582" s="4" t="n">
        <f aca="false">IF(R582="-",1,0)</f>
        <v>0</v>
      </c>
    </row>
    <row r="583" customFormat="false" ht="15" hidden="false" customHeight="false" outlineLevel="0" collapsed="false">
      <c r="A583" s="0" t="s">
        <v>2361</v>
      </c>
      <c r="B583" s="0" t="s">
        <v>2362</v>
      </c>
      <c r="C583" s="0" t="s">
        <v>70</v>
      </c>
      <c r="D583" s="0" t="s">
        <v>2383</v>
      </c>
      <c r="E583" s="3" t="n">
        <v>46278</v>
      </c>
      <c r="F583" s="4" t="s">
        <v>2384</v>
      </c>
      <c r="G583" s="5" t="n">
        <v>0.678287037037037</v>
      </c>
      <c r="H583" s="5" t="n">
        <v>0.533402777777778</v>
      </c>
      <c r="I583" s="5" t="n">
        <v>0.000833333333333333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1</v>
      </c>
      <c r="O583" s="5" t="n">
        <v>0</v>
      </c>
      <c r="P583" s="5" t="n">
        <v>0.0228356481481482</v>
      </c>
      <c r="Q583" s="4" t="s">
        <v>2385</v>
      </c>
      <c r="R583" s="4" t="s">
        <v>2386</v>
      </c>
      <c r="S583" s="5" t="n">
        <v>0</v>
      </c>
      <c r="T583" s="5" t="n">
        <v>0.156365740740741</v>
      </c>
      <c r="U583" s="5" t="n">
        <v>0.316435185185185</v>
      </c>
      <c r="V583" s="5" t="n">
        <v>0.125231481481482</v>
      </c>
      <c r="W583" s="5" t="n">
        <v>0</v>
      </c>
      <c r="X583" s="5" t="n">
        <v>0</v>
      </c>
      <c r="Y583" s="5" t="n">
        <v>0</v>
      </c>
      <c r="Z583" s="0" t="n">
        <v>0</v>
      </c>
      <c r="AA583" s="0" t="n">
        <v>0</v>
      </c>
      <c r="AB583" s="0" t="n">
        <v>0</v>
      </c>
      <c r="AC583" s="4" t="s">
        <v>1026</v>
      </c>
      <c r="AD583" s="4" t="s">
        <v>994</v>
      </c>
      <c r="AE583" s="4" t="s">
        <v>2382</v>
      </c>
      <c r="AF583" s="4" t="s">
        <v>2387</v>
      </c>
      <c r="AG583" s="5" t="n">
        <v>0.519548611111111</v>
      </c>
      <c r="AH583" s="5" t="n">
        <v>0.211412037037037</v>
      </c>
      <c r="AI583" s="5" t="n">
        <v>0</v>
      </c>
      <c r="AJ583" s="5" t="n">
        <v>0</v>
      </c>
      <c r="AK583" s="5" t="n">
        <v>0</v>
      </c>
      <c r="AL583" s="5" t="n">
        <v>0</v>
      </c>
      <c r="AM583" s="4" t="s">
        <v>78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0</v>
      </c>
      <c r="AT583" s="0" t="n">
        <v>0</v>
      </c>
      <c r="AU583" s="0" t="n">
        <v>0</v>
      </c>
      <c r="AV583" s="0" t="n">
        <v>0</v>
      </c>
      <c r="AW583" s="0" t="n">
        <v>0</v>
      </c>
      <c r="AX583" s="0" t="n">
        <v>0</v>
      </c>
      <c r="AY583" s="0" t="n">
        <v>0</v>
      </c>
      <c r="AZ583" s="0" t="n">
        <v>0</v>
      </c>
      <c r="BA583" s="0" t="n">
        <v>0</v>
      </c>
      <c r="BB583" s="0" t="n">
        <v>0</v>
      </c>
      <c r="BC583" s="0" t="n">
        <v>0</v>
      </c>
      <c r="BD583" s="0" t="n">
        <v>0</v>
      </c>
      <c r="BE583" s="0" t="n">
        <v>0</v>
      </c>
      <c r="BF583" s="0" t="n">
        <v>0</v>
      </c>
      <c r="BG583" s="0" t="n">
        <v>0</v>
      </c>
      <c r="BH583" s="0" t="n">
        <v>0</v>
      </c>
      <c r="BI583" s="0" t="n">
        <v>0</v>
      </c>
      <c r="BJ583" s="0" t="n">
        <v>0</v>
      </c>
      <c r="BK583" s="0" t="n">
        <v>0</v>
      </c>
      <c r="BM583" s="6" t="n">
        <f aca="false">IFERROR(VALUE(F583),"")</f>
        <v>722.55</v>
      </c>
      <c r="BN583" s="6" t="n">
        <f aca="false">IF(R583="-","",IFERROR(VALUE(LEFT(Q583,LEN(Q583)-2)),""))</f>
        <v>210.5</v>
      </c>
      <c r="BO583" s="6" t="n">
        <f aca="false">IF(R583="-","",IFERROR(VALUE(LEFT(R583,LEN(R583)-5)),""))</f>
        <v>3.43</v>
      </c>
      <c r="BP583" s="6" t="n">
        <f aca="false">IF(R583="-","",IFERROR(VALUE(F583),""))</f>
        <v>722.55</v>
      </c>
      <c r="BQ583" s="4" t="n">
        <f aca="false">IF(R583="-",1,0)</f>
        <v>0</v>
      </c>
    </row>
    <row r="584" customFormat="false" ht="15" hidden="false" customHeight="false" outlineLevel="0" collapsed="false">
      <c r="A584" s="0" t="s">
        <v>2361</v>
      </c>
      <c r="B584" s="0" t="s">
        <v>2362</v>
      </c>
      <c r="C584" s="0" t="s">
        <v>70</v>
      </c>
      <c r="D584" s="0" t="s">
        <v>2388</v>
      </c>
      <c r="E584" s="3" t="n">
        <v>46279</v>
      </c>
      <c r="F584" s="4" t="s">
        <v>2389</v>
      </c>
      <c r="G584" s="5" t="n">
        <v>0.564606481481482</v>
      </c>
      <c r="H584" s="5" t="n">
        <v>0.245625</v>
      </c>
      <c r="I584" s="5" t="n">
        <v>0.000613425925925926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5" t="n">
        <v>0</v>
      </c>
      <c r="P584" s="5" t="n">
        <v>0.00782407407407407</v>
      </c>
      <c r="Q584" s="4" t="s">
        <v>2390</v>
      </c>
      <c r="R584" s="4" t="s">
        <v>1887</v>
      </c>
      <c r="S584" s="5" t="n">
        <v>0.000115740740740741</v>
      </c>
      <c r="T584" s="5" t="n">
        <v>0.135416666666667</v>
      </c>
      <c r="U584" s="5" t="n">
        <v>0.265625</v>
      </c>
      <c r="V584" s="5" t="n">
        <v>0.156365740740741</v>
      </c>
      <c r="W584" s="5" t="n">
        <v>0</v>
      </c>
      <c r="X584" s="5" t="n">
        <v>0</v>
      </c>
      <c r="Y584" s="5" t="n">
        <v>0</v>
      </c>
      <c r="Z584" s="0" t="n">
        <v>0</v>
      </c>
      <c r="AA584" s="0" t="n">
        <v>0</v>
      </c>
      <c r="AB584" s="0" t="n">
        <v>0</v>
      </c>
      <c r="AC584" s="4" t="s">
        <v>994</v>
      </c>
      <c r="AD584" s="4" t="s">
        <v>1026</v>
      </c>
      <c r="AE584" s="4" t="s">
        <v>2391</v>
      </c>
      <c r="AF584" s="4" t="s">
        <v>2392</v>
      </c>
      <c r="AG584" s="5" t="n">
        <v>0.503645833333333</v>
      </c>
      <c r="AH584" s="5" t="n">
        <v>0.157164351851852</v>
      </c>
      <c r="AI584" s="5" t="n">
        <v>0</v>
      </c>
      <c r="AJ584" s="5" t="n">
        <v>0</v>
      </c>
      <c r="AK584" s="5" t="n">
        <v>0</v>
      </c>
      <c r="AL584" s="5" t="n">
        <v>0</v>
      </c>
      <c r="AM584" s="4" t="s">
        <v>78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0</v>
      </c>
      <c r="AU584" s="0" t="n">
        <v>1</v>
      </c>
      <c r="AV584" s="0" t="n">
        <v>0</v>
      </c>
      <c r="AW584" s="0" t="n">
        <v>0</v>
      </c>
      <c r="AX584" s="0" t="n">
        <v>0</v>
      </c>
      <c r="AY584" s="0" t="n">
        <v>0</v>
      </c>
      <c r="AZ584" s="0" t="n">
        <v>0</v>
      </c>
      <c r="BA584" s="0" t="n">
        <v>0</v>
      </c>
      <c r="BB584" s="0" t="n">
        <v>0</v>
      </c>
      <c r="BC584" s="0" t="n">
        <v>0</v>
      </c>
      <c r="BD584" s="0" t="n">
        <v>0</v>
      </c>
      <c r="BE584" s="0" t="n">
        <v>0</v>
      </c>
      <c r="BF584" s="0" t="n">
        <v>0</v>
      </c>
      <c r="BG584" s="0" t="n">
        <v>0</v>
      </c>
      <c r="BH584" s="0" t="n">
        <v>0</v>
      </c>
      <c r="BI584" s="0" t="n">
        <v>0</v>
      </c>
      <c r="BJ584" s="0" t="n">
        <v>0</v>
      </c>
      <c r="BK584" s="0" t="n">
        <v>0</v>
      </c>
      <c r="BM584" s="6" t="n">
        <f aca="false">IFERROR(VALUE(F584),"")</f>
        <v>718.39</v>
      </c>
      <c r="BN584" s="6" t="n">
        <f aca="false">IF(R584="-","",IFERROR(VALUE(LEFT(Q584,LEN(Q584)-2)),""))</f>
        <v>231.01</v>
      </c>
      <c r="BO584" s="6" t="n">
        <f aca="false">IF(R584="-","",IFERROR(VALUE(LEFT(R584,LEN(R584)-5)),""))</f>
        <v>3.11</v>
      </c>
      <c r="BP584" s="6" t="n">
        <f aca="false">IF(R584="-","",IFERROR(VALUE(F584),""))</f>
        <v>718.39</v>
      </c>
      <c r="BQ584" s="4" t="n">
        <f aca="false">IF(R584="-",1,0)</f>
        <v>0</v>
      </c>
    </row>
    <row r="585" customFormat="false" ht="15" hidden="false" customHeight="false" outlineLevel="0" collapsed="false">
      <c r="A585" s="0" t="s">
        <v>2393</v>
      </c>
      <c r="B585" s="0" t="s">
        <v>2394</v>
      </c>
      <c r="C585" s="0" t="s">
        <v>70</v>
      </c>
      <c r="E585" s="3" t="n">
        <v>46273</v>
      </c>
      <c r="F585" s="4" t="s">
        <v>2395</v>
      </c>
      <c r="G585" s="5" t="n">
        <v>0.0187615740740741</v>
      </c>
      <c r="H585" s="5" t="n">
        <v>0</v>
      </c>
      <c r="I585" s="5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5" t="n">
        <v>0</v>
      </c>
      <c r="P585" s="5" t="n">
        <v>0.0113773148148148</v>
      </c>
      <c r="Q585" s="4" t="s">
        <v>2358</v>
      </c>
      <c r="R585" s="4" t="s">
        <v>2396</v>
      </c>
      <c r="S585" s="5" t="n">
        <v>0</v>
      </c>
      <c r="T585" s="5" t="n">
        <v>0.0135416666666667</v>
      </c>
      <c r="U585" s="5" t="n">
        <v>0</v>
      </c>
      <c r="V585" s="5" t="n">
        <v>0</v>
      </c>
      <c r="W585" s="5" t="n">
        <v>0</v>
      </c>
      <c r="X585" s="5" t="n">
        <v>0</v>
      </c>
      <c r="Y585" s="5" t="n">
        <v>0</v>
      </c>
      <c r="Z585" s="0" t="n">
        <v>0</v>
      </c>
      <c r="AA585" s="0" t="n">
        <v>0</v>
      </c>
      <c r="AB585" s="0" t="n">
        <v>0</v>
      </c>
      <c r="AC585" s="4" t="s">
        <v>228</v>
      </c>
      <c r="AD585" s="4" t="s">
        <v>228</v>
      </c>
      <c r="AE585" s="4" t="s">
        <v>2397</v>
      </c>
      <c r="AF585" s="4" t="s">
        <v>2398</v>
      </c>
      <c r="AG585" s="5" t="n">
        <v>0.00159722222222222</v>
      </c>
      <c r="AH585" s="5" t="n">
        <v>0.0583912037037037</v>
      </c>
      <c r="AI585" s="5" t="n">
        <v>0</v>
      </c>
      <c r="AJ585" s="5" t="n">
        <v>0</v>
      </c>
      <c r="AK585" s="5" t="n">
        <v>0</v>
      </c>
      <c r="AL585" s="5" t="n">
        <v>0</v>
      </c>
      <c r="AM585" s="4" t="s">
        <v>78</v>
      </c>
      <c r="AN585" s="0" t="n">
        <v>0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  <c r="AU585" s="0" t="n">
        <v>0</v>
      </c>
      <c r="AV585" s="0" t="n">
        <v>0</v>
      </c>
      <c r="AW585" s="0" t="n">
        <v>0</v>
      </c>
      <c r="AX585" s="0" t="n">
        <v>0</v>
      </c>
      <c r="AY585" s="0" t="n">
        <v>0</v>
      </c>
      <c r="AZ585" s="0" t="n">
        <v>0</v>
      </c>
      <c r="BA585" s="0" t="n">
        <v>0</v>
      </c>
      <c r="BB585" s="0" t="n">
        <v>0</v>
      </c>
      <c r="BC585" s="0" t="n">
        <v>0</v>
      </c>
      <c r="BD585" s="0" t="n">
        <v>0</v>
      </c>
      <c r="BE585" s="0" t="n">
        <v>0</v>
      </c>
      <c r="BF585" s="0" t="n">
        <v>0</v>
      </c>
      <c r="BG585" s="0" t="n">
        <v>0</v>
      </c>
      <c r="BH585" s="0" t="n">
        <v>0</v>
      </c>
      <c r="BI585" s="0" t="n">
        <v>0</v>
      </c>
      <c r="BJ585" s="0" t="n">
        <v>0</v>
      </c>
      <c r="BK585" s="0" t="n">
        <v>0</v>
      </c>
      <c r="BM585" s="6" t="n">
        <f aca="false">IFERROR(VALUE(F585),"")</f>
        <v>0.06</v>
      </c>
      <c r="BN585" s="6" t="n">
        <f aca="false">IF(R585="-","",IFERROR(VALUE(LEFT(Q585,LEN(Q585)-2)),""))</f>
        <v>1.5</v>
      </c>
      <c r="BO585" s="6" t="n">
        <f aca="false">IF(R585="-","",IFERROR(VALUE(LEFT(R585,LEN(R585)-5)),""))</f>
        <v>0.04</v>
      </c>
      <c r="BP585" s="6" t="n">
        <f aca="false">IF(R585="-","",IFERROR(VALUE(F585),""))</f>
        <v>0.06</v>
      </c>
      <c r="BQ585" s="4" t="n">
        <f aca="false">IF(R585="-",1,0)</f>
        <v>0</v>
      </c>
    </row>
    <row r="586" customFormat="false" ht="15" hidden="false" customHeight="false" outlineLevel="0" collapsed="false">
      <c r="A586" s="0" t="s">
        <v>2393</v>
      </c>
      <c r="B586" s="0" t="s">
        <v>2394</v>
      </c>
      <c r="C586" s="0" t="s">
        <v>70</v>
      </c>
      <c r="E586" s="3" t="n">
        <v>46274</v>
      </c>
      <c r="F586" s="4" t="s">
        <v>95</v>
      </c>
      <c r="G586" s="5" t="n">
        <v>0.133275462962963</v>
      </c>
      <c r="H586" s="5" t="n">
        <v>0</v>
      </c>
      <c r="I586" s="5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5" t="n">
        <v>0</v>
      </c>
      <c r="P586" s="5" t="n">
        <v>0.0181481481481482</v>
      </c>
      <c r="Q586" s="4" t="s">
        <v>2064</v>
      </c>
      <c r="R586" s="4" t="s">
        <v>454</v>
      </c>
      <c r="S586" s="5" t="n">
        <v>0</v>
      </c>
      <c r="T586" s="5" t="n">
        <v>0.025462962962963</v>
      </c>
      <c r="U586" s="5" t="n">
        <v>0.000578703703703704</v>
      </c>
      <c r="V586" s="5" t="n">
        <v>0.000115740740740741</v>
      </c>
      <c r="W586" s="5" t="n">
        <v>0</v>
      </c>
      <c r="X586" s="5" t="n">
        <v>0</v>
      </c>
      <c r="Y586" s="5" t="n">
        <v>0</v>
      </c>
      <c r="Z586" s="0" t="n">
        <v>0</v>
      </c>
      <c r="AA586" s="0" t="n">
        <v>0</v>
      </c>
      <c r="AB586" s="0" t="n">
        <v>0</v>
      </c>
      <c r="AE586" s="4" t="s">
        <v>2398</v>
      </c>
      <c r="AF586" s="4" t="s">
        <v>2398</v>
      </c>
      <c r="AG586" s="5" t="n">
        <v>0</v>
      </c>
      <c r="AH586" s="5" t="n">
        <v>0.165011574074074</v>
      </c>
      <c r="AI586" s="5" t="n">
        <v>0</v>
      </c>
      <c r="AJ586" s="5" t="n">
        <v>0</v>
      </c>
      <c r="AK586" s="5" t="n">
        <v>0</v>
      </c>
      <c r="AL586" s="5" t="n">
        <v>0</v>
      </c>
      <c r="AM586" s="4" t="s">
        <v>78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0</v>
      </c>
      <c r="AS586" s="0" t="n">
        <v>0</v>
      </c>
      <c r="AT586" s="0" t="n">
        <v>0</v>
      </c>
      <c r="AU586" s="0" t="n">
        <v>0</v>
      </c>
      <c r="AV586" s="0" t="n">
        <v>0</v>
      </c>
      <c r="AW586" s="0" t="n">
        <v>0</v>
      </c>
      <c r="AX586" s="0" t="n">
        <v>0</v>
      </c>
      <c r="AY586" s="0" t="n">
        <v>0</v>
      </c>
      <c r="AZ586" s="0" t="n">
        <v>0</v>
      </c>
      <c r="BA586" s="0" t="n">
        <v>0</v>
      </c>
      <c r="BB586" s="0" t="n">
        <v>0</v>
      </c>
      <c r="BC586" s="0" t="n">
        <v>0</v>
      </c>
      <c r="BD586" s="0" t="n">
        <v>0</v>
      </c>
      <c r="BE586" s="0" t="n">
        <v>0</v>
      </c>
      <c r="BF586" s="0" t="n">
        <v>0</v>
      </c>
      <c r="BG586" s="0" t="n">
        <v>0</v>
      </c>
      <c r="BH586" s="0" t="n">
        <v>0</v>
      </c>
      <c r="BI586" s="0" t="n">
        <v>0</v>
      </c>
      <c r="BJ586" s="0" t="n">
        <v>0</v>
      </c>
      <c r="BK586" s="0" t="n">
        <v>0</v>
      </c>
      <c r="BM586" s="6" t="n">
        <f aca="false">IFERROR(VALUE(F586),"")</f>
        <v>0</v>
      </c>
      <c r="BN586" s="6" t="n">
        <f aca="false">IF(R586="-","",IFERROR(VALUE(LEFT(Q586,LEN(Q586)-2)),""))</f>
        <v>2.5</v>
      </c>
      <c r="BO586" s="6" t="n">
        <f aca="false">IF(R586="-","",IFERROR(VALUE(LEFT(R586,LEN(R586)-5)),""))</f>
        <v>0</v>
      </c>
      <c r="BP586" s="6" t="n">
        <f aca="false">IF(R586="-","",IFERROR(VALUE(F586),""))</f>
        <v>0</v>
      </c>
      <c r="BQ586" s="4" t="n">
        <f aca="false">IF(R586="-",1,0)</f>
        <v>0</v>
      </c>
    </row>
    <row r="587" customFormat="false" ht="15" hidden="false" customHeight="false" outlineLevel="0" collapsed="false">
      <c r="A587" s="0" t="s">
        <v>2393</v>
      </c>
      <c r="B587" s="0" t="s">
        <v>2394</v>
      </c>
      <c r="C587" s="0" t="s">
        <v>70</v>
      </c>
      <c r="E587" s="3" t="n">
        <v>46275</v>
      </c>
      <c r="F587" s="4" t="s">
        <v>457</v>
      </c>
      <c r="G587" s="5" t="n">
        <v>0.0714351851851852</v>
      </c>
      <c r="H587" s="5" t="n">
        <v>0</v>
      </c>
      <c r="I587" s="5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5" t="n">
        <v>0</v>
      </c>
      <c r="P587" s="5" t="n">
        <v>0</v>
      </c>
      <c r="Q587" s="4" t="s">
        <v>73</v>
      </c>
      <c r="R587" s="4" t="s">
        <v>73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0" t="n">
        <v>0</v>
      </c>
      <c r="AA587" s="0" t="n">
        <v>0</v>
      </c>
      <c r="AB587" s="0" t="n">
        <v>0</v>
      </c>
      <c r="AE587" s="4" t="s">
        <v>2398</v>
      </c>
      <c r="AF587" s="4" t="s">
        <v>2398</v>
      </c>
      <c r="AG587" s="5" t="n">
        <v>0</v>
      </c>
      <c r="AH587" s="5" t="n">
        <v>0.0784953703703704</v>
      </c>
      <c r="AI587" s="5" t="n">
        <v>0</v>
      </c>
      <c r="AJ587" s="5" t="n">
        <v>0</v>
      </c>
      <c r="AK587" s="5" t="n">
        <v>0</v>
      </c>
      <c r="AL587" s="5" t="n">
        <v>0</v>
      </c>
      <c r="AM587" s="4" t="s">
        <v>78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  <c r="AU587" s="0" t="n">
        <v>0</v>
      </c>
      <c r="AV587" s="0" t="n">
        <v>0</v>
      </c>
      <c r="AW587" s="0" t="n">
        <v>0</v>
      </c>
      <c r="AX587" s="0" t="n">
        <v>0</v>
      </c>
      <c r="AY587" s="0" t="n">
        <v>0</v>
      </c>
      <c r="AZ587" s="0" t="n">
        <v>0</v>
      </c>
      <c r="BA587" s="0" t="n">
        <v>0</v>
      </c>
      <c r="BB587" s="0" t="n">
        <v>0</v>
      </c>
      <c r="BC587" s="0" t="n">
        <v>0</v>
      </c>
      <c r="BD587" s="0" t="n">
        <v>0</v>
      </c>
      <c r="BE587" s="0" t="n">
        <v>0</v>
      </c>
      <c r="BF587" s="0" t="n">
        <v>0</v>
      </c>
      <c r="BG587" s="0" t="n">
        <v>0</v>
      </c>
      <c r="BH587" s="0" t="n">
        <v>0</v>
      </c>
      <c r="BI587" s="0" t="n">
        <v>0</v>
      </c>
      <c r="BJ587" s="0" t="n">
        <v>0</v>
      </c>
      <c r="BK587" s="0" t="n">
        <v>0</v>
      </c>
      <c r="BM587" s="6" t="n">
        <f aca="false">IFERROR(VALUE(F587),"")</f>
        <v>0.01</v>
      </c>
      <c r="BN587" s="6" t="str">
        <f aca="false">IF(R587="-","",IFERROR(VALUE(LEFT(Q587,LEN(Q587)-2)),""))</f>
        <v/>
      </c>
      <c r="BO587" s="6" t="str">
        <f aca="false">IF(R587="-","",IFERROR(VALUE(LEFT(R587,LEN(R587)-5)),""))</f>
        <v/>
      </c>
      <c r="BP587" s="6" t="str">
        <f aca="false">IF(R587="-","",IFERROR(VALUE(F587),""))</f>
        <v/>
      </c>
      <c r="BQ587" s="4" t="n">
        <f aca="false">IF(R587="-",1,0)</f>
        <v>1</v>
      </c>
    </row>
    <row r="588" customFormat="false" ht="15" hidden="false" customHeight="false" outlineLevel="0" collapsed="false">
      <c r="A588" s="0" t="s">
        <v>2393</v>
      </c>
      <c r="B588" s="0" t="s">
        <v>2394</v>
      </c>
      <c r="C588" s="0" t="s">
        <v>70</v>
      </c>
      <c r="E588" s="3" t="n">
        <v>46276</v>
      </c>
      <c r="F588" s="4" t="s">
        <v>457</v>
      </c>
      <c r="G588" s="5" t="n">
        <v>0.0746875</v>
      </c>
      <c r="H588" s="5" t="n">
        <v>0</v>
      </c>
      <c r="I588" s="5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5" t="n">
        <v>0</v>
      </c>
      <c r="P588" s="5" t="n">
        <v>0</v>
      </c>
      <c r="Q588" s="4" t="s">
        <v>2101</v>
      </c>
      <c r="R588" s="4" t="s">
        <v>2399</v>
      </c>
      <c r="S588" s="5" t="n">
        <v>0</v>
      </c>
      <c r="T588" s="5" t="n">
        <v>0.00208333333333333</v>
      </c>
      <c r="U588" s="5" t="n">
        <v>0.00115740740740741</v>
      </c>
      <c r="V588" s="5" t="n">
        <v>0</v>
      </c>
      <c r="W588" s="5" t="n">
        <v>0</v>
      </c>
      <c r="X588" s="5" t="n">
        <v>0</v>
      </c>
      <c r="Y588" s="5" t="n">
        <v>0</v>
      </c>
      <c r="Z588" s="0" t="n">
        <v>0</v>
      </c>
      <c r="AA588" s="0" t="n">
        <v>0</v>
      </c>
      <c r="AB588" s="0" t="n">
        <v>0</v>
      </c>
      <c r="AC588" s="4" t="s">
        <v>81</v>
      </c>
      <c r="AD588" s="4" t="s">
        <v>228</v>
      </c>
      <c r="AE588" s="4" t="s">
        <v>2398</v>
      </c>
      <c r="AF588" s="4" t="s">
        <v>2400</v>
      </c>
      <c r="AG588" s="5" t="n">
        <v>0</v>
      </c>
      <c r="AH588" s="5" t="n">
        <v>0.095787037037037</v>
      </c>
      <c r="AI588" s="5" t="n">
        <v>0</v>
      </c>
      <c r="AJ588" s="5" t="n">
        <v>0</v>
      </c>
      <c r="AK588" s="5" t="n">
        <v>0</v>
      </c>
      <c r="AL588" s="5" t="n">
        <v>0</v>
      </c>
      <c r="AM588" s="4" t="s">
        <v>78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  <c r="AU588" s="0" t="n">
        <v>0</v>
      </c>
      <c r="AV588" s="0" t="n">
        <v>0</v>
      </c>
      <c r="AW588" s="0" t="n">
        <v>0</v>
      </c>
      <c r="AX588" s="0" t="n">
        <v>0</v>
      </c>
      <c r="AY588" s="0" t="n">
        <v>0</v>
      </c>
      <c r="AZ588" s="0" t="n">
        <v>0</v>
      </c>
      <c r="BA588" s="0" t="n">
        <v>0</v>
      </c>
      <c r="BB588" s="0" t="n">
        <v>0</v>
      </c>
      <c r="BC588" s="0" t="n">
        <v>0</v>
      </c>
      <c r="BD588" s="0" t="n">
        <v>0</v>
      </c>
      <c r="BE588" s="0" t="n">
        <v>0</v>
      </c>
      <c r="BF588" s="0" t="n">
        <v>0</v>
      </c>
      <c r="BG588" s="0" t="n">
        <v>0</v>
      </c>
      <c r="BH588" s="0" t="n">
        <v>0</v>
      </c>
      <c r="BI588" s="0" t="n">
        <v>0</v>
      </c>
      <c r="BJ588" s="0" t="n">
        <v>0</v>
      </c>
      <c r="BK588" s="0" t="n">
        <v>0</v>
      </c>
      <c r="BM588" s="6" t="n">
        <f aca="false">IFERROR(VALUE(F588),"")</f>
        <v>0.01</v>
      </c>
      <c r="BN588" s="6" t="n">
        <f aca="false">IF(R588="-","",IFERROR(VALUE(LEFT(Q588,LEN(Q588)-2)),""))</f>
        <v>0.51</v>
      </c>
      <c r="BO588" s="6" t="n">
        <f aca="false">IF(R588="-","",IFERROR(VALUE(LEFT(R588,LEN(R588)-5)),""))</f>
        <v>0.02</v>
      </c>
      <c r="BP588" s="6" t="n">
        <f aca="false">IF(R588="-","",IFERROR(VALUE(F588),""))</f>
        <v>0.01</v>
      </c>
      <c r="BQ588" s="4" t="n">
        <f aca="false">IF(R588="-",1,0)</f>
        <v>0</v>
      </c>
    </row>
    <row r="589" customFormat="false" ht="15" hidden="false" customHeight="false" outlineLevel="0" collapsed="false">
      <c r="A589" s="0" t="s">
        <v>2393</v>
      </c>
      <c r="B589" s="0" t="s">
        <v>2394</v>
      </c>
      <c r="C589" s="0" t="s">
        <v>70</v>
      </c>
      <c r="E589" s="3" t="n">
        <v>46277</v>
      </c>
      <c r="F589" s="4" t="s">
        <v>95</v>
      </c>
      <c r="G589" s="5" t="n">
        <v>0.0272916666666667</v>
      </c>
      <c r="H589" s="5" t="n">
        <v>0</v>
      </c>
      <c r="I589" s="5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5" t="n">
        <v>0</v>
      </c>
      <c r="P589" s="5" t="n">
        <v>0</v>
      </c>
      <c r="Q589" s="4" t="s">
        <v>73</v>
      </c>
      <c r="R589" s="4" t="s">
        <v>73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  <c r="X589" s="5" t="n">
        <v>0</v>
      </c>
      <c r="Y589" s="5" t="n">
        <v>0</v>
      </c>
      <c r="Z589" s="0" t="n">
        <v>0</v>
      </c>
      <c r="AA589" s="0" t="n">
        <v>0</v>
      </c>
      <c r="AB589" s="0" t="n">
        <v>0</v>
      </c>
      <c r="AC589" s="4" t="s">
        <v>75</v>
      </c>
      <c r="AD589" s="4" t="s">
        <v>228</v>
      </c>
      <c r="AE589" s="4" t="s">
        <v>2400</v>
      </c>
      <c r="AF589" s="4" t="s">
        <v>2400</v>
      </c>
      <c r="AG589" s="5" t="n">
        <v>0</v>
      </c>
      <c r="AH589" s="5" t="n">
        <v>0.0368402777777778</v>
      </c>
      <c r="AI589" s="5" t="n">
        <v>0</v>
      </c>
      <c r="AJ589" s="5" t="n">
        <v>0</v>
      </c>
      <c r="AK589" s="5" t="n">
        <v>0</v>
      </c>
      <c r="AL589" s="5" t="n">
        <v>0</v>
      </c>
      <c r="AM589" s="4" t="s">
        <v>78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0</v>
      </c>
      <c r="AU589" s="0" t="n">
        <v>0</v>
      </c>
      <c r="AV589" s="0" t="n">
        <v>0</v>
      </c>
      <c r="AW589" s="0" t="n">
        <v>0</v>
      </c>
      <c r="AX589" s="0" t="n">
        <v>0</v>
      </c>
      <c r="AY589" s="0" t="n">
        <v>0</v>
      </c>
      <c r="AZ589" s="0" t="n">
        <v>0</v>
      </c>
      <c r="BA589" s="0" t="n">
        <v>0</v>
      </c>
      <c r="BB589" s="0" t="n">
        <v>0</v>
      </c>
      <c r="BC589" s="0" t="n">
        <v>0</v>
      </c>
      <c r="BD589" s="0" t="n">
        <v>0</v>
      </c>
      <c r="BE589" s="0" t="n">
        <v>0</v>
      </c>
      <c r="BF589" s="0" t="n">
        <v>0</v>
      </c>
      <c r="BG589" s="0" t="n">
        <v>0</v>
      </c>
      <c r="BH589" s="0" t="n">
        <v>0</v>
      </c>
      <c r="BI589" s="0" t="n">
        <v>0</v>
      </c>
      <c r="BJ589" s="0" t="n">
        <v>0</v>
      </c>
      <c r="BK589" s="0" t="n">
        <v>0</v>
      </c>
      <c r="BM589" s="6" t="n">
        <f aca="false">IFERROR(VALUE(F589),"")</f>
        <v>0</v>
      </c>
      <c r="BN589" s="6" t="str">
        <f aca="false">IF(R589="-","",IFERROR(VALUE(LEFT(Q589,LEN(Q589)-2)),""))</f>
        <v/>
      </c>
      <c r="BO589" s="6" t="str">
        <f aca="false">IF(R589="-","",IFERROR(VALUE(LEFT(R589,LEN(R589)-5)),""))</f>
        <v/>
      </c>
      <c r="BP589" s="6" t="str">
        <f aca="false">IF(R589="-","",IFERROR(VALUE(F589),""))</f>
        <v/>
      </c>
      <c r="BQ589" s="4" t="n">
        <f aca="false">IF(R589="-",1,0)</f>
        <v>1</v>
      </c>
    </row>
    <row r="590" customFormat="false" ht="15" hidden="false" customHeight="false" outlineLevel="0" collapsed="false">
      <c r="A590" s="0" t="s">
        <v>2393</v>
      </c>
      <c r="B590" s="0" t="s">
        <v>2394</v>
      </c>
      <c r="C590" s="0" t="s">
        <v>70</v>
      </c>
      <c r="E590" s="3" t="n">
        <v>46278</v>
      </c>
      <c r="F590" s="4" t="s">
        <v>95</v>
      </c>
      <c r="G590" s="5" t="n">
        <v>0.0127777777777778</v>
      </c>
      <c r="H590" s="5" t="n">
        <v>0</v>
      </c>
      <c r="I590" s="5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5" t="n">
        <v>0</v>
      </c>
      <c r="P590" s="5" t="n">
        <v>0</v>
      </c>
      <c r="Q590" s="4" t="s">
        <v>73</v>
      </c>
      <c r="R590" s="4" t="s">
        <v>73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0" t="n">
        <v>0</v>
      </c>
      <c r="AA590" s="0" t="n">
        <v>0</v>
      </c>
      <c r="AB590" s="0" t="n">
        <v>0</v>
      </c>
      <c r="AE590" s="4" t="s">
        <v>2400</v>
      </c>
      <c r="AF590" s="4" t="s">
        <v>2400</v>
      </c>
      <c r="AG590" s="5" t="n">
        <v>0</v>
      </c>
      <c r="AH590" s="5" t="n">
        <v>0.0132407407407407</v>
      </c>
      <c r="AI590" s="5" t="n">
        <v>0</v>
      </c>
      <c r="AJ590" s="5" t="n">
        <v>0</v>
      </c>
      <c r="AK590" s="5" t="n">
        <v>0</v>
      </c>
      <c r="AL590" s="5" t="n">
        <v>0</v>
      </c>
      <c r="AM590" s="4" t="s">
        <v>78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  <c r="AU590" s="0" t="n">
        <v>0</v>
      </c>
      <c r="AV590" s="0" t="n">
        <v>0</v>
      </c>
      <c r="AW590" s="0" t="n">
        <v>0</v>
      </c>
      <c r="AX590" s="0" t="n">
        <v>0</v>
      </c>
      <c r="AY590" s="0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0" t="n">
        <v>0</v>
      </c>
      <c r="BE590" s="0" t="n">
        <v>0</v>
      </c>
      <c r="BF590" s="0" t="n">
        <v>0</v>
      </c>
      <c r="BG590" s="0" t="n">
        <v>0</v>
      </c>
      <c r="BH590" s="0" t="n">
        <v>0</v>
      </c>
      <c r="BI590" s="0" t="n">
        <v>0</v>
      </c>
      <c r="BJ590" s="0" t="n">
        <v>0</v>
      </c>
      <c r="BK590" s="0" t="n">
        <v>0</v>
      </c>
      <c r="BM590" s="6" t="n">
        <f aca="false">IFERROR(VALUE(F590),"")</f>
        <v>0</v>
      </c>
      <c r="BN590" s="6" t="str">
        <f aca="false">IF(R590="-","",IFERROR(VALUE(LEFT(Q590,LEN(Q590)-2)),""))</f>
        <v/>
      </c>
      <c r="BO590" s="6" t="str">
        <f aca="false">IF(R590="-","",IFERROR(VALUE(LEFT(R590,LEN(R590)-5)),""))</f>
        <v/>
      </c>
      <c r="BP590" s="6" t="str">
        <f aca="false">IF(R590="-","",IFERROR(VALUE(F590),""))</f>
        <v/>
      </c>
      <c r="BQ590" s="4" t="n">
        <f aca="false">IF(R590="-",1,0)</f>
        <v>1</v>
      </c>
    </row>
    <row r="591" customFormat="false" ht="15" hidden="false" customHeight="false" outlineLevel="0" collapsed="false">
      <c r="A591" s="0" t="s">
        <v>2401</v>
      </c>
      <c r="B591" s="0" t="s">
        <v>2402</v>
      </c>
      <c r="C591" s="0" t="s">
        <v>70</v>
      </c>
      <c r="E591" s="3" t="n">
        <v>46273</v>
      </c>
      <c r="F591" s="4" t="s">
        <v>2403</v>
      </c>
      <c r="G591" s="5" t="n">
        <v>0.0651967592592593</v>
      </c>
      <c r="H591" s="5" t="n">
        <v>0</v>
      </c>
      <c r="I591" s="5" t="n">
        <v>0</v>
      </c>
      <c r="J591" s="0" t="n">
        <v>0</v>
      </c>
      <c r="K591" s="0" t="n">
        <v>1</v>
      </c>
      <c r="L591" s="0" t="n">
        <v>0</v>
      </c>
      <c r="M591" s="0" t="n">
        <v>0</v>
      </c>
      <c r="N591" s="0" t="n">
        <v>0</v>
      </c>
      <c r="O591" s="5" t="n">
        <v>0</v>
      </c>
      <c r="P591" s="5" t="n">
        <v>0.0209490740740741</v>
      </c>
      <c r="Q591" s="4" t="s">
        <v>2404</v>
      </c>
      <c r="R591" s="4" t="s">
        <v>1863</v>
      </c>
      <c r="S591" s="5" t="n">
        <v>0.000115740740740741</v>
      </c>
      <c r="T591" s="5" t="n">
        <v>0.0424768518518519</v>
      </c>
      <c r="U591" s="5" t="n">
        <v>0.00208333333333333</v>
      </c>
      <c r="V591" s="5" t="n">
        <v>0.00115740740740741</v>
      </c>
      <c r="W591" s="5" t="n">
        <v>0</v>
      </c>
      <c r="X591" s="5" t="n">
        <v>0</v>
      </c>
      <c r="Y591" s="5" t="n">
        <v>0</v>
      </c>
      <c r="Z591" s="0" t="n">
        <v>0</v>
      </c>
      <c r="AA591" s="0" t="n">
        <v>0</v>
      </c>
      <c r="AB591" s="0" t="n">
        <v>0</v>
      </c>
      <c r="AC591" s="4" t="s">
        <v>75</v>
      </c>
      <c r="AD591" s="4" t="s">
        <v>75</v>
      </c>
      <c r="AE591" s="4" t="s">
        <v>2405</v>
      </c>
      <c r="AF591" s="4" t="s">
        <v>2406</v>
      </c>
      <c r="AG591" s="5" t="n">
        <v>0.0136342592592593</v>
      </c>
      <c r="AH591" s="5" t="n">
        <v>0.0839699074074074</v>
      </c>
      <c r="AI591" s="5" t="n">
        <v>0</v>
      </c>
      <c r="AJ591" s="5" t="n">
        <v>0</v>
      </c>
      <c r="AK591" s="5" t="n">
        <v>0</v>
      </c>
      <c r="AL591" s="5" t="n">
        <v>0</v>
      </c>
      <c r="AM591" s="4" t="s">
        <v>78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  <c r="BA591" s="0" t="n">
        <v>0</v>
      </c>
      <c r="BB591" s="0" t="n">
        <v>0</v>
      </c>
      <c r="BC591" s="0" t="n">
        <v>0</v>
      </c>
      <c r="BD591" s="0" t="n">
        <v>0</v>
      </c>
      <c r="BE591" s="0" t="n">
        <v>0</v>
      </c>
      <c r="BF591" s="0" t="n">
        <v>0</v>
      </c>
      <c r="BG591" s="0" t="n">
        <v>0</v>
      </c>
      <c r="BH591" s="0" t="n">
        <v>0</v>
      </c>
      <c r="BI591" s="0" t="n">
        <v>0</v>
      </c>
      <c r="BJ591" s="0" t="n">
        <v>0</v>
      </c>
      <c r="BK591" s="0" t="n">
        <v>0</v>
      </c>
      <c r="BM591" s="6" t="n">
        <f aca="false">IFERROR(VALUE(F591),"")</f>
        <v>1.31</v>
      </c>
      <c r="BN591" s="6" t="n">
        <f aca="false">IF(R591="-","",IFERROR(VALUE(LEFT(Q591,LEN(Q591)-2)),""))</f>
        <v>4</v>
      </c>
      <c r="BO591" s="6" t="n">
        <f aca="false">IF(R591="-","",IFERROR(VALUE(LEFT(R591,LEN(R591)-5)),""))</f>
        <v>0.33</v>
      </c>
      <c r="BP591" s="6" t="n">
        <f aca="false">IF(R591="-","",IFERROR(VALUE(F591),""))</f>
        <v>1.31</v>
      </c>
      <c r="BQ591" s="4" t="n">
        <f aca="false">IF(R591="-",1,0)</f>
        <v>0</v>
      </c>
    </row>
    <row r="592" customFormat="false" ht="15" hidden="false" customHeight="false" outlineLevel="0" collapsed="false">
      <c r="A592" s="0" t="s">
        <v>2401</v>
      </c>
      <c r="B592" s="0" t="s">
        <v>2402</v>
      </c>
      <c r="C592" s="0" t="s">
        <v>70</v>
      </c>
      <c r="E592" s="3" t="n">
        <v>46274</v>
      </c>
      <c r="F592" s="4" t="s">
        <v>2407</v>
      </c>
      <c r="G592" s="5" t="n">
        <v>0.209386574074074</v>
      </c>
      <c r="H592" s="5" t="n">
        <v>0</v>
      </c>
      <c r="I592" s="5" t="n">
        <v>0.000775462962962963</v>
      </c>
      <c r="J592" s="0" t="n">
        <v>0</v>
      </c>
      <c r="K592" s="0" t="n">
        <v>1</v>
      </c>
      <c r="L592" s="0" t="n">
        <v>0</v>
      </c>
      <c r="M592" s="0" t="n">
        <v>0</v>
      </c>
      <c r="N592" s="0" t="n">
        <v>0</v>
      </c>
      <c r="O592" s="5" t="n">
        <v>0</v>
      </c>
      <c r="P592" s="5" t="n">
        <v>0.0541203703703704</v>
      </c>
      <c r="Q592" s="4" t="s">
        <v>2408</v>
      </c>
      <c r="R592" s="4" t="s">
        <v>1270</v>
      </c>
      <c r="S592" s="5" t="n">
        <v>0.000462962962962963</v>
      </c>
      <c r="T592" s="5" t="n">
        <v>0.133333333333333</v>
      </c>
      <c r="U592" s="5" t="n">
        <v>0.0347222222222222</v>
      </c>
      <c r="V592" s="5" t="n">
        <v>0.00444444444444444</v>
      </c>
      <c r="W592" s="5" t="n">
        <v>0.000243055555555556</v>
      </c>
      <c r="X592" s="5" t="n">
        <v>0</v>
      </c>
      <c r="Y592" s="5" t="n">
        <v>0.000115740740740741</v>
      </c>
      <c r="Z592" s="0" t="n">
        <v>0</v>
      </c>
      <c r="AA592" s="0" t="n">
        <v>0</v>
      </c>
      <c r="AB592" s="0" t="n">
        <v>0</v>
      </c>
      <c r="AC592" s="4" t="s">
        <v>75</v>
      </c>
      <c r="AD592" s="4" t="s">
        <v>994</v>
      </c>
      <c r="AE592" s="4" t="s">
        <v>2406</v>
      </c>
      <c r="AF592" s="4" t="s">
        <v>2409</v>
      </c>
      <c r="AG592" s="5" t="n">
        <v>0.0753009259259259</v>
      </c>
      <c r="AH592" s="5" t="n">
        <v>0.184467592592593</v>
      </c>
      <c r="AI592" s="5" t="n">
        <v>0</v>
      </c>
      <c r="AJ592" s="5" t="n">
        <v>0</v>
      </c>
      <c r="AK592" s="5" t="n">
        <v>0</v>
      </c>
      <c r="AL592" s="5" t="n">
        <v>0</v>
      </c>
      <c r="AM592" s="4" t="s">
        <v>78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0</v>
      </c>
      <c r="AV592" s="0" t="n">
        <v>0</v>
      </c>
      <c r="AW592" s="0" t="n">
        <v>0</v>
      </c>
      <c r="AX592" s="0" t="n">
        <v>0</v>
      </c>
      <c r="AY592" s="0" t="n">
        <v>0</v>
      </c>
      <c r="AZ592" s="0" t="n">
        <v>0</v>
      </c>
      <c r="BA592" s="0" t="n">
        <v>0</v>
      </c>
      <c r="BB592" s="0" t="n">
        <v>0</v>
      </c>
      <c r="BC592" s="0" t="n">
        <v>0</v>
      </c>
      <c r="BD592" s="0" t="n">
        <v>0</v>
      </c>
      <c r="BE592" s="0" t="n">
        <v>0</v>
      </c>
      <c r="BF592" s="0" t="n">
        <v>0</v>
      </c>
      <c r="BG592" s="0" t="n">
        <v>0</v>
      </c>
      <c r="BH592" s="0" t="n">
        <v>0</v>
      </c>
      <c r="BI592" s="0" t="n">
        <v>0</v>
      </c>
      <c r="BJ592" s="0" t="n">
        <v>0</v>
      </c>
      <c r="BK592" s="0" t="n">
        <v>0</v>
      </c>
      <c r="BM592" s="6" t="n">
        <f aca="false">IFERROR(VALUE(F592),"")</f>
        <v>50.88</v>
      </c>
      <c r="BN592" s="6" t="n">
        <f aca="false">IF(R592="-","",IFERROR(VALUE(LEFT(Q592,LEN(Q592)-2)),""))</f>
        <v>26.02</v>
      </c>
      <c r="BO592" s="6" t="n">
        <f aca="false">IF(R592="-","",IFERROR(VALUE(LEFT(R592,LEN(R592)-5)),""))</f>
        <v>1.96</v>
      </c>
      <c r="BP592" s="6" t="n">
        <f aca="false">IF(R592="-","",IFERROR(VALUE(F592),""))</f>
        <v>50.88</v>
      </c>
      <c r="BQ592" s="4" t="n">
        <f aca="false">IF(R592="-",1,0)</f>
        <v>0</v>
      </c>
    </row>
    <row r="593" customFormat="false" ht="15" hidden="false" customHeight="false" outlineLevel="0" collapsed="false">
      <c r="A593" s="0" t="s">
        <v>2401</v>
      </c>
      <c r="B593" s="0" t="s">
        <v>2402</v>
      </c>
      <c r="C593" s="0" t="s">
        <v>70</v>
      </c>
      <c r="E593" s="3" t="n">
        <v>46276</v>
      </c>
      <c r="F593" s="4" t="s">
        <v>2410</v>
      </c>
      <c r="G593" s="5" t="n">
        <v>0.0919907407407407</v>
      </c>
      <c r="H593" s="5" t="n">
        <v>0</v>
      </c>
      <c r="I593" s="5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5" t="n">
        <v>0</v>
      </c>
      <c r="P593" s="5" t="n">
        <v>0.00810185185185185</v>
      </c>
      <c r="Q593" s="4" t="s">
        <v>2411</v>
      </c>
      <c r="R593" s="4" t="s">
        <v>2412</v>
      </c>
      <c r="S593" s="5" t="n">
        <v>0.000231481481481482</v>
      </c>
      <c r="T593" s="5" t="n">
        <v>0.0311342592592593</v>
      </c>
      <c r="U593" s="5" t="n">
        <v>0.0238425925925926</v>
      </c>
      <c r="V593" s="5" t="n">
        <v>0.00208333333333333</v>
      </c>
      <c r="W593" s="5" t="n">
        <v>0</v>
      </c>
      <c r="X593" s="5" t="n">
        <v>0</v>
      </c>
      <c r="Y593" s="5" t="n">
        <v>0</v>
      </c>
      <c r="Z593" s="0" t="n">
        <v>0</v>
      </c>
      <c r="AA593" s="0" t="n">
        <v>0</v>
      </c>
      <c r="AB593" s="0" t="n">
        <v>0</v>
      </c>
      <c r="AC593" s="4" t="s">
        <v>994</v>
      </c>
      <c r="AD593" s="4" t="s">
        <v>994</v>
      </c>
      <c r="AE593" s="4" t="s">
        <v>2409</v>
      </c>
      <c r="AF593" s="4" t="s">
        <v>2413</v>
      </c>
      <c r="AG593" s="5" t="n">
        <v>0.0350694444444444</v>
      </c>
      <c r="AH593" s="5" t="n">
        <v>0.064537037037037</v>
      </c>
      <c r="AI593" s="5" t="n">
        <v>0</v>
      </c>
      <c r="AJ593" s="5" t="n">
        <v>0</v>
      </c>
      <c r="AK593" s="5" t="n">
        <v>0</v>
      </c>
      <c r="AL593" s="5" t="n">
        <v>0</v>
      </c>
      <c r="AM593" s="4" t="s">
        <v>78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  <c r="AU593" s="0" t="n">
        <v>0</v>
      </c>
      <c r="AV593" s="0" t="n">
        <v>0</v>
      </c>
      <c r="AW593" s="0" t="n">
        <v>0</v>
      </c>
      <c r="AX593" s="0" t="n">
        <v>0</v>
      </c>
      <c r="AY593" s="0" t="n">
        <v>0</v>
      </c>
      <c r="AZ593" s="0" t="n">
        <v>0</v>
      </c>
      <c r="BA593" s="0" t="n">
        <v>0</v>
      </c>
      <c r="BB593" s="0" t="n">
        <v>0</v>
      </c>
      <c r="BC593" s="0" t="n">
        <v>0</v>
      </c>
      <c r="BD593" s="0" t="n">
        <v>0</v>
      </c>
      <c r="BE593" s="0" t="n">
        <v>0</v>
      </c>
      <c r="BF593" s="0" t="n">
        <v>0</v>
      </c>
      <c r="BG593" s="0" t="n">
        <v>0</v>
      </c>
      <c r="BH593" s="0" t="n">
        <v>0</v>
      </c>
      <c r="BI593" s="0" t="n">
        <v>0</v>
      </c>
      <c r="BJ593" s="0" t="n">
        <v>0</v>
      </c>
      <c r="BK593" s="0" t="n">
        <v>0</v>
      </c>
      <c r="BM593" s="6" t="n">
        <f aca="false">IFERROR(VALUE(F593),"")</f>
        <v>43.25</v>
      </c>
      <c r="BN593" s="6" t="n">
        <f aca="false">IF(R593="-","",IFERROR(VALUE(LEFT(Q593,LEN(Q593)-2)),""))</f>
        <v>12.5</v>
      </c>
      <c r="BO593" s="6" t="n">
        <f aca="false">IF(R593="-","",IFERROR(VALUE(LEFT(R593,LEN(R593)-5)),""))</f>
        <v>3.46</v>
      </c>
      <c r="BP593" s="6" t="n">
        <f aca="false">IF(R593="-","",IFERROR(VALUE(F593),""))</f>
        <v>43.25</v>
      </c>
      <c r="BQ593" s="4" t="n">
        <f aca="false">IF(R593="-",1,0)</f>
        <v>0</v>
      </c>
    </row>
    <row r="594" customFormat="false" ht="15" hidden="false" customHeight="false" outlineLevel="0" collapsed="false">
      <c r="A594" s="0" t="s">
        <v>2401</v>
      </c>
      <c r="B594" s="0" t="s">
        <v>2402</v>
      </c>
      <c r="C594" s="0" t="s">
        <v>70</v>
      </c>
      <c r="E594" s="3" t="n">
        <v>46279</v>
      </c>
      <c r="F594" s="4" t="s">
        <v>95</v>
      </c>
      <c r="G594" s="5" t="n">
        <v>0.00293981481481482</v>
      </c>
      <c r="H594" s="5" t="n">
        <v>0</v>
      </c>
      <c r="I594" s="5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5" t="n">
        <v>0</v>
      </c>
      <c r="P594" s="5" t="n">
        <v>0</v>
      </c>
      <c r="Q594" s="4" t="s">
        <v>73</v>
      </c>
      <c r="R594" s="4" t="s">
        <v>73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0</v>
      </c>
      <c r="X594" s="5" t="n">
        <v>0</v>
      </c>
      <c r="Y594" s="5" t="n">
        <v>0</v>
      </c>
      <c r="Z594" s="0" t="n">
        <v>0</v>
      </c>
      <c r="AA594" s="0" t="n">
        <v>0</v>
      </c>
      <c r="AB594" s="0" t="n">
        <v>0</v>
      </c>
      <c r="AC594" s="4" t="s">
        <v>994</v>
      </c>
      <c r="AD594" s="4" t="s">
        <v>994</v>
      </c>
      <c r="AE594" s="4" t="s">
        <v>2413</v>
      </c>
      <c r="AF594" s="4" t="s">
        <v>2413</v>
      </c>
      <c r="AG594" s="5" t="n">
        <v>0</v>
      </c>
      <c r="AH594" s="5" t="n">
        <v>0.00340277777777778</v>
      </c>
      <c r="AI594" s="5" t="n">
        <v>0</v>
      </c>
      <c r="AJ594" s="5" t="n">
        <v>0</v>
      </c>
      <c r="AK594" s="5" t="n">
        <v>0</v>
      </c>
      <c r="AL594" s="5" t="n">
        <v>0</v>
      </c>
      <c r="AM594" s="4" t="s">
        <v>78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  <c r="AU594" s="0" t="n">
        <v>0</v>
      </c>
      <c r="AV594" s="0" t="n">
        <v>0</v>
      </c>
      <c r="AW594" s="0" t="n">
        <v>0</v>
      </c>
      <c r="AX594" s="0" t="n">
        <v>0</v>
      </c>
      <c r="AY594" s="0" t="n">
        <v>0</v>
      </c>
      <c r="AZ594" s="0" t="n">
        <v>0</v>
      </c>
      <c r="BA594" s="0" t="n">
        <v>0</v>
      </c>
      <c r="BB594" s="0" t="n">
        <v>0</v>
      </c>
      <c r="BC594" s="0" t="n">
        <v>0</v>
      </c>
      <c r="BD594" s="0" t="n">
        <v>0</v>
      </c>
      <c r="BE594" s="0" t="n">
        <v>0</v>
      </c>
      <c r="BF594" s="0" t="n">
        <v>0</v>
      </c>
      <c r="BG594" s="0" t="n">
        <v>0</v>
      </c>
      <c r="BH594" s="0" t="n">
        <v>0</v>
      </c>
      <c r="BI594" s="0" t="n">
        <v>0</v>
      </c>
      <c r="BJ594" s="0" t="n">
        <v>0</v>
      </c>
      <c r="BK594" s="0" t="n">
        <v>0</v>
      </c>
      <c r="BM594" s="6" t="n">
        <f aca="false">IFERROR(VALUE(F594),"")</f>
        <v>0</v>
      </c>
      <c r="BN594" s="6" t="str">
        <f aca="false">IF(R594="-","",IFERROR(VALUE(LEFT(Q594,LEN(Q594)-2)),""))</f>
        <v/>
      </c>
      <c r="BO594" s="6" t="str">
        <f aca="false">IF(R594="-","",IFERROR(VALUE(LEFT(R594,LEN(R594)-5)),""))</f>
        <v/>
      </c>
      <c r="BP594" s="6" t="str">
        <f aca="false">IF(R594="-","",IFERROR(VALUE(F594),""))</f>
        <v/>
      </c>
      <c r="BQ594" s="4" t="n">
        <f aca="false">IF(R594="-",1,0)</f>
        <v>1</v>
      </c>
    </row>
    <row r="595" customFormat="false" ht="15" hidden="false" customHeight="false" outlineLevel="0" collapsed="false">
      <c r="A595" s="0" t="s">
        <v>2414</v>
      </c>
      <c r="B595" s="0" t="s">
        <v>2415</v>
      </c>
      <c r="C595" s="0" t="s">
        <v>70</v>
      </c>
      <c r="D595" s="0" t="s">
        <v>2416</v>
      </c>
      <c r="E595" s="3" t="n">
        <v>46273</v>
      </c>
      <c r="F595" s="4" t="s">
        <v>2417</v>
      </c>
      <c r="G595" s="5" t="n">
        <v>0.381018518518519</v>
      </c>
      <c r="H595" s="5" t="n">
        <v>0.310208333333333</v>
      </c>
      <c r="I595" s="5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8</v>
      </c>
      <c r="O595" s="5" t="n">
        <v>0</v>
      </c>
      <c r="P595" s="5" t="n">
        <v>0</v>
      </c>
      <c r="Q595" s="4" t="s">
        <v>2418</v>
      </c>
      <c r="R595" s="4" t="s">
        <v>1692</v>
      </c>
      <c r="S595" s="5" t="n">
        <v>0.00104166666666667</v>
      </c>
      <c r="T595" s="5" t="n">
        <v>0.11712962962963</v>
      </c>
      <c r="U595" s="5" t="n">
        <v>0.19537037037037</v>
      </c>
      <c r="V595" s="5" t="n">
        <v>0.009375</v>
      </c>
      <c r="W595" s="5" t="n">
        <v>0</v>
      </c>
      <c r="X595" s="5" t="n">
        <v>0</v>
      </c>
      <c r="Y595" s="5" t="n">
        <v>0</v>
      </c>
      <c r="Z595" s="0" t="n">
        <v>0</v>
      </c>
      <c r="AA595" s="0" t="n">
        <v>0</v>
      </c>
      <c r="AB595" s="0" t="n">
        <v>0</v>
      </c>
      <c r="AC595" s="4" t="s">
        <v>2419</v>
      </c>
      <c r="AD595" s="4" t="s">
        <v>1026</v>
      </c>
      <c r="AE595" s="4" t="s">
        <v>2420</v>
      </c>
      <c r="AF595" s="4" t="s">
        <v>2421</v>
      </c>
      <c r="AG595" s="5" t="n">
        <v>0.265972222222222</v>
      </c>
      <c r="AH595" s="5" t="n">
        <v>0.17681712962963</v>
      </c>
      <c r="AI595" s="5" t="n">
        <v>0</v>
      </c>
      <c r="AJ595" s="5" t="n">
        <v>0</v>
      </c>
      <c r="AK595" s="5" t="n">
        <v>0</v>
      </c>
      <c r="AL595" s="5" t="n">
        <v>0</v>
      </c>
      <c r="AM595" s="4" t="s">
        <v>78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1</v>
      </c>
      <c r="AS595" s="0" t="n">
        <v>0</v>
      </c>
      <c r="AT595" s="0" t="n">
        <v>0</v>
      </c>
      <c r="AU595" s="0" t="n">
        <v>0</v>
      </c>
      <c r="AV595" s="0" t="n">
        <v>0</v>
      </c>
      <c r="AW595" s="0" t="n">
        <v>0</v>
      </c>
      <c r="AX595" s="0" t="n">
        <v>0</v>
      </c>
      <c r="AY595" s="0" t="n">
        <v>0</v>
      </c>
      <c r="AZ595" s="0" t="n">
        <v>0</v>
      </c>
      <c r="BA595" s="0" t="n">
        <v>0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  <c r="BH595" s="0" t="n">
        <v>0</v>
      </c>
      <c r="BI595" s="0" t="n">
        <v>0</v>
      </c>
      <c r="BJ595" s="0" t="n">
        <v>0</v>
      </c>
      <c r="BK595" s="0" t="n">
        <v>0</v>
      </c>
      <c r="BM595" s="6" t="n">
        <f aca="false">IFERROR(VALUE(F595),"")</f>
        <v>331.78</v>
      </c>
      <c r="BN595" s="6" t="n">
        <f aca="false">IF(R595="-","",IFERROR(VALUE(LEFT(Q595,LEN(Q595)-2)),""))</f>
        <v>123.52</v>
      </c>
      <c r="BO595" s="6" t="n">
        <f aca="false">IF(R595="-","",IFERROR(VALUE(LEFT(R595,LEN(R595)-5)),""))</f>
        <v>2.69</v>
      </c>
      <c r="BP595" s="6" t="n">
        <f aca="false">IF(R595="-","",IFERROR(VALUE(F595),""))</f>
        <v>331.78</v>
      </c>
      <c r="BQ595" s="4" t="n">
        <f aca="false">IF(R595="-",1,0)</f>
        <v>0</v>
      </c>
    </row>
    <row r="596" customFormat="false" ht="15" hidden="false" customHeight="false" outlineLevel="0" collapsed="false">
      <c r="A596" s="0" t="s">
        <v>2414</v>
      </c>
      <c r="B596" s="0" t="s">
        <v>2415</v>
      </c>
      <c r="C596" s="0" t="s">
        <v>70</v>
      </c>
      <c r="D596" s="0" t="s">
        <v>2422</v>
      </c>
      <c r="E596" s="3" t="n">
        <v>46274</v>
      </c>
      <c r="F596" s="4" t="s">
        <v>2423</v>
      </c>
      <c r="G596" s="5" t="n">
        <v>0.298414351851852</v>
      </c>
      <c r="H596" s="5" t="n">
        <v>0.269525462962963</v>
      </c>
      <c r="I596" s="5" t="n">
        <v>0.000196759259259259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4</v>
      </c>
      <c r="O596" s="5" t="n">
        <v>0</v>
      </c>
      <c r="P596" s="5" t="n">
        <v>0.0410416666666667</v>
      </c>
      <c r="Q596" s="4" t="s">
        <v>2424</v>
      </c>
      <c r="R596" s="4" t="s">
        <v>125</v>
      </c>
      <c r="S596" s="5" t="n">
        <v>0.00104166666666667</v>
      </c>
      <c r="T596" s="5" t="n">
        <v>0.0990740740740741</v>
      </c>
      <c r="U596" s="5" t="n">
        <v>0.16724537037037</v>
      </c>
      <c r="V596" s="5" t="n">
        <v>0.0150925925925926</v>
      </c>
      <c r="W596" s="5" t="n">
        <v>0.000428240740740741</v>
      </c>
      <c r="X596" s="5" t="n">
        <v>0</v>
      </c>
      <c r="Y596" s="5" t="n">
        <v>0</v>
      </c>
      <c r="Z596" s="0" t="n">
        <v>0</v>
      </c>
      <c r="AA596" s="0" t="n">
        <v>0</v>
      </c>
      <c r="AB596" s="0" t="n">
        <v>0</v>
      </c>
      <c r="AC596" s="4" t="s">
        <v>1026</v>
      </c>
      <c r="AD596" s="4" t="s">
        <v>2425</v>
      </c>
      <c r="AE596" s="4" t="s">
        <v>2421</v>
      </c>
      <c r="AF596" s="4" t="s">
        <v>2426</v>
      </c>
      <c r="AG596" s="5" t="n">
        <v>0.223368055555556</v>
      </c>
      <c r="AH596" s="5" t="n">
        <v>0.132569444444444</v>
      </c>
      <c r="AI596" s="5" t="n">
        <v>0</v>
      </c>
      <c r="AJ596" s="5" t="n">
        <v>0</v>
      </c>
      <c r="AK596" s="5" t="n">
        <v>0</v>
      </c>
      <c r="AL596" s="5" t="n">
        <v>0</v>
      </c>
      <c r="AM596" s="4" t="s">
        <v>78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  <c r="AU596" s="0" t="n">
        <v>0</v>
      </c>
      <c r="AV596" s="0" t="n">
        <v>0</v>
      </c>
      <c r="AW596" s="0" t="n">
        <v>0</v>
      </c>
      <c r="AX596" s="0" t="n">
        <v>0</v>
      </c>
      <c r="AY596" s="0" t="n">
        <v>0</v>
      </c>
      <c r="AZ596" s="0" t="n">
        <v>0</v>
      </c>
      <c r="BA596" s="0" t="n">
        <v>0</v>
      </c>
      <c r="BB596" s="0" t="n">
        <v>0</v>
      </c>
      <c r="BC596" s="0" t="n">
        <v>0</v>
      </c>
      <c r="BD596" s="0" t="n">
        <v>0</v>
      </c>
      <c r="BE596" s="0" t="n">
        <v>0</v>
      </c>
      <c r="BF596" s="0" t="n">
        <v>0</v>
      </c>
      <c r="BG596" s="0" t="n">
        <v>0</v>
      </c>
      <c r="BH596" s="0" t="n">
        <v>0</v>
      </c>
      <c r="BI596" s="0" t="n">
        <v>0</v>
      </c>
      <c r="BJ596" s="0" t="n">
        <v>0</v>
      </c>
      <c r="BK596" s="0" t="n">
        <v>0</v>
      </c>
      <c r="BM596" s="6" t="n">
        <f aca="false">IFERROR(VALUE(F596),"")</f>
        <v>292.65</v>
      </c>
      <c r="BN596" s="6" t="n">
        <f aca="false">IF(R596="-","",IFERROR(VALUE(LEFT(Q596,LEN(Q596)-2)),""))</f>
        <v>114.5</v>
      </c>
      <c r="BO596" s="6" t="n">
        <f aca="false">IF(R596="-","",IFERROR(VALUE(LEFT(R596,LEN(R596)-5)),""))</f>
        <v>2.56</v>
      </c>
      <c r="BP596" s="6" t="n">
        <f aca="false">IF(R596="-","",IFERROR(VALUE(F596),""))</f>
        <v>292.65</v>
      </c>
      <c r="BQ596" s="4" t="n">
        <f aca="false">IF(R596="-",1,0)</f>
        <v>0</v>
      </c>
    </row>
    <row r="597" customFormat="false" ht="15" hidden="false" customHeight="false" outlineLevel="0" collapsed="false">
      <c r="A597" s="0" t="s">
        <v>2414</v>
      </c>
      <c r="B597" s="0" t="s">
        <v>2415</v>
      </c>
      <c r="C597" s="0" t="s">
        <v>70</v>
      </c>
      <c r="D597" s="0" t="s">
        <v>2427</v>
      </c>
      <c r="E597" s="3" t="n">
        <v>46275</v>
      </c>
      <c r="F597" s="4" t="s">
        <v>2428</v>
      </c>
      <c r="G597" s="5" t="n">
        <v>0.499375</v>
      </c>
      <c r="H597" s="5" t="n">
        <v>0.4875</v>
      </c>
      <c r="I597" s="5" t="n">
        <v>0.000185185185185185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9</v>
      </c>
      <c r="O597" s="5" t="n">
        <v>0</v>
      </c>
      <c r="P597" s="5" t="n">
        <v>0.00907407407407408</v>
      </c>
      <c r="Q597" s="4" t="s">
        <v>2429</v>
      </c>
      <c r="R597" s="4" t="s">
        <v>524</v>
      </c>
      <c r="S597" s="5" t="n">
        <v>0.00104166666666667</v>
      </c>
      <c r="T597" s="5" t="n">
        <v>0.134143518518519</v>
      </c>
      <c r="U597" s="5" t="n">
        <v>0.319097222222222</v>
      </c>
      <c r="V597" s="5" t="n">
        <v>0.0274305555555556</v>
      </c>
      <c r="W597" s="5" t="n">
        <v>0</v>
      </c>
      <c r="X597" s="5" t="n">
        <v>0</v>
      </c>
      <c r="Y597" s="5" t="n">
        <v>0</v>
      </c>
      <c r="Z597" s="0" t="n">
        <v>0</v>
      </c>
      <c r="AA597" s="0" t="n">
        <v>0</v>
      </c>
      <c r="AB597" s="0" t="n">
        <v>0</v>
      </c>
      <c r="AC597" s="4" t="s">
        <v>2425</v>
      </c>
      <c r="AD597" s="4" t="s">
        <v>2425</v>
      </c>
      <c r="AE597" s="4" t="s">
        <v>2426</v>
      </c>
      <c r="AF597" s="4" t="s">
        <v>2430</v>
      </c>
      <c r="AG597" s="5" t="n">
        <v>0.424826388888889</v>
      </c>
      <c r="AH597" s="5" t="n">
        <v>0.156423611111111</v>
      </c>
      <c r="AI597" s="5" t="n">
        <v>0</v>
      </c>
      <c r="AJ597" s="5" t="n">
        <v>0</v>
      </c>
      <c r="AK597" s="5" t="n">
        <v>0</v>
      </c>
      <c r="AL597" s="5" t="n">
        <v>0</v>
      </c>
      <c r="AM597" s="4" t="s">
        <v>78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  <c r="BA597" s="0" t="n">
        <v>0</v>
      </c>
      <c r="BB597" s="0" t="n">
        <v>0</v>
      </c>
      <c r="BC597" s="0" t="n">
        <v>0</v>
      </c>
      <c r="BD597" s="0" t="n">
        <v>0</v>
      </c>
      <c r="BE597" s="0" t="n">
        <v>0</v>
      </c>
      <c r="BF597" s="0" t="n">
        <v>0</v>
      </c>
      <c r="BG597" s="0" t="n">
        <v>0</v>
      </c>
      <c r="BH597" s="0" t="n">
        <v>0</v>
      </c>
      <c r="BI597" s="0" t="n">
        <v>0</v>
      </c>
      <c r="BJ597" s="0" t="n">
        <v>0</v>
      </c>
      <c r="BK597" s="0" t="n">
        <v>0</v>
      </c>
      <c r="BM597" s="6" t="n">
        <f aca="false">IFERROR(VALUE(F597),"")</f>
        <v>557.6</v>
      </c>
      <c r="BN597" s="6" t="n">
        <f aca="false">IF(R597="-","",IFERROR(VALUE(LEFT(Q597,LEN(Q597)-2)),""))</f>
        <v>200</v>
      </c>
      <c r="BO597" s="6" t="n">
        <f aca="false">IF(R597="-","",IFERROR(VALUE(LEFT(R597,LEN(R597)-5)),""))</f>
        <v>2.79</v>
      </c>
      <c r="BP597" s="6" t="n">
        <f aca="false">IF(R597="-","",IFERROR(VALUE(F597),""))</f>
        <v>557.6</v>
      </c>
      <c r="BQ597" s="4" t="n">
        <f aca="false">IF(R597="-",1,0)</f>
        <v>0</v>
      </c>
    </row>
    <row r="598" customFormat="false" ht="15" hidden="false" customHeight="false" outlineLevel="0" collapsed="false">
      <c r="A598" s="0" t="s">
        <v>2414</v>
      </c>
      <c r="B598" s="0" t="s">
        <v>2415</v>
      </c>
      <c r="C598" s="0" t="s">
        <v>70</v>
      </c>
      <c r="D598" s="0" t="s">
        <v>2431</v>
      </c>
      <c r="E598" s="3" t="n">
        <v>46276</v>
      </c>
      <c r="F598" s="4" t="s">
        <v>2432</v>
      </c>
      <c r="G598" s="5" t="n">
        <v>0.494097222222222</v>
      </c>
      <c r="H598" s="5" t="n">
        <v>0.472071759259259</v>
      </c>
      <c r="I598" s="5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8</v>
      </c>
      <c r="O598" s="5" t="n">
        <v>0</v>
      </c>
      <c r="P598" s="5" t="n">
        <v>0</v>
      </c>
      <c r="Q598" s="4" t="s">
        <v>2433</v>
      </c>
      <c r="R598" s="4" t="s">
        <v>332</v>
      </c>
      <c r="S598" s="5" t="n">
        <v>0.000578703703703704</v>
      </c>
      <c r="T598" s="5" t="n">
        <v>0.128935185185185</v>
      </c>
      <c r="U598" s="5" t="n">
        <v>0.326851851851852</v>
      </c>
      <c r="V598" s="5" t="n">
        <v>0.025462962962963</v>
      </c>
      <c r="W598" s="5" t="n">
        <v>0</v>
      </c>
      <c r="X598" s="5" t="n">
        <v>0</v>
      </c>
      <c r="Y598" s="5" t="n">
        <v>0</v>
      </c>
      <c r="Z598" s="0" t="n">
        <v>0</v>
      </c>
      <c r="AA598" s="0" t="n">
        <v>0</v>
      </c>
      <c r="AB598" s="0" t="n">
        <v>0</v>
      </c>
      <c r="AC598" s="4" t="s">
        <v>2434</v>
      </c>
      <c r="AD598" s="4" t="s">
        <v>2419</v>
      </c>
      <c r="AE598" s="4" t="s">
        <v>2430</v>
      </c>
      <c r="AF598" s="4" t="s">
        <v>2435</v>
      </c>
      <c r="AG598" s="5" t="n">
        <v>0.429363425925926</v>
      </c>
      <c r="AH598" s="5" t="n">
        <v>0.1871875</v>
      </c>
      <c r="AI598" s="5" t="n">
        <v>0</v>
      </c>
      <c r="AJ598" s="5" t="n">
        <v>0</v>
      </c>
      <c r="AK598" s="5" t="n">
        <v>0</v>
      </c>
      <c r="AL598" s="5" t="n">
        <v>0</v>
      </c>
      <c r="AM598" s="4" t="s">
        <v>78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  <c r="AU598" s="0" t="n">
        <v>0</v>
      </c>
      <c r="AV598" s="0" t="n">
        <v>0</v>
      </c>
      <c r="AW598" s="0" t="n">
        <v>0</v>
      </c>
      <c r="AX598" s="0" t="n">
        <v>0</v>
      </c>
      <c r="AY598" s="0" t="n">
        <v>0</v>
      </c>
      <c r="AZ598" s="0" t="n">
        <v>0</v>
      </c>
      <c r="BA598" s="0" t="n">
        <v>0</v>
      </c>
      <c r="BB598" s="0" t="n">
        <v>0</v>
      </c>
      <c r="BC598" s="0" t="n">
        <v>0</v>
      </c>
      <c r="BD598" s="0" t="n">
        <v>0</v>
      </c>
      <c r="BE598" s="0" t="n">
        <v>0</v>
      </c>
      <c r="BF598" s="0" t="n">
        <v>0</v>
      </c>
      <c r="BG598" s="0" t="n">
        <v>0</v>
      </c>
      <c r="BH598" s="0" t="n">
        <v>0</v>
      </c>
      <c r="BI598" s="0" t="n">
        <v>0</v>
      </c>
      <c r="BJ598" s="0" t="n">
        <v>0</v>
      </c>
      <c r="BK598" s="0" t="n">
        <v>0</v>
      </c>
      <c r="BM598" s="6" t="n">
        <f aca="false">IFERROR(VALUE(F598),"")</f>
        <v>538.19</v>
      </c>
      <c r="BN598" s="6" t="n">
        <f aca="false">IF(R598="-","",IFERROR(VALUE(LEFT(Q598,LEN(Q598)-2)),""))</f>
        <v>189.5</v>
      </c>
      <c r="BO598" s="6" t="n">
        <f aca="false">IF(R598="-","",IFERROR(VALUE(LEFT(R598,LEN(R598)-5)),""))</f>
        <v>2.84</v>
      </c>
      <c r="BP598" s="6" t="n">
        <f aca="false">IF(R598="-","",IFERROR(VALUE(F598),""))</f>
        <v>538.19</v>
      </c>
      <c r="BQ598" s="4" t="n">
        <f aca="false">IF(R598="-",1,0)</f>
        <v>0</v>
      </c>
    </row>
    <row r="599" customFormat="false" ht="15" hidden="false" customHeight="false" outlineLevel="0" collapsed="false">
      <c r="A599" s="0" t="s">
        <v>2414</v>
      </c>
      <c r="B599" s="0" t="s">
        <v>2415</v>
      </c>
      <c r="C599" s="0" t="s">
        <v>70</v>
      </c>
      <c r="D599" s="0" t="s">
        <v>2436</v>
      </c>
      <c r="E599" s="3" t="n">
        <v>46277</v>
      </c>
      <c r="F599" s="4" t="s">
        <v>2437</v>
      </c>
      <c r="G599" s="5" t="n">
        <v>0.613518518518519</v>
      </c>
      <c r="H599" s="5" t="n">
        <v>0.267488425925926</v>
      </c>
      <c r="I599" s="5" t="n">
        <v>2.31481481481482E-005</v>
      </c>
      <c r="J599" s="0" t="n">
        <v>0</v>
      </c>
      <c r="K599" s="0" t="n">
        <v>1</v>
      </c>
      <c r="L599" s="0" t="n">
        <v>0</v>
      </c>
      <c r="M599" s="0" t="n">
        <v>0</v>
      </c>
      <c r="N599" s="0" t="n">
        <v>7</v>
      </c>
      <c r="O599" s="5" t="n">
        <v>0</v>
      </c>
      <c r="P599" s="5" t="n">
        <v>0</v>
      </c>
      <c r="Q599" s="4" t="s">
        <v>2438</v>
      </c>
      <c r="R599" s="4" t="s">
        <v>1396</v>
      </c>
      <c r="S599" s="5" t="n">
        <v>0.000347222222222222</v>
      </c>
      <c r="T599" s="5" t="n">
        <v>0.150925925925926</v>
      </c>
      <c r="U599" s="5" t="n">
        <v>0.417592592592593</v>
      </c>
      <c r="V599" s="5" t="n">
        <v>0.0163194444444445</v>
      </c>
      <c r="W599" s="5" t="n">
        <v>0</v>
      </c>
      <c r="X599" s="5" t="n">
        <v>0</v>
      </c>
      <c r="Y599" s="5" t="n">
        <v>0</v>
      </c>
      <c r="Z599" s="0" t="n">
        <v>0</v>
      </c>
      <c r="AA599" s="0" t="n">
        <v>0</v>
      </c>
      <c r="AB599" s="0" t="n">
        <v>0</v>
      </c>
      <c r="AC599" s="4" t="s">
        <v>2419</v>
      </c>
      <c r="AD599" s="4" t="s">
        <v>2439</v>
      </c>
      <c r="AE599" s="4" t="s">
        <v>2440</v>
      </c>
      <c r="AF599" s="4" t="s">
        <v>2441</v>
      </c>
      <c r="AG599" s="5" t="n">
        <v>0.521921296296296</v>
      </c>
      <c r="AH599" s="5" t="n">
        <v>0.2184375</v>
      </c>
      <c r="AI599" s="5" t="n">
        <v>0</v>
      </c>
      <c r="AJ599" s="5" t="n">
        <v>0</v>
      </c>
      <c r="AK599" s="5" t="n">
        <v>0</v>
      </c>
      <c r="AL599" s="5" t="n">
        <v>0</v>
      </c>
      <c r="AM599" s="4" t="s">
        <v>78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0</v>
      </c>
      <c r="AZ599" s="0" t="n">
        <v>0</v>
      </c>
      <c r="BA599" s="0" t="n">
        <v>0</v>
      </c>
      <c r="BB599" s="0" t="n">
        <v>0</v>
      </c>
      <c r="BC599" s="0" t="n">
        <v>0</v>
      </c>
      <c r="BD599" s="0" t="n">
        <v>0</v>
      </c>
      <c r="BE599" s="0" t="n">
        <v>0</v>
      </c>
      <c r="BF599" s="0" t="n">
        <v>0</v>
      </c>
      <c r="BG599" s="0" t="n">
        <v>0</v>
      </c>
      <c r="BH599" s="0" t="n">
        <v>0</v>
      </c>
      <c r="BI599" s="0" t="n">
        <v>0</v>
      </c>
      <c r="BJ599" s="0" t="n">
        <v>0</v>
      </c>
      <c r="BK599" s="0" t="n">
        <v>0</v>
      </c>
      <c r="BM599" s="6" t="n">
        <f aca="false">IFERROR(VALUE(F599),"")</f>
        <v>763.68</v>
      </c>
      <c r="BN599" s="6" t="n">
        <f aca="false">IF(R599="-","",IFERROR(VALUE(LEFT(Q599,LEN(Q599)-2)),""))</f>
        <v>240.48</v>
      </c>
      <c r="BO599" s="6" t="n">
        <f aca="false">IF(R599="-","",IFERROR(VALUE(LEFT(R599,LEN(R599)-5)),""))</f>
        <v>3.18</v>
      </c>
      <c r="BP599" s="6" t="n">
        <f aca="false">IF(R599="-","",IFERROR(VALUE(F599),""))</f>
        <v>763.68</v>
      </c>
      <c r="BQ599" s="4" t="n">
        <f aca="false">IF(R599="-",1,0)</f>
        <v>0</v>
      </c>
    </row>
    <row r="600" customFormat="false" ht="15" hidden="false" customHeight="false" outlineLevel="0" collapsed="false">
      <c r="A600" s="0" t="s">
        <v>2414</v>
      </c>
      <c r="B600" s="0" t="s">
        <v>2415</v>
      </c>
      <c r="C600" s="0" t="s">
        <v>70</v>
      </c>
      <c r="D600" s="0" t="s">
        <v>2442</v>
      </c>
      <c r="E600" s="3" t="n">
        <v>46278</v>
      </c>
      <c r="F600" s="4" t="s">
        <v>2443</v>
      </c>
      <c r="G600" s="5" t="n">
        <v>0.303715277777778</v>
      </c>
      <c r="H600" s="5" t="n">
        <v>0.282986111111111</v>
      </c>
      <c r="I600" s="5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4</v>
      </c>
      <c r="O600" s="5" t="n">
        <v>0</v>
      </c>
      <c r="P600" s="5" t="n">
        <v>0.0294444444444444</v>
      </c>
      <c r="Q600" s="4" t="s">
        <v>2125</v>
      </c>
      <c r="R600" s="4" t="s">
        <v>346</v>
      </c>
      <c r="S600" s="5" t="n">
        <v>0.000347222222222222</v>
      </c>
      <c r="T600" s="5" t="n">
        <v>0.0864583333333333</v>
      </c>
      <c r="U600" s="5" t="n">
        <v>0.191203703703704</v>
      </c>
      <c r="V600" s="5" t="n">
        <v>0.00844907407407407</v>
      </c>
      <c r="W600" s="5" t="n">
        <v>0</v>
      </c>
      <c r="X600" s="5" t="n">
        <v>0</v>
      </c>
      <c r="Y600" s="5" t="n">
        <v>0</v>
      </c>
      <c r="Z600" s="0" t="n">
        <v>0</v>
      </c>
      <c r="AA600" s="0" t="n">
        <v>0</v>
      </c>
      <c r="AB600" s="0" t="n">
        <v>0</v>
      </c>
      <c r="AC600" s="4" t="s">
        <v>2439</v>
      </c>
      <c r="AD600" s="4" t="s">
        <v>1026</v>
      </c>
      <c r="AE600" s="4" t="s">
        <v>2441</v>
      </c>
      <c r="AF600" s="4" t="s">
        <v>2444</v>
      </c>
      <c r="AG600" s="5" t="n">
        <v>0.241597222222222</v>
      </c>
      <c r="AH600" s="5" t="n">
        <v>0.111886574074074</v>
      </c>
      <c r="AI600" s="5" t="n">
        <v>0</v>
      </c>
      <c r="AJ600" s="5" t="n">
        <v>0</v>
      </c>
      <c r="AK600" s="5" t="n">
        <v>0</v>
      </c>
      <c r="AL600" s="5" t="n">
        <v>0</v>
      </c>
      <c r="AM600" s="4" t="s">
        <v>78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  <c r="AU600" s="0" t="n">
        <v>0</v>
      </c>
      <c r="AV600" s="0" t="n">
        <v>0</v>
      </c>
      <c r="AW600" s="0" t="n">
        <v>0</v>
      </c>
      <c r="AX600" s="0" t="n">
        <v>0</v>
      </c>
      <c r="AY600" s="0" t="n">
        <v>0</v>
      </c>
      <c r="AZ600" s="0" t="n">
        <v>0</v>
      </c>
      <c r="BA600" s="0" t="n">
        <v>0</v>
      </c>
      <c r="BB600" s="0" t="n">
        <v>0</v>
      </c>
      <c r="BC600" s="0" t="n">
        <v>0</v>
      </c>
      <c r="BD600" s="0" t="n">
        <v>0</v>
      </c>
      <c r="BE600" s="0" t="n">
        <v>0</v>
      </c>
      <c r="BF600" s="0" t="n">
        <v>0</v>
      </c>
      <c r="BG600" s="0" t="n">
        <v>0</v>
      </c>
      <c r="BH600" s="0" t="n">
        <v>0</v>
      </c>
      <c r="BI600" s="0" t="n">
        <v>0</v>
      </c>
      <c r="BJ600" s="0" t="n">
        <v>0</v>
      </c>
      <c r="BK600" s="0" t="n">
        <v>0</v>
      </c>
      <c r="BM600" s="6" t="n">
        <f aca="false">IFERROR(VALUE(F600),"")</f>
        <v>293.35</v>
      </c>
      <c r="BN600" s="6" t="n">
        <f aca="false">IF(R600="-","",IFERROR(VALUE(LEFT(Q600,LEN(Q600)-2)),""))</f>
        <v>99.01</v>
      </c>
      <c r="BO600" s="6" t="n">
        <f aca="false">IF(R600="-","",IFERROR(VALUE(LEFT(R600,LEN(R600)-5)),""))</f>
        <v>2.96</v>
      </c>
      <c r="BP600" s="6" t="n">
        <f aca="false">IF(R600="-","",IFERROR(VALUE(F600),""))</f>
        <v>293.35</v>
      </c>
      <c r="BQ600" s="4" t="n">
        <f aca="false">IF(R600="-",1,0)</f>
        <v>0</v>
      </c>
    </row>
    <row r="601" customFormat="false" ht="15" hidden="false" customHeight="false" outlineLevel="0" collapsed="false">
      <c r="A601" s="0" t="s">
        <v>2414</v>
      </c>
      <c r="B601" s="0" t="s">
        <v>2415</v>
      </c>
      <c r="C601" s="0" t="s">
        <v>70</v>
      </c>
      <c r="D601" s="0" t="s">
        <v>2445</v>
      </c>
      <c r="E601" s="3" t="n">
        <v>46279</v>
      </c>
      <c r="F601" s="4" t="s">
        <v>2446</v>
      </c>
      <c r="G601" s="5" t="n">
        <v>0.658125</v>
      </c>
      <c r="H601" s="5" t="n">
        <v>0.626666666666667</v>
      </c>
      <c r="I601" s="5" t="n">
        <v>0.000520833333333333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7</v>
      </c>
      <c r="O601" s="5" t="n">
        <v>0</v>
      </c>
      <c r="P601" s="5" t="n">
        <v>0.042962962962963</v>
      </c>
      <c r="Q601" s="4" t="s">
        <v>2447</v>
      </c>
      <c r="R601" s="4" t="s">
        <v>2448</v>
      </c>
      <c r="S601" s="5" t="n">
        <v>0.000347222222222222</v>
      </c>
      <c r="T601" s="5" t="n">
        <v>0.190185185185185</v>
      </c>
      <c r="U601" s="5" t="n">
        <v>0.432199074074074</v>
      </c>
      <c r="V601" s="5" t="n">
        <v>0.0224537037037037</v>
      </c>
      <c r="W601" s="5" t="n">
        <v>0.000439814814814815</v>
      </c>
      <c r="X601" s="5" t="n">
        <v>0</v>
      </c>
      <c r="Y601" s="5" t="n">
        <v>0.000208333333333333</v>
      </c>
      <c r="Z601" s="0" t="n">
        <v>0</v>
      </c>
      <c r="AA601" s="0" t="n">
        <v>0</v>
      </c>
      <c r="AB601" s="0" t="n">
        <v>0</v>
      </c>
      <c r="AC601" s="4" t="s">
        <v>2377</v>
      </c>
      <c r="AD601" s="4" t="s">
        <v>994</v>
      </c>
      <c r="AE601" s="4" t="s">
        <v>2444</v>
      </c>
      <c r="AF601" s="4" t="s">
        <v>2449</v>
      </c>
      <c r="AG601" s="5" t="n">
        <v>0.555520833333333</v>
      </c>
      <c r="AH601" s="5" t="n">
        <v>0.203483796296296</v>
      </c>
      <c r="AI601" s="5" t="n">
        <v>0</v>
      </c>
      <c r="AJ601" s="5" t="n">
        <v>0</v>
      </c>
      <c r="AK601" s="5" t="n">
        <v>0</v>
      </c>
      <c r="AL601" s="5" t="n">
        <v>0</v>
      </c>
      <c r="AM601" s="4" t="s">
        <v>78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  <c r="AV601" s="0" t="n">
        <v>0</v>
      </c>
      <c r="AW601" s="0" t="n">
        <v>0</v>
      </c>
      <c r="AX601" s="0" t="n">
        <v>0</v>
      </c>
      <c r="AY601" s="0" t="n">
        <v>0</v>
      </c>
      <c r="AZ601" s="0" t="n">
        <v>0</v>
      </c>
      <c r="BA601" s="0" t="n">
        <v>0</v>
      </c>
      <c r="BB601" s="0" t="n">
        <v>0</v>
      </c>
      <c r="BC601" s="0" t="n">
        <v>0</v>
      </c>
      <c r="BD601" s="0" t="n">
        <v>0</v>
      </c>
      <c r="BE601" s="0" t="n">
        <v>0</v>
      </c>
      <c r="BF601" s="0" t="n">
        <v>0</v>
      </c>
      <c r="BG601" s="0" t="n">
        <v>0</v>
      </c>
      <c r="BH601" s="0" t="n">
        <v>0</v>
      </c>
      <c r="BI601" s="0" t="n">
        <v>0</v>
      </c>
      <c r="BJ601" s="0" t="n">
        <v>0</v>
      </c>
      <c r="BK601" s="0" t="n">
        <v>0</v>
      </c>
      <c r="BM601" s="6" t="n">
        <f aca="false">IFERROR(VALUE(F601),"")</f>
        <v>731.54</v>
      </c>
      <c r="BN601" s="6" t="n">
        <f aca="false">IF(R601="-","",IFERROR(VALUE(LEFT(Q601,LEN(Q601)-2)),""))</f>
        <v>214.5</v>
      </c>
      <c r="BO601" s="6" t="n">
        <f aca="false">IF(R601="-","",IFERROR(VALUE(LEFT(R601,LEN(R601)-5)),""))</f>
        <v>3.41</v>
      </c>
      <c r="BP601" s="6" t="n">
        <f aca="false">IF(R601="-","",IFERROR(VALUE(F601),""))</f>
        <v>731.54</v>
      </c>
      <c r="BQ601" s="4" t="n">
        <f aca="false">IF(R601="-",1,0)</f>
        <v>0</v>
      </c>
    </row>
    <row r="602" customFormat="false" ht="15" hidden="false" customHeight="false" outlineLevel="0" collapsed="false">
      <c r="A602" s="0" t="s">
        <v>2450</v>
      </c>
      <c r="B602" s="0" t="s">
        <v>2451</v>
      </c>
      <c r="C602" s="0" t="s">
        <v>70</v>
      </c>
      <c r="D602" s="0" t="s">
        <v>2452</v>
      </c>
      <c r="E602" s="3" t="n">
        <v>46273</v>
      </c>
      <c r="F602" s="4" t="s">
        <v>2453</v>
      </c>
      <c r="G602" s="5" t="n">
        <v>0.057962962962963</v>
      </c>
      <c r="H602" s="5" t="n">
        <v>0.0563773148148148</v>
      </c>
      <c r="I602" s="5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5" t="n">
        <v>0</v>
      </c>
      <c r="P602" s="5" t="n">
        <v>0</v>
      </c>
      <c r="Q602" s="4" t="s">
        <v>2454</v>
      </c>
      <c r="R602" s="4" t="s">
        <v>2048</v>
      </c>
      <c r="S602" s="5" t="n">
        <v>0</v>
      </c>
      <c r="T602" s="5" t="n">
        <v>0.012037037037037</v>
      </c>
      <c r="U602" s="5" t="n">
        <v>0.0287037037037037</v>
      </c>
      <c r="V602" s="5" t="n">
        <v>0.0164351851851852</v>
      </c>
      <c r="W602" s="5" t="n">
        <v>0</v>
      </c>
      <c r="X602" s="5" t="n">
        <v>0</v>
      </c>
      <c r="Y602" s="5" t="n">
        <v>0</v>
      </c>
      <c r="Z602" s="0" t="n">
        <v>0</v>
      </c>
      <c r="AA602" s="0" t="n">
        <v>0</v>
      </c>
      <c r="AB602" s="0" t="n">
        <v>0</v>
      </c>
      <c r="AC602" s="4" t="s">
        <v>75</v>
      </c>
      <c r="AD602" s="4" t="s">
        <v>75</v>
      </c>
      <c r="AE602" s="4" t="s">
        <v>2455</v>
      </c>
      <c r="AF602" s="4" t="s">
        <v>2456</v>
      </c>
      <c r="AG602" s="5" t="n">
        <v>0.0548263888888889</v>
      </c>
      <c r="AH602" s="5" t="n">
        <v>0.024849537037037</v>
      </c>
      <c r="AI602" s="5" t="n">
        <v>0</v>
      </c>
      <c r="AJ602" s="5" t="n">
        <v>0</v>
      </c>
      <c r="AK602" s="5" t="n">
        <v>0</v>
      </c>
      <c r="AL602" s="5" t="n">
        <v>0</v>
      </c>
      <c r="AM602" s="4" t="s">
        <v>78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  <c r="AU602" s="0" t="n">
        <v>0</v>
      </c>
      <c r="AV602" s="0" t="n">
        <v>0</v>
      </c>
      <c r="AW602" s="0" t="n">
        <v>0</v>
      </c>
      <c r="AX602" s="0" t="n">
        <v>0</v>
      </c>
      <c r="AY602" s="0" t="n">
        <v>0</v>
      </c>
      <c r="AZ602" s="0" t="n">
        <v>0</v>
      </c>
      <c r="BA602" s="0" t="n">
        <v>0</v>
      </c>
      <c r="BB602" s="0" t="n">
        <v>0</v>
      </c>
      <c r="BC602" s="0" t="n">
        <v>0</v>
      </c>
      <c r="BD602" s="0" t="n">
        <v>0</v>
      </c>
      <c r="BE602" s="0" t="n">
        <v>0</v>
      </c>
      <c r="BF602" s="0" t="n">
        <v>0</v>
      </c>
      <c r="BG602" s="0" t="n">
        <v>0</v>
      </c>
      <c r="BH602" s="0" t="n">
        <v>0</v>
      </c>
      <c r="BI602" s="0" t="n">
        <v>0</v>
      </c>
      <c r="BJ602" s="0" t="n">
        <v>0</v>
      </c>
      <c r="BK602" s="0" t="n">
        <v>0</v>
      </c>
      <c r="BM602" s="6" t="n">
        <f aca="false">IFERROR(VALUE(F602),"")</f>
        <v>76.56</v>
      </c>
      <c r="BN602" s="6" t="n">
        <f aca="false">IF(R602="-","",IFERROR(VALUE(LEFT(Q602,LEN(Q602)-2)),""))</f>
        <v>20.99</v>
      </c>
      <c r="BO602" s="6" t="n">
        <f aca="false">IF(R602="-","",IFERROR(VALUE(LEFT(R602,LEN(R602)-5)),""))</f>
        <v>3.65</v>
      </c>
      <c r="BP602" s="6" t="n">
        <f aca="false">IF(R602="-","",IFERROR(VALUE(F602),""))</f>
        <v>76.56</v>
      </c>
      <c r="BQ602" s="4" t="n">
        <f aca="false">IF(R602="-",1,0)</f>
        <v>0</v>
      </c>
    </row>
    <row r="603" customFormat="false" ht="15" hidden="false" customHeight="false" outlineLevel="0" collapsed="false">
      <c r="A603" s="0" t="s">
        <v>2450</v>
      </c>
      <c r="B603" s="0" t="s">
        <v>2451</v>
      </c>
      <c r="C603" s="0" t="s">
        <v>70</v>
      </c>
      <c r="D603" s="0" t="s">
        <v>2457</v>
      </c>
      <c r="E603" s="3" t="n">
        <v>46274</v>
      </c>
      <c r="F603" s="4" t="s">
        <v>2458</v>
      </c>
      <c r="G603" s="5" t="n">
        <v>0.563854166666667</v>
      </c>
      <c r="H603" s="5" t="n">
        <v>0.529814814814815</v>
      </c>
      <c r="I603" s="5" t="n">
        <v>0.000405092592592593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5" t="n">
        <v>0</v>
      </c>
      <c r="P603" s="5" t="n">
        <v>0</v>
      </c>
      <c r="Q603" s="4" t="s">
        <v>2459</v>
      </c>
      <c r="R603" s="4" t="s">
        <v>2460</v>
      </c>
      <c r="S603" s="5" t="n">
        <v>0</v>
      </c>
      <c r="T603" s="5" t="n">
        <v>0.127083333333333</v>
      </c>
      <c r="U603" s="5" t="n">
        <v>0.211921296296296</v>
      </c>
      <c r="V603" s="5" t="n">
        <v>0.191087962962963</v>
      </c>
      <c r="W603" s="5" t="n">
        <v>0</v>
      </c>
      <c r="X603" s="5" t="n">
        <v>0</v>
      </c>
      <c r="Y603" s="5" t="n">
        <v>0</v>
      </c>
      <c r="Z603" s="0" t="n">
        <v>0</v>
      </c>
      <c r="AA603" s="0" t="n">
        <v>0</v>
      </c>
      <c r="AB603" s="0" t="n">
        <v>0</v>
      </c>
      <c r="AC603" s="4" t="s">
        <v>228</v>
      </c>
      <c r="AD603" s="4" t="s">
        <v>1026</v>
      </c>
      <c r="AE603" s="4" t="s">
        <v>2456</v>
      </c>
      <c r="AF603" s="4" t="s">
        <v>2461</v>
      </c>
      <c r="AG603" s="5" t="n">
        <v>0.458703703703704</v>
      </c>
      <c r="AH603" s="5" t="n">
        <v>0.191516203703704</v>
      </c>
      <c r="AI603" s="5" t="n">
        <v>0</v>
      </c>
      <c r="AJ603" s="5" t="n">
        <v>0</v>
      </c>
      <c r="AK603" s="5" t="n">
        <v>0</v>
      </c>
      <c r="AL603" s="5" t="n">
        <v>0</v>
      </c>
      <c r="AM603" s="4" t="s">
        <v>78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0</v>
      </c>
      <c r="AZ603" s="0" t="n">
        <v>0</v>
      </c>
      <c r="BA603" s="0" t="n">
        <v>0</v>
      </c>
      <c r="BB603" s="0" t="n">
        <v>0</v>
      </c>
      <c r="BC603" s="0" t="n">
        <v>0</v>
      </c>
      <c r="BD603" s="0" t="n">
        <v>0</v>
      </c>
      <c r="BE603" s="0" t="n">
        <v>0</v>
      </c>
      <c r="BF603" s="0" t="n">
        <v>0</v>
      </c>
      <c r="BG603" s="0" t="n">
        <v>0</v>
      </c>
      <c r="BH603" s="0" t="n">
        <v>0</v>
      </c>
      <c r="BI603" s="0" t="n">
        <v>0</v>
      </c>
      <c r="BJ603" s="0" t="n">
        <v>0</v>
      </c>
      <c r="BK603" s="0" t="n">
        <v>0</v>
      </c>
      <c r="BM603" s="6" t="n">
        <f aca="false">IFERROR(VALUE(F603),"")</f>
        <v>682.8</v>
      </c>
      <c r="BN603" s="6" t="n">
        <f aca="false">IF(R603="-","",IFERROR(VALUE(LEFT(Q603,LEN(Q603)-2)),""))</f>
        <v>221.5</v>
      </c>
      <c r="BO603" s="6" t="n">
        <f aca="false">IF(R603="-","",IFERROR(VALUE(LEFT(R603,LEN(R603)-5)),""))</f>
        <v>3.08</v>
      </c>
      <c r="BP603" s="6" t="n">
        <f aca="false">IF(R603="-","",IFERROR(VALUE(F603),""))</f>
        <v>682.8</v>
      </c>
      <c r="BQ603" s="4" t="n">
        <f aca="false">IF(R603="-",1,0)</f>
        <v>0</v>
      </c>
    </row>
    <row r="604" customFormat="false" ht="15" hidden="false" customHeight="false" outlineLevel="0" collapsed="false">
      <c r="A604" s="0" t="s">
        <v>2450</v>
      </c>
      <c r="B604" s="0" t="s">
        <v>2451</v>
      </c>
      <c r="C604" s="0" t="s">
        <v>70</v>
      </c>
      <c r="D604" s="0" t="s">
        <v>2462</v>
      </c>
      <c r="E604" s="3" t="n">
        <v>46275</v>
      </c>
      <c r="F604" s="4" t="s">
        <v>2463</v>
      </c>
      <c r="G604" s="5" t="n">
        <v>0.464583333333333</v>
      </c>
      <c r="H604" s="5" t="n">
        <v>0.397685185185185</v>
      </c>
      <c r="I604" s="5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5" t="n">
        <v>0</v>
      </c>
      <c r="P604" s="5" t="n">
        <v>0.0352314814814815</v>
      </c>
      <c r="Q604" s="4" t="s">
        <v>2464</v>
      </c>
      <c r="R604" s="4" t="s">
        <v>356</v>
      </c>
      <c r="S604" s="5" t="n">
        <v>0.000115740740740741</v>
      </c>
      <c r="T604" s="5" t="n">
        <v>0.17349537037037</v>
      </c>
      <c r="U604" s="5" t="n">
        <v>0.191898148148148</v>
      </c>
      <c r="V604" s="5" t="n">
        <v>0.083912037037037</v>
      </c>
      <c r="W604" s="5" t="n">
        <v>0</v>
      </c>
      <c r="X604" s="5" t="n">
        <v>0</v>
      </c>
      <c r="Y604" s="5" t="n">
        <v>0</v>
      </c>
      <c r="Z604" s="0" t="n">
        <v>0</v>
      </c>
      <c r="AA604" s="0" t="n">
        <v>0</v>
      </c>
      <c r="AB604" s="0" t="n">
        <v>0</v>
      </c>
      <c r="AC604" s="4" t="s">
        <v>2377</v>
      </c>
      <c r="AD604" s="4" t="s">
        <v>1998</v>
      </c>
      <c r="AE604" s="4" t="s">
        <v>2461</v>
      </c>
      <c r="AF604" s="4" t="s">
        <v>2465</v>
      </c>
      <c r="AG604" s="5" t="n">
        <v>0.361168981481482</v>
      </c>
      <c r="AH604" s="5" t="n">
        <v>0.204675925925926</v>
      </c>
      <c r="AI604" s="5" t="n">
        <v>0</v>
      </c>
      <c r="AJ604" s="5" t="n">
        <v>0</v>
      </c>
      <c r="AK604" s="5" t="n">
        <v>0</v>
      </c>
      <c r="AL604" s="5" t="n">
        <v>0</v>
      </c>
      <c r="AM604" s="4" t="s">
        <v>78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  <c r="AU604" s="0" t="n">
        <v>0</v>
      </c>
      <c r="AV604" s="0" t="n">
        <v>0</v>
      </c>
      <c r="AW604" s="0" t="n">
        <v>0</v>
      </c>
      <c r="AX604" s="0" t="n">
        <v>0</v>
      </c>
      <c r="AY604" s="0" t="n">
        <v>0</v>
      </c>
      <c r="AZ604" s="0" t="n">
        <v>0</v>
      </c>
      <c r="BA604" s="0" t="n">
        <v>0</v>
      </c>
      <c r="BB604" s="0" t="n">
        <v>0</v>
      </c>
      <c r="BC604" s="0" t="n">
        <v>0</v>
      </c>
      <c r="BD604" s="0" t="n">
        <v>0</v>
      </c>
      <c r="BE604" s="0" t="n">
        <v>0</v>
      </c>
      <c r="BF604" s="0" t="n">
        <v>0</v>
      </c>
      <c r="BG604" s="0" t="n">
        <v>0</v>
      </c>
      <c r="BH604" s="0" t="n">
        <v>0</v>
      </c>
      <c r="BI604" s="0" t="n">
        <v>0</v>
      </c>
      <c r="BJ604" s="0" t="n">
        <v>0</v>
      </c>
      <c r="BK604" s="0" t="n">
        <v>0</v>
      </c>
      <c r="BM604" s="6" t="n">
        <f aca="false">IFERROR(VALUE(F604),"")</f>
        <v>440.34</v>
      </c>
      <c r="BN604" s="6" t="n">
        <f aca="false">IF(R604="-","",IFERROR(VALUE(LEFT(Q604,LEN(Q604)-2)),""))</f>
        <v>137.98</v>
      </c>
      <c r="BO604" s="6" t="n">
        <f aca="false">IF(R604="-","",IFERROR(VALUE(LEFT(R604,LEN(R604)-5)),""))</f>
        <v>3.19</v>
      </c>
      <c r="BP604" s="6" t="n">
        <f aca="false">IF(R604="-","",IFERROR(VALUE(F604),""))</f>
        <v>440.34</v>
      </c>
      <c r="BQ604" s="4" t="n">
        <f aca="false">IF(R604="-",1,0)</f>
        <v>0</v>
      </c>
    </row>
    <row r="605" customFormat="false" ht="15" hidden="false" customHeight="false" outlineLevel="0" collapsed="false">
      <c r="A605" s="0" t="s">
        <v>2450</v>
      </c>
      <c r="B605" s="0" t="s">
        <v>2451</v>
      </c>
      <c r="C605" s="0" t="s">
        <v>70</v>
      </c>
      <c r="D605" s="0" t="s">
        <v>2466</v>
      </c>
      <c r="E605" s="3" t="n">
        <v>46276</v>
      </c>
      <c r="F605" s="4" t="s">
        <v>2467</v>
      </c>
      <c r="G605" s="5" t="n">
        <v>0.13869212962963</v>
      </c>
      <c r="H605" s="5" t="n">
        <v>0.0862615740740741</v>
      </c>
      <c r="I605" s="5" t="n">
        <v>0.000393518518518519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5" t="n">
        <v>0</v>
      </c>
      <c r="P605" s="5" t="n">
        <v>0.0191782407407407</v>
      </c>
      <c r="Q605" s="4" t="s">
        <v>2468</v>
      </c>
      <c r="R605" s="4" t="s">
        <v>492</v>
      </c>
      <c r="S605" s="5" t="n">
        <v>0</v>
      </c>
      <c r="T605" s="5" t="n">
        <v>0.0611111111111111</v>
      </c>
      <c r="U605" s="5" t="n">
        <v>0.0296296296296296</v>
      </c>
      <c r="V605" s="5" t="n">
        <v>0.00949074074074074</v>
      </c>
      <c r="W605" s="5" t="n">
        <v>0</v>
      </c>
      <c r="X605" s="5" t="n">
        <v>0</v>
      </c>
      <c r="Y605" s="5" t="n">
        <v>0</v>
      </c>
      <c r="Z605" s="0" t="n">
        <v>0</v>
      </c>
      <c r="AA605" s="0" t="n">
        <v>0</v>
      </c>
      <c r="AB605" s="0" t="n">
        <v>0</v>
      </c>
      <c r="AC605" s="4" t="s">
        <v>1998</v>
      </c>
      <c r="AD605" s="4" t="s">
        <v>2469</v>
      </c>
      <c r="AE605" s="4" t="s">
        <v>2465</v>
      </c>
      <c r="AF605" s="4" t="s">
        <v>2470</v>
      </c>
      <c r="AG605" s="5" t="n">
        <v>0.0588657407407407</v>
      </c>
      <c r="AH605" s="5" t="n">
        <v>0.151921296296296</v>
      </c>
      <c r="AI605" s="5" t="n">
        <v>0</v>
      </c>
      <c r="AJ605" s="5" t="n">
        <v>0</v>
      </c>
      <c r="AK605" s="5" t="n">
        <v>0</v>
      </c>
      <c r="AL605" s="5" t="n">
        <v>0</v>
      </c>
      <c r="AM605" s="4" t="s">
        <v>78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0" t="n">
        <v>0</v>
      </c>
      <c r="BE605" s="0" t="n">
        <v>0</v>
      </c>
      <c r="BF605" s="0" t="n">
        <v>0</v>
      </c>
      <c r="BG605" s="0" t="n">
        <v>0</v>
      </c>
      <c r="BH605" s="0" t="n">
        <v>0</v>
      </c>
      <c r="BI605" s="0" t="n">
        <v>0</v>
      </c>
      <c r="BJ605" s="0" t="n">
        <v>0</v>
      </c>
      <c r="BK605" s="0" t="n">
        <v>0</v>
      </c>
      <c r="BM605" s="6" t="n">
        <f aca="false">IFERROR(VALUE(F605),"")</f>
        <v>67.07</v>
      </c>
      <c r="BN605" s="6" t="n">
        <f aca="false">IF(R605="-","",IFERROR(VALUE(LEFT(Q605,LEN(Q605)-2)),""))</f>
        <v>23.52</v>
      </c>
      <c r="BO605" s="6" t="n">
        <f aca="false">IF(R605="-","",IFERROR(VALUE(LEFT(R605,LEN(R605)-5)),""))</f>
        <v>2.85</v>
      </c>
      <c r="BP605" s="6" t="n">
        <f aca="false">IF(R605="-","",IFERROR(VALUE(F605),""))</f>
        <v>67.07</v>
      </c>
      <c r="BQ605" s="4" t="n">
        <f aca="false">IF(R605="-",1,0)</f>
        <v>0</v>
      </c>
    </row>
    <row r="606" customFormat="false" ht="15" hidden="false" customHeight="false" outlineLevel="0" collapsed="false">
      <c r="A606" s="0" t="s">
        <v>2450</v>
      </c>
      <c r="B606" s="0" t="s">
        <v>2451</v>
      </c>
      <c r="C606" s="0" t="s">
        <v>70</v>
      </c>
      <c r="D606" s="0" t="s">
        <v>2471</v>
      </c>
      <c r="E606" s="3" t="n">
        <v>46277</v>
      </c>
      <c r="F606" s="4" t="s">
        <v>2472</v>
      </c>
      <c r="G606" s="5" t="n">
        <v>0.613981481481482</v>
      </c>
      <c r="H606" s="5" t="n">
        <v>0.583391203703704</v>
      </c>
      <c r="I606" s="5" t="n">
        <v>6.94444444444444E-005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5" t="n">
        <v>0</v>
      </c>
      <c r="P606" s="5" t="n">
        <v>0.00809027777777778</v>
      </c>
      <c r="Q606" s="4" t="s">
        <v>2473</v>
      </c>
      <c r="R606" s="4" t="s">
        <v>2412</v>
      </c>
      <c r="S606" s="5" t="n">
        <v>0.000115740740740741</v>
      </c>
      <c r="T606" s="5" t="n">
        <v>0.15150462962963</v>
      </c>
      <c r="U606" s="5" t="n">
        <v>0.275694444444445</v>
      </c>
      <c r="V606" s="5" t="n">
        <v>0.179861111111111</v>
      </c>
      <c r="W606" s="5" t="n">
        <v>0</v>
      </c>
      <c r="X606" s="5" t="n">
        <v>0</v>
      </c>
      <c r="Y606" s="5" t="n">
        <v>0</v>
      </c>
      <c r="Z606" s="0" t="n">
        <v>0</v>
      </c>
      <c r="AA606" s="0" t="n">
        <v>0</v>
      </c>
      <c r="AB606" s="0" t="n">
        <v>0</v>
      </c>
      <c r="AC606" s="4" t="s">
        <v>2469</v>
      </c>
      <c r="AD606" s="4" t="s">
        <v>2425</v>
      </c>
      <c r="AE606" s="4" t="s">
        <v>2474</v>
      </c>
      <c r="AF606" s="4" t="s">
        <v>2475</v>
      </c>
      <c r="AG606" s="5" t="n">
        <v>0.536678240740741</v>
      </c>
      <c r="AH606" s="5" t="n">
        <v>0.196284722222222</v>
      </c>
      <c r="AI606" s="5" t="n">
        <v>0</v>
      </c>
      <c r="AJ606" s="5" t="n">
        <v>0</v>
      </c>
      <c r="AK606" s="5" t="n">
        <v>0</v>
      </c>
      <c r="AL606" s="5" t="n">
        <v>0</v>
      </c>
      <c r="AM606" s="4" t="s">
        <v>78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  <c r="AU606" s="0" t="n">
        <v>0</v>
      </c>
      <c r="AV606" s="0" t="n">
        <v>0</v>
      </c>
      <c r="AW606" s="0" t="n">
        <v>0</v>
      </c>
      <c r="AX606" s="0" t="n">
        <v>0</v>
      </c>
      <c r="AY606" s="0" t="n">
        <v>0</v>
      </c>
      <c r="AZ606" s="0" t="n">
        <v>0</v>
      </c>
      <c r="BA606" s="0" t="n">
        <v>0</v>
      </c>
      <c r="BB606" s="0" t="n">
        <v>0</v>
      </c>
      <c r="BC606" s="0" t="n">
        <v>0</v>
      </c>
      <c r="BD606" s="0" t="n">
        <v>0</v>
      </c>
      <c r="BE606" s="0" t="n">
        <v>0</v>
      </c>
      <c r="BF606" s="0" t="n">
        <v>0</v>
      </c>
      <c r="BG606" s="0" t="n">
        <v>0</v>
      </c>
      <c r="BH606" s="0" t="n">
        <v>0</v>
      </c>
      <c r="BI606" s="0" t="n">
        <v>0</v>
      </c>
      <c r="BJ606" s="0" t="n">
        <v>0</v>
      </c>
      <c r="BK606" s="0" t="n">
        <v>0</v>
      </c>
      <c r="BM606" s="6" t="n">
        <f aca="false">IFERROR(VALUE(F606),"")</f>
        <v>756.73</v>
      </c>
      <c r="BN606" s="6" t="n">
        <f aca="false">IF(R606="-","",IFERROR(VALUE(LEFT(Q606,LEN(Q606)-2)),""))</f>
        <v>219.01</v>
      </c>
      <c r="BO606" s="6" t="n">
        <f aca="false">IF(R606="-","",IFERROR(VALUE(LEFT(R606,LEN(R606)-5)),""))</f>
        <v>3.46</v>
      </c>
      <c r="BP606" s="6" t="n">
        <f aca="false">IF(R606="-","",IFERROR(VALUE(F606),""))</f>
        <v>756.73</v>
      </c>
      <c r="BQ606" s="4" t="n">
        <f aca="false">IF(R606="-",1,0)</f>
        <v>0</v>
      </c>
    </row>
    <row r="607" customFormat="false" ht="15" hidden="false" customHeight="false" outlineLevel="0" collapsed="false">
      <c r="A607" s="0" t="s">
        <v>2450</v>
      </c>
      <c r="B607" s="0" t="s">
        <v>2451</v>
      </c>
      <c r="C607" s="0" t="s">
        <v>70</v>
      </c>
      <c r="D607" s="0" t="s">
        <v>2476</v>
      </c>
      <c r="E607" s="3" t="n">
        <v>46278</v>
      </c>
      <c r="F607" s="4" t="s">
        <v>2477</v>
      </c>
      <c r="G607" s="5" t="n">
        <v>0.521493055555556</v>
      </c>
      <c r="H607" s="5" t="n">
        <v>0.482083333333333</v>
      </c>
      <c r="I607" s="5" t="n">
        <v>4.62962962962963E-005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1</v>
      </c>
      <c r="O607" s="5" t="n">
        <v>0</v>
      </c>
      <c r="P607" s="5" t="n">
        <v>0.00728009259259259</v>
      </c>
      <c r="Q607" s="4" t="s">
        <v>2478</v>
      </c>
      <c r="R607" s="4" t="s">
        <v>1061</v>
      </c>
      <c r="S607" s="5" t="n">
        <v>0</v>
      </c>
      <c r="T607" s="5" t="n">
        <v>0.149884259259259</v>
      </c>
      <c r="U607" s="5" t="n">
        <v>0.237268518518519</v>
      </c>
      <c r="V607" s="5" t="n">
        <v>0.108217592592593</v>
      </c>
      <c r="W607" s="5" t="n">
        <v>0</v>
      </c>
      <c r="X607" s="5" t="n">
        <v>0</v>
      </c>
      <c r="Y607" s="5" t="n">
        <v>0</v>
      </c>
      <c r="Z607" s="0" t="n">
        <v>0</v>
      </c>
      <c r="AA607" s="0" t="n">
        <v>0</v>
      </c>
      <c r="AB607" s="0" t="n">
        <v>0</v>
      </c>
      <c r="AC607" s="4" t="s">
        <v>2425</v>
      </c>
      <c r="AD607" s="4" t="s">
        <v>2479</v>
      </c>
      <c r="AE607" s="4" t="s">
        <v>2475</v>
      </c>
      <c r="AF607" s="4" t="s">
        <v>2480</v>
      </c>
      <c r="AG607" s="5" t="n">
        <v>0.430138888888889</v>
      </c>
      <c r="AH607" s="5" t="n">
        <v>0.175416666666667</v>
      </c>
      <c r="AI607" s="5" t="n">
        <v>0</v>
      </c>
      <c r="AJ607" s="5" t="n">
        <v>0</v>
      </c>
      <c r="AK607" s="5" t="n">
        <v>0</v>
      </c>
      <c r="AL607" s="5" t="n">
        <v>0</v>
      </c>
      <c r="AM607" s="4" t="s">
        <v>78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5</v>
      </c>
      <c r="AV607" s="0" t="n">
        <v>0</v>
      </c>
      <c r="AW607" s="0" t="n">
        <v>0</v>
      </c>
      <c r="AX607" s="0" t="n">
        <v>0</v>
      </c>
      <c r="AY607" s="0" t="n">
        <v>0</v>
      </c>
      <c r="AZ607" s="0" t="n">
        <v>0</v>
      </c>
      <c r="BA607" s="0" t="n">
        <v>0</v>
      </c>
      <c r="BB607" s="0" t="n">
        <v>0</v>
      </c>
      <c r="BC607" s="0" t="n">
        <v>0</v>
      </c>
      <c r="BD607" s="0" t="n">
        <v>0</v>
      </c>
      <c r="BE607" s="0" t="n">
        <v>0</v>
      </c>
      <c r="BF607" s="0" t="n">
        <v>0</v>
      </c>
      <c r="BG607" s="0" t="n">
        <v>0</v>
      </c>
      <c r="BH607" s="0" t="n">
        <v>0</v>
      </c>
      <c r="BI607" s="0" t="n">
        <v>0</v>
      </c>
      <c r="BJ607" s="0" t="n">
        <v>0</v>
      </c>
      <c r="BK607" s="0" t="n">
        <v>0</v>
      </c>
      <c r="BM607" s="6" t="n">
        <f aca="false">IFERROR(VALUE(F607),"")</f>
        <v>544.61</v>
      </c>
      <c r="BN607" s="6" t="n">
        <f aca="false">IF(R607="-","",IFERROR(VALUE(LEFT(Q607,LEN(Q607)-2)),""))</f>
        <v>178.98</v>
      </c>
      <c r="BO607" s="6" t="n">
        <f aca="false">IF(R607="-","",IFERROR(VALUE(LEFT(R607,LEN(R607)-5)),""))</f>
        <v>3.04</v>
      </c>
      <c r="BP607" s="6" t="n">
        <f aca="false">IF(R607="-","",IFERROR(VALUE(F607),""))</f>
        <v>544.61</v>
      </c>
      <c r="BQ607" s="4" t="n">
        <f aca="false">IF(R607="-",1,0)</f>
        <v>0</v>
      </c>
    </row>
    <row r="608" customFormat="false" ht="15" hidden="false" customHeight="false" outlineLevel="0" collapsed="false">
      <c r="A608" s="0" t="s">
        <v>2450</v>
      </c>
      <c r="B608" s="0" t="s">
        <v>2451</v>
      </c>
      <c r="C608" s="0" t="s">
        <v>70</v>
      </c>
      <c r="D608" s="0" t="s">
        <v>2481</v>
      </c>
      <c r="E608" s="3" t="n">
        <v>46279</v>
      </c>
      <c r="F608" s="4" t="s">
        <v>2482</v>
      </c>
      <c r="G608" s="5" t="n">
        <v>0.527858796296296</v>
      </c>
      <c r="H608" s="5" t="n">
        <v>0.487916666666667</v>
      </c>
      <c r="I608" s="5" t="n">
        <v>2.31481481481482E-005</v>
      </c>
      <c r="J608" s="0" t="n">
        <v>0</v>
      </c>
      <c r="K608" s="0" t="n">
        <v>1</v>
      </c>
      <c r="L608" s="0" t="n">
        <v>0</v>
      </c>
      <c r="M608" s="0" t="n">
        <v>0</v>
      </c>
      <c r="N608" s="0" t="n">
        <v>0</v>
      </c>
      <c r="O608" s="5" t="n">
        <v>0</v>
      </c>
      <c r="P608" s="5" t="n">
        <v>0.00701388888888889</v>
      </c>
      <c r="Q608" s="4" t="s">
        <v>2483</v>
      </c>
      <c r="R608" s="4" t="s">
        <v>492</v>
      </c>
      <c r="S608" s="5" t="n">
        <v>0</v>
      </c>
      <c r="T608" s="5" t="n">
        <v>0.140393518518519</v>
      </c>
      <c r="U608" s="5" t="n">
        <v>0.175231481481482</v>
      </c>
      <c r="V608" s="5" t="n">
        <v>0.201157407407407</v>
      </c>
      <c r="W608" s="5" t="n">
        <v>0</v>
      </c>
      <c r="X608" s="5" t="n">
        <v>0</v>
      </c>
      <c r="Y608" s="5" t="n">
        <v>0</v>
      </c>
      <c r="Z608" s="0" t="n">
        <v>0</v>
      </c>
      <c r="AA608" s="0" t="n">
        <v>0</v>
      </c>
      <c r="AB608" s="0" t="n">
        <v>0</v>
      </c>
      <c r="AC608" s="4" t="s">
        <v>2479</v>
      </c>
      <c r="AD608" s="4" t="s">
        <v>2484</v>
      </c>
      <c r="AE608" s="4" t="s">
        <v>2485</v>
      </c>
      <c r="AF608" s="4" t="s">
        <v>2486</v>
      </c>
      <c r="AG608" s="5" t="n">
        <v>0.455729166666667</v>
      </c>
      <c r="AH608" s="5" t="n">
        <v>0.209965277777778</v>
      </c>
      <c r="AI608" s="5" t="n">
        <v>0</v>
      </c>
      <c r="AJ608" s="5" t="n">
        <v>0</v>
      </c>
      <c r="AK608" s="5" t="n">
        <v>0</v>
      </c>
      <c r="AL608" s="5" t="n">
        <v>0</v>
      </c>
      <c r="AM608" s="4" t="s">
        <v>78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0</v>
      </c>
      <c r="AZ608" s="0" t="n">
        <v>0</v>
      </c>
      <c r="BA608" s="0" t="n">
        <v>0</v>
      </c>
      <c r="BB608" s="0" t="n">
        <v>0</v>
      </c>
      <c r="BC608" s="0" t="n">
        <v>0</v>
      </c>
      <c r="BD608" s="0" t="n">
        <v>0</v>
      </c>
      <c r="BE608" s="0" t="n">
        <v>0</v>
      </c>
      <c r="BF608" s="0" t="n">
        <v>0</v>
      </c>
      <c r="BG608" s="0" t="n">
        <v>0</v>
      </c>
      <c r="BH608" s="0" t="n">
        <v>0</v>
      </c>
      <c r="BI608" s="0" t="n">
        <v>0</v>
      </c>
      <c r="BJ608" s="0" t="n">
        <v>0</v>
      </c>
      <c r="BK608" s="0" t="n">
        <v>0</v>
      </c>
      <c r="BM608" s="6" t="n">
        <f aca="false">IFERROR(VALUE(F608),"")</f>
        <v>596.44</v>
      </c>
      <c r="BN608" s="6" t="n">
        <f aca="false">IF(R608="-","",IFERROR(VALUE(LEFT(Q608,LEN(Q608)-2)),""))</f>
        <v>208.99</v>
      </c>
      <c r="BO608" s="6" t="n">
        <f aca="false">IF(R608="-","",IFERROR(VALUE(LEFT(R608,LEN(R608)-5)),""))</f>
        <v>2.85</v>
      </c>
      <c r="BP608" s="6" t="n">
        <f aca="false">IF(R608="-","",IFERROR(VALUE(F608),""))</f>
        <v>596.44</v>
      </c>
      <c r="BQ608" s="4" t="n">
        <f aca="false">IF(R608="-",1,0)</f>
        <v>0</v>
      </c>
    </row>
    <row r="609" customFormat="false" ht="15" hidden="false" customHeight="false" outlineLevel="0" collapsed="false">
      <c r="A609" s="0" t="s">
        <v>2487</v>
      </c>
      <c r="B609" s="0" t="s">
        <v>2488</v>
      </c>
      <c r="C609" s="0" t="s">
        <v>70</v>
      </c>
      <c r="D609" s="0" t="s">
        <v>2489</v>
      </c>
      <c r="E609" s="3" t="n">
        <v>46279</v>
      </c>
      <c r="F609" s="4" t="s">
        <v>2490</v>
      </c>
      <c r="G609" s="5" t="n">
        <v>0.583310185185185</v>
      </c>
      <c r="H609" s="5" t="n">
        <v>0.530648148148148</v>
      </c>
      <c r="I609" s="5" t="n">
        <v>0.000486111111111111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1</v>
      </c>
      <c r="O609" s="5" t="n">
        <v>0</v>
      </c>
      <c r="P609" s="5" t="n">
        <v>0.00175925925925926</v>
      </c>
      <c r="Q609" s="4" t="s">
        <v>2491</v>
      </c>
      <c r="R609" s="4" t="s">
        <v>2492</v>
      </c>
      <c r="S609" s="5" t="n">
        <v>0.000231481481481482</v>
      </c>
      <c r="T609" s="5" t="n">
        <v>0.12650462962963</v>
      </c>
      <c r="U609" s="5" t="n">
        <v>0.259027777777778</v>
      </c>
      <c r="V609" s="5" t="n">
        <v>0.158101851851852</v>
      </c>
      <c r="W609" s="5" t="n">
        <v>0</v>
      </c>
      <c r="X609" s="5" t="n">
        <v>0</v>
      </c>
      <c r="Y609" s="5" t="n">
        <v>0</v>
      </c>
      <c r="Z609" s="0" t="n">
        <v>0</v>
      </c>
      <c r="AA609" s="0" t="n">
        <v>0</v>
      </c>
      <c r="AB609" s="0" t="n">
        <v>0</v>
      </c>
      <c r="AC609" s="4" t="s">
        <v>75</v>
      </c>
      <c r="AD609" s="4" t="s">
        <v>1026</v>
      </c>
      <c r="AE609" s="4" t="s">
        <v>2493</v>
      </c>
      <c r="AF609" s="4" t="s">
        <v>2494</v>
      </c>
      <c r="AG609" s="5" t="n">
        <v>0.496736111111111</v>
      </c>
      <c r="AH609" s="5" t="n">
        <v>0.168229166666667</v>
      </c>
      <c r="AI609" s="5" t="n">
        <v>0</v>
      </c>
      <c r="AJ609" s="5" t="n">
        <v>0</v>
      </c>
      <c r="AK609" s="5" t="n">
        <v>0</v>
      </c>
      <c r="AL609" s="5" t="n">
        <v>0</v>
      </c>
      <c r="AM609" s="4" t="s">
        <v>78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  <c r="AU609" s="0" t="n">
        <v>13</v>
      </c>
      <c r="AV609" s="0" t="n">
        <v>0</v>
      </c>
      <c r="AW609" s="0" t="n">
        <v>1</v>
      </c>
      <c r="AX609" s="0" t="n">
        <v>0</v>
      </c>
      <c r="AY609" s="0" t="n">
        <v>0</v>
      </c>
      <c r="AZ609" s="0" t="n">
        <v>0</v>
      </c>
      <c r="BA609" s="0" t="n">
        <v>0</v>
      </c>
      <c r="BB609" s="0" t="n">
        <v>0</v>
      </c>
      <c r="BC609" s="0" t="n">
        <v>0</v>
      </c>
      <c r="BD609" s="0" t="n">
        <v>0</v>
      </c>
      <c r="BE609" s="0" t="n">
        <v>0</v>
      </c>
      <c r="BF609" s="0" t="n">
        <v>0</v>
      </c>
      <c r="BG609" s="0" t="n">
        <v>0</v>
      </c>
      <c r="BH609" s="0" t="n">
        <v>0</v>
      </c>
      <c r="BI609" s="0" t="n">
        <v>0</v>
      </c>
      <c r="BJ609" s="0" t="n">
        <v>0</v>
      </c>
      <c r="BK609" s="0" t="n">
        <v>0</v>
      </c>
      <c r="BM609" s="6" t="n">
        <f aca="false">IFERROR(VALUE(F609),"")</f>
        <v>685.1</v>
      </c>
      <c r="BN609" s="6" t="n">
        <f aca="false">IF(R609="-","",IFERROR(VALUE(LEFT(Q609,LEN(Q609)-2)),""))</f>
        <v>110.46</v>
      </c>
      <c r="BO609" s="6" t="n">
        <f aca="false">IF(R609="-","",IFERROR(VALUE(LEFT(R609,LEN(R609)-5)),""))</f>
        <v>6.2</v>
      </c>
      <c r="BP609" s="6" t="n">
        <f aca="false">IF(R609="-","",IFERROR(VALUE(F609),""))</f>
        <v>685.1</v>
      </c>
      <c r="BQ609" s="4" t="n">
        <f aca="false">IF(R609="-",1,0)</f>
        <v>0</v>
      </c>
    </row>
    <row r="610" customFormat="false" ht="15" hidden="false" customHeight="false" outlineLevel="0" collapsed="false">
      <c r="A610" s="0" t="s">
        <v>2495</v>
      </c>
      <c r="B610" s="0" t="s">
        <v>2496</v>
      </c>
      <c r="C610" s="0" t="s">
        <v>70</v>
      </c>
      <c r="D610" s="0" t="s">
        <v>2497</v>
      </c>
      <c r="E610" s="3" t="n">
        <v>46273</v>
      </c>
      <c r="F610" s="4" t="s">
        <v>2498</v>
      </c>
      <c r="G610" s="5" t="n">
        <v>0.0742013888888889</v>
      </c>
      <c r="H610" s="5" t="n">
        <v>0.066875</v>
      </c>
      <c r="I610" s="5" t="n">
        <v>0.00175925925925926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5" t="n">
        <v>0</v>
      </c>
      <c r="P610" s="5" t="n">
        <v>0.00855324074074074</v>
      </c>
      <c r="Q610" s="4" t="s">
        <v>2499</v>
      </c>
      <c r="R610" s="4" t="s">
        <v>473</v>
      </c>
      <c r="S610" s="5" t="n">
        <v>0.000115740740740741</v>
      </c>
      <c r="T610" s="5" t="n">
        <v>0.025</v>
      </c>
      <c r="U610" s="5" t="n">
        <v>0.0484953703703704</v>
      </c>
      <c r="V610" s="5" t="n">
        <v>0.00509259259259259</v>
      </c>
      <c r="W610" s="5" t="n">
        <v>0</v>
      </c>
      <c r="X610" s="5" t="n">
        <v>0</v>
      </c>
      <c r="Y610" s="5" t="n">
        <v>0</v>
      </c>
      <c r="Z610" s="0" t="n">
        <v>0</v>
      </c>
      <c r="AA610" s="0" t="n">
        <v>0</v>
      </c>
      <c r="AB610" s="0" t="n">
        <v>0</v>
      </c>
      <c r="AC610" s="4" t="s">
        <v>2500</v>
      </c>
      <c r="AD610" s="4" t="s">
        <v>152</v>
      </c>
      <c r="AE610" s="4" t="s">
        <v>2501</v>
      </c>
      <c r="AF610" s="4" t="s">
        <v>2502</v>
      </c>
      <c r="AG610" s="5" t="n">
        <v>0.0592013888888889</v>
      </c>
      <c r="AH610" s="5" t="n">
        <v>0.0672453703703704</v>
      </c>
      <c r="AI610" s="5" t="n">
        <v>0</v>
      </c>
      <c r="AJ610" s="5" t="n">
        <v>0</v>
      </c>
      <c r="AK610" s="5" t="n">
        <v>0</v>
      </c>
      <c r="AL610" s="5" t="n">
        <v>0</v>
      </c>
      <c r="AM610" s="4" t="s">
        <v>78</v>
      </c>
      <c r="AN610" s="0" t="n">
        <v>0</v>
      </c>
      <c r="AO610" s="0" t="n">
        <v>1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  <c r="BA610" s="0" t="n">
        <v>0</v>
      </c>
      <c r="BB610" s="0" t="n">
        <v>0</v>
      </c>
      <c r="BC610" s="0" t="n">
        <v>0</v>
      </c>
      <c r="BD610" s="0" t="n">
        <v>0</v>
      </c>
      <c r="BE610" s="0" t="n">
        <v>0</v>
      </c>
      <c r="BF610" s="0" t="n">
        <v>0</v>
      </c>
      <c r="BG610" s="0" t="n">
        <v>0</v>
      </c>
      <c r="BH610" s="0" t="n">
        <v>0</v>
      </c>
      <c r="BI610" s="0" t="n">
        <v>0</v>
      </c>
      <c r="BJ610" s="0" t="n">
        <v>0</v>
      </c>
      <c r="BK610" s="0" t="n">
        <v>0</v>
      </c>
      <c r="BM610" s="6" t="n">
        <f aca="false">IFERROR(VALUE(F610),"")</f>
        <v>72.08</v>
      </c>
      <c r="BN610" s="6" t="n">
        <f aca="false">IF(R610="-","",IFERROR(VALUE(LEFT(Q610,LEN(Q610)-2)),""))</f>
        <v>26</v>
      </c>
      <c r="BO610" s="6" t="n">
        <f aca="false">IF(R610="-","",IFERROR(VALUE(LEFT(R610,LEN(R610)-5)),""))</f>
        <v>2.77</v>
      </c>
      <c r="BP610" s="6" t="n">
        <f aca="false">IF(R610="-","",IFERROR(VALUE(F610),""))</f>
        <v>72.08</v>
      </c>
      <c r="BQ610" s="4" t="n">
        <f aca="false">IF(R610="-",1,0)</f>
        <v>0</v>
      </c>
    </row>
    <row r="611" customFormat="false" ht="15" hidden="false" customHeight="false" outlineLevel="0" collapsed="false">
      <c r="A611" s="0" t="s">
        <v>2495</v>
      </c>
      <c r="B611" s="0" t="s">
        <v>2496</v>
      </c>
      <c r="C611" s="0" t="s">
        <v>70</v>
      </c>
      <c r="E611" s="3" t="n">
        <v>46274</v>
      </c>
      <c r="F611" s="4" t="s">
        <v>1444</v>
      </c>
      <c r="G611" s="5" t="n">
        <v>0.0102083333333333</v>
      </c>
      <c r="H611" s="5" t="n">
        <v>0</v>
      </c>
      <c r="I611" s="5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5" t="n">
        <v>0</v>
      </c>
      <c r="P611" s="5" t="n">
        <v>0</v>
      </c>
      <c r="Q611" s="4" t="s">
        <v>971</v>
      </c>
      <c r="R611" s="4" t="s">
        <v>2503</v>
      </c>
      <c r="S611" s="5" t="n">
        <v>0</v>
      </c>
      <c r="T611" s="5" t="n">
        <v>0.00833333333333333</v>
      </c>
      <c r="U611" s="5" t="n">
        <v>0.00115740740740741</v>
      </c>
      <c r="V611" s="5" t="n">
        <v>0.000115740740740741</v>
      </c>
      <c r="W611" s="5" t="n">
        <v>0</v>
      </c>
      <c r="X611" s="5" t="n">
        <v>0</v>
      </c>
      <c r="Y611" s="5" t="n">
        <v>0</v>
      </c>
      <c r="Z611" s="0" t="n">
        <v>0</v>
      </c>
      <c r="AA611" s="0" t="n">
        <v>0</v>
      </c>
      <c r="AB611" s="0" t="n">
        <v>0</v>
      </c>
      <c r="AC611" s="4" t="s">
        <v>152</v>
      </c>
      <c r="AD611" s="4" t="s">
        <v>152</v>
      </c>
      <c r="AE611" s="4" t="s">
        <v>2502</v>
      </c>
      <c r="AF611" s="4" t="s">
        <v>2504</v>
      </c>
      <c r="AG611" s="5" t="n">
        <v>0.00427083333333333</v>
      </c>
      <c r="AH611" s="5" t="n">
        <v>0.0461574074074074</v>
      </c>
      <c r="AI611" s="5" t="n">
        <v>0</v>
      </c>
      <c r="AJ611" s="5" t="n">
        <v>0</v>
      </c>
      <c r="AK611" s="5" t="n">
        <v>0</v>
      </c>
      <c r="AL611" s="5" t="n">
        <v>0</v>
      </c>
      <c r="AM611" s="4" t="s">
        <v>78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  <c r="AV611" s="0" t="n">
        <v>0</v>
      </c>
      <c r="AW611" s="0" t="n">
        <v>0</v>
      </c>
      <c r="AX611" s="0" t="n">
        <v>0</v>
      </c>
      <c r="AY611" s="0" t="n">
        <v>0</v>
      </c>
      <c r="AZ611" s="0" t="n">
        <v>0</v>
      </c>
      <c r="BA611" s="0" t="n">
        <v>0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0</v>
      </c>
      <c r="BG611" s="0" t="n">
        <v>0</v>
      </c>
      <c r="BH611" s="0" t="n">
        <v>0</v>
      </c>
      <c r="BI611" s="0" t="n">
        <v>0</v>
      </c>
      <c r="BJ611" s="0" t="n">
        <v>0</v>
      </c>
      <c r="BK611" s="0" t="n">
        <v>0</v>
      </c>
      <c r="BM611" s="6" t="n">
        <f aca="false">IFERROR(VALUE(F611),"")</f>
        <v>0.33</v>
      </c>
      <c r="BN611" s="6" t="n">
        <f aca="false">IF(R611="-","",IFERROR(VALUE(LEFT(Q611,LEN(Q611)-2)),""))</f>
        <v>0.5</v>
      </c>
      <c r="BO611" s="6" t="n">
        <f aca="false">IF(R611="-","",IFERROR(VALUE(LEFT(R611,LEN(R611)-5)),""))</f>
        <v>0.67</v>
      </c>
      <c r="BP611" s="6" t="n">
        <f aca="false">IF(R611="-","",IFERROR(VALUE(F611),""))</f>
        <v>0.33</v>
      </c>
      <c r="BQ611" s="4" t="n">
        <f aca="false">IF(R611="-",1,0)</f>
        <v>0</v>
      </c>
    </row>
    <row r="612" customFormat="false" ht="15" hidden="false" customHeight="false" outlineLevel="0" collapsed="false">
      <c r="A612" s="0" t="s">
        <v>2495</v>
      </c>
      <c r="B612" s="0" t="s">
        <v>2496</v>
      </c>
      <c r="C612" s="0" t="s">
        <v>70</v>
      </c>
      <c r="E612" s="3" t="n">
        <v>46275</v>
      </c>
      <c r="F612" s="4" t="s">
        <v>95</v>
      </c>
      <c r="G612" s="5" t="n">
        <v>0.00421296296296296</v>
      </c>
      <c r="H612" s="5" t="n">
        <v>0</v>
      </c>
      <c r="I612" s="5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5" t="n">
        <v>0</v>
      </c>
      <c r="P612" s="5" t="n">
        <v>0</v>
      </c>
      <c r="Q612" s="4" t="s">
        <v>2101</v>
      </c>
      <c r="R612" s="4" t="s">
        <v>454</v>
      </c>
      <c r="S612" s="5" t="n">
        <v>0</v>
      </c>
      <c r="T612" s="5" t="n">
        <v>0.00231481481481482</v>
      </c>
      <c r="U612" s="5" t="n">
        <v>0.00173611111111111</v>
      </c>
      <c r="V612" s="5" t="n">
        <v>0</v>
      </c>
      <c r="W612" s="5" t="n">
        <v>0</v>
      </c>
      <c r="X612" s="5" t="n">
        <v>0</v>
      </c>
      <c r="Y612" s="5" t="n">
        <v>0</v>
      </c>
      <c r="Z612" s="0" t="n">
        <v>0</v>
      </c>
      <c r="AA612" s="0" t="n">
        <v>0</v>
      </c>
      <c r="AB612" s="0" t="n">
        <v>0</v>
      </c>
      <c r="AC612" s="4" t="s">
        <v>152</v>
      </c>
      <c r="AD612" s="4" t="s">
        <v>152</v>
      </c>
      <c r="AE612" s="4" t="s">
        <v>2504</v>
      </c>
      <c r="AF612" s="4" t="s">
        <v>2504</v>
      </c>
      <c r="AG612" s="5" t="n">
        <v>0</v>
      </c>
      <c r="AH612" s="5" t="n">
        <v>0.0156944444444444</v>
      </c>
      <c r="AI612" s="5" t="n">
        <v>0</v>
      </c>
      <c r="AJ612" s="5" t="n">
        <v>0</v>
      </c>
      <c r="AK612" s="5" t="n">
        <v>0</v>
      </c>
      <c r="AL612" s="5" t="n">
        <v>0</v>
      </c>
      <c r="AM612" s="4" t="s">
        <v>78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  <c r="AU612" s="0" t="n">
        <v>0</v>
      </c>
      <c r="AV612" s="0" t="n">
        <v>0</v>
      </c>
      <c r="AW612" s="0" t="n">
        <v>0</v>
      </c>
      <c r="AX612" s="0" t="n">
        <v>0</v>
      </c>
      <c r="AY612" s="0" t="n">
        <v>0</v>
      </c>
      <c r="AZ612" s="0" t="n">
        <v>0</v>
      </c>
      <c r="BA612" s="0" t="n">
        <v>0</v>
      </c>
      <c r="BB612" s="0" t="n">
        <v>0</v>
      </c>
      <c r="BC612" s="0" t="n">
        <v>0</v>
      </c>
      <c r="BD612" s="0" t="n">
        <v>0</v>
      </c>
      <c r="BE612" s="0" t="n">
        <v>0</v>
      </c>
      <c r="BF612" s="0" t="n">
        <v>0</v>
      </c>
      <c r="BG612" s="0" t="n">
        <v>0</v>
      </c>
      <c r="BH612" s="0" t="n">
        <v>0</v>
      </c>
      <c r="BI612" s="0" t="n">
        <v>0</v>
      </c>
      <c r="BJ612" s="0" t="n">
        <v>0</v>
      </c>
      <c r="BK612" s="0" t="n">
        <v>0</v>
      </c>
      <c r="BM612" s="6" t="n">
        <f aca="false">IFERROR(VALUE(F612),"")</f>
        <v>0</v>
      </c>
      <c r="BN612" s="6" t="n">
        <f aca="false">IF(R612="-","",IFERROR(VALUE(LEFT(Q612,LEN(Q612)-2)),""))</f>
        <v>0.51</v>
      </c>
      <c r="BO612" s="6" t="n">
        <f aca="false">IF(R612="-","",IFERROR(VALUE(LEFT(R612,LEN(R612)-5)),""))</f>
        <v>0</v>
      </c>
      <c r="BP612" s="6" t="n">
        <f aca="false">IF(R612="-","",IFERROR(VALUE(F612),""))</f>
        <v>0</v>
      </c>
      <c r="BQ612" s="4" t="n">
        <f aca="false">IF(R612="-",1,0)</f>
        <v>0</v>
      </c>
    </row>
    <row r="613" customFormat="false" ht="15" hidden="false" customHeight="false" outlineLevel="0" collapsed="false">
      <c r="A613" s="0" t="s">
        <v>2495</v>
      </c>
      <c r="B613" s="0" t="s">
        <v>2496</v>
      </c>
      <c r="C613" s="0" t="s">
        <v>70</v>
      </c>
      <c r="D613" s="0" t="s">
        <v>2505</v>
      </c>
      <c r="E613" s="3" t="n">
        <v>46276</v>
      </c>
      <c r="F613" s="4" t="s">
        <v>2506</v>
      </c>
      <c r="G613" s="5" t="n">
        <v>0.160601851851852</v>
      </c>
      <c r="H613" s="5" t="n">
        <v>0.146006944444445</v>
      </c>
      <c r="I613" s="5" t="n">
        <v>0.000706018518518519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5" t="n">
        <v>0</v>
      </c>
      <c r="P613" s="5" t="n">
        <v>0.0159375</v>
      </c>
      <c r="Q613" s="4" t="s">
        <v>2507</v>
      </c>
      <c r="R613" s="4" t="s">
        <v>2508</v>
      </c>
      <c r="S613" s="5" t="n">
        <v>0.000115740740740741</v>
      </c>
      <c r="T613" s="5" t="n">
        <v>0.0690972222222222</v>
      </c>
      <c r="U613" s="5" t="n">
        <v>0.0538194444444445</v>
      </c>
      <c r="V613" s="5" t="n">
        <v>0.0123842592592593</v>
      </c>
      <c r="W613" s="5" t="n">
        <v>0.000115740740740741</v>
      </c>
      <c r="X613" s="5" t="n">
        <v>0</v>
      </c>
      <c r="Y613" s="5" t="n">
        <v>0</v>
      </c>
      <c r="Z613" s="0" t="n">
        <v>0</v>
      </c>
      <c r="AA613" s="0" t="n">
        <v>0</v>
      </c>
      <c r="AB613" s="0" t="n">
        <v>0</v>
      </c>
      <c r="AC613" s="4" t="s">
        <v>152</v>
      </c>
      <c r="AD613" s="4" t="s">
        <v>152</v>
      </c>
      <c r="AE613" s="4" t="s">
        <v>2504</v>
      </c>
      <c r="AF613" s="4" t="s">
        <v>2509</v>
      </c>
      <c r="AG613" s="5" t="n">
        <v>0.102569444444444</v>
      </c>
      <c r="AH613" s="5" t="n">
        <v>0.105648148148148</v>
      </c>
      <c r="AI613" s="5" t="n">
        <v>0</v>
      </c>
      <c r="AJ613" s="5" t="n">
        <v>0</v>
      </c>
      <c r="AK613" s="5" t="n">
        <v>0</v>
      </c>
      <c r="AL613" s="5" t="n">
        <v>0</v>
      </c>
      <c r="AM613" s="4" t="s">
        <v>78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  <c r="AU613" s="0" t="n">
        <v>0</v>
      </c>
      <c r="AV613" s="0" t="n">
        <v>0</v>
      </c>
      <c r="AW613" s="0" t="n">
        <v>0</v>
      </c>
      <c r="AX613" s="0" t="n">
        <v>0</v>
      </c>
      <c r="AY613" s="0" t="n">
        <v>0</v>
      </c>
      <c r="AZ613" s="0" t="n">
        <v>0</v>
      </c>
      <c r="BA613" s="0" t="n">
        <v>0</v>
      </c>
      <c r="BB613" s="0" t="n">
        <v>0</v>
      </c>
      <c r="BC613" s="0" t="n">
        <v>0</v>
      </c>
      <c r="BD613" s="0" t="n">
        <v>0</v>
      </c>
      <c r="BE613" s="0" t="n">
        <v>0</v>
      </c>
      <c r="BF613" s="0" t="n">
        <v>0</v>
      </c>
      <c r="BG613" s="0" t="n">
        <v>0</v>
      </c>
      <c r="BH613" s="0" t="n">
        <v>0</v>
      </c>
      <c r="BI613" s="0" t="n">
        <v>0</v>
      </c>
      <c r="BJ613" s="0" t="n">
        <v>0</v>
      </c>
      <c r="BK613" s="0" t="n">
        <v>0</v>
      </c>
      <c r="BM613" s="6" t="n">
        <f aca="false">IFERROR(VALUE(F613),"")</f>
        <v>72.13</v>
      </c>
      <c r="BN613" s="6" t="n">
        <f aca="false">IF(R613="-","",IFERROR(VALUE(LEFT(Q613,LEN(Q613)-2)),""))</f>
        <v>37.5</v>
      </c>
      <c r="BO613" s="6" t="n">
        <f aca="false">IF(R613="-","",IFERROR(VALUE(LEFT(R613,LEN(R613)-5)),""))</f>
        <v>1.92</v>
      </c>
      <c r="BP613" s="6" t="n">
        <f aca="false">IF(R613="-","",IFERROR(VALUE(F613),""))</f>
        <v>72.13</v>
      </c>
      <c r="BQ613" s="4" t="n">
        <f aca="false">IF(R613="-",1,0)</f>
        <v>0</v>
      </c>
    </row>
    <row r="614" customFormat="false" ht="15" hidden="false" customHeight="false" outlineLevel="0" collapsed="false">
      <c r="A614" s="0" t="s">
        <v>2495</v>
      </c>
      <c r="B614" s="0" t="s">
        <v>2496</v>
      </c>
      <c r="C614" s="0" t="s">
        <v>70</v>
      </c>
      <c r="E614" s="3" t="n">
        <v>46278</v>
      </c>
      <c r="F614" s="4" t="s">
        <v>95</v>
      </c>
      <c r="G614" s="5" t="n">
        <v>0</v>
      </c>
      <c r="H614" s="5" t="n">
        <v>0</v>
      </c>
      <c r="I614" s="5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5" t="n">
        <v>0</v>
      </c>
      <c r="P614" s="5" t="n">
        <v>0</v>
      </c>
      <c r="Q614" s="4" t="s">
        <v>73</v>
      </c>
      <c r="R614" s="4" t="s">
        <v>73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0</v>
      </c>
      <c r="X614" s="5" t="n">
        <v>0</v>
      </c>
      <c r="Y614" s="5" t="n">
        <v>0</v>
      </c>
      <c r="Z614" s="0" t="n">
        <v>0</v>
      </c>
      <c r="AA614" s="0" t="n">
        <v>0</v>
      </c>
      <c r="AB614" s="0" t="n">
        <v>0</v>
      </c>
      <c r="AC614" s="4" t="s">
        <v>152</v>
      </c>
      <c r="AD614" s="4" t="s">
        <v>152</v>
      </c>
      <c r="AE614" s="4" t="s">
        <v>2509</v>
      </c>
      <c r="AF614" s="4" t="s">
        <v>2509</v>
      </c>
      <c r="AG614" s="5" t="n">
        <v>0</v>
      </c>
      <c r="AH614" s="5" t="n">
        <v>0.0136342592592593</v>
      </c>
      <c r="AI614" s="5" t="n">
        <v>0</v>
      </c>
      <c r="AJ614" s="5" t="n">
        <v>0</v>
      </c>
      <c r="AK614" s="5" t="n">
        <v>0</v>
      </c>
      <c r="AL614" s="5" t="n">
        <v>0</v>
      </c>
      <c r="AM614" s="4" t="s">
        <v>78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  <c r="AU614" s="0" t="n">
        <v>0</v>
      </c>
      <c r="AV614" s="0" t="n">
        <v>0</v>
      </c>
      <c r="AW614" s="0" t="n">
        <v>0</v>
      </c>
      <c r="AX614" s="0" t="n">
        <v>0</v>
      </c>
      <c r="AY614" s="0" t="n">
        <v>0</v>
      </c>
      <c r="AZ614" s="0" t="n">
        <v>0</v>
      </c>
      <c r="BA614" s="0" t="n">
        <v>0</v>
      </c>
      <c r="BB614" s="0" t="n">
        <v>0</v>
      </c>
      <c r="BC614" s="0" t="n">
        <v>0</v>
      </c>
      <c r="BD614" s="0" t="n">
        <v>0</v>
      </c>
      <c r="BE614" s="0" t="n">
        <v>0</v>
      </c>
      <c r="BF614" s="0" t="n">
        <v>0</v>
      </c>
      <c r="BG614" s="0" t="n">
        <v>0</v>
      </c>
      <c r="BH614" s="0" t="n">
        <v>0</v>
      </c>
      <c r="BI614" s="0" t="n">
        <v>0</v>
      </c>
      <c r="BJ614" s="0" t="n">
        <v>0</v>
      </c>
      <c r="BK614" s="0" t="n">
        <v>0</v>
      </c>
      <c r="BM614" s="6" t="n">
        <f aca="false">IFERROR(VALUE(F614),"")</f>
        <v>0</v>
      </c>
      <c r="BN614" s="6" t="str">
        <f aca="false">IF(R614="-","",IFERROR(VALUE(LEFT(Q614,LEN(Q614)-2)),""))</f>
        <v/>
      </c>
      <c r="BO614" s="6" t="str">
        <f aca="false">IF(R614="-","",IFERROR(VALUE(LEFT(R614,LEN(R614)-5)),""))</f>
        <v/>
      </c>
      <c r="BP614" s="6" t="str">
        <f aca="false">IF(R614="-","",IFERROR(VALUE(F614),""))</f>
        <v/>
      </c>
      <c r="BQ614" s="4" t="n">
        <f aca="false">IF(R614="-",1,0)</f>
        <v>1</v>
      </c>
    </row>
    <row r="615" customFormat="false" ht="15" hidden="false" customHeight="false" outlineLevel="0" collapsed="false">
      <c r="A615" s="0" t="s">
        <v>2495</v>
      </c>
      <c r="B615" s="0" t="s">
        <v>2496</v>
      </c>
      <c r="C615" s="0" t="s">
        <v>70</v>
      </c>
      <c r="D615" s="0" t="s">
        <v>2510</v>
      </c>
      <c r="E615" s="3" t="n">
        <v>46279</v>
      </c>
      <c r="F615" s="4" t="s">
        <v>2511</v>
      </c>
      <c r="G615" s="5" t="n">
        <v>0.302314814814815</v>
      </c>
      <c r="H615" s="5" t="n">
        <v>0.273518518518519</v>
      </c>
      <c r="I615" s="5" t="n">
        <v>0.000775462962962963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5" t="n">
        <v>0</v>
      </c>
      <c r="P615" s="5" t="n">
        <v>0.00729166666666667</v>
      </c>
      <c r="Q615" s="4" t="s">
        <v>2512</v>
      </c>
      <c r="R615" s="4" t="s">
        <v>2513</v>
      </c>
      <c r="S615" s="5" t="n">
        <v>0.000115740740740741</v>
      </c>
      <c r="T615" s="5" t="n">
        <v>0.0732638888888889</v>
      </c>
      <c r="U615" s="5" t="n">
        <v>0.178356481481482</v>
      </c>
      <c r="V615" s="5" t="n">
        <v>0.0346064814814815</v>
      </c>
      <c r="W615" s="5" t="n">
        <v>0.000231481481481482</v>
      </c>
      <c r="X615" s="5" t="n">
        <v>0</v>
      </c>
      <c r="Y615" s="5" t="n">
        <v>0</v>
      </c>
      <c r="Z615" s="0" t="n">
        <v>0</v>
      </c>
      <c r="AA615" s="0" t="n">
        <v>0</v>
      </c>
      <c r="AB615" s="0" t="n">
        <v>0</v>
      </c>
      <c r="AC615" s="4" t="s">
        <v>158</v>
      </c>
      <c r="AD615" s="4" t="s">
        <v>208</v>
      </c>
      <c r="AE615" s="4" t="s">
        <v>2509</v>
      </c>
      <c r="AF615" s="4" t="s">
        <v>2514</v>
      </c>
      <c r="AG615" s="5" t="n">
        <v>0.24880787037037</v>
      </c>
      <c r="AH615" s="5" t="n">
        <v>0.137048611111111</v>
      </c>
      <c r="AI615" s="5" t="n">
        <v>0</v>
      </c>
      <c r="AJ615" s="5" t="n">
        <v>0</v>
      </c>
      <c r="AK615" s="5" t="n">
        <v>0</v>
      </c>
      <c r="AL615" s="5" t="n">
        <v>0</v>
      </c>
      <c r="AM615" s="4" t="s">
        <v>78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4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0</v>
      </c>
      <c r="BH615" s="0" t="n">
        <v>0</v>
      </c>
      <c r="BI615" s="0" t="n">
        <v>0</v>
      </c>
      <c r="BJ615" s="0" t="n">
        <v>0</v>
      </c>
      <c r="BK615" s="0" t="n">
        <v>0</v>
      </c>
      <c r="BM615" s="6" t="n">
        <f aca="false">IFERROR(VALUE(F615),"")</f>
        <v>292.81</v>
      </c>
      <c r="BN615" s="6" t="n">
        <f aca="false">IF(R615="-","",IFERROR(VALUE(LEFT(Q615,LEN(Q615)-2)),""))</f>
        <v>113.49</v>
      </c>
      <c r="BO615" s="6" t="n">
        <f aca="false">IF(R615="-","",IFERROR(VALUE(LEFT(R615,LEN(R615)-5)),""))</f>
        <v>2.58</v>
      </c>
      <c r="BP615" s="6" t="n">
        <f aca="false">IF(R615="-","",IFERROR(VALUE(F615),""))</f>
        <v>292.81</v>
      </c>
      <c r="BQ615" s="4" t="n">
        <f aca="false">IF(R615="-",1,0)</f>
        <v>0</v>
      </c>
    </row>
    <row r="616" customFormat="false" ht="15" hidden="false" customHeight="false" outlineLevel="0" collapsed="false">
      <c r="A616" s="0" t="s">
        <v>2515</v>
      </c>
      <c r="B616" s="0" t="s">
        <v>2516</v>
      </c>
      <c r="C616" s="0" t="s">
        <v>70</v>
      </c>
      <c r="E616" s="3" t="n">
        <v>46273</v>
      </c>
      <c r="F616" s="4" t="s">
        <v>1821</v>
      </c>
      <c r="G616" s="5" t="n">
        <v>0.00456018518518519</v>
      </c>
      <c r="H616" s="5" t="n">
        <v>0</v>
      </c>
      <c r="I616" s="5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5" t="n">
        <v>0</v>
      </c>
      <c r="P616" s="5" t="n">
        <v>0</v>
      </c>
      <c r="Q616" s="4" t="s">
        <v>217</v>
      </c>
      <c r="R616" s="4" t="s">
        <v>2517</v>
      </c>
      <c r="S616" s="5" t="n">
        <v>0</v>
      </c>
      <c r="T616" s="5" t="n">
        <v>0.00266203703703704</v>
      </c>
      <c r="U616" s="5" t="n">
        <v>0.000347222222222222</v>
      </c>
      <c r="V616" s="5" t="n">
        <v>0</v>
      </c>
      <c r="W616" s="5" t="n">
        <v>0</v>
      </c>
      <c r="X616" s="5" t="n">
        <v>0</v>
      </c>
      <c r="Y616" s="5" t="n">
        <v>0</v>
      </c>
      <c r="Z616" s="0" t="n">
        <v>0</v>
      </c>
      <c r="AA616" s="0" t="n">
        <v>0</v>
      </c>
      <c r="AB616" s="0" t="n">
        <v>0</v>
      </c>
      <c r="AC616" s="4" t="s">
        <v>864</v>
      </c>
      <c r="AD616" s="4" t="s">
        <v>158</v>
      </c>
      <c r="AE616" s="4" t="s">
        <v>2518</v>
      </c>
      <c r="AF616" s="4" t="s">
        <v>2519</v>
      </c>
      <c r="AG616" s="5" t="n">
        <v>0.000844907407407407</v>
      </c>
      <c r="AH616" s="5" t="n">
        <v>0.00416666666666667</v>
      </c>
      <c r="AI616" s="5" t="n">
        <v>0</v>
      </c>
      <c r="AJ616" s="5" t="n">
        <v>0</v>
      </c>
      <c r="AK616" s="5" t="n">
        <v>0</v>
      </c>
      <c r="AL616" s="5" t="n">
        <v>0</v>
      </c>
      <c r="AM616" s="4" t="s">
        <v>78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0</v>
      </c>
      <c r="AU616" s="0" t="n">
        <v>0</v>
      </c>
      <c r="AV616" s="0" t="n">
        <v>0</v>
      </c>
      <c r="AW616" s="0" t="n">
        <v>0</v>
      </c>
      <c r="AX616" s="0" t="n">
        <v>0</v>
      </c>
      <c r="AY616" s="0" t="n">
        <v>0</v>
      </c>
      <c r="AZ616" s="0" t="n">
        <v>0</v>
      </c>
      <c r="BA616" s="0" t="n">
        <v>0</v>
      </c>
      <c r="BB616" s="0" t="n">
        <v>0</v>
      </c>
      <c r="BC616" s="0" t="n">
        <v>0</v>
      </c>
      <c r="BD616" s="0" t="n">
        <v>0</v>
      </c>
      <c r="BE616" s="0" t="n">
        <v>0</v>
      </c>
      <c r="BF616" s="0" t="n">
        <v>0</v>
      </c>
      <c r="BG616" s="0" t="n">
        <v>0</v>
      </c>
      <c r="BH616" s="0" t="n">
        <v>0</v>
      </c>
      <c r="BI616" s="0" t="n">
        <v>0</v>
      </c>
      <c r="BJ616" s="0" t="n">
        <v>0</v>
      </c>
      <c r="BK616" s="0" t="n">
        <v>0</v>
      </c>
      <c r="BM616" s="6" t="n">
        <f aca="false">IFERROR(VALUE(F616),"")</f>
        <v>0.07</v>
      </c>
      <c r="BN616" s="6" t="n">
        <f aca="false">IF(R616="-","",IFERROR(VALUE(LEFT(Q616,LEN(Q616)-2)),""))</f>
        <v>0.2</v>
      </c>
      <c r="BO616" s="6" t="n">
        <f aca="false">IF(R616="-","",IFERROR(VALUE(LEFT(R616,LEN(R616)-5)),""))</f>
        <v>0.35</v>
      </c>
      <c r="BP616" s="6" t="n">
        <f aca="false">IF(R616="-","",IFERROR(VALUE(F616),""))</f>
        <v>0.07</v>
      </c>
      <c r="BQ616" s="4" t="n">
        <f aca="false">IF(R616="-",1,0)</f>
        <v>0</v>
      </c>
    </row>
    <row r="617" customFormat="false" ht="15" hidden="false" customHeight="false" outlineLevel="0" collapsed="false">
      <c r="A617" s="0" t="s">
        <v>2515</v>
      </c>
      <c r="B617" s="0" t="s">
        <v>2516</v>
      </c>
      <c r="C617" s="0" t="s">
        <v>70</v>
      </c>
      <c r="E617" s="3" t="n">
        <v>46274</v>
      </c>
      <c r="F617" s="4" t="s">
        <v>2520</v>
      </c>
      <c r="G617" s="5" t="n">
        <v>0.159583333333333</v>
      </c>
      <c r="H617" s="5" t="n">
        <v>0</v>
      </c>
      <c r="I617" s="5" t="n">
        <v>0.000208333333333333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5" t="n">
        <v>0</v>
      </c>
      <c r="P617" s="5" t="n">
        <v>0</v>
      </c>
      <c r="Q617" s="4" t="s">
        <v>2521</v>
      </c>
      <c r="R617" s="4" t="s">
        <v>283</v>
      </c>
      <c r="S617" s="5" t="n">
        <v>0.000115740740740741</v>
      </c>
      <c r="T617" s="5" t="n">
        <v>0.0543981481481482</v>
      </c>
      <c r="U617" s="5" t="n">
        <v>0.0573263888888889</v>
      </c>
      <c r="V617" s="5" t="n">
        <v>0.0199189814814815</v>
      </c>
      <c r="W617" s="5" t="n">
        <v>0.000104166666666667</v>
      </c>
      <c r="X617" s="5" t="n">
        <v>0</v>
      </c>
      <c r="Y617" s="5" t="n">
        <v>0.000104166666666667</v>
      </c>
      <c r="Z617" s="0" t="n">
        <v>0</v>
      </c>
      <c r="AA617" s="0" t="n">
        <v>0</v>
      </c>
      <c r="AB617" s="0" t="n">
        <v>0</v>
      </c>
      <c r="AC617" s="4" t="s">
        <v>158</v>
      </c>
      <c r="AD617" s="4" t="s">
        <v>158</v>
      </c>
      <c r="AE617" s="4" t="s">
        <v>2519</v>
      </c>
      <c r="AF617" s="4" t="s">
        <v>2522</v>
      </c>
      <c r="AG617" s="5" t="n">
        <v>0.112951388888889</v>
      </c>
      <c r="AH617" s="5" t="n">
        <v>0.0641666666666667</v>
      </c>
      <c r="AI617" s="5" t="n">
        <v>0</v>
      </c>
      <c r="AJ617" s="5" t="n">
        <v>0</v>
      </c>
      <c r="AK617" s="5" t="n">
        <v>0</v>
      </c>
      <c r="AL617" s="5" t="n">
        <v>0</v>
      </c>
      <c r="AM617" s="4" t="s">
        <v>78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  <c r="AU617" s="0" t="n">
        <v>2</v>
      </c>
      <c r="AV617" s="0" t="n">
        <v>0</v>
      </c>
      <c r="AW617" s="0" t="n">
        <v>0</v>
      </c>
      <c r="AX617" s="0" t="n">
        <v>0</v>
      </c>
      <c r="AY617" s="0" t="n">
        <v>0</v>
      </c>
      <c r="AZ617" s="0" t="n">
        <v>0</v>
      </c>
      <c r="BA617" s="0" t="n">
        <v>0</v>
      </c>
      <c r="BB617" s="0" t="n">
        <v>0</v>
      </c>
      <c r="BC617" s="0" t="n">
        <v>0</v>
      </c>
      <c r="BD617" s="0" t="n">
        <v>0</v>
      </c>
      <c r="BE617" s="0" t="n">
        <v>0</v>
      </c>
      <c r="BF617" s="0" t="n">
        <v>0</v>
      </c>
      <c r="BG617" s="0" t="n">
        <v>0</v>
      </c>
      <c r="BH617" s="0" t="n">
        <v>0</v>
      </c>
      <c r="BI617" s="0" t="n">
        <v>0</v>
      </c>
      <c r="BJ617" s="0" t="n">
        <v>0</v>
      </c>
      <c r="BK617" s="0" t="n">
        <v>0</v>
      </c>
      <c r="BM617" s="6" t="n">
        <f aca="false">IFERROR(VALUE(F617),"")</f>
        <v>57.04</v>
      </c>
      <c r="BN617" s="6" t="n">
        <f aca="false">IF(R617="-","",IFERROR(VALUE(LEFT(Q617,LEN(Q617)-2)),""))</f>
        <v>23.26</v>
      </c>
      <c r="BO617" s="6" t="n">
        <f aca="false">IF(R617="-","",IFERROR(VALUE(LEFT(R617,LEN(R617)-5)),""))</f>
        <v>2.45</v>
      </c>
      <c r="BP617" s="6" t="n">
        <f aca="false">IF(R617="-","",IFERROR(VALUE(F617),""))</f>
        <v>57.04</v>
      </c>
      <c r="BQ617" s="4" t="n">
        <f aca="false">IF(R617="-",1,0)</f>
        <v>0</v>
      </c>
    </row>
    <row r="618" customFormat="false" ht="15" hidden="false" customHeight="false" outlineLevel="0" collapsed="false">
      <c r="A618" s="0" t="s">
        <v>2515</v>
      </c>
      <c r="B618" s="0" t="s">
        <v>2516</v>
      </c>
      <c r="C618" s="0" t="s">
        <v>70</v>
      </c>
      <c r="E618" s="3" t="n">
        <v>46275</v>
      </c>
      <c r="F618" s="4" t="s">
        <v>1449</v>
      </c>
      <c r="G618" s="5" t="n">
        <v>0.00304398148148148</v>
      </c>
      <c r="H618" s="5" t="n">
        <v>0</v>
      </c>
      <c r="I618" s="5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5" t="n">
        <v>0</v>
      </c>
      <c r="P618" s="5" t="n">
        <v>0</v>
      </c>
      <c r="Q618" s="4" t="s">
        <v>2523</v>
      </c>
      <c r="R618" s="4" t="s">
        <v>2524</v>
      </c>
      <c r="S618" s="5" t="n">
        <v>0</v>
      </c>
      <c r="T618" s="5" t="n">
        <v>0.00208333333333333</v>
      </c>
      <c r="U618" s="5" t="n">
        <v>0.000694444444444445</v>
      </c>
      <c r="V618" s="5" t="n">
        <v>0</v>
      </c>
      <c r="W618" s="5" t="n">
        <v>0</v>
      </c>
      <c r="X618" s="5" t="n">
        <v>0</v>
      </c>
      <c r="Y618" s="5" t="n">
        <v>0</v>
      </c>
      <c r="Z618" s="0" t="n">
        <v>0</v>
      </c>
      <c r="AA618" s="0" t="n">
        <v>0</v>
      </c>
      <c r="AB618" s="0" t="n">
        <v>0</v>
      </c>
      <c r="AC618" s="4" t="s">
        <v>158</v>
      </c>
      <c r="AD618" s="4" t="s">
        <v>158</v>
      </c>
      <c r="AE618" s="4" t="s">
        <v>2522</v>
      </c>
      <c r="AF618" s="4" t="s">
        <v>2525</v>
      </c>
      <c r="AG618" s="5" t="n">
        <v>0.000787037037037037</v>
      </c>
      <c r="AH618" s="5" t="n">
        <v>0.00271990740740741</v>
      </c>
      <c r="AI618" s="5" t="n">
        <v>0</v>
      </c>
      <c r="AJ618" s="5" t="n">
        <v>0</v>
      </c>
      <c r="AK618" s="5" t="n">
        <v>0</v>
      </c>
      <c r="AL618" s="5" t="n">
        <v>0</v>
      </c>
      <c r="AM618" s="4" t="s">
        <v>78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  <c r="AU618" s="0" t="n">
        <v>0</v>
      </c>
      <c r="AV618" s="0" t="n">
        <v>0</v>
      </c>
      <c r="AW618" s="0" t="n">
        <v>0</v>
      </c>
      <c r="AX618" s="0" t="n">
        <v>0</v>
      </c>
      <c r="AY618" s="0" t="n">
        <v>0</v>
      </c>
      <c r="AZ618" s="0" t="n">
        <v>0</v>
      </c>
      <c r="BA618" s="0" t="n">
        <v>0</v>
      </c>
      <c r="BB618" s="0" t="n">
        <v>0</v>
      </c>
      <c r="BC618" s="0" t="n">
        <v>0</v>
      </c>
      <c r="BD618" s="0" t="n">
        <v>0</v>
      </c>
      <c r="BE618" s="0" t="n">
        <v>0</v>
      </c>
      <c r="BF618" s="0" t="n">
        <v>0</v>
      </c>
      <c r="BG618" s="0" t="n">
        <v>0</v>
      </c>
      <c r="BH618" s="0" t="n">
        <v>0</v>
      </c>
      <c r="BI618" s="0" t="n">
        <v>0</v>
      </c>
      <c r="BJ618" s="0" t="n">
        <v>0</v>
      </c>
      <c r="BK618" s="0" t="n">
        <v>0</v>
      </c>
      <c r="BM618" s="6" t="n">
        <f aca="false">IFERROR(VALUE(F618),"")</f>
        <v>0.05</v>
      </c>
      <c r="BN618" s="6" t="n">
        <f aca="false">IF(R618="-","",IFERROR(VALUE(LEFT(Q618,LEN(Q618)-2)),""))</f>
        <v>0.18</v>
      </c>
      <c r="BO618" s="6" t="n">
        <f aca="false">IF(R618="-","",IFERROR(VALUE(LEFT(R618,LEN(R618)-5)),""))</f>
        <v>0.28</v>
      </c>
      <c r="BP618" s="6" t="n">
        <f aca="false">IF(R618="-","",IFERROR(VALUE(F618),""))</f>
        <v>0.05</v>
      </c>
      <c r="BQ618" s="4" t="n">
        <f aca="false">IF(R618="-",1,0)</f>
        <v>0</v>
      </c>
    </row>
    <row r="619" customFormat="false" ht="15" hidden="false" customHeight="false" outlineLevel="0" collapsed="false">
      <c r="A619" s="0" t="s">
        <v>2515</v>
      </c>
      <c r="B619" s="0" t="s">
        <v>2516</v>
      </c>
      <c r="C619" s="0" t="s">
        <v>70</v>
      </c>
      <c r="E619" s="3" t="n">
        <v>46276</v>
      </c>
      <c r="F619" s="4" t="s">
        <v>95</v>
      </c>
      <c r="G619" s="5" t="n">
        <v>0</v>
      </c>
      <c r="H619" s="5" t="n">
        <v>0</v>
      </c>
      <c r="I619" s="5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5" t="n">
        <v>0</v>
      </c>
      <c r="P619" s="5" t="n">
        <v>0</v>
      </c>
      <c r="Q619" s="4" t="s">
        <v>73</v>
      </c>
      <c r="R619" s="4" t="s">
        <v>73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0</v>
      </c>
      <c r="X619" s="5" t="n">
        <v>0</v>
      </c>
      <c r="Y619" s="5" t="n">
        <v>0</v>
      </c>
      <c r="Z619" s="0" t="n">
        <v>0</v>
      </c>
      <c r="AA619" s="0" t="n">
        <v>0</v>
      </c>
      <c r="AB619" s="0" t="n">
        <v>0</v>
      </c>
      <c r="AC619" s="4" t="s">
        <v>158</v>
      </c>
      <c r="AD619" s="4" t="s">
        <v>158</v>
      </c>
      <c r="AE619" s="4" t="s">
        <v>2525</v>
      </c>
      <c r="AF619" s="4" t="s">
        <v>2525</v>
      </c>
      <c r="AG619" s="5" t="n">
        <v>0</v>
      </c>
      <c r="AH619" s="5" t="n">
        <v>0.0116782407407407</v>
      </c>
      <c r="AI619" s="5" t="n">
        <v>0</v>
      </c>
      <c r="AJ619" s="5" t="n">
        <v>0</v>
      </c>
      <c r="AK619" s="5" t="n">
        <v>0</v>
      </c>
      <c r="AL619" s="5" t="n">
        <v>0</v>
      </c>
      <c r="AM619" s="4" t="s">
        <v>78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  <c r="AU619" s="0" t="n">
        <v>0</v>
      </c>
      <c r="AV619" s="0" t="n">
        <v>0</v>
      </c>
      <c r="AW619" s="0" t="n">
        <v>0</v>
      </c>
      <c r="AX619" s="0" t="n">
        <v>0</v>
      </c>
      <c r="AY619" s="0" t="n">
        <v>0</v>
      </c>
      <c r="AZ619" s="0" t="n">
        <v>0</v>
      </c>
      <c r="BA619" s="0" t="n">
        <v>0</v>
      </c>
      <c r="BB619" s="0" t="n">
        <v>0</v>
      </c>
      <c r="BC619" s="0" t="n">
        <v>0</v>
      </c>
      <c r="BD619" s="0" t="n">
        <v>0</v>
      </c>
      <c r="BE619" s="0" t="n">
        <v>0</v>
      </c>
      <c r="BF619" s="0" t="n">
        <v>0</v>
      </c>
      <c r="BG619" s="0" t="n">
        <v>0</v>
      </c>
      <c r="BH619" s="0" t="n">
        <v>0</v>
      </c>
      <c r="BI619" s="0" t="n">
        <v>0</v>
      </c>
      <c r="BJ619" s="0" t="n">
        <v>0</v>
      </c>
      <c r="BK619" s="0" t="n">
        <v>0</v>
      </c>
      <c r="BM619" s="6" t="n">
        <f aca="false">IFERROR(VALUE(F619),"")</f>
        <v>0</v>
      </c>
      <c r="BN619" s="6" t="str">
        <f aca="false">IF(R619="-","",IFERROR(VALUE(LEFT(Q619,LEN(Q619)-2)),""))</f>
        <v/>
      </c>
      <c r="BO619" s="6" t="str">
        <f aca="false">IF(R619="-","",IFERROR(VALUE(LEFT(R619,LEN(R619)-5)),""))</f>
        <v/>
      </c>
      <c r="BP619" s="6" t="str">
        <f aca="false">IF(R619="-","",IFERROR(VALUE(F619),""))</f>
        <v/>
      </c>
      <c r="BQ619" s="4" t="n">
        <f aca="false">IF(R619="-",1,0)</f>
        <v>1</v>
      </c>
    </row>
    <row r="620" customFormat="false" ht="15" hidden="false" customHeight="false" outlineLevel="0" collapsed="false">
      <c r="A620" s="0" t="s">
        <v>2515</v>
      </c>
      <c r="B620" s="0" t="s">
        <v>2516</v>
      </c>
      <c r="C620" s="0" t="s">
        <v>70</v>
      </c>
      <c r="E620" s="3" t="n">
        <v>46277</v>
      </c>
      <c r="F620" s="4" t="s">
        <v>2526</v>
      </c>
      <c r="G620" s="5" t="n">
        <v>0.0165625</v>
      </c>
      <c r="H620" s="5" t="n">
        <v>0</v>
      </c>
      <c r="I620" s="5" t="n">
        <v>0.000219907407407407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5" t="n">
        <v>0</v>
      </c>
      <c r="P620" s="5" t="n">
        <v>0</v>
      </c>
      <c r="Q620" s="4" t="s">
        <v>2527</v>
      </c>
      <c r="R620" s="4" t="s">
        <v>2528</v>
      </c>
      <c r="S620" s="5" t="n">
        <v>0.000115740740740741</v>
      </c>
      <c r="T620" s="5" t="n">
        <v>0.012037037037037</v>
      </c>
      <c r="U620" s="5" t="n">
        <v>0.00335648148148148</v>
      </c>
      <c r="V620" s="5" t="n">
        <v>0.000578703703703704</v>
      </c>
      <c r="W620" s="5" t="n">
        <v>0</v>
      </c>
      <c r="X620" s="5" t="n">
        <v>0</v>
      </c>
      <c r="Y620" s="5" t="n">
        <v>0</v>
      </c>
      <c r="Z620" s="0" t="n">
        <v>0</v>
      </c>
      <c r="AA620" s="0" t="n">
        <v>0</v>
      </c>
      <c r="AB620" s="0" t="n">
        <v>0</v>
      </c>
      <c r="AC620" s="4" t="s">
        <v>158</v>
      </c>
      <c r="AD620" s="4" t="s">
        <v>158</v>
      </c>
      <c r="AE620" s="4" t="s">
        <v>2525</v>
      </c>
      <c r="AF620" s="4" t="s">
        <v>2529</v>
      </c>
      <c r="AG620" s="5" t="n">
        <v>0.0120138888888889</v>
      </c>
      <c r="AH620" s="5" t="n">
        <v>0.0287037037037037</v>
      </c>
      <c r="AI620" s="5" t="n">
        <v>0</v>
      </c>
      <c r="AJ620" s="5" t="n">
        <v>0</v>
      </c>
      <c r="AK620" s="5" t="n">
        <v>0</v>
      </c>
      <c r="AL620" s="5" t="n">
        <v>0</v>
      </c>
      <c r="AM620" s="4" t="s">
        <v>78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  <c r="AU620" s="0" t="n">
        <v>0</v>
      </c>
      <c r="AV620" s="0" t="n">
        <v>0</v>
      </c>
      <c r="AW620" s="0" t="n">
        <v>0</v>
      </c>
      <c r="AX620" s="0" t="n">
        <v>0</v>
      </c>
      <c r="AY620" s="0" t="n">
        <v>0</v>
      </c>
      <c r="AZ620" s="0" t="n">
        <v>0</v>
      </c>
      <c r="BA620" s="0" t="n">
        <v>0</v>
      </c>
      <c r="BB620" s="0" t="n">
        <v>0</v>
      </c>
      <c r="BC620" s="0" t="n">
        <v>0</v>
      </c>
      <c r="BD620" s="0" t="n">
        <v>0</v>
      </c>
      <c r="BE620" s="0" t="n">
        <v>0</v>
      </c>
      <c r="BF620" s="0" t="n">
        <v>0</v>
      </c>
      <c r="BG620" s="0" t="n">
        <v>0</v>
      </c>
      <c r="BH620" s="0" t="n">
        <v>0</v>
      </c>
      <c r="BI620" s="0" t="n">
        <v>0</v>
      </c>
      <c r="BJ620" s="0" t="n">
        <v>0</v>
      </c>
      <c r="BK620" s="0" t="n">
        <v>0</v>
      </c>
      <c r="BM620" s="6" t="n">
        <f aca="false">IFERROR(VALUE(F620),"")</f>
        <v>2.37</v>
      </c>
      <c r="BN620" s="6" t="n">
        <f aca="false">IF(R620="-","",IFERROR(VALUE(LEFT(Q620,LEN(Q620)-2)),""))</f>
        <v>1.44</v>
      </c>
      <c r="BO620" s="6" t="n">
        <f aca="false">IF(R620="-","",IFERROR(VALUE(LEFT(R620,LEN(R620)-5)),""))</f>
        <v>1.65</v>
      </c>
      <c r="BP620" s="6" t="n">
        <f aca="false">IF(R620="-","",IFERROR(VALUE(F620),""))</f>
        <v>2.37</v>
      </c>
      <c r="BQ620" s="4" t="n">
        <f aca="false">IF(R620="-",1,0)</f>
        <v>0</v>
      </c>
    </row>
    <row r="621" customFormat="false" ht="15" hidden="false" customHeight="false" outlineLevel="0" collapsed="false">
      <c r="A621" s="0" t="s">
        <v>2515</v>
      </c>
      <c r="B621" s="0" t="s">
        <v>2516</v>
      </c>
      <c r="C621" s="0" t="s">
        <v>70</v>
      </c>
      <c r="E621" s="3" t="n">
        <v>46279</v>
      </c>
      <c r="F621" s="4" t="s">
        <v>95</v>
      </c>
      <c r="G621" s="5" t="n">
        <v>0.00671296296296296</v>
      </c>
      <c r="H621" s="5" t="n">
        <v>0</v>
      </c>
      <c r="I621" s="5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5" t="n">
        <v>0</v>
      </c>
      <c r="P621" s="5" t="n">
        <v>0</v>
      </c>
      <c r="Q621" s="4" t="s">
        <v>2530</v>
      </c>
      <c r="R621" s="4" t="s">
        <v>454</v>
      </c>
      <c r="S621" s="5" t="n">
        <v>0</v>
      </c>
      <c r="T621" s="5" t="n">
        <v>0.00208333333333333</v>
      </c>
      <c r="U621" s="5" t="n">
        <v>0</v>
      </c>
      <c r="V621" s="5" t="n">
        <v>0</v>
      </c>
      <c r="W621" s="5" t="n">
        <v>0</v>
      </c>
      <c r="X621" s="5" t="n">
        <v>0</v>
      </c>
      <c r="Y621" s="5" t="n">
        <v>0</v>
      </c>
      <c r="Z621" s="0" t="n">
        <v>0</v>
      </c>
      <c r="AA621" s="0" t="n">
        <v>0</v>
      </c>
      <c r="AB621" s="0" t="n">
        <v>0</v>
      </c>
      <c r="AC621" s="4" t="s">
        <v>158</v>
      </c>
      <c r="AD621" s="4" t="s">
        <v>158</v>
      </c>
      <c r="AE621" s="4" t="s">
        <v>2529</v>
      </c>
      <c r="AF621" s="4" t="s">
        <v>2529</v>
      </c>
      <c r="AG621" s="5" t="n">
        <v>0</v>
      </c>
      <c r="AH621" s="5" t="n">
        <v>0.00722222222222222</v>
      </c>
      <c r="AI621" s="5" t="n">
        <v>0</v>
      </c>
      <c r="AJ621" s="5" t="n">
        <v>0</v>
      </c>
      <c r="AK621" s="5" t="n">
        <v>0</v>
      </c>
      <c r="AL621" s="5" t="n">
        <v>0</v>
      </c>
      <c r="AM621" s="4" t="s">
        <v>78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  <c r="AU621" s="0" t="n">
        <v>0</v>
      </c>
      <c r="AV621" s="0" t="n">
        <v>0</v>
      </c>
      <c r="AW621" s="0" t="n">
        <v>0</v>
      </c>
      <c r="AX621" s="0" t="n">
        <v>0</v>
      </c>
      <c r="AY621" s="0" t="n">
        <v>0</v>
      </c>
      <c r="AZ621" s="0" t="n">
        <v>0</v>
      </c>
      <c r="BA621" s="0" t="n">
        <v>0</v>
      </c>
      <c r="BB621" s="0" t="n">
        <v>0</v>
      </c>
      <c r="BC621" s="0" t="n">
        <v>0</v>
      </c>
      <c r="BD621" s="0" t="n">
        <v>0</v>
      </c>
      <c r="BE621" s="0" t="n">
        <v>0</v>
      </c>
      <c r="BF621" s="0" t="n">
        <v>0</v>
      </c>
      <c r="BG621" s="0" t="n">
        <v>0</v>
      </c>
      <c r="BH621" s="0" t="n">
        <v>0</v>
      </c>
      <c r="BI621" s="0" t="n">
        <v>0</v>
      </c>
      <c r="BJ621" s="0" t="n">
        <v>0</v>
      </c>
      <c r="BK621" s="0" t="n">
        <v>0</v>
      </c>
      <c r="BM621" s="6" t="n">
        <f aca="false">IFERROR(VALUE(F621),"")</f>
        <v>0</v>
      </c>
      <c r="BN621" s="6" t="n">
        <f aca="false">IF(R621="-","",IFERROR(VALUE(LEFT(Q621,LEN(Q621)-2)),""))</f>
        <v>0.14</v>
      </c>
      <c r="BO621" s="6" t="n">
        <f aca="false">IF(R621="-","",IFERROR(VALUE(LEFT(R621,LEN(R621)-5)),""))</f>
        <v>0</v>
      </c>
      <c r="BP621" s="6" t="n">
        <f aca="false">IF(R621="-","",IFERROR(VALUE(F621),""))</f>
        <v>0</v>
      </c>
      <c r="BQ621" s="4" t="n">
        <f aca="false">IF(R621="-",1,0)</f>
        <v>0</v>
      </c>
    </row>
    <row r="622" customFormat="false" ht="15" hidden="false" customHeight="false" outlineLevel="0" collapsed="false">
      <c r="A622" s="0" t="s">
        <v>2531</v>
      </c>
      <c r="B622" s="0" t="s">
        <v>2532</v>
      </c>
      <c r="C622" s="0" t="s">
        <v>70</v>
      </c>
      <c r="E622" s="3" t="n">
        <v>46273</v>
      </c>
      <c r="F622" s="4" t="s">
        <v>2533</v>
      </c>
      <c r="G622" s="5" t="n">
        <v>0.109259259259259</v>
      </c>
      <c r="H622" s="5" t="n">
        <v>0</v>
      </c>
      <c r="I622" s="5" t="n">
        <v>0.000231481481481482</v>
      </c>
      <c r="J622" s="0" t="n">
        <v>0</v>
      </c>
      <c r="K622" s="0" t="n">
        <v>1</v>
      </c>
      <c r="L622" s="0" t="n">
        <v>0</v>
      </c>
      <c r="M622" s="0" t="n">
        <v>0</v>
      </c>
      <c r="N622" s="0" t="n">
        <v>0</v>
      </c>
      <c r="O622" s="5" t="n">
        <v>0</v>
      </c>
      <c r="P622" s="5" t="n">
        <v>0.010150462962963</v>
      </c>
      <c r="Q622" s="4" t="s">
        <v>2534</v>
      </c>
      <c r="R622" s="4" t="s">
        <v>352</v>
      </c>
      <c r="S622" s="5" t="n">
        <v>0</v>
      </c>
      <c r="T622" s="5" t="n">
        <v>0.0430555555555556</v>
      </c>
      <c r="U622" s="5" t="n">
        <v>0.0484953703703704</v>
      </c>
      <c r="V622" s="5" t="n">
        <v>0.0162037037037037</v>
      </c>
      <c r="W622" s="5" t="n">
        <v>0</v>
      </c>
      <c r="X622" s="5" t="n">
        <v>0</v>
      </c>
      <c r="Y622" s="5" t="n">
        <v>0</v>
      </c>
      <c r="Z622" s="0" t="n">
        <v>0</v>
      </c>
      <c r="AA622" s="0" t="n">
        <v>0</v>
      </c>
      <c r="AB622" s="0" t="n">
        <v>0</v>
      </c>
      <c r="AC622" s="4" t="s">
        <v>2535</v>
      </c>
      <c r="AD622" s="4" t="s">
        <v>158</v>
      </c>
      <c r="AE622" s="4" t="s">
        <v>2536</v>
      </c>
      <c r="AF622" s="4" t="s">
        <v>2537</v>
      </c>
      <c r="AG622" s="5" t="n">
        <v>0.0917824074074074</v>
      </c>
      <c r="AH622" s="5" t="n">
        <v>0.0472106481481482</v>
      </c>
      <c r="AI622" s="5" t="n">
        <v>0</v>
      </c>
      <c r="AJ622" s="5" t="n">
        <v>0</v>
      </c>
      <c r="AK622" s="5" t="n">
        <v>0</v>
      </c>
      <c r="AL622" s="5" t="n">
        <v>0</v>
      </c>
      <c r="AM622" s="4" t="s">
        <v>78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  <c r="AU622" s="0" t="n">
        <v>1</v>
      </c>
      <c r="AV622" s="0" t="n">
        <v>0</v>
      </c>
      <c r="AW622" s="0" t="n">
        <v>0</v>
      </c>
      <c r="AX622" s="0" t="n">
        <v>0</v>
      </c>
      <c r="AY622" s="0" t="n">
        <v>0</v>
      </c>
      <c r="AZ622" s="0" t="n">
        <v>0</v>
      </c>
      <c r="BA622" s="0" t="n">
        <v>0</v>
      </c>
      <c r="BB622" s="0" t="n">
        <v>0</v>
      </c>
      <c r="BC622" s="0" t="n">
        <v>0</v>
      </c>
      <c r="BD622" s="0" t="n">
        <v>0</v>
      </c>
      <c r="BE622" s="0" t="n">
        <v>0</v>
      </c>
      <c r="BF622" s="0" t="n">
        <v>0</v>
      </c>
      <c r="BG622" s="0" t="n">
        <v>0</v>
      </c>
      <c r="BH622" s="0" t="n">
        <v>0</v>
      </c>
      <c r="BI622" s="0" t="n">
        <v>0</v>
      </c>
      <c r="BJ622" s="0" t="n">
        <v>0</v>
      </c>
      <c r="BK622" s="0" t="n">
        <v>0</v>
      </c>
      <c r="BM622" s="6" t="n">
        <f aca="false">IFERROR(VALUE(F622),"")</f>
        <v>64.04</v>
      </c>
      <c r="BN622" s="6" t="n">
        <f aca="false">IF(R622="-","",IFERROR(VALUE(LEFT(Q622,LEN(Q622)-2)),""))</f>
        <v>20.42</v>
      </c>
      <c r="BO622" s="6" t="n">
        <f aca="false">IF(R622="-","",IFERROR(VALUE(LEFT(R622,LEN(R622)-5)),""))</f>
        <v>3.14</v>
      </c>
      <c r="BP622" s="6" t="n">
        <f aca="false">IF(R622="-","",IFERROR(VALUE(F622),""))</f>
        <v>64.04</v>
      </c>
      <c r="BQ622" s="4" t="n">
        <f aca="false">IF(R622="-",1,0)</f>
        <v>0</v>
      </c>
    </row>
    <row r="623" customFormat="false" ht="15" hidden="false" customHeight="false" outlineLevel="0" collapsed="false">
      <c r="A623" s="0" t="s">
        <v>2531</v>
      </c>
      <c r="B623" s="0" t="s">
        <v>2532</v>
      </c>
      <c r="C623" s="0" t="s">
        <v>70</v>
      </c>
      <c r="E623" s="3" t="n">
        <v>46274</v>
      </c>
      <c r="F623" s="4" t="s">
        <v>2538</v>
      </c>
      <c r="G623" s="5" t="n">
        <v>0.117627314814815</v>
      </c>
      <c r="H623" s="5" t="n">
        <v>0</v>
      </c>
      <c r="I623" s="5" t="n">
        <v>0.000104166666666667</v>
      </c>
      <c r="J623" s="0" t="n">
        <v>0</v>
      </c>
      <c r="K623" s="0" t="n">
        <v>1</v>
      </c>
      <c r="L623" s="0" t="n">
        <v>0</v>
      </c>
      <c r="M623" s="0" t="n">
        <v>0</v>
      </c>
      <c r="N623" s="0" t="n">
        <v>0</v>
      </c>
      <c r="O623" s="5" t="n">
        <v>0</v>
      </c>
      <c r="P623" s="5" t="n">
        <v>0.0202662037037037</v>
      </c>
      <c r="Q623" s="4" t="s">
        <v>2539</v>
      </c>
      <c r="R623" s="4" t="s">
        <v>1400</v>
      </c>
      <c r="S623" s="5" t="n">
        <v>0</v>
      </c>
      <c r="T623" s="5" t="n">
        <v>0.0515046296296296</v>
      </c>
      <c r="U623" s="5" t="n">
        <v>0.0462962962962963</v>
      </c>
      <c r="V623" s="5" t="n">
        <v>0.0138888888888889</v>
      </c>
      <c r="W623" s="5" t="n">
        <v>0</v>
      </c>
      <c r="X623" s="5" t="n">
        <v>0</v>
      </c>
      <c r="Y623" s="5" t="n">
        <v>0</v>
      </c>
      <c r="Z623" s="0" t="n">
        <v>0</v>
      </c>
      <c r="AA623" s="0" t="n">
        <v>0</v>
      </c>
      <c r="AB623" s="0" t="n">
        <v>0</v>
      </c>
      <c r="AC623" s="4" t="s">
        <v>158</v>
      </c>
      <c r="AD623" s="4" t="s">
        <v>158</v>
      </c>
      <c r="AE623" s="4" t="s">
        <v>2537</v>
      </c>
      <c r="AF623" s="4" t="s">
        <v>2540</v>
      </c>
      <c r="AG623" s="5" t="n">
        <v>0.0860300925925926</v>
      </c>
      <c r="AH623" s="5" t="n">
        <v>0.087025462962963</v>
      </c>
      <c r="AI623" s="5" t="n">
        <v>0</v>
      </c>
      <c r="AJ623" s="5" t="n">
        <v>0</v>
      </c>
      <c r="AK623" s="5" t="n">
        <v>0</v>
      </c>
      <c r="AL623" s="5" t="n">
        <v>0</v>
      </c>
      <c r="AM623" s="4" t="s">
        <v>78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  <c r="AU623" s="0" t="n">
        <v>1</v>
      </c>
      <c r="AV623" s="0" t="n">
        <v>0</v>
      </c>
      <c r="AW623" s="0" t="n">
        <v>0</v>
      </c>
      <c r="AX623" s="0" t="n">
        <v>0</v>
      </c>
      <c r="AY623" s="0" t="n">
        <v>0</v>
      </c>
      <c r="AZ623" s="0" t="n">
        <v>0</v>
      </c>
      <c r="BA623" s="0" t="n">
        <v>0</v>
      </c>
      <c r="BB623" s="0" t="n">
        <v>0</v>
      </c>
      <c r="BC623" s="0" t="n">
        <v>0</v>
      </c>
      <c r="BD623" s="0" t="n">
        <v>0</v>
      </c>
      <c r="BE623" s="0" t="n">
        <v>0</v>
      </c>
      <c r="BF623" s="0" t="n">
        <v>0</v>
      </c>
      <c r="BG623" s="0" t="n">
        <v>0</v>
      </c>
      <c r="BH623" s="0" t="n">
        <v>0</v>
      </c>
      <c r="BI623" s="0" t="n">
        <v>0</v>
      </c>
      <c r="BJ623" s="0" t="n">
        <v>0</v>
      </c>
      <c r="BK623" s="0" t="n">
        <v>0</v>
      </c>
      <c r="BM623" s="6" t="n">
        <f aca="false">IFERROR(VALUE(F623),"")</f>
        <v>59.73</v>
      </c>
      <c r="BN623" s="6" t="n">
        <f aca="false">IF(R623="-","",IFERROR(VALUE(LEFT(Q623,LEN(Q623)-2)),""))</f>
        <v>18.88</v>
      </c>
      <c r="BO623" s="6" t="n">
        <f aca="false">IF(R623="-","",IFERROR(VALUE(LEFT(R623,LEN(R623)-5)),""))</f>
        <v>3.16</v>
      </c>
      <c r="BP623" s="6" t="n">
        <f aca="false">IF(R623="-","",IFERROR(VALUE(F623),""))</f>
        <v>59.73</v>
      </c>
      <c r="BQ623" s="4" t="n">
        <f aca="false">IF(R623="-",1,0)</f>
        <v>0</v>
      </c>
    </row>
    <row r="624" customFormat="false" ht="15" hidden="false" customHeight="false" outlineLevel="0" collapsed="false">
      <c r="A624" s="0" t="s">
        <v>2531</v>
      </c>
      <c r="B624" s="0" t="s">
        <v>2532</v>
      </c>
      <c r="C624" s="0" t="s">
        <v>70</v>
      </c>
      <c r="E624" s="3" t="n">
        <v>46275</v>
      </c>
      <c r="F624" s="4" t="s">
        <v>2541</v>
      </c>
      <c r="G624" s="5" t="n">
        <v>0.110324074074074</v>
      </c>
      <c r="H624" s="5" t="n">
        <v>0</v>
      </c>
      <c r="I624" s="5" t="n">
        <v>0.000208333333333333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5" t="n">
        <v>0</v>
      </c>
      <c r="P624" s="5" t="n">
        <v>0.00864583333333333</v>
      </c>
      <c r="Q624" s="4" t="s">
        <v>2542</v>
      </c>
      <c r="R624" s="4" t="s">
        <v>1130</v>
      </c>
      <c r="S624" s="5" t="n">
        <v>0</v>
      </c>
      <c r="T624" s="5" t="n">
        <v>0.0459490740740741</v>
      </c>
      <c r="U624" s="5" t="n">
        <v>0.049537037037037</v>
      </c>
      <c r="V624" s="5" t="n">
        <v>0.0134259259259259</v>
      </c>
      <c r="W624" s="5" t="n">
        <v>0</v>
      </c>
      <c r="X624" s="5" t="n">
        <v>0</v>
      </c>
      <c r="Y624" s="5" t="n">
        <v>0</v>
      </c>
      <c r="Z624" s="0" t="n">
        <v>0</v>
      </c>
      <c r="AA624" s="0" t="n">
        <v>0</v>
      </c>
      <c r="AB624" s="0" t="n">
        <v>0</v>
      </c>
      <c r="AC624" s="4" t="s">
        <v>158</v>
      </c>
      <c r="AD624" s="4" t="s">
        <v>158</v>
      </c>
      <c r="AE624" s="4" t="s">
        <v>2540</v>
      </c>
      <c r="AF624" s="4" t="s">
        <v>2543</v>
      </c>
      <c r="AG624" s="5" t="n">
        <v>0.089849537037037</v>
      </c>
      <c r="AH624" s="5" t="n">
        <v>0.0618518518518519</v>
      </c>
      <c r="AI624" s="5" t="n">
        <v>0</v>
      </c>
      <c r="AJ624" s="5" t="n">
        <v>0</v>
      </c>
      <c r="AK624" s="5" t="n">
        <v>0</v>
      </c>
      <c r="AL624" s="5" t="n">
        <v>0</v>
      </c>
      <c r="AM624" s="4" t="s">
        <v>78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  <c r="AU624" s="0" t="n">
        <v>2</v>
      </c>
      <c r="AV624" s="0" t="n">
        <v>0</v>
      </c>
      <c r="AW624" s="0" t="n">
        <v>0</v>
      </c>
      <c r="AX624" s="0" t="n">
        <v>0</v>
      </c>
      <c r="AY624" s="0" t="n">
        <v>0</v>
      </c>
      <c r="AZ624" s="0" t="n">
        <v>0</v>
      </c>
      <c r="BA624" s="0" t="n">
        <v>0</v>
      </c>
      <c r="BB624" s="0" t="n">
        <v>0</v>
      </c>
      <c r="BC624" s="0" t="n">
        <v>0</v>
      </c>
      <c r="BD624" s="0" t="n">
        <v>0</v>
      </c>
      <c r="BE624" s="0" t="n">
        <v>0</v>
      </c>
      <c r="BF624" s="0" t="n">
        <v>0</v>
      </c>
      <c r="BG624" s="0" t="n">
        <v>0</v>
      </c>
      <c r="BH624" s="0" t="n">
        <v>0</v>
      </c>
      <c r="BI624" s="0" t="n">
        <v>0</v>
      </c>
      <c r="BJ624" s="0" t="n">
        <v>0</v>
      </c>
      <c r="BK624" s="0" t="n">
        <v>0</v>
      </c>
      <c r="BM624" s="6" t="n">
        <f aca="false">IFERROR(VALUE(F624),"")</f>
        <v>64.42</v>
      </c>
      <c r="BN624" s="6" t="n">
        <f aca="false">IF(R624="-","",IFERROR(VALUE(LEFT(Q624,LEN(Q624)-2)),""))</f>
        <v>19.04</v>
      </c>
      <c r="BO624" s="6" t="n">
        <f aca="false">IF(R624="-","",IFERROR(VALUE(LEFT(R624,LEN(R624)-5)),""))</f>
        <v>3.38</v>
      </c>
      <c r="BP624" s="6" t="n">
        <f aca="false">IF(R624="-","",IFERROR(VALUE(F624),""))</f>
        <v>64.42</v>
      </c>
      <c r="BQ624" s="4" t="n">
        <f aca="false">IF(R624="-",1,0)</f>
        <v>0</v>
      </c>
    </row>
    <row r="625" customFormat="false" ht="15" hidden="false" customHeight="false" outlineLevel="0" collapsed="false">
      <c r="A625" s="0" t="s">
        <v>2531</v>
      </c>
      <c r="B625" s="0" t="s">
        <v>2532</v>
      </c>
      <c r="C625" s="0" t="s">
        <v>70</v>
      </c>
      <c r="E625" s="3" t="n">
        <v>46276</v>
      </c>
      <c r="F625" s="4" t="s">
        <v>2544</v>
      </c>
      <c r="G625" s="5" t="n">
        <v>0.110694444444444</v>
      </c>
      <c r="H625" s="5" t="n">
        <v>0</v>
      </c>
      <c r="I625" s="5" t="n">
        <v>0.000150462962962963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5" t="n">
        <v>0</v>
      </c>
      <c r="P625" s="5" t="n">
        <v>0.00784722222222222</v>
      </c>
      <c r="Q625" s="4" t="s">
        <v>2545</v>
      </c>
      <c r="R625" s="4" t="s">
        <v>863</v>
      </c>
      <c r="S625" s="5" t="n">
        <v>0</v>
      </c>
      <c r="T625" s="5" t="n">
        <v>0.0446759259259259</v>
      </c>
      <c r="U625" s="5" t="n">
        <v>0.0509259259259259</v>
      </c>
      <c r="V625" s="5" t="n">
        <v>0.0138888888888889</v>
      </c>
      <c r="W625" s="5" t="n">
        <v>0</v>
      </c>
      <c r="X625" s="5" t="n">
        <v>0</v>
      </c>
      <c r="Y625" s="5" t="n">
        <v>0</v>
      </c>
      <c r="Z625" s="0" t="n">
        <v>0</v>
      </c>
      <c r="AA625" s="0" t="n">
        <v>0</v>
      </c>
      <c r="AB625" s="0" t="n">
        <v>0</v>
      </c>
      <c r="AC625" s="4" t="s">
        <v>158</v>
      </c>
      <c r="AD625" s="4" t="s">
        <v>158</v>
      </c>
      <c r="AE625" s="4" t="s">
        <v>2543</v>
      </c>
      <c r="AF625" s="4" t="s">
        <v>2546</v>
      </c>
      <c r="AG625" s="5" t="n">
        <v>0.0967013888888889</v>
      </c>
      <c r="AH625" s="5" t="n">
        <v>0.0403703703703704</v>
      </c>
      <c r="AI625" s="5" t="n">
        <v>0</v>
      </c>
      <c r="AJ625" s="5" t="n">
        <v>0</v>
      </c>
      <c r="AK625" s="5" t="n">
        <v>0</v>
      </c>
      <c r="AL625" s="5" t="n">
        <v>0</v>
      </c>
      <c r="AM625" s="4" t="s">
        <v>78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  <c r="AU625" s="0" t="n">
        <v>0</v>
      </c>
      <c r="AV625" s="0" t="n">
        <v>0</v>
      </c>
      <c r="AW625" s="0" t="n">
        <v>0</v>
      </c>
      <c r="AX625" s="0" t="n">
        <v>0</v>
      </c>
      <c r="AY625" s="0" t="n">
        <v>0</v>
      </c>
      <c r="AZ625" s="0" t="n">
        <v>0</v>
      </c>
      <c r="BA625" s="0" t="n">
        <v>0</v>
      </c>
      <c r="BB625" s="0" t="n">
        <v>0</v>
      </c>
      <c r="BC625" s="0" t="n">
        <v>0</v>
      </c>
      <c r="BD625" s="0" t="n">
        <v>0</v>
      </c>
      <c r="BE625" s="0" t="n">
        <v>0</v>
      </c>
      <c r="BF625" s="0" t="n">
        <v>0</v>
      </c>
      <c r="BG625" s="0" t="n">
        <v>0</v>
      </c>
      <c r="BH625" s="0" t="n">
        <v>0</v>
      </c>
      <c r="BI625" s="0" t="n">
        <v>0</v>
      </c>
      <c r="BJ625" s="0" t="n">
        <v>0</v>
      </c>
      <c r="BK625" s="0" t="n">
        <v>0</v>
      </c>
      <c r="BM625" s="6" t="n">
        <f aca="false">IFERROR(VALUE(F625),"")</f>
        <v>64.38</v>
      </c>
      <c r="BN625" s="6" t="n">
        <f aca="false">IF(R625="-","",IFERROR(VALUE(LEFT(Q625,LEN(Q625)-2)),""))</f>
        <v>19.66</v>
      </c>
      <c r="BO625" s="6" t="n">
        <f aca="false">IF(R625="-","",IFERROR(VALUE(LEFT(R625,LEN(R625)-5)),""))</f>
        <v>3.27</v>
      </c>
      <c r="BP625" s="6" t="n">
        <f aca="false">IF(R625="-","",IFERROR(VALUE(F625),""))</f>
        <v>64.38</v>
      </c>
      <c r="BQ625" s="4" t="n">
        <f aca="false">IF(R625="-",1,0)</f>
        <v>0</v>
      </c>
    </row>
    <row r="626" customFormat="false" ht="15" hidden="false" customHeight="false" outlineLevel="0" collapsed="false">
      <c r="A626" s="0" t="s">
        <v>2531</v>
      </c>
      <c r="B626" s="0" t="s">
        <v>2532</v>
      </c>
      <c r="C626" s="0" t="s">
        <v>70</v>
      </c>
      <c r="E626" s="3" t="n">
        <v>46277</v>
      </c>
      <c r="F626" s="4" t="s">
        <v>2547</v>
      </c>
      <c r="G626" s="5" t="n">
        <v>0.00949074074074074</v>
      </c>
      <c r="H626" s="5" t="n">
        <v>0</v>
      </c>
      <c r="I626" s="5" t="n">
        <v>0.000613425925925926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5" t="n">
        <v>0</v>
      </c>
      <c r="P626" s="5" t="n">
        <v>0</v>
      </c>
      <c r="Q626" s="4" t="s">
        <v>2548</v>
      </c>
      <c r="R626" s="4" t="s">
        <v>2549</v>
      </c>
      <c r="S626" s="5" t="n">
        <v>0</v>
      </c>
      <c r="T626" s="5" t="n">
        <v>0.00763888888888889</v>
      </c>
      <c r="U626" s="5" t="n">
        <v>0.00138888888888889</v>
      </c>
      <c r="V626" s="5" t="n">
        <v>0</v>
      </c>
      <c r="W626" s="5" t="n">
        <v>0</v>
      </c>
      <c r="X626" s="5" t="n">
        <v>0</v>
      </c>
      <c r="Y626" s="5" t="n">
        <v>0</v>
      </c>
      <c r="Z626" s="0" t="n">
        <v>0</v>
      </c>
      <c r="AA626" s="0" t="n">
        <v>0</v>
      </c>
      <c r="AB626" s="0" t="n">
        <v>0</v>
      </c>
      <c r="AC626" s="4" t="s">
        <v>158</v>
      </c>
      <c r="AD626" s="4" t="s">
        <v>158</v>
      </c>
      <c r="AE626" s="4" t="s">
        <v>2546</v>
      </c>
      <c r="AF626" s="4" t="s">
        <v>2550</v>
      </c>
      <c r="AG626" s="5" t="n">
        <v>0.00211805555555556</v>
      </c>
      <c r="AH626" s="5" t="n">
        <v>0.0134837962962963</v>
      </c>
      <c r="AI626" s="5" t="n">
        <v>0</v>
      </c>
      <c r="AJ626" s="5" t="n">
        <v>0</v>
      </c>
      <c r="AK626" s="5" t="n">
        <v>0</v>
      </c>
      <c r="AL626" s="5" t="n">
        <v>0</v>
      </c>
      <c r="AM626" s="4" t="s">
        <v>78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0</v>
      </c>
      <c r="BA626" s="0" t="n">
        <v>0</v>
      </c>
      <c r="BB626" s="0" t="n">
        <v>0</v>
      </c>
      <c r="BC626" s="0" t="n">
        <v>0</v>
      </c>
      <c r="BD626" s="0" t="n">
        <v>0</v>
      </c>
      <c r="BE626" s="0" t="n">
        <v>0</v>
      </c>
      <c r="BF626" s="0" t="n">
        <v>0</v>
      </c>
      <c r="BG626" s="0" t="n">
        <v>0</v>
      </c>
      <c r="BH626" s="0" t="n">
        <v>0</v>
      </c>
      <c r="BI626" s="0" t="n">
        <v>0</v>
      </c>
      <c r="BJ626" s="0" t="n">
        <v>0</v>
      </c>
      <c r="BK626" s="0" t="n">
        <v>0</v>
      </c>
      <c r="BM626" s="6" t="n">
        <f aca="false">IFERROR(VALUE(F626),"")</f>
        <v>0.48</v>
      </c>
      <c r="BN626" s="6" t="n">
        <f aca="false">IF(R626="-","",IFERROR(VALUE(LEFT(Q626,LEN(Q626)-2)),""))</f>
        <v>0.59</v>
      </c>
      <c r="BO626" s="6" t="n">
        <f aca="false">IF(R626="-","",IFERROR(VALUE(LEFT(R626,LEN(R626)-5)),""))</f>
        <v>0.81</v>
      </c>
      <c r="BP626" s="6" t="n">
        <f aca="false">IF(R626="-","",IFERROR(VALUE(F626),""))</f>
        <v>0.48</v>
      </c>
      <c r="BQ626" s="4" t="n">
        <f aca="false">IF(R626="-",1,0)</f>
        <v>0</v>
      </c>
    </row>
    <row r="627" customFormat="false" ht="15" hidden="false" customHeight="false" outlineLevel="0" collapsed="false">
      <c r="A627" s="0" t="s">
        <v>2531</v>
      </c>
      <c r="B627" s="0" t="s">
        <v>2532</v>
      </c>
      <c r="C627" s="0" t="s">
        <v>70</v>
      </c>
      <c r="E627" s="3" t="n">
        <v>46279</v>
      </c>
      <c r="F627" s="4" t="s">
        <v>2551</v>
      </c>
      <c r="G627" s="5" t="n">
        <v>0.124571759259259</v>
      </c>
      <c r="H627" s="5" t="n">
        <v>0</v>
      </c>
      <c r="I627" s="5" t="n">
        <v>0.00025462962962963</v>
      </c>
      <c r="J627" s="0" t="n">
        <v>0</v>
      </c>
      <c r="K627" s="0" t="n">
        <v>2</v>
      </c>
      <c r="L627" s="0" t="n">
        <v>0</v>
      </c>
      <c r="M627" s="0" t="n">
        <v>0</v>
      </c>
      <c r="N627" s="0" t="n">
        <v>0</v>
      </c>
      <c r="O627" s="5" t="n">
        <v>0</v>
      </c>
      <c r="P627" s="5" t="n">
        <v>0.0143055555555556</v>
      </c>
      <c r="Q627" s="4" t="s">
        <v>2552</v>
      </c>
      <c r="R627" s="4" t="s">
        <v>2113</v>
      </c>
      <c r="S627" s="5" t="n">
        <v>0</v>
      </c>
      <c r="T627" s="5" t="n">
        <v>0.0497685185185185</v>
      </c>
      <c r="U627" s="5" t="n">
        <v>0.0571759259259259</v>
      </c>
      <c r="V627" s="5" t="n">
        <v>0.00983796296296296</v>
      </c>
      <c r="W627" s="5" t="n">
        <v>0</v>
      </c>
      <c r="X627" s="5" t="n">
        <v>0</v>
      </c>
      <c r="Y627" s="5" t="n">
        <v>0</v>
      </c>
      <c r="Z627" s="0" t="n">
        <v>0</v>
      </c>
      <c r="AA627" s="0" t="n">
        <v>0</v>
      </c>
      <c r="AB627" s="0" t="n">
        <v>0</v>
      </c>
      <c r="AC627" s="4" t="s">
        <v>158</v>
      </c>
      <c r="AD627" s="4" t="s">
        <v>864</v>
      </c>
      <c r="AE627" s="4" t="s">
        <v>2550</v>
      </c>
      <c r="AF627" s="4" t="s">
        <v>2553</v>
      </c>
      <c r="AG627" s="5" t="n">
        <v>0.0952777777777778</v>
      </c>
      <c r="AH627" s="5" t="n">
        <v>0.0583449074074074</v>
      </c>
      <c r="AI627" s="5" t="n">
        <v>0</v>
      </c>
      <c r="AJ627" s="5" t="n">
        <v>0</v>
      </c>
      <c r="AK627" s="5" t="n">
        <v>0</v>
      </c>
      <c r="AL627" s="5" t="n">
        <v>0</v>
      </c>
      <c r="AM627" s="4" t="s">
        <v>78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  <c r="AU627" s="0" t="n">
        <v>0</v>
      </c>
      <c r="AV627" s="0" t="n">
        <v>0</v>
      </c>
      <c r="AW627" s="0" t="n">
        <v>0</v>
      </c>
      <c r="AX627" s="0" t="n">
        <v>0</v>
      </c>
      <c r="AY627" s="0" t="n">
        <v>0</v>
      </c>
      <c r="AZ627" s="0" t="n">
        <v>0</v>
      </c>
      <c r="BA627" s="0" t="n">
        <v>0</v>
      </c>
      <c r="BB627" s="0" t="n">
        <v>0</v>
      </c>
      <c r="BC627" s="0" t="n">
        <v>0</v>
      </c>
      <c r="BD627" s="0" t="n">
        <v>0</v>
      </c>
      <c r="BE627" s="0" t="n">
        <v>0</v>
      </c>
      <c r="BF627" s="0" t="n">
        <v>0</v>
      </c>
      <c r="BG627" s="0" t="n">
        <v>0</v>
      </c>
      <c r="BH627" s="0" t="n">
        <v>0</v>
      </c>
      <c r="BI627" s="0" t="n">
        <v>0</v>
      </c>
      <c r="BJ627" s="0" t="n">
        <v>0</v>
      </c>
      <c r="BK627" s="0" t="n">
        <v>0</v>
      </c>
      <c r="BM627" s="6" t="n">
        <f aca="false">IFERROR(VALUE(F627),"")</f>
        <v>64.4</v>
      </c>
      <c r="BN627" s="6" t="n">
        <f aca="false">IF(R627="-","",IFERROR(VALUE(LEFT(Q627,LEN(Q627)-2)),""))</f>
        <v>19.51</v>
      </c>
      <c r="BO627" s="6" t="n">
        <f aca="false">IF(R627="-","",IFERROR(VALUE(LEFT(R627,LEN(R627)-5)),""))</f>
        <v>3.3</v>
      </c>
      <c r="BP627" s="6" t="n">
        <f aca="false">IF(R627="-","",IFERROR(VALUE(F627),""))</f>
        <v>64.4</v>
      </c>
      <c r="BQ627" s="4" t="n">
        <f aca="false">IF(R627="-",1,0)</f>
        <v>0</v>
      </c>
    </row>
    <row r="628" customFormat="false" ht="15" hidden="false" customHeight="false" outlineLevel="0" collapsed="false">
      <c r="A628" s="0" t="s">
        <v>2554</v>
      </c>
      <c r="B628" s="0" t="s">
        <v>2555</v>
      </c>
      <c r="C628" s="0" t="s">
        <v>70</v>
      </c>
      <c r="E628" s="3" t="n">
        <v>46273</v>
      </c>
      <c r="F628" s="4" t="s">
        <v>2556</v>
      </c>
      <c r="G628" s="5" t="n">
        <v>0.00524305555555556</v>
      </c>
      <c r="H628" s="5" t="n">
        <v>0</v>
      </c>
      <c r="I628" s="5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5" t="n">
        <v>0</v>
      </c>
      <c r="P628" s="5" t="n">
        <v>0</v>
      </c>
      <c r="Q628" s="4" t="s">
        <v>971</v>
      </c>
      <c r="R628" s="4" t="s">
        <v>2557</v>
      </c>
      <c r="S628" s="5" t="n">
        <v>0</v>
      </c>
      <c r="T628" s="5" t="n">
        <v>0.00520833333333333</v>
      </c>
      <c r="U628" s="5" t="n">
        <v>0</v>
      </c>
      <c r="V628" s="5" t="n">
        <v>0</v>
      </c>
      <c r="W628" s="5" t="n">
        <v>0</v>
      </c>
      <c r="X628" s="5" t="n">
        <v>0</v>
      </c>
      <c r="Y628" s="5" t="n">
        <v>0</v>
      </c>
      <c r="Z628" s="0" t="n">
        <v>0</v>
      </c>
      <c r="AA628" s="0" t="n">
        <v>0</v>
      </c>
      <c r="AB628" s="0" t="n">
        <v>0</v>
      </c>
      <c r="AC628" s="4" t="s">
        <v>74</v>
      </c>
      <c r="AD628" s="4" t="s">
        <v>74</v>
      </c>
      <c r="AE628" s="4" t="s">
        <v>2558</v>
      </c>
      <c r="AF628" s="4" t="s">
        <v>2559</v>
      </c>
      <c r="AG628" s="5" t="n">
        <v>0.00315972222222222</v>
      </c>
      <c r="AH628" s="5" t="n">
        <v>0.00386574074074074</v>
      </c>
      <c r="AI628" s="5" t="n">
        <v>0</v>
      </c>
      <c r="AJ628" s="5" t="n">
        <v>0</v>
      </c>
      <c r="AK628" s="5" t="n">
        <v>0</v>
      </c>
      <c r="AL628" s="5" t="n">
        <v>0</v>
      </c>
      <c r="AM628" s="4" t="s">
        <v>78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  <c r="AU628" s="0" t="n">
        <v>0</v>
      </c>
      <c r="AV628" s="0" t="n">
        <v>0</v>
      </c>
      <c r="AW628" s="0" t="n">
        <v>0</v>
      </c>
      <c r="AX628" s="0" t="n">
        <v>0</v>
      </c>
      <c r="AY628" s="0" t="n">
        <v>0</v>
      </c>
      <c r="AZ628" s="0" t="n">
        <v>0</v>
      </c>
      <c r="BA628" s="0" t="n">
        <v>0</v>
      </c>
      <c r="BB628" s="0" t="n">
        <v>0</v>
      </c>
      <c r="BC628" s="0" t="n">
        <v>0</v>
      </c>
      <c r="BD628" s="0" t="n">
        <v>0</v>
      </c>
      <c r="BE628" s="0" t="n">
        <v>0</v>
      </c>
      <c r="BF628" s="0" t="n">
        <v>0</v>
      </c>
      <c r="BG628" s="0" t="n">
        <v>0</v>
      </c>
      <c r="BH628" s="0" t="n">
        <v>0</v>
      </c>
      <c r="BI628" s="0" t="n">
        <v>0</v>
      </c>
      <c r="BJ628" s="0" t="n">
        <v>0</v>
      </c>
      <c r="BK628" s="0" t="n">
        <v>0</v>
      </c>
      <c r="BM628" s="6" t="n">
        <f aca="false">IFERROR(VALUE(F628),"")</f>
        <v>0.24</v>
      </c>
      <c r="BN628" s="6" t="n">
        <f aca="false">IF(R628="-","",IFERROR(VALUE(LEFT(Q628,LEN(Q628)-2)),""))</f>
        <v>0.5</v>
      </c>
      <c r="BO628" s="6" t="n">
        <f aca="false">IF(R628="-","",IFERROR(VALUE(LEFT(R628,LEN(R628)-5)),""))</f>
        <v>0.48</v>
      </c>
      <c r="BP628" s="6" t="n">
        <f aca="false">IF(R628="-","",IFERROR(VALUE(F628),""))</f>
        <v>0.24</v>
      </c>
      <c r="BQ628" s="4" t="n">
        <f aca="false">IF(R628="-",1,0)</f>
        <v>0</v>
      </c>
    </row>
    <row r="629" customFormat="false" ht="15" hidden="false" customHeight="false" outlineLevel="0" collapsed="false">
      <c r="A629" s="0" t="s">
        <v>2554</v>
      </c>
      <c r="B629" s="0" t="s">
        <v>2555</v>
      </c>
      <c r="C629" s="0" t="s">
        <v>70</v>
      </c>
      <c r="E629" s="3" t="n">
        <v>46274</v>
      </c>
      <c r="F629" s="4" t="s">
        <v>2560</v>
      </c>
      <c r="G629" s="5" t="n">
        <v>0.0103703703703704</v>
      </c>
      <c r="H629" s="5" t="n">
        <v>0</v>
      </c>
      <c r="I629" s="5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5" t="n">
        <v>0</v>
      </c>
      <c r="P629" s="5" t="n">
        <v>0</v>
      </c>
      <c r="Q629" s="4" t="s">
        <v>971</v>
      </c>
      <c r="R629" s="4" t="s">
        <v>2561</v>
      </c>
      <c r="S629" s="5" t="n">
        <v>0</v>
      </c>
      <c r="T629" s="5" t="n">
        <v>0.00833333333333333</v>
      </c>
      <c r="U629" s="5" t="n">
        <v>0.00115740740740741</v>
      </c>
      <c r="V629" s="5" t="n">
        <v>0.000694444444444445</v>
      </c>
      <c r="W629" s="5" t="n">
        <v>0</v>
      </c>
      <c r="X629" s="5" t="n">
        <v>0</v>
      </c>
      <c r="Y629" s="5" t="n">
        <v>0</v>
      </c>
      <c r="Z629" s="0" t="n">
        <v>0</v>
      </c>
      <c r="AA629" s="0" t="n">
        <v>0</v>
      </c>
      <c r="AB629" s="0" t="n">
        <v>0</v>
      </c>
      <c r="AC629" s="4" t="s">
        <v>74</v>
      </c>
      <c r="AD629" s="4" t="s">
        <v>228</v>
      </c>
      <c r="AE629" s="4" t="s">
        <v>2559</v>
      </c>
      <c r="AF629" s="4" t="s">
        <v>2562</v>
      </c>
      <c r="AG629" s="5" t="n">
        <v>0.00541666666666667</v>
      </c>
      <c r="AH629" s="5" t="n">
        <v>0.0233680555555556</v>
      </c>
      <c r="AI629" s="5" t="n">
        <v>0</v>
      </c>
      <c r="AJ629" s="5" t="n">
        <v>0</v>
      </c>
      <c r="AK629" s="5" t="n">
        <v>0</v>
      </c>
      <c r="AL629" s="5" t="n">
        <v>0</v>
      </c>
      <c r="AM629" s="4" t="s">
        <v>78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  <c r="AU629" s="0" t="n">
        <v>0</v>
      </c>
      <c r="AV629" s="0" t="n">
        <v>0</v>
      </c>
      <c r="AW629" s="0" t="n">
        <v>0</v>
      </c>
      <c r="AX629" s="0" t="n">
        <v>0</v>
      </c>
      <c r="AY629" s="0" t="n">
        <v>0</v>
      </c>
      <c r="AZ629" s="0" t="n">
        <v>0</v>
      </c>
      <c r="BA629" s="0" t="n">
        <v>0</v>
      </c>
      <c r="BB629" s="0" t="n">
        <v>0</v>
      </c>
      <c r="BC629" s="0" t="n">
        <v>0</v>
      </c>
      <c r="BD629" s="0" t="n">
        <v>0</v>
      </c>
      <c r="BE629" s="0" t="n">
        <v>0</v>
      </c>
      <c r="BF629" s="0" t="n">
        <v>0</v>
      </c>
      <c r="BG629" s="0" t="n">
        <v>0</v>
      </c>
      <c r="BH629" s="0" t="n">
        <v>0</v>
      </c>
      <c r="BI629" s="0" t="n">
        <v>0</v>
      </c>
      <c r="BJ629" s="0" t="n">
        <v>0</v>
      </c>
      <c r="BK629" s="0" t="n">
        <v>0</v>
      </c>
      <c r="BM629" s="6" t="n">
        <f aca="false">IFERROR(VALUE(F629),"")</f>
        <v>0.55</v>
      </c>
      <c r="BN629" s="6" t="n">
        <f aca="false">IF(R629="-","",IFERROR(VALUE(LEFT(Q629,LEN(Q629)-2)),""))</f>
        <v>0.5</v>
      </c>
      <c r="BO629" s="6" t="n">
        <f aca="false">IF(R629="-","",IFERROR(VALUE(LEFT(R629,LEN(R629)-5)),""))</f>
        <v>1.11</v>
      </c>
      <c r="BP629" s="6" t="n">
        <f aca="false">IF(R629="-","",IFERROR(VALUE(F629),""))</f>
        <v>0.55</v>
      </c>
      <c r="BQ629" s="4" t="n">
        <f aca="false">IF(R629="-",1,0)</f>
        <v>0</v>
      </c>
    </row>
    <row r="630" customFormat="false" ht="15" hidden="false" customHeight="false" outlineLevel="0" collapsed="false">
      <c r="A630" s="0" t="s">
        <v>2554</v>
      </c>
      <c r="B630" s="0" t="s">
        <v>2555</v>
      </c>
      <c r="C630" s="0" t="s">
        <v>70</v>
      </c>
      <c r="D630" s="0" t="s">
        <v>2563</v>
      </c>
      <c r="E630" s="3" t="n">
        <v>46275</v>
      </c>
      <c r="F630" s="4" t="s">
        <v>2564</v>
      </c>
      <c r="G630" s="5" t="n">
        <v>0.267638888888889</v>
      </c>
      <c r="H630" s="5" t="n">
        <v>0.00303240740740741</v>
      </c>
      <c r="I630" s="5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5" t="n">
        <v>0</v>
      </c>
      <c r="P630" s="5" t="n">
        <v>0.0135069444444444</v>
      </c>
      <c r="Q630" s="4" t="s">
        <v>2358</v>
      </c>
      <c r="R630" s="4" t="s">
        <v>2565</v>
      </c>
      <c r="S630" s="5" t="n">
        <v>0</v>
      </c>
      <c r="T630" s="5" t="n">
        <v>0.0275462962962963</v>
      </c>
      <c r="U630" s="5" t="n">
        <v>0.00138888888888889</v>
      </c>
      <c r="V630" s="5" t="n">
        <v>0.000347222222222222</v>
      </c>
      <c r="W630" s="5" t="n">
        <v>0</v>
      </c>
      <c r="X630" s="5" t="n">
        <v>0</v>
      </c>
      <c r="Y630" s="5" t="n">
        <v>0</v>
      </c>
      <c r="Z630" s="0" t="n">
        <v>0</v>
      </c>
      <c r="AA630" s="0" t="n">
        <v>0</v>
      </c>
      <c r="AB630" s="0" t="n">
        <v>0</v>
      </c>
      <c r="AC630" s="4" t="s">
        <v>75</v>
      </c>
      <c r="AD630" s="4" t="s">
        <v>75</v>
      </c>
      <c r="AE630" s="4" t="s">
        <v>2562</v>
      </c>
      <c r="AF630" s="4" t="s">
        <v>2566</v>
      </c>
      <c r="AG630" s="5" t="n">
        <v>0.00456018518518519</v>
      </c>
      <c r="AH630" s="5" t="n">
        <v>0.334780092592593</v>
      </c>
      <c r="AI630" s="5" t="n">
        <v>0</v>
      </c>
      <c r="AJ630" s="5" t="n">
        <v>0</v>
      </c>
      <c r="AK630" s="5" t="n">
        <v>0</v>
      </c>
      <c r="AL630" s="5" t="n">
        <v>0</v>
      </c>
      <c r="AM630" s="4" t="s">
        <v>78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  <c r="AU630" s="0" t="n">
        <v>0</v>
      </c>
      <c r="AV630" s="0" t="n">
        <v>0</v>
      </c>
      <c r="AW630" s="0" t="n">
        <v>0</v>
      </c>
      <c r="AX630" s="0" t="n">
        <v>0</v>
      </c>
      <c r="AY630" s="0" t="n">
        <v>0</v>
      </c>
      <c r="AZ630" s="0" t="n">
        <v>0</v>
      </c>
      <c r="BA630" s="0" t="n">
        <v>0</v>
      </c>
      <c r="BB630" s="0" t="n">
        <v>0</v>
      </c>
      <c r="BC630" s="0" t="n">
        <v>0</v>
      </c>
      <c r="BD630" s="0" t="n">
        <v>0</v>
      </c>
      <c r="BE630" s="0" t="n">
        <v>0</v>
      </c>
      <c r="BF630" s="0" t="n">
        <v>0</v>
      </c>
      <c r="BG630" s="0" t="n">
        <v>0</v>
      </c>
      <c r="BH630" s="0" t="n">
        <v>0</v>
      </c>
      <c r="BI630" s="0" t="n">
        <v>0</v>
      </c>
      <c r="BJ630" s="0" t="n">
        <v>0</v>
      </c>
      <c r="BK630" s="0" t="n">
        <v>0</v>
      </c>
      <c r="BM630" s="6" t="n">
        <f aca="false">IFERROR(VALUE(F630),"")</f>
        <v>0.66</v>
      </c>
      <c r="BN630" s="6" t="n">
        <f aca="false">IF(R630="-","",IFERROR(VALUE(LEFT(Q630,LEN(Q630)-2)),""))</f>
        <v>1.5</v>
      </c>
      <c r="BO630" s="6" t="n">
        <f aca="false">IF(R630="-","",IFERROR(VALUE(LEFT(R630,LEN(R630)-5)),""))</f>
        <v>0.44</v>
      </c>
      <c r="BP630" s="6" t="n">
        <f aca="false">IF(R630="-","",IFERROR(VALUE(F630),""))</f>
        <v>0.66</v>
      </c>
      <c r="BQ630" s="4" t="n">
        <f aca="false">IF(R630="-",1,0)</f>
        <v>0</v>
      </c>
    </row>
    <row r="631" customFormat="false" ht="15" hidden="false" customHeight="false" outlineLevel="0" collapsed="false">
      <c r="A631" s="0" t="s">
        <v>2554</v>
      </c>
      <c r="B631" s="0" t="s">
        <v>2555</v>
      </c>
      <c r="C631" s="0" t="s">
        <v>70</v>
      </c>
      <c r="D631" s="0" t="s">
        <v>2567</v>
      </c>
      <c r="E631" s="3" t="n">
        <v>46276</v>
      </c>
      <c r="F631" s="4" t="s">
        <v>2568</v>
      </c>
      <c r="G631" s="5" t="n">
        <v>0.227847222222222</v>
      </c>
      <c r="H631" s="5" t="n">
        <v>0.102719907407407</v>
      </c>
      <c r="I631" s="5" t="n">
        <v>0.00233796296296296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3</v>
      </c>
      <c r="O631" s="5" t="n">
        <v>0</v>
      </c>
      <c r="P631" s="5" t="n">
        <v>0.00756944444444445</v>
      </c>
      <c r="Q631" s="4" t="s">
        <v>2569</v>
      </c>
      <c r="R631" s="4" t="s">
        <v>336</v>
      </c>
      <c r="S631" s="5" t="n">
        <v>0.000115740740740741</v>
      </c>
      <c r="T631" s="5" t="n">
        <v>0.090162037037037</v>
      </c>
      <c r="U631" s="5" t="n">
        <v>0.0916666666666667</v>
      </c>
      <c r="V631" s="5" t="n">
        <v>0.0329861111111111</v>
      </c>
      <c r="W631" s="5" t="n">
        <v>0</v>
      </c>
      <c r="X631" s="5" t="n">
        <v>0</v>
      </c>
      <c r="Y631" s="5" t="n">
        <v>0</v>
      </c>
      <c r="Z631" s="0" t="n">
        <v>0</v>
      </c>
      <c r="AA631" s="0" t="n">
        <v>0</v>
      </c>
      <c r="AB631" s="0" t="n">
        <v>0</v>
      </c>
      <c r="AC631" s="4" t="s">
        <v>81</v>
      </c>
      <c r="AD631" s="4" t="s">
        <v>75</v>
      </c>
      <c r="AE631" s="4" t="s">
        <v>2566</v>
      </c>
      <c r="AF631" s="4" t="s">
        <v>2570</v>
      </c>
      <c r="AG631" s="5" t="n">
        <v>0.186990740740741</v>
      </c>
      <c r="AH631" s="5" t="n">
        <v>0.0831365740740741</v>
      </c>
      <c r="AI631" s="5" t="n">
        <v>0</v>
      </c>
      <c r="AJ631" s="5" t="n">
        <v>0</v>
      </c>
      <c r="AK631" s="5" t="n">
        <v>0</v>
      </c>
      <c r="AL631" s="5" t="n">
        <v>0</v>
      </c>
      <c r="AM631" s="4" t="s">
        <v>78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  <c r="AU631" s="0" t="n">
        <v>0</v>
      </c>
      <c r="AV631" s="0" t="n">
        <v>0</v>
      </c>
      <c r="AW631" s="0" t="n">
        <v>0</v>
      </c>
      <c r="AX631" s="0" t="n">
        <v>0</v>
      </c>
      <c r="AY631" s="0" t="n">
        <v>0</v>
      </c>
      <c r="AZ631" s="0" t="n">
        <v>0</v>
      </c>
      <c r="BA631" s="0" t="n">
        <v>0</v>
      </c>
      <c r="BB631" s="0" t="n">
        <v>0</v>
      </c>
      <c r="BC631" s="0" t="n">
        <v>0</v>
      </c>
      <c r="BD631" s="0" t="n">
        <v>0</v>
      </c>
      <c r="BE631" s="0" t="n">
        <v>0</v>
      </c>
      <c r="BF631" s="0" t="n">
        <v>0</v>
      </c>
      <c r="BG631" s="0" t="n">
        <v>0</v>
      </c>
      <c r="BH631" s="0" t="n">
        <v>0</v>
      </c>
      <c r="BI631" s="0" t="n">
        <v>0</v>
      </c>
      <c r="BJ631" s="0" t="n">
        <v>0</v>
      </c>
      <c r="BK631" s="0" t="n">
        <v>0</v>
      </c>
      <c r="BM631" s="6" t="n">
        <f aca="false">IFERROR(VALUE(F631),"")</f>
        <v>94.78</v>
      </c>
      <c r="BN631" s="6" t="n">
        <f aca="false">IF(R631="-","",IFERROR(VALUE(LEFT(Q631,LEN(Q631)-2)),""))</f>
        <v>33.5</v>
      </c>
      <c r="BO631" s="6" t="n">
        <f aca="false">IF(R631="-","",IFERROR(VALUE(LEFT(R631,LEN(R631)-5)),""))</f>
        <v>2.83</v>
      </c>
      <c r="BP631" s="6" t="n">
        <f aca="false">IF(R631="-","",IFERROR(VALUE(F631),""))</f>
        <v>94.78</v>
      </c>
      <c r="BQ631" s="4" t="n">
        <f aca="false">IF(R631="-",1,0)</f>
        <v>0</v>
      </c>
    </row>
    <row r="632" customFormat="false" ht="15" hidden="false" customHeight="false" outlineLevel="0" collapsed="false">
      <c r="A632" s="0" t="s">
        <v>2554</v>
      </c>
      <c r="B632" s="0" t="s">
        <v>2555</v>
      </c>
      <c r="C632" s="0" t="s">
        <v>70</v>
      </c>
      <c r="D632" s="0" t="s">
        <v>2571</v>
      </c>
      <c r="E632" s="3" t="n">
        <v>46277</v>
      </c>
      <c r="F632" s="4" t="s">
        <v>2572</v>
      </c>
      <c r="G632" s="5" t="n">
        <v>0.0709259259259259</v>
      </c>
      <c r="H632" s="5" t="n">
        <v>0.0495717592592593</v>
      </c>
      <c r="I632" s="5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5" t="n">
        <v>0</v>
      </c>
      <c r="P632" s="5" t="n">
        <v>0.0133796296296296</v>
      </c>
      <c r="Q632" s="4" t="s">
        <v>1992</v>
      </c>
      <c r="R632" s="4" t="s">
        <v>487</v>
      </c>
      <c r="S632" s="5" t="n">
        <v>0.000115740740740741</v>
      </c>
      <c r="T632" s="5" t="n">
        <v>0.0362268518518519</v>
      </c>
      <c r="U632" s="5" t="n">
        <v>0.0256944444444444</v>
      </c>
      <c r="V632" s="5" t="n">
        <v>0.00659722222222222</v>
      </c>
      <c r="W632" s="5" t="n">
        <v>0</v>
      </c>
      <c r="X632" s="5" t="n">
        <v>0</v>
      </c>
      <c r="Y632" s="5" t="n">
        <v>0</v>
      </c>
      <c r="Z632" s="0" t="n">
        <v>0</v>
      </c>
      <c r="AA632" s="0" t="n">
        <v>0</v>
      </c>
      <c r="AB632" s="0" t="n">
        <v>0</v>
      </c>
      <c r="AC632" s="4" t="s">
        <v>111</v>
      </c>
      <c r="AD632" s="4" t="s">
        <v>75</v>
      </c>
      <c r="AE632" s="4" t="s">
        <v>2570</v>
      </c>
      <c r="AF632" s="4" t="s">
        <v>2573</v>
      </c>
      <c r="AG632" s="5" t="n">
        <v>0.0454976851851852</v>
      </c>
      <c r="AH632" s="5" t="n">
        <v>0.115231481481482</v>
      </c>
      <c r="AI632" s="5" t="n">
        <v>0</v>
      </c>
      <c r="AJ632" s="5" t="n">
        <v>0</v>
      </c>
      <c r="AK632" s="5" t="n">
        <v>0</v>
      </c>
      <c r="AL632" s="5" t="n">
        <v>0</v>
      </c>
      <c r="AM632" s="4" t="s">
        <v>78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  <c r="AU632" s="0" t="n">
        <v>0</v>
      </c>
      <c r="AV632" s="0" t="n">
        <v>0</v>
      </c>
      <c r="AW632" s="0" t="n">
        <v>0</v>
      </c>
      <c r="AX632" s="0" t="n">
        <v>0</v>
      </c>
      <c r="AY632" s="0" t="n">
        <v>0</v>
      </c>
      <c r="AZ632" s="0" t="n">
        <v>0</v>
      </c>
      <c r="BA632" s="0" t="n">
        <v>0</v>
      </c>
      <c r="BB632" s="0" t="n">
        <v>0</v>
      </c>
      <c r="BC632" s="0" t="n">
        <v>0</v>
      </c>
      <c r="BD632" s="0" t="n">
        <v>0</v>
      </c>
      <c r="BE632" s="0" t="n">
        <v>0</v>
      </c>
      <c r="BF632" s="0" t="n">
        <v>0</v>
      </c>
      <c r="BG632" s="0" t="n">
        <v>0</v>
      </c>
      <c r="BH632" s="0" t="n">
        <v>0</v>
      </c>
      <c r="BI632" s="0" t="n">
        <v>0</v>
      </c>
      <c r="BJ632" s="0" t="n">
        <v>0</v>
      </c>
      <c r="BK632" s="0" t="n">
        <v>0</v>
      </c>
      <c r="BM632" s="6" t="n">
        <f aca="false">IFERROR(VALUE(F632),"")</f>
        <v>20.37</v>
      </c>
      <c r="BN632" s="6" t="n">
        <f aca="false">IF(R632="-","",IFERROR(VALUE(LEFT(Q632,LEN(Q632)-2)),""))</f>
        <v>7.49</v>
      </c>
      <c r="BO632" s="6" t="n">
        <f aca="false">IF(R632="-","",IFERROR(VALUE(LEFT(R632,LEN(R632)-5)),""))</f>
        <v>2.72</v>
      </c>
      <c r="BP632" s="6" t="n">
        <f aca="false">IF(R632="-","",IFERROR(VALUE(F632),""))</f>
        <v>20.37</v>
      </c>
      <c r="BQ632" s="4" t="n">
        <f aca="false">IF(R632="-",1,0)</f>
        <v>0</v>
      </c>
    </row>
    <row r="633" customFormat="false" ht="15" hidden="false" customHeight="false" outlineLevel="0" collapsed="false">
      <c r="A633" s="0" t="s">
        <v>2554</v>
      </c>
      <c r="B633" s="0" t="s">
        <v>2555</v>
      </c>
      <c r="C633" s="0" t="s">
        <v>70</v>
      </c>
      <c r="E633" s="3" t="n">
        <v>46278</v>
      </c>
      <c r="F633" s="4" t="s">
        <v>2574</v>
      </c>
      <c r="G633" s="5" t="n">
        <v>0.00424768518518519</v>
      </c>
      <c r="H633" s="5" t="n">
        <v>0</v>
      </c>
      <c r="I633" s="5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5" t="n">
        <v>0</v>
      </c>
      <c r="P633" s="5" t="n">
        <v>0</v>
      </c>
      <c r="Q633" s="4" t="s">
        <v>971</v>
      </c>
      <c r="R633" s="4" t="s">
        <v>2549</v>
      </c>
      <c r="S633" s="5" t="n">
        <v>0</v>
      </c>
      <c r="T633" s="5" t="n">
        <v>0.00300925925925926</v>
      </c>
      <c r="U633" s="5" t="n">
        <v>0.00115740740740741</v>
      </c>
      <c r="V633" s="5" t="n">
        <v>0</v>
      </c>
      <c r="W633" s="5" t="n">
        <v>0</v>
      </c>
      <c r="X633" s="5" t="n">
        <v>0</v>
      </c>
      <c r="Y633" s="5" t="n">
        <v>0</v>
      </c>
      <c r="Z633" s="0" t="n">
        <v>0</v>
      </c>
      <c r="AA633" s="0" t="n">
        <v>0</v>
      </c>
      <c r="AB633" s="0" t="n">
        <v>0</v>
      </c>
      <c r="AE633" s="4" t="s">
        <v>2573</v>
      </c>
      <c r="AF633" s="4" t="s">
        <v>2575</v>
      </c>
      <c r="AG633" s="5" t="n">
        <v>0.00349537037037037</v>
      </c>
      <c r="AH633" s="5" t="n">
        <v>0.00422453703703704</v>
      </c>
      <c r="AI633" s="5" t="n">
        <v>0</v>
      </c>
      <c r="AJ633" s="5" t="n">
        <v>0</v>
      </c>
      <c r="AK633" s="5" t="n">
        <v>0</v>
      </c>
      <c r="AL633" s="5" t="n">
        <v>0</v>
      </c>
      <c r="AM633" s="4" t="s">
        <v>78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  <c r="BA633" s="0" t="n">
        <v>0</v>
      </c>
      <c r="BB633" s="0" t="n">
        <v>0</v>
      </c>
      <c r="BC633" s="0" t="n">
        <v>0</v>
      </c>
      <c r="BD633" s="0" t="n">
        <v>0</v>
      </c>
      <c r="BE633" s="0" t="n">
        <v>0</v>
      </c>
      <c r="BF633" s="0" t="n">
        <v>0</v>
      </c>
      <c r="BG633" s="0" t="n">
        <v>0</v>
      </c>
      <c r="BH633" s="0" t="n">
        <v>0</v>
      </c>
      <c r="BI633" s="0" t="n">
        <v>0</v>
      </c>
      <c r="BJ633" s="0" t="n">
        <v>0</v>
      </c>
      <c r="BK633" s="0" t="n">
        <v>0</v>
      </c>
      <c r="BM633" s="6" t="n">
        <f aca="false">IFERROR(VALUE(F633),"")</f>
        <v>0.4</v>
      </c>
      <c r="BN633" s="6" t="n">
        <f aca="false">IF(R633="-","",IFERROR(VALUE(LEFT(Q633,LEN(Q633)-2)),""))</f>
        <v>0.5</v>
      </c>
      <c r="BO633" s="6" t="n">
        <f aca="false">IF(R633="-","",IFERROR(VALUE(LEFT(R633,LEN(R633)-5)),""))</f>
        <v>0.81</v>
      </c>
      <c r="BP633" s="6" t="n">
        <f aca="false">IF(R633="-","",IFERROR(VALUE(F633),""))</f>
        <v>0.4</v>
      </c>
      <c r="BQ633" s="4" t="n">
        <f aca="false">IF(R633="-",1,0)</f>
        <v>0</v>
      </c>
    </row>
    <row r="634" customFormat="false" ht="15" hidden="false" customHeight="false" outlineLevel="0" collapsed="false">
      <c r="A634" s="0" t="s">
        <v>2554</v>
      </c>
      <c r="B634" s="0" t="s">
        <v>2555</v>
      </c>
      <c r="C634" s="0" t="s">
        <v>70</v>
      </c>
      <c r="E634" s="3" t="n">
        <v>46279</v>
      </c>
      <c r="F634" s="4" t="s">
        <v>2576</v>
      </c>
      <c r="G634" s="5" t="n">
        <v>0.557488425925926</v>
      </c>
      <c r="H634" s="5" t="n">
        <v>0</v>
      </c>
      <c r="I634" s="5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5" t="n">
        <v>0</v>
      </c>
      <c r="P634" s="5" t="n">
        <v>0.0245138888888889</v>
      </c>
      <c r="Q634" s="4" t="s">
        <v>1989</v>
      </c>
      <c r="R634" s="4" t="s">
        <v>559</v>
      </c>
      <c r="S634" s="5" t="n">
        <v>0</v>
      </c>
      <c r="T634" s="5" t="n">
        <v>0.025</v>
      </c>
      <c r="U634" s="5" t="n">
        <v>0.000115740740740741</v>
      </c>
      <c r="V634" s="5" t="n">
        <v>0</v>
      </c>
      <c r="W634" s="5" t="n">
        <v>0</v>
      </c>
      <c r="X634" s="5" t="n">
        <v>0</v>
      </c>
      <c r="Y634" s="5" t="n">
        <v>0</v>
      </c>
      <c r="Z634" s="0" t="n">
        <v>0</v>
      </c>
      <c r="AA634" s="0" t="n">
        <v>0</v>
      </c>
      <c r="AB634" s="0" t="n">
        <v>0</v>
      </c>
      <c r="AC634" s="4" t="s">
        <v>74</v>
      </c>
      <c r="AD634" s="4" t="s">
        <v>81</v>
      </c>
      <c r="AE634" s="4" t="s">
        <v>2575</v>
      </c>
      <c r="AF634" s="4" t="s">
        <v>2577</v>
      </c>
      <c r="AG634" s="5" t="n">
        <v>0.00126157407407407</v>
      </c>
      <c r="AH634" s="5" t="n">
        <v>0.566226851851852</v>
      </c>
      <c r="AI634" s="5" t="n">
        <v>1.15740740740741E-005</v>
      </c>
      <c r="AJ634" s="5" t="n">
        <v>0</v>
      </c>
      <c r="AK634" s="5" t="n">
        <v>0</v>
      </c>
      <c r="AL634" s="5" t="n">
        <v>0</v>
      </c>
      <c r="AM634" s="4" t="s">
        <v>78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  <c r="AU634" s="0" t="n">
        <v>0</v>
      </c>
      <c r="AV634" s="0" t="n">
        <v>0</v>
      </c>
      <c r="AW634" s="0" t="n">
        <v>0</v>
      </c>
      <c r="AX634" s="0" t="n">
        <v>0</v>
      </c>
      <c r="AY634" s="0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0" t="n">
        <v>0</v>
      </c>
      <c r="BE634" s="0" t="n">
        <v>0</v>
      </c>
      <c r="BF634" s="0" t="n">
        <v>0</v>
      </c>
      <c r="BG634" s="0" t="n">
        <v>0</v>
      </c>
      <c r="BH634" s="0" t="n">
        <v>0</v>
      </c>
      <c r="BI634" s="0" t="n">
        <v>0</v>
      </c>
      <c r="BJ634" s="0" t="n">
        <v>0</v>
      </c>
      <c r="BK634" s="0" t="n">
        <v>0</v>
      </c>
      <c r="BM634" s="6" t="n">
        <f aca="false">IFERROR(VALUE(F634),"")</f>
        <v>0.12</v>
      </c>
      <c r="BN634" s="6" t="n">
        <f aca="false">IF(R634="-","",IFERROR(VALUE(LEFT(Q634,LEN(Q634)-2)),""))</f>
        <v>0.99</v>
      </c>
      <c r="BO634" s="6" t="n">
        <f aca="false">IF(R634="-","",IFERROR(VALUE(LEFT(R634,LEN(R634)-5)),""))</f>
        <v>0.12</v>
      </c>
      <c r="BP634" s="6" t="n">
        <f aca="false">IF(R634="-","",IFERROR(VALUE(F634),""))</f>
        <v>0.12</v>
      </c>
      <c r="BQ634" s="4" t="n">
        <f aca="false">IF(R634="-",1,0)</f>
        <v>0</v>
      </c>
    </row>
    <row r="635" customFormat="false" ht="15" hidden="false" customHeight="false" outlineLevel="0" collapsed="false">
      <c r="A635" s="0" t="s">
        <v>2578</v>
      </c>
      <c r="B635" s="0" t="s">
        <v>2579</v>
      </c>
      <c r="C635" s="0" t="s">
        <v>70</v>
      </c>
      <c r="E635" s="3" t="n">
        <v>46279</v>
      </c>
      <c r="F635" s="4" t="s">
        <v>95</v>
      </c>
      <c r="G635" s="5" t="n">
        <v>0</v>
      </c>
      <c r="H635" s="5" t="n">
        <v>0</v>
      </c>
      <c r="I635" s="5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5" t="n">
        <v>0</v>
      </c>
      <c r="P635" s="5" t="n">
        <v>0</v>
      </c>
      <c r="Q635" s="4" t="s">
        <v>73</v>
      </c>
      <c r="R635" s="4" t="s">
        <v>73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0</v>
      </c>
      <c r="X635" s="5" t="n">
        <v>0</v>
      </c>
      <c r="Y635" s="5" t="n">
        <v>0</v>
      </c>
      <c r="Z635" s="0" t="n">
        <v>0</v>
      </c>
      <c r="AA635" s="0" t="n">
        <v>0</v>
      </c>
      <c r="AB635" s="0" t="n">
        <v>0</v>
      </c>
      <c r="AE635" s="4" t="s">
        <v>73</v>
      </c>
      <c r="AF635" s="4" t="s">
        <v>73</v>
      </c>
      <c r="AG635" s="5" t="n">
        <v>0</v>
      </c>
      <c r="AH635" s="5" t="n">
        <v>0</v>
      </c>
      <c r="AI635" s="5" t="n">
        <v>0</v>
      </c>
      <c r="AJ635" s="5" t="n">
        <v>0</v>
      </c>
      <c r="AK635" s="5" t="n">
        <v>0</v>
      </c>
      <c r="AL635" s="5" t="n">
        <v>0</v>
      </c>
      <c r="AM635" s="4" t="s">
        <v>78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  <c r="AU635" s="0" t="n">
        <v>0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0</v>
      </c>
      <c r="BA635" s="0" t="n">
        <v>0</v>
      </c>
      <c r="BB635" s="0" t="n">
        <v>0</v>
      </c>
      <c r="BC635" s="0" t="n">
        <v>0</v>
      </c>
      <c r="BD635" s="0" t="n">
        <v>0</v>
      </c>
      <c r="BE635" s="0" t="n">
        <v>0</v>
      </c>
      <c r="BF635" s="0" t="n">
        <v>0</v>
      </c>
      <c r="BG635" s="0" t="n">
        <v>0</v>
      </c>
      <c r="BH635" s="0" t="n">
        <v>0</v>
      </c>
      <c r="BI635" s="0" t="n">
        <v>0</v>
      </c>
      <c r="BJ635" s="0" t="n">
        <v>0</v>
      </c>
      <c r="BK635" s="0" t="n">
        <v>0</v>
      </c>
      <c r="BM635" s="6" t="n">
        <f aca="false">IFERROR(VALUE(F635),"")</f>
        <v>0</v>
      </c>
      <c r="BN635" s="6" t="str">
        <f aca="false">IF(R635="-","",IFERROR(VALUE(LEFT(Q635,LEN(Q635)-2)),""))</f>
        <v/>
      </c>
      <c r="BO635" s="6" t="str">
        <f aca="false">IF(R635="-","",IFERROR(VALUE(LEFT(R635,LEN(R635)-5)),""))</f>
        <v/>
      </c>
      <c r="BP635" s="6" t="str">
        <f aca="false">IF(R635="-","",IFERROR(VALUE(F635),""))</f>
        <v/>
      </c>
      <c r="BQ635" s="4" t="n">
        <f aca="false">IF(R635="-",1,0)</f>
        <v>1</v>
      </c>
    </row>
    <row r="636" customFormat="false" ht="15" hidden="false" customHeight="false" outlineLevel="0" collapsed="false">
      <c r="A636" s="0" t="s">
        <v>2580</v>
      </c>
      <c r="B636" s="0" t="s">
        <v>2581</v>
      </c>
      <c r="C636" s="0" t="s">
        <v>70</v>
      </c>
      <c r="E636" s="3" t="n">
        <v>46273</v>
      </c>
      <c r="F636" s="4" t="s">
        <v>95</v>
      </c>
      <c r="G636" s="5" t="n">
        <v>0.00232638888888889</v>
      </c>
      <c r="H636" s="5" t="n">
        <v>0</v>
      </c>
      <c r="I636" s="5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5" t="n">
        <v>0</v>
      </c>
      <c r="P636" s="5" t="n">
        <v>0</v>
      </c>
      <c r="Q636" s="4" t="s">
        <v>73</v>
      </c>
      <c r="R636" s="4" t="s">
        <v>73</v>
      </c>
      <c r="S636" s="5" t="n">
        <v>0</v>
      </c>
      <c r="T636" s="5" t="n">
        <v>0.00162037037037037</v>
      </c>
      <c r="U636" s="5" t="n">
        <v>0.000578703703703704</v>
      </c>
      <c r="V636" s="5" t="n">
        <v>0</v>
      </c>
      <c r="W636" s="5" t="n">
        <v>0</v>
      </c>
      <c r="X636" s="5" t="n">
        <v>0</v>
      </c>
      <c r="Y636" s="5" t="n">
        <v>0</v>
      </c>
      <c r="Z636" s="0" t="n">
        <v>0</v>
      </c>
      <c r="AA636" s="0" t="n">
        <v>0</v>
      </c>
      <c r="AB636" s="0" t="n">
        <v>0</v>
      </c>
      <c r="AC636" s="4" t="s">
        <v>74</v>
      </c>
      <c r="AD636" s="4" t="s">
        <v>75</v>
      </c>
      <c r="AE636" s="4" t="s">
        <v>2582</v>
      </c>
      <c r="AF636" s="4" t="s">
        <v>2582</v>
      </c>
      <c r="AG636" s="5" t="n">
        <v>0</v>
      </c>
      <c r="AH636" s="5" t="n">
        <v>0.00277777777777778</v>
      </c>
      <c r="AI636" s="5" t="n">
        <v>0</v>
      </c>
      <c r="AJ636" s="5" t="n">
        <v>0</v>
      </c>
      <c r="AK636" s="5" t="n">
        <v>0</v>
      </c>
      <c r="AL636" s="5" t="n">
        <v>0</v>
      </c>
      <c r="AM636" s="4" t="s">
        <v>78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  <c r="AU636" s="0" t="n">
        <v>0</v>
      </c>
      <c r="AV636" s="0" t="n">
        <v>0</v>
      </c>
      <c r="AW636" s="0" t="n">
        <v>0</v>
      </c>
      <c r="AX636" s="0" t="n">
        <v>0</v>
      </c>
      <c r="AY636" s="0" t="n">
        <v>0</v>
      </c>
      <c r="AZ636" s="0" t="n">
        <v>0</v>
      </c>
      <c r="BA636" s="0" t="n">
        <v>0</v>
      </c>
      <c r="BB636" s="0" t="n">
        <v>0</v>
      </c>
      <c r="BC636" s="0" t="n">
        <v>0</v>
      </c>
      <c r="BD636" s="0" t="n">
        <v>0</v>
      </c>
      <c r="BE636" s="0" t="n">
        <v>0</v>
      </c>
      <c r="BF636" s="0" t="n">
        <v>0</v>
      </c>
      <c r="BG636" s="0" t="n">
        <v>0</v>
      </c>
      <c r="BH636" s="0" t="n">
        <v>0</v>
      </c>
      <c r="BI636" s="0" t="n">
        <v>0</v>
      </c>
      <c r="BJ636" s="0" t="n">
        <v>0</v>
      </c>
      <c r="BK636" s="0" t="n">
        <v>0</v>
      </c>
      <c r="BM636" s="6" t="n">
        <f aca="false">IFERROR(VALUE(F636),"")</f>
        <v>0</v>
      </c>
      <c r="BN636" s="6" t="str">
        <f aca="false">IF(R636="-","",IFERROR(VALUE(LEFT(Q636,LEN(Q636)-2)),""))</f>
        <v/>
      </c>
      <c r="BO636" s="6" t="str">
        <f aca="false">IF(R636="-","",IFERROR(VALUE(LEFT(R636,LEN(R636)-5)),""))</f>
        <v/>
      </c>
      <c r="BP636" s="6" t="str">
        <f aca="false">IF(R636="-","",IFERROR(VALUE(F636),""))</f>
        <v/>
      </c>
      <c r="BQ636" s="4" t="n">
        <f aca="false">IF(R636="-",1,0)</f>
        <v>1</v>
      </c>
    </row>
    <row r="637" customFormat="false" ht="15" hidden="false" customHeight="false" outlineLevel="0" collapsed="false">
      <c r="A637" s="0" t="s">
        <v>2580</v>
      </c>
      <c r="B637" s="0" t="s">
        <v>2581</v>
      </c>
      <c r="C637" s="0" t="s">
        <v>70</v>
      </c>
      <c r="E637" s="3" t="n">
        <v>46276</v>
      </c>
      <c r="F637" s="4" t="s">
        <v>95</v>
      </c>
      <c r="G637" s="5" t="n">
        <v>0.0193402777777778</v>
      </c>
      <c r="H637" s="5" t="n">
        <v>0</v>
      </c>
      <c r="I637" s="5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5" t="n">
        <v>0</v>
      </c>
      <c r="P637" s="5" t="n">
        <v>0</v>
      </c>
      <c r="Q637" s="4" t="s">
        <v>1989</v>
      </c>
      <c r="R637" s="4" t="s">
        <v>454</v>
      </c>
      <c r="S637" s="5" t="n">
        <v>0</v>
      </c>
      <c r="T637" s="5" t="n">
        <v>0.00960648148148148</v>
      </c>
      <c r="U637" s="5" t="n">
        <v>0.000115740740740741</v>
      </c>
      <c r="V637" s="5" t="n">
        <v>0.000462962962962963</v>
      </c>
      <c r="W637" s="5" t="n">
        <v>0</v>
      </c>
      <c r="X637" s="5" t="n">
        <v>0</v>
      </c>
      <c r="Y637" s="5" t="n">
        <v>0</v>
      </c>
      <c r="Z637" s="0" t="n">
        <v>0</v>
      </c>
      <c r="AA637" s="0" t="n">
        <v>0</v>
      </c>
      <c r="AB637" s="0" t="n">
        <v>0</v>
      </c>
      <c r="AC637" s="4" t="s">
        <v>75</v>
      </c>
      <c r="AD637" s="4" t="s">
        <v>74</v>
      </c>
      <c r="AE637" s="4" t="s">
        <v>2582</v>
      </c>
      <c r="AF637" s="4" t="s">
        <v>2582</v>
      </c>
      <c r="AG637" s="5" t="n">
        <v>0</v>
      </c>
      <c r="AH637" s="5" t="n">
        <v>0.0120601851851852</v>
      </c>
      <c r="AI637" s="5" t="n">
        <v>0</v>
      </c>
      <c r="AJ637" s="5" t="n">
        <v>0</v>
      </c>
      <c r="AK637" s="5" t="n">
        <v>0</v>
      </c>
      <c r="AL637" s="5" t="n">
        <v>0</v>
      </c>
      <c r="AM637" s="4" t="s">
        <v>78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  <c r="AU637" s="0" t="n">
        <v>0</v>
      </c>
      <c r="AV637" s="0" t="n">
        <v>0</v>
      </c>
      <c r="AW637" s="0" t="n">
        <v>0</v>
      </c>
      <c r="AX637" s="0" t="n">
        <v>0</v>
      </c>
      <c r="AY637" s="0" t="n">
        <v>0</v>
      </c>
      <c r="AZ637" s="0" t="n">
        <v>0</v>
      </c>
      <c r="BA637" s="0" t="n">
        <v>0</v>
      </c>
      <c r="BB637" s="0" t="n">
        <v>0</v>
      </c>
      <c r="BC637" s="0" t="n">
        <v>0</v>
      </c>
      <c r="BD637" s="0" t="n">
        <v>0</v>
      </c>
      <c r="BE637" s="0" t="n">
        <v>0</v>
      </c>
      <c r="BF637" s="0" t="n">
        <v>0</v>
      </c>
      <c r="BG637" s="0" t="n">
        <v>0</v>
      </c>
      <c r="BH637" s="0" t="n">
        <v>0</v>
      </c>
      <c r="BI637" s="0" t="n">
        <v>0</v>
      </c>
      <c r="BJ637" s="0" t="n">
        <v>0</v>
      </c>
      <c r="BK637" s="0" t="n">
        <v>0</v>
      </c>
      <c r="BM637" s="6" t="n">
        <f aca="false">IFERROR(VALUE(F637),"")</f>
        <v>0</v>
      </c>
      <c r="BN637" s="6" t="n">
        <f aca="false">IF(R637="-","",IFERROR(VALUE(LEFT(Q637,LEN(Q637)-2)),""))</f>
        <v>0.99</v>
      </c>
      <c r="BO637" s="6" t="n">
        <f aca="false">IF(R637="-","",IFERROR(VALUE(LEFT(R637,LEN(R637)-5)),""))</f>
        <v>0</v>
      </c>
      <c r="BP637" s="6" t="n">
        <f aca="false">IF(R637="-","",IFERROR(VALUE(F637),""))</f>
        <v>0</v>
      </c>
      <c r="BQ637" s="4" t="n">
        <f aca="false">IF(R637="-",1,0)</f>
        <v>0</v>
      </c>
    </row>
    <row r="638" customFormat="false" ht="15" hidden="false" customHeight="false" outlineLevel="0" collapsed="false">
      <c r="A638" s="0" t="s">
        <v>2583</v>
      </c>
      <c r="B638" s="0" t="s">
        <v>2584</v>
      </c>
      <c r="C638" s="0" t="s">
        <v>70</v>
      </c>
      <c r="E638" s="3" t="n">
        <v>46273</v>
      </c>
      <c r="F638" s="4" t="s">
        <v>2585</v>
      </c>
      <c r="G638" s="5" t="n">
        <v>0.35630787037037</v>
      </c>
      <c r="H638" s="5" t="n">
        <v>0</v>
      </c>
      <c r="I638" s="5" t="n">
        <v>0.00241898148148148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5" t="n">
        <v>0</v>
      </c>
      <c r="P638" s="5" t="n">
        <v>0</v>
      </c>
      <c r="Q638" s="4" t="s">
        <v>2586</v>
      </c>
      <c r="R638" s="4" t="s">
        <v>309</v>
      </c>
      <c r="S638" s="5" t="n">
        <v>0.000115740740740741</v>
      </c>
      <c r="T638" s="5" t="n">
        <v>0.138657407407407</v>
      </c>
      <c r="U638" s="5" t="n">
        <v>0.11712962962963</v>
      </c>
      <c r="V638" s="5" t="n">
        <v>0.0728009259259259</v>
      </c>
      <c r="W638" s="5" t="n">
        <v>0</v>
      </c>
      <c r="X638" s="5" t="n">
        <v>0</v>
      </c>
      <c r="Y638" s="5" t="n">
        <v>0</v>
      </c>
      <c r="Z638" s="0" t="n">
        <v>0</v>
      </c>
      <c r="AA638" s="0" t="n">
        <v>0</v>
      </c>
      <c r="AB638" s="0" t="n">
        <v>0</v>
      </c>
      <c r="AC638" s="4" t="s">
        <v>75</v>
      </c>
      <c r="AD638" s="4" t="s">
        <v>74</v>
      </c>
      <c r="AE638" s="4" t="s">
        <v>2587</v>
      </c>
      <c r="AF638" s="4" t="s">
        <v>2588</v>
      </c>
      <c r="AG638" s="5" t="n">
        <v>0.28494212962963</v>
      </c>
      <c r="AH638" s="5" t="n">
        <v>0.124409722222222</v>
      </c>
      <c r="AI638" s="5" t="n">
        <v>0</v>
      </c>
      <c r="AJ638" s="5" t="n">
        <v>0</v>
      </c>
      <c r="AK638" s="5" t="n">
        <v>0</v>
      </c>
      <c r="AL638" s="5" t="n">
        <v>0</v>
      </c>
      <c r="AM638" s="4" t="s">
        <v>78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  <c r="AU638" s="0" t="n">
        <v>0</v>
      </c>
      <c r="AV638" s="0" t="n">
        <v>0</v>
      </c>
      <c r="AW638" s="0" t="n">
        <v>0</v>
      </c>
      <c r="AX638" s="0" t="n">
        <v>0</v>
      </c>
      <c r="AY638" s="0" t="n">
        <v>0</v>
      </c>
      <c r="AZ638" s="0" t="n">
        <v>0</v>
      </c>
      <c r="BA638" s="0" t="n">
        <v>0</v>
      </c>
      <c r="BB638" s="0" t="n">
        <v>0</v>
      </c>
      <c r="BC638" s="0" t="n">
        <v>0</v>
      </c>
      <c r="BD638" s="0" t="n">
        <v>0</v>
      </c>
      <c r="BE638" s="0" t="n">
        <v>0</v>
      </c>
      <c r="BF638" s="0" t="n">
        <v>0</v>
      </c>
      <c r="BG638" s="0" t="n">
        <v>0</v>
      </c>
      <c r="BH638" s="0" t="n">
        <v>0</v>
      </c>
      <c r="BI638" s="0" t="n">
        <v>0</v>
      </c>
      <c r="BJ638" s="0" t="n">
        <v>0</v>
      </c>
      <c r="BK638" s="0" t="n">
        <v>0</v>
      </c>
      <c r="BM638" s="6" t="n">
        <f aca="false">IFERROR(VALUE(F638),"")</f>
        <v>208.26</v>
      </c>
      <c r="BN638" s="6" t="n">
        <f aca="false">IF(R638="-","",IFERROR(VALUE(LEFT(Q638,LEN(Q638)-2)),""))</f>
        <v>84</v>
      </c>
      <c r="BO638" s="6" t="n">
        <f aca="false">IF(R638="-","",IFERROR(VALUE(LEFT(R638,LEN(R638)-5)),""))</f>
        <v>2.48</v>
      </c>
      <c r="BP638" s="6" t="n">
        <f aca="false">IF(R638="-","",IFERROR(VALUE(F638),""))</f>
        <v>208.26</v>
      </c>
      <c r="BQ638" s="4" t="n">
        <f aca="false">IF(R638="-",1,0)</f>
        <v>0</v>
      </c>
    </row>
    <row r="639" customFormat="false" ht="15" hidden="false" customHeight="false" outlineLevel="0" collapsed="false">
      <c r="A639" s="0" t="s">
        <v>2583</v>
      </c>
      <c r="B639" s="0" t="s">
        <v>2584</v>
      </c>
      <c r="C639" s="0" t="s">
        <v>70</v>
      </c>
      <c r="E639" s="3" t="n">
        <v>46274</v>
      </c>
      <c r="F639" s="4" t="s">
        <v>2589</v>
      </c>
      <c r="G639" s="5" t="n">
        <v>0.774108796296296</v>
      </c>
      <c r="H639" s="5" t="n">
        <v>0</v>
      </c>
      <c r="I639" s="5" t="n">
        <v>0.000428240740740741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5" t="n">
        <v>0</v>
      </c>
      <c r="P639" s="5" t="n">
        <v>0</v>
      </c>
      <c r="Q639" s="4" t="s">
        <v>2590</v>
      </c>
      <c r="R639" s="4" t="s">
        <v>1183</v>
      </c>
      <c r="S639" s="5" t="n">
        <v>0.000694444444444445</v>
      </c>
      <c r="T639" s="5" t="n">
        <v>0.24837962962963</v>
      </c>
      <c r="U639" s="5" t="n">
        <v>0.252546296296296</v>
      </c>
      <c r="V639" s="5" t="n">
        <v>0.194907407407407</v>
      </c>
      <c r="W639" s="5" t="n">
        <v>0.000115740740740741</v>
      </c>
      <c r="X639" s="5" t="n">
        <v>0</v>
      </c>
      <c r="Y639" s="5" t="n">
        <v>0</v>
      </c>
      <c r="Z639" s="0" t="n">
        <v>0</v>
      </c>
      <c r="AA639" s="0" t="n">
        <v>0</v>
      </c>
      <c r="AB639" s="0" t="n">
        <v>0</v>
      </c>
      <c r="AC639" s="4" t="s">
        <v>75</v>
      </c>
      <c r="AD639" s="4" t="s">
        <v>228</v>
      </c>
      <c r="AE639" s="4" t="s">
        <v>2588</v>
      </c>
      <c r="AF639" s="4" t="s">
        <v>2591</v>
      </c>
      <c r="AG639" s="5" t="n">
        <v>0.606145833333333</v>
      </c>
      <c r="AH639" s="5" t="n">
        <v>0.234618055555556</v>
      </c>
      <c r="AI639" s="5" t="n">
        <v>0</v>
      </c>
      <c r="AJ639" s="5" t="n">
        <v>0</v>
      </c>
      <c r="AK639" s="5" t="n">
        <v>0</v>
      </c>
      <c r="AL639" s="5" t="n">
        <v>0</v>
      </c>
      <c r="AM639" s="4" t="s">
        <v>78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  <c r="BA639" s="0" t="n">
        <v>0</v>
      </c>
      <c r="BB639" s="0" t="n">
        <v>0</v>
      </c>
      <c r="BC639" s="0" t="n">
        <v>0</v>
      </c>
      <c r="BD639" s="0" t="n">
        <v>0</v>
      </c>
      <c r="BE639" s="0" t="n">
        <v>0</v>
      </c>
      <c r="BF639" s="0" t="n">
        <v>0</v>
      </c>
      <c r="BG639" s="0" t="n">
        <v>0</v>
      </c>
      <c r="BH639" s="0" t="n">
        <v>0</v>
      </c>
      <c r="BI639" s="0" t="n">
        <v>0</v>
      </c>
      <c r="BJ639" s="0" t="n">
        <v>0</v>
      </c>
      <c r="BK639" s="0" t="n">
        <v>0</v>
      </c>
      <c r="BM639" s="6" t="n">
        <f aca="false">IFERROR(VALUE(F639),"")</f>
        <v>495.53</v>
      </c>
      <c r="BN639" s="6" t="n">
        <f aca="false">IF(R639="-","",IFERROR(VALUE(LEFT(Q639,LEN(Q639)-2)),""))</f>
        <v>188</v>
      </c>
      <c r="BO639" s="6" t="n">
        <f aca="false">IF(R639="-","",IFERROR(VALUE(LEFT(R639,LEN(R639)-5)),""))</f>
        <v>2.64</v>
      </c>
      <c r="BP639" s="6" t="n">
        <f aca="false">IF(R639="-","",IFERROR(VALUE(F639),""))</f>
        <v>495.53</v>
      </c>
      <c r="BQ639" s="4" t="n">
        <f aca="false">IF(R639="-",1,0)</f>
        <v>0</v>
      </c>
    </row>
    <row r="640" customFormat="false" ht="15" hidden="false" customHeight="false" outlineLevel="0" collapsed="false">
      <c r="A640" s="0" t="s">
        <v>2583</v>
      </c>
      <c r="B640" s="0" t="s">
        <v>2584</v>
      </c>
      <c r="C640" s="0" t="s">
        <v>70</v>
      </c>
      <c r="E640" s="3" t="n">
        <v>46275</v>
      </c>
      <c r="F640" s="4" t="s">
        <v>2592</v>
      </c>
      <c r="G640" s="5" t="n">
        <v>0.762997685185185</v>
      </c>
      <c r="H640" s="5" t="n">
        <v>0</v>
      </c>
      <c r="I640" s="5" t="n">
        <v>5.78703703703704E-005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5" t="n">
        <v>0</v>
      </c>
      <c r="P640" s="5" t="n">
        <v>0</v>
      </c>
      <c r="Q640" s="4" t="s">
        <v>2593</v>
      </c>
      <c r="R640" s="4" t="s">
        <v>1421</v>
      </c>
      <c r="S640" s="5" t="n">
        <v>0.000231481481481482</v>
      </c>
      <c r="T640" s="5" t="n">
        <v>0.244444444444444</v>
      </c>
      <c r="U640" s="5" t="n">
        <v>0.266550925925926</v>
      </c>
      <c r="V640" s="5" t="n">
        <v>0.187847222222222</v>
      </c>
      <c r="W640" s="5" t="n">
        <v>0</v>
      </c>
      <c r="X640" s="5" t="n">
        <v>0</v>
      </c>
      <c r="Y640" s="5" t="n">
        <v>0</v>
      </c>
      <c r="Z640" s="0" t="n">
        <v>0</v>
      </c>
      <c r="AA640" s="0" t="n">
        <v>0</v>
      </c>
      <c r="AB640" s="0" t="n">
        <v>0</v>
      </c>
      <c r="AC640" s="4" t="s">
        <v>75</v>
      </c>
      <c r="AD640" s="4" t="s">
        <v>74</v>
      </c>
      <c r="AE640" s="4" t="s">
        <v>2591</v>
      </c>
      <c r="AF640" s="4" t="s">
        <v>2594</v>
      </c>
      <c r="AG640" s="5" t="n">
        <v>0.595914351851852</v>
      </c>
      <c r="AH640" s="5" t="n">
        <v>0.300555555555556</v>
      </c>
      <c r="AI640" s="5" t="n">
        <v>0.000520833333333333</v>
      </c>
      <c r="AJ640" s="5" t="n">
        <v>0</v>
      </c>
      <c r="AK640" s="5" t="n">
        <v>0</v>
      </c>
      <c r="AL640" s="5" t="n">
        <v>0</v>
      </c>
      <c r="AM640" s="4" t="s">
        <v>78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  <c r="AU640" s="0" t="n">
        <v>0</v>
      </c>
      <c r="AV640" s="0" t="n">
        <v>0</v>
      </c>
      <c r="AW640" s="0" t="n">
        <v>0</v>
      </c>
      <c r="AX640" s="0" t="n">
        <v>0</v>
      </c>
      <c r="AY640" s="0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0" t="n">
        <v>0</v>
      </c>
      <c r="BE640" s="0" t="n">
        <v>0</v>
      </c>
      <c r="BF640" s="0" t="n">
        <v>0</v>
      </c>
      <c r="BG640" s="0" t="n">
        <v>0</v>
      </c>
      <c r="BH640" s="0" t="n">
        <v>0</v>
      </c>
      <c r="BI640" s="0" t="n">
        <v>0</v>
      </c>
      <c r="BJ640" s="0" t="n">
        <v>0</v>
      </c>
      <c r="BK640" s="0" t="n">
        <v>0</v>
      </c>
      <c r="BM640" s="6" t="n">
        <f aca="false">IFERROR(VALUE(F640),"")</f>
        <v>490</v>
      </c>
      <c r="BN640" s="6" t="n">
        <f aca="false">IF(R640="-","",IFERROR(VALUE(LEFT(Q640,LEN(Q640)-2)),""))</f>
        <v>184</v>
      </c>
      <c r="BO640" s="6" t="n">
        <f aca="false">IF(R640="-","",IFERROR(VALUE(LEFT(R640,LEN(R640)-5)),""))</f>
        <v>2.66</v>
      </c>
      <c r="BP640" s="6" t="n">
        <f aca="false">IF(R640="-","",IFERROR(VALUE(F640),""))</f>
        <v>490</v>
      </c>
      <c r="BQ640" s="4" t="n">
        <f aca="false">IF(R640="-",1,0)</f>
        <v>0</v>
      </c>
    </row>
    <row r="641" customFormat="false" ht="15" hidden="false" customHeight="false" outlineLevel="0" collapsed="false">
      <c r="A641" s="0" t="s">
        <v>2583</v>
      </c>
      <c r="B641" s="0" t="s">
        <v>2584</v>
      </c>
      <c r="C641" s="0" t="s">
        <v>70</v>
      </c>
      <c r="E641" s="3" t="n">
        <v>46276</v>
      </c>
      <c r="F641" s="4" t="s">
        <v>2595</v>
      </c>
      <c r="G641" s="5" t="n">
        <v>0.717118055555556</v>
      </c>
      <c r="H641" s="5" t="n">
        <v>0</v>
      </c>
      <c r="I641" s="5" t="n">
        <v>0.000416666666666667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5" t="n">
        <v>0</v>
      </c>
      <c r="P641" s="5" t="n">
        <v>0.00715277777777778</v>
      </c>
      <c r="Q641" s="4" t="s">
        <v>2596</v>
      </c>
      <c r="R641" s="4" t="s">
        <v>1169</v>
      </c>
      <c r="S641" s="5" t="n">
        <v>0.000347222222222222</v>
      </c>
      <c r="T641" s="5" t="n">
        <v>0.252314814814815</v>
      </c>
      <c r="U641" s="5" t="n">
        <v>0.245023148148148</v>
      </c>
      <c r="V641" s="5" t="n">
        <v>0.196990740740741</v>
      </c>
      <c r="W641" s="5" t="n">
        <v>0</v>
      </c>
      <c r="X641" s="5" t="n">
        <v>0</v>
      </c>
      <c r="Y641" s="5" t="n">
        <v>0</v>
      </c>
      <c r="Z641" s="0" t="n">
        <v>0</v>
      </c>
      <c r="AA641" s="0" t="n">
        <v>0</v>
      </c>
      <c r="AB641" s="0" t="n">
        <v>0</v>
      </c>
      <c r="AC641" s="4" t="s">
        <v>81</v>
      </c>
      <c r="AD641" s="4" t="s">
        <v>228</v>
      </c>
      <c r="AE641" s="4" t="s">
        <v>2594</v>
      </c>
      <c r="AF641" s="4" t="s">
        <v>2597</v>
      </c>
      <c r="AG641" s="5" t="n">
        <v>0.593530092592593</v>
      </c>
      <c r="AH641" s="5" t="n">
        <v>0.198298611111111</v>
      </c>
      <c r="AI641" s="5" t="n">
        <v>0</v>
      </c>
      <c r="AJ641" s="5" t="n">
        <v>0</v>
      </c>
      <c r="AK641" s="5" t="n">
        <v>0</v>
      </c>
      <c r="AL641" s="5" t="n">
        <v>0</v>
      </c>
      <c r="AM641" s="4" t="s">
        <v>78</v>
      </c>
      <c r="AN641" s="0" t="n">
        <v>0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  <c r="AU641" s="0" t="n">
        <v>0</v>
      </c>
      <c r="AV641" s="0" t="n">
        <v>0</v>
      </c>
      <c r="AW641" s="0" t="n">
        <v>0</v>
      </c>
      <c r="AX641" s="0" t="n">
        <v>0</v>
      </c>
      <c r="AY641" s="0" t="n">
        <v>0</v>
      </c>
      <c r="AZ641" s="0" t="n">
        <v>0</v>
      </c>
      <c r="BA641" s="0" t="n">
        <v>0</v>
      </c>
      <c r="BB641" s="0" t="n">
        <v>0</v>
      </c>
      <c r="BC641" s="0" t="n">
        <v>0</v>
      </c>
      <c r="BD641" s="0" t="n">
        <v>0</v>
      </c>
      <c r="BE641" s="0" t="n">
        <v>0</v>
      </c>
      <c r="BF641" s="0" t="n">
        <v>0</v>
      </c>
      <c r="BG641" s="0" t="n">
        <v>0</v>
      </c>
      <c r="BH641" s="0" t="n">
        <v>0</v>
      </c>
      <c r="BI641" s="0" t="n">
        <v>0</v>
      </c>
      <c r="BJ641" s="0" t="n">
        <v>0</v>
      </c>
      <c r="BK641" s="0" t="n">
        <v>0</v>
      </c>
      <c r="BM641" s="6" t="n">
        <f aca="false">IFERROR(VALUE(F641),"")</f>
        <v>489.95</v>
      </c>
      <c r="BN641" s="6" t="n">
        <f aca="false">IF(R641="-","",IFERROR(VALUE(LEFT(Q641,LEN(Q641)-2)),""))</f>
        <v>186.02</v>
      </c>
      <c r="BO641" s="6" t="n">
        <f aca="false">IF(R641="-","",IFERROR(VALUE(LEFT(R641,LEN(R641)-5)),""))</f>
        <v>2.63</v>
      </c>
      <c r="BP641" s="6" t="n">
        <f aca="false">IF(R641="-","",IFERROR(VALUE(F641),""))</f>
        <v>489.95</v>
      </c>
      <c r="BQ641" s="4" t="n">
        <f aca="false">IF(R641="-",1,0)</f>
        <v>0</v>
      </c>
    </row>
    <row r="642" customFormat="false" ht="15" hidden="false" customHeight="false" outlineLevel="0" collapsed="false">
      <c r="A642" s="0" t="s">
        <v>2583</v>
      </c>
      <c r="B642" s="0" t="s">
        <v>2584</v>
      </c>
      <c r="C642" s="0" t="s">
        <v>70</v>
      </c>
      <c r="E642" s="3" t="n">
        <v>46277</v>
      </c>
      <c r="F642" s="4" t="s">
        <v>2598</v>
      </c>
      <c r="G642" s="5" t="n">
        <v>0.74568287037037</v>
      </c>
      <c r="H642" s="5" t="n">
        <v>0</v>
      </c>
      <c r="I642" s="5" t="n">
        <v>0.00204861111111111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5" t="n">
        <v>0</v>
      </c>
      <c r="P642" s="5" t="n">
        <v>0</v>
      </c>
      <c r="Q642" s="4" t="s">
        <v>2599</v>
      </c>
      <c r="R642" s="4" t="s">
        <v>2187</v>
      </c>
      <c r="S642" s="5" t="n">
        <v>0.000115740740740741</v>
      </c>
      <c r="T642" s="5" t="n">
        <v>0.246759259259259</v>
      </c>
      <c r="U642" s="5" t="n">
        <v>0.220023148148148</v>
      </c>
      <c r="V642" s="5" t="n">
        <v>0.244212962962963</v>
      </c>
      <c r="W642" s="5" t="n">
        <v>0.000347222222222222</v>
      </c>
      <c r="X642" s="5" t="n">
        <v>0</v>
      </c>
      <c r="Y642" s="5" t="n">
        <v>0</v>
      </c>
      <c r="Z642" s="0" t="n">
        <v>0</v>
      </c>
      <c r="AA642" s="0" t="n">
        <v>0</v>
      </c>
      <c r="AB642" s="0" t="n">
        <v>0</v>
      </c>
      <c r="AC642" s="4" t="s">
        <v>81</v>
      </c>
      <c r="AD642" s="4" t="s">
        <v>75</v>
      </c>
      <c r="AE642" s="4" t="s">
        <v>2597</v>
      </c>
      <c r="AF642" s="4" t="s">
        <v>2600</v>
      </c>
      <c r="AG642" s="5" t="n">
        <v>0.606388888888889</v>
      </c>
      <c r="AH642" s="5" t="n">
        <v>0.232164351851852</v>
      </c>
      <c r="AI642" s="5" t="n">
        <v>0.000902777777777778</v>
      </c>
      <c r="AJ642" s="5" t="n">
        <v>0</v>
      </c>
      <c r="AK642" s="5" t="n">
        <v>0</v>
      </c>
      <c r="AL642" s="5" t="n">
        <v>0</v>
      </c>
      <c r="AM642" s="4" t="s">
        <v>78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n">
        <v>0</v>
      </c>
      <c r="AW642" s="0" t="n">
        <v>0</v>
      </c>
      <c r="AX642" s="0" t="n">
        <v>0</v>
      </c>
      <c r="AY642" s="0" t="n">
        <v>0</v>
      </c>
      <c r="AZ642" s="0" t="n">
        <v>0</v>
      </c>
      <c r="BA642" s="0" t="n">
        <v>0</v>
      </c>
      <c r="BB642" s="0" t="n">
        <v>0</v>
      </c>
      <c r="BC642" s="0" t="n">
        <v>0</v>
      </c>
      <c r="BD642" s="0" t="n">
        <v>0</v>
      </c>
      <c r="BE642" s="0" t="n">
        <v>0</v>
      </c>
      <c r="BF642" s="0" t="n">
        <v>0</v>
      </c>
      <c r="BG642" s="0" t="n">
        <v>0</v>
      </c>
      <c r="BH642" s="0" t="n">
        <v>0</v>
      </c>
      <c r="BI642" s="0" t="n">
        <v>0</v>
      </c>
      <c r="BJ642" s="0" t="n">
        <v>0</v>
      </c>
      <c r="BK642" s="0" t="n">
        <v>0</v>
      </c>
      <c r="BM642" s="6" t="n">
        <f aca="false">IFERROR(VALUE(F642),"")</f>
        <v>493.77</v>
      </c>
      <c r="BN642" s="6" t="n">
        <f aca="false">IF(R642="-","",IFERROR(VALUE(LEFT(Q642,LEN(Q642)-2)),""))</f>
        <v>193.95</v>
      </c>
      <c r="BO642" s="6" t="n">
        <f aca="false">IF(R642="-","",IFERROR(VALUE(LEFT(R642,LEN(R642)-5)),""))</f>
        <v>2.55</v>
      </c>
      <c r="BP642" s="6" t="n">
        <f aca="false">IF(R642="-","",IFERROR(VALUE(F642),""))</f>
        <v>493.77</v>
      </c>
      <c r="BQ642" s="4" t="n">
        <f aca="false">IF(R642="-",1,0)</f>
        <v>0</v>
      </c>
    </row>
    <row r="643" customFormat="false" ht="15" hidden="false" customHeight="false" outlineLevel="0" collapsed="false">
      <c r="A643" s="0" t="s">
        <v>2583</v>
      </c>
      <c r="B643" s="0" t="s">
        <v>2584</v>
      </c>
      <c r="C643" s="0" t="s">
        <v>70</v>
      </c>
      <c r="E643" s="3" t="n">
        <v>46278</v>
      </c>
      <c r="F643" s="4" t="s">
        <v>2601</v>
      </c>
      <c r="G643" s="5" t="n">
        <v>0.692962962962963</v>
      </c>
      <c r="H643" s="5" t="n">
        <v>0</v>
      </c>
      <c r="I643" s="5" t="n">
        <v>0.00225694444444444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5" t="n">
        <v>0</v>
      </c>
      <c r="P643" s="5" t="n">
        <v>0</v>
      </c>
      <c r="Q643" s="4" t="s">
        <v>2602</v>
      </c>
      <c r="R643" s="4" t="s">
        <v>139</v>
      </c>
      <c r="S643" s="5" t="n">
        <v>0.000115740740740741</v>
      </c>
      <c r="T643" s="5" t="n">
        <v>0.251388888888889</v>
      </c>
      <c r="U643" s="5" t="n">
        <v>0.200347222222222</v>
      </c>
      <c r="V643" s="5" t="n">
        <v>0.216087962962963</v>
      </c>
      <c r="W643" s="5" t="n">
        <v>0.000810185185185185</v>
      </c>
      <c r="X643" s="5" t="n">
        <v>0</v>
      </c>
      <c r="Y643" s="5" t="n">
        <v>0</v>
      </c>
      <c r="Z643" s="0" t="n">
        <v>0</v>
      </c>
      <c r="AA643" s="0" t="n">
        <v>0</v>
      </c>
      <c r="AB643" s="0" t="n">
        <v>0</v>
      </c>
      <c r="AC643" s="4" t="s">
        <v>75</v>
      </c>
      <c r="AD643" s="4" t="s">
        <v>74</v>
      </c>
      <c r="AE643" s="4" t="s">
        <v>2600</v>
      </c>
      <c r="AF643" s="4" t="s">
        <v>2603</v>
      </c>
      <c r="AG643" s="5" t="n">
        <v>0.573912037037037</v>
      </c>
      <c r="AH643" s="5" t="n">
        <v>0.246759259259259</v>
      </c>
      <c r="AI643" s="5" t="n">
        <v>0.000115740740740741</v>
      </c>
      <c r="AJ643" s="5" t="n">
        <v>0</v>
      </c>
      <c r="AK643" s="5" t="n">
        <v>0</v>
      </c>
      <c r="AL643" s="5" t="n">
        <v>0</v>
      </c>
      <c r="AM643" s="4" t="s">
        <v>78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  <c r="AU643" s="0" t="n">
        <v>0</v>
      </c>
      <c r="AV643" s="0" t="n">
        <v>0</v>
      </c>
      <c r="AW643" s="0" t="n">
        <v>0</v>
      </c>
      <c r="AX643" s="0" t="n">
        <v>0</v>
      </c>
      <c r="AY643" s="0" t="n">
        <v>0</v>
      </c>
      <c r="AZ643" s="0" t="n">
        <v>0</v>
      </c>
      <c r="BA643" s="0" t="n">
        <v>0</v>
      </c>
      <c r="BB643" s="0" t="n">
        <v>0</v>
      </c>
      <c r="BC643" s="0" t="n">
        <v>0</v>
      </c>
      <c r="BD643" s="0" t="n">
        <v>0</v>
      </c>
      <c r="BE643" s="0" t="n">
        <v>0</v>
      </c>
      <c r="BF643" s="0" t="n">
        <v>0</v>
      </c>
      <c r="BG643" s="0" t="n">
        <v>0</v>
      </c>
      <c r="BH643" s="0" t="n">
        <v>0</v>
      </c>
      <c r="BI643" s="0" t="n">
        <v>0</v>
      </c>
      <c r="BJ643" s="0" t="n">
        <v>0</v>
      </c>
      <c r="BK643" s="0" t="n">
        <v>0</v>
      </c>
      <c r="BM643" s="6" t="n">
        <f aca="false">IFERROR(VALUE(F643),"")</f>
        <v>425.12</v>
      </c>
      <c r="BN643" s="6" t="n">
        <f aca="false">IF(R643="-","",IFERROR(VALUE(LEFT(Q643,LEN(Q643)-2)),""))</f>
        <v>172.51</v>
      </c>
      <c r="BO643" s="6" t="n">
        <f aca="false">IF(R643="-","",IFERROR(VALUE(LEFT(R643,LEN(R643)-5)),""))</f>
        <v>2.46</v>
      </c>
      <c r="BP643" s="6" t="n">
        <f aca="false">IF(R643="-","",IFERROR(VALUE(F643),""))</f>
        <v>425.12</v>
      </c>
      <c r="BQ643" s="4" t="n">
        <f aca="false">IF(R643="-",1,0)</f>
        <v>0</v>
      </c>
    </row>
    <row r="644" customFormat="false" ht="15" hidden="false" customHeight="false" outlineLevel="0" collapsed="false">
      <c r="A644" s="0" t="s">
        <v>2583</v>
      </c>
      <c r="B644" s="0" t="s">
        <v>2584</v>
      </c>
      <c r="C644" s="0" t="s">
        <v>70</v>
      </c>
      <c r="E644" s="3" t="n">
        <v>46279</v>
      </c>
      <c r="F644" s="4" t="s">
        <v>2604</v>
      </c>
      <c r="G644" s="5" t="n">
        <v>0.733229166666667</v>
      </c>
      <c r="H644" s="5" t="n">
        <v>0</v>
      </c>
      <c r="I644" s="5" t="n">
        <v>6.94444444444444E-005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5" t="n">
        <v>0</v>
      </c>
      <c r="P644" s="5" t="n">
        <v>0</v>
      </c>
      <c r="Q644" s="4" t="s">
        <v>2605</v>
      </c>
      <c r="R644" s="4" t="s">
        <v>2606</v>
      </c>
      <c r="S644" s="5" t="n">
        <v>0.000810185185185185</v>
      </c>
      <c r="T644" s="5" t="n">
        <v>0.263078703703704</v>
      </c>
      <c r="U644" s="5" t="n">
        <v>0.252083333333333</v>
      </c>
      <c r="V644" s="5" t="n">
        <v>0.18912037037037</v>
      </c>
      <c r="W644" s="5" t="n">
        <v>0</v>
      </c>
      <c r="X644" s="5" t="n">
        <v>0</v>
      </c>
      <c r="Y644" s="5" t="n">
        <v>0</v>
      </c>
      <c r="Z644" s="0" t="n">
        <v>0</v>
      </c>
      <c r="AA644" s="0" t="n">
        <v>0</v>
      </c>
      <c r="AB644" s="0" t="n">
        <v>0</v>
      </c>
      <c r="AC644" s="4" t="s">
        <v>75</v>
      </c>
      <c r="AD644" s="4" t="s">
        <v>74</v>
      </c>
      <c r="AE644" s="4" t="s">
        <v>2603</v>
      </c>
      <c r="AF644" s="4" t="s">
        <v>2607</v>
      </c>
      <c r="AG644" s="5" t="n">
        <v>0.591273148148148</v>
      </c>
      <c r="AH644" s="5" t="n">
        <v>0.19744212962963</v>
      </c>
      <c r="AI644" s="5" t="n">
        <v>0.000891203703703704</v>
      </c>
      <c r="AJ644" s="5" t="n">
        <v>0</v>
      </c>
      <c r="AK644" s="5" t="n">
        <v>0</v>
      </c>
      <c r="AL644" s="5" t="n">
        <v>0</v>
      </c>
      <c r="AM644" s="4" t="s">
        <v>78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n">
        <v>0</v>
      </c>
      <c r="AU644" s="0" t="n">
        <v>0</v>
      </c>
      <c r="AV644" s="0" t="n">
        <v>0</v>
      </c>
      <c r="AW644" s="0" t="n">
        <v>0</v>
      </c>
      <c r="AX644" s="0" t="n">
        <v>0</v>
      </c>
      <c r="AY644" s="0" t="n">
        <v>0</v>
      </c>
      <c r="AZ644" s="0" t="n">
        <v>0</v>
      </c>
      <c r="BA644" s="0" t="n">
        <v>0</v>
      </c>
      <c r="BB644" s="0" t="n">
        <v>0</v>
      </c>
      <c r="BC644" s="0" t="n">
        <v>0</v>
      </c>
      <c r="BD644" s="0" t="n">
        <v>0</v>
      </c>
      <c r="BE644" s="0" t="n">
        <v>0</v>
      </c>
      <c r="BF644" s="0" t="n">
        <v>0</v>
      </c>
      <c r="BG644" s="0" t="n">
        <v>0</v>
      </c>
      <c r="BH644" s="0" t="n">
        <v>0</v>
      </c>
      <c r="BI644" s="0" t="n">
        <v>0</v>
      </c>
      <c r="BJ644" s="0" t="n">
        <v>0</v>
      </c>
      <c r="BK644" s="0" t="n">
        <v>0</v>
      </c>
      <c r="BM644" s="6" t="n">
        <f aca="false">IFERROR(VALUE(F644),"")</f>
        <v>490.01</v>
      </c>
      <c r="BN644" s="6" t="n">
        <f aca="false">IF(R644="-","",IFERROR(VALUE(LEFT(Q644,LEN(Q644)-2)),""))</f>
        <v>187.49</v>
      </c>
      <c r="BO644" s="6" t="n">
        <f aca="false">IF(R644="-","",IFERROR(VALUE(LEFT(R644,LEN(R644)-5)),""))</f>
        <v>2.61</v>
      </c>
      <c r="BP644" s="6" t="n">
        <f aca="false">IF(R644="-","",IFERROR(VALUE(F644),""))</f>
        <v>490.01</v>
      </c>
      <c r="BQ644" s="4" t="n">
        <f aca="false">IF(R644="-",1,0)</f>
        <v>0</v>
      </c>
    </row>
    <row r="645" customFormat="false" ht="15" hidden="false" customHeight="false" outlineLevel="0" collapsed="false">
      <c r="A645" s="0" t="s">
        <v>2608</v>
      </c>
      <c r="B645" s="0" t="s">
        <v>2609</v>
      </c>
      <c r="C645" s="0" t="s">
        <v>70</v>
      </c>
      <c r="D645" s="0" t="s">
        <v>2610</v>
      </c>
      <c r="E645" s="3" t="n">
        <v>46273</v>
      </c>
      <c r="F645" s="4" t="s">
        <v>2611</v>
      </c>
      <c r="G645" s="5" t="n">
        <v>0.564606481481482</v>
      </c>
      <c r="H645" s="5" t="n">
        <v>0.552569444444444</v>
      </c>
      <c r="I645" s="5" t="n">
        <v>0.000787037037037037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4</v>
      </c>
      <c r="O645" s="5" t="n">
        <v>0</v>
      </c>
      <c r="P645" s="5" t="n">
        <v>0</v>
      </c>
      <c r="Q645" s="4" t="s">
        <v>2612</v>
      </c>
      <c r="R645" s="4" t="s">
        <v>1209</v>
      </c>
      <c r="S645" s="5" t="n">
        <v>0.000115740740740741</v>
      </c>
      <c r="T645" s="5" t="n">
        <v>0.207638888888889</v>
      </c>
      <c r="U645" s="5" t="n">
        <v>0.202083333333333</v>
      </c>
      <c r="V645" s="5" t="n">
        <v>0.10625</v>
      </c>
      <c r="W645" s="5" t="n">
        <v>0</v>
      </c>
      <c r="X645" s="5" t="n">
        <v>0</v>
      </c>
      <c r="Y645" s="5" t="n">
        <v>0</v>
      </c>
      <c r="Z645" s="0" t="n">
        <v>0</v>
      </c>
      <c r="AA645" s="0" t="n">
        <v>0</v>
      </c>
      <c r="AB645" s="0" t="n">
        <v>0</v>
      </c>
      <c r="AC645" s="4" t="s">
        <v>2197</v>
      </c>
      <c r="AD645" s="4" t="s">
        <v>74</v>
      </c>
      <c r="AE645" s="4" t="s">
        <v>2613</v>
      </c>
      <c r="AF645" s="4" t="s">
        <v>2614</v>
      </c>
      <c r="AG645" s="5" t="n">
        <v>0.450578703703704</v>
      </c>
      <c r="AH645" s="5" t="n">
        <v>0.240416666666667</v>
      </c>
      <c r="AI645" s="5" t="n">
        <v>0</v>
      </c>
      <c r="AJ645" s="5" t="n">
        <v>0</v>
      </c>
      <c r="AK645" s="5" t="n">
        <v>0</v>
      </c>
      <c r="AL645" s="5" t="n">
        <v>0</v>
      </c>
      <c r="AM645" s="4" t="s">
        <v>78</v>
      </c>
      <c r="AN645" s="0" t="n">
        <v>0</v>
      </c>
      <c r="AO645" s="0" t="n">
        <v>3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  <c r="AU645" s="0" t="n">
        <v>4</v>
      </c>
      <c r="AV645" s="0" t="n">
        <v>0</v>
      </c>
      <c r="AW645" s="0" t="n">
        <v>0</v>
      </c>
      <c r="AX645" s="0" t="n">
        <v>0</v>
      </c>
      <c r="AY645" s="0" t="n">
        <v>0</v>
      </c>
      <c r="AZ645" s="0" t="n">
        <v>0</v>
      </c>
      <c r="BA645" s="0" t="n">
        <v>0</v>
      </c>
      <c r="BB645" s="0" t="n">
        <v>0</v>
      </c>
      <c r="BC645" s="0" t="n">
        <v>0</v>
      </c>
      <c r="BD645" s="0" t="n">
        <v>0</v>
      </c>
      <c r="BE645" s="0" t="n">
        <v>0</v>
      </c>
      <c r="BF645" s="0" t="n">
        <v>0</v>
      </c>
      <c r="BG645" s="0" t="n">
        <v>0</v>
      </c>
      <c r="BH645" s="0" t="n">
        <v>0</v>
      </c>
      <c r="BI645" s="0" t="n">
        <v>0</v>
      </c>
      <c r="BJ645" s="0" t="n">
        <v>0</v>
      </c>
      <c r="BK645" s="0" t="n">
        <v>0</v>
      </c>
      <c r="BM645" s="6" t="n">
        <f aca="false">IFERROR(VALUE(F645),"")</f>
        <v>307.34</v>
      </c>
      <c r="BN645" s="6" t="n">
        <f aca="false">IF(R645="-","",IFERROR(VALUE(LEFT(Q645,LEN(Q645)-2)),""))</f>
        <v>110.5</v>
      </c>
      <c r="BO645" s="6" t="n">
        <f aca="false">IF(R645="-","",IFERROR(VALUE(LEFT(R645,LEN(R645)-5)),""))</f>
        <v>2.78</v>
      </c>
      <c r="BP645" s="6" t="n">
        <f aca="false">IF(R645="-","",IFERROR(VALUE(F645),""))</f>
        <v>307.34</v>
      </c>
      <c r="BQ645" s="4" t="n">
        <f aca="false">IF(R645="-",1,0)</f>
        <v>0</v>
      </c>
    </row>
    <row r="646" customFormat="false" ht="15" hidden="false" customHeight="false" outlineLevel="0" collapsed="false">
      <c r="A646" s="0" t="s">
        <v>2608</v>
      </c>
      <c r="B646" s="0" t="s">
        <v>2609</v>
      </c>
      <c r="C646" s="0" t="s">
        <v>70</v>
      </c>
      <c r="D646" s="0" t="s">
        <v>2615</v>
      </c>
      <c r="E646" s="3" t="n">
        <v>46274</v>
      </c>
      <c r="F646" s="4" t="s">
        <v>2616</v>
      </c>
      <c r="G646" s="5" t="n">
        <v>0.614363425925926</v>
      </c>
      <c r="H646" s="5" t="n">
        <v>0.613472222222222</v>
      </c>
      <c r="I646" s="5" t="n">
        <v>0.00398148148148148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8</v>
      </c>
      <c r="O646" s="5" t="n">
        <v>0</v>
      </c>
      <c r="P646" s="5" t="n">
        <v>0.0151273148148148</v>
      </c>
      <c r="Q646" s="4" t="s">
        <v>2617</v>
      </c>
      <c r="R646" s="4" t="s">
        <v>497</v>
      </c>
      <c r="S646" s="5" t="n">
        <v>0.000578703703703704</v>
      </c>
      <c r="T646" s="5" t="n">
        <v>0.215856481481482</v>
      </c>
      <c r="U646" s="5" t="n">
        <v>0.212037037037037</v>
      </c>
      <c r="V646" s="5" t="n">
        <v>0.155787037037037</v>
      </c>
      <c r="W646" s="5" t="n">
        <v>0</v>
      </c>
      <c r="X646" s="5" t="n">
        <v>0</v>
      </c>
      <c r="Y646" s="5" t="n">
        <v>0</v>
      </c>
      <c r="Z646" s="0" t="n">
        <v>0</v>
      </c>
      <c r="AA646" s="0" t="n">
        <v>0</v>
      </c>
      <c r="AB646" s="0" t="n">
        <v>0</v>
      </c>
      <c r="AC646" s="4" t="s">
        <v>81</v>
      </c>
      <c r="AD646" s="4" t="s">
        <v>81</v>
      </c>
      <c r="AE646" s="4" t="s">
        <v>2614</v>
      </c>
      <c r="AF646" s="4" t="s">
        <v>2618</v>
      </c>
      <c r="AG646" s="5" t="n">
        <v>0.48880787037037</v>
      </c>
      <c r="AH646" s="5" t="n">
        <v>0.189270833333333</v>
      </c>
      <c r="AI646" s="5" t="n">
        <v>0</v>
      </c>
      <c r="AJ646" s="5" t="n">
        <v>0</v>
      </c>
      <c r="AK646" s="5" t="n">
        <v>0</v>
      </c>
      <c r="AL646" s="5" t="n">
        <v>0</v>
      </c>
      <c r="AM646" s="4" t="s">
        <v>78</v>
      </c>
      <c r="AN646" s="0" t="n">
        <v>0</v>
      </c>
      <c r="AO646" s="0" t="n">
        <v>1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  <c r="AU646" s="0" t="n">
        <v>6</v>
      </c>
      <c r="AV646" s="0" t="n">
        <v>0</v>
      </c>
      <c r="AW646" s="0" t="n">
        <v>0</v>
      </c>
      <c r="AX646" s="0" t="n">
        <v>0</v>
      </c>
      <c r="AY646" s="0" t="n">
        <v>0</v>
      </c>
      <c r="AZ646" s="0" t="n">
        <v>0</v>
      </c>
      <c r="BA646" s="0" t="n">
        <v>0</v>
      </c>
      <c r="BB646" s="0" t="n">
        <v>0</v>
      </c>
      <c r="BC646" s="0" t="n">
        <v>0</v>
      </c>
      <c r="BD646" s="0" t="n">
        <v>0</v>
      </c>
      <c r="BE646" s="0" t="n">
        <v>0</v>
      </c>
      <c r="BF646" s="0" t="n">
        <v>0</v>
      </c>
      <c r="BG646" s="0" t="n">
        <v>0</v>
      </c>
      <c r="BH646" s="0" t="n">
        <v>0</v>
      </c>
      <c r="BI646" s="0" t="n">
        <v>0</v>
      </c>
      <c r="BJ646" s="0" t="n">
        <v>0</v>
      </c>
      <c r="BK646" s="0" t="n">
        <v>0</v>
      </c>
      <c r="BM646" s="6" t="n">
        <f aca="false">IFERROR(VALUE(F646),"")</f>
        <v>430.04</v>
      </c>
      <c r="BN646" s="6" t="n">
        <f aca="false">IF(R646="-","",IFERROR(VALUE(LEFT(Q646,LEN(Q646)-2)),""))</f>
        <v>144.5</v>
      </c>
      <c r="BO646" s="6" t="n">
        <f aca="false">IF(R646="-","",IFERROR(VALUE(LEFT(R646,LEN(R646)-5)),""))</f>
        <v>2.98</v>
      </c>
      <c r="BP646" s="6" t="n">
        <f aca="false">IF(R646="-","",IFERROR(VALUE(F646),""))</f>
        <v>430.04</v>
      </c>
      <c r="BQ646" s="4" t="n">
        <f aca="false">IF(R646="-",1,0)</f>
        <v>0</v>
      </c>
    </row>
    <row r="647" customFormat="false" ht="15" hidden="false" customHeight="false" outlineLevel="0" collapsed="false">
      <c r="A647" s="0" t="s">
        <v>2608</v>
      </c>
      <c r="B647" s="0" t="s">
        <v>2609</v>
      </c>
      <c r="C647" s="0" t="s">
        <v>70</v>
      </c>
      <c r="D647" s="0" t="s">
        <v>2619</v>
      </c>
      <c r="E647" s="3" t="n">
        <v>46275</v>
      </c>
      <c r="F647" s="4" t="s">
        <v>2620</v>
      </c>
      <c r="G647" s="5" t="n">
        <v>0.61474537037037</v>
      </c>
      <c r="H647" s="5" t="n">
        <v>0.601990740740741</v>
      </c>
      <c r="I647" s="5" t="n">
        <v>0.00631944444444444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10</v>
      </c>
      <c r="O647" s="5" t="n">
        <v>0</v>
      </c>
      <c r="P647" s="5" t="n">
        <v>0.0314930555555556</v>
      </c>
      <c r="Q647" s="4" t="s">
        <v>2621</v>
      </c>
      <c r="R647" s="4" t="s">
        <v>545</v>
      </c>
      <c r="S647" s="5" t="n">
        <v>0.000462962962962963</v>
      </c>
      <c r="T647" s="5" t="n">
        <v>0.221064814814815</v>
      </c>
      <c r="U647" s="5" t="n">
        <v>0.206712962962963</v>
      </c>
      <c r="V647" s="5" t="n">
        <v>0.159722222222222</v>
      </c>
      <c r="W647" s="5" t="n">
        <v>0</v>
      </c>
      <c r="X647" s="5" t="n">
        <v>0</v>
      </c>
      <c r="Y647" s="5" t="n">
        <v>0</v>
      </c>
      <c r="Z647" s="0" t="n">
        <v>0</v>
      </c>
      <c r="AA647" s="0" t="n">
        <v>0</v>
      </c>
      <c r="AB647" s="0" t="n">
        <v>0</v>
      </c>
      <c r="AC647" s="4" t="s">
        <v>81</v>
      </c>
      <c r="AD647" s="4" t="s">
        <v>75</v>
      </c>
      <c r="AE647" s="4" t="s">
        <v>2618</v>
      </c>
      <c r="AF647" s="4" t="s">
        <v>2622</v>
      </c>
      <c r="AG647" s="5" t="n">
        <v>0.481527777777778</v>
      </c>
      <c r="AH647" s="5" t="n">
        <v>0.244224537037037</v>
      </c>
      <c r="AI647" s="5" t="n">
        <v>0</v>
      </c>
      <c r="AJ647" s="5" t="n">
        <v>0</v>
      </c>
      <c r="AK647" s="5" t="n">
        <v>0</v>
      </c>
      <c r="AL647" s="5" t="n">
        <v>0</v>
      </c>
      <c r="AM647" s="4" t="s">
        <v>78</v>
      </c>
      <c r="AN647" s="0" t="n">
        <v>0</v>
      </c>
      <c r="AO647" s="0" t="n">
        <v>1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  <c r="AU647" s="0" t="n">
        <v>8</v>
      </c>
      <c r="AV647" s="0" t="n">
        <v>0</v>
      </c>
      <c r="AW647" s="0" t="n">
        <v>0</v>
      </c>
      <c r="AX647" s="0" t="n">
        <v>0</v>
      </c>
      <c r="AY647" s="0" t="n">
        <v>0</v>
      </c>
      <c r="AZ647" s="0" t="n">
        <v>0</v>
      </c>
      <c r="BA647" s="0" t="n">
        <v>0</v>
      </c>
      <c r="BB647" s="0" t="n">
        <v>0</v>
      </c>
      <c r="BC647" s="0" t="n">
        <v>0</v>
      </c>
      <c r="BD647" s="0" t="n">
        <v>0</v>
      </c>
      <c r="BE647" s="0" t="n">
        <v>0</v>
      </c>
      <c r="BF647" s="0" t="n">
        <v>0</v>
      </c>
      <c r="BG647" s="0" t="n">
        <v>0</v>
      </c>
      <c r="BH647" s="0" t="n">
        <v>0</v>
      </c>
      <c r="BI647" s="0" t="n">
        <v>0</v>
      </c>
      <c r="BJ647" s="0" t="n">
        <v>0</v>
      </c>
      <c r="BK647" s="0" t="n">
        <v>0</v>
      </c>
      <c r="BM647" s="6" t="n">
        <f aca="false">IFERROR(VALUE(F647),"")</f>
        <v>429.56</v>
      </c>
      <c r="BN647" s="6" t="n">
        <f aca="false">IF(R647="-","",IFERROR(VALUE(LEFT(Q647,LEN(Q647)-2)),""))</f>
        <v>141.01</v>
      </c>
      <c r="BO647" s="6" t="n">
        <f aca="false">IF(R647="-","",IFERROR(VALUE(LEFT(R647,LEN(R647)-5)),""))</f>
        <v>3.05</v>
      </c>
      <c r="BP647" s="6" t="n">
        <f aca="false">IF(R647="-","",IFERROR(VALUE(F647),""))</f>
        <v>429.56</v>
      </c>
      <c r="BQ647" s="4" t="n">
        <f aca="false">IF(R647="-",1,0)</f>
        <v>0</v>
      </c>
    </row>
    <row r="648" customFormat="false" ht="15" hidden="false" customHeight="false" outlineLevel="0" collapsed="false">
      <c r="A648" s="0" t="s">
        <v>2608</v>
      </c>
      <c r="B648" s="0" t="s">
        <v>2609</v>
      </c>
      <c r="C648" s="0" t="s">
        <v>70</v>
      </c>
      <c r="D648" s="0" t="s">
        <v>2615</v>
      </c>
      <c r="E648" s="3" t="n">
        <v>46276</v>
      </c>
      <c r="F648" s="4" t="s">
        <v>2623</v>
      </c>
      <c r="G648" s="5" t="n">
        <v>0.617881944444444</v>
      </c>
      <c r="H648" s="5" t="n">
        <v>0.582939814814815</v>
      </c>
      <c r="I648" s="5" t="n">
        <v>0.00511574074074074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6</v>
      </c>
      <c r="O648" s="5" t="n">
        <v>0</v>
      </c>
      <c r="P648" s="5" t="n">
        <v>0.0233449074074074</v>
      </c>
      <c r="Q648" s="4" t="s">
        <v>2624</v>
      </c>
      <c r="R648" s="4" t="s">
        <v>1061</v>
      </c>
      <c r="S648" s="5" t="n">
        <v>0.000347222222222222</v>
      </c>
      <c r="T648" s="5" t="n">
        <v>0.210416666666667</v>
      </c>
      <c r="U648" s="5" t="n">
        <v>0.199884259259259</v>
      </c>
      <c r="V648" s="5" t="n">
        <v>0.161226851851852</v>
      </c>
      <c r="W648" s="5" t="n">
        <v>0</v>
      </c>
      <c r="X648" s="5" t="n">
        <v>0</v>
      </c>
      <c r="Y648" s="5" t="n">
        <v>0</v>
      </c>
      <c r="Z648" s="0" t="n">
        <v>0</v>
      </c>
      <c r="AA648" s="0" t="n">
        <v>0</v>
      </c>
      <c r="AB648" s="0" t="n">
        <v>0</v>
      </c>
      <c r="AC648" s="4" t="s">
        <v>81</v>
      </c>
      <c r="AD648" s="4" t="s">
        <v>74</v>
      </c>
      <c r="AE648" s="4" t="s">
        <v>2622</v>
      </c>
      <c r="AF648" s="4" t="s">
        <v>2625</v>
      </c>
      <c r="AG648" s="5" t="n">
        <v>0.474988425925926</v>
      </c>
      <c r="AH648" s="5" t="n">
        <v>0.234594907407407</v>
      </c>
      <c r="AI648" s="5" t="n">
        <v>0</v>
      </c>
      <c r="AJ648" s="5" t="n">
        <v>0</v>
      </c>
      <c r="AK648" s="5" t="n">
        <v>0</v>
      </c>
      <c r="AL648" s="5" t="n">
        <v>0</v>
      </c>
      <c r="AM648" s="4" t="s">
        <v>78</v>
      </c>
      <c r="AN648" s="0" t="n">
        <v>0</v>
      </c>
      <c r="AO648" s="0" t="n">
        <v>1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  <c r="AU648" s="0" t="n">
        <v>11</v>
      </c>
      <c r="AV648" s="0" t="n">
        <v>0</v>
      </c>
      <c r="AW648" s="0" t="n">
        <v>0</v>
      </c>
      <c r="AX648" s="0" t="n">
        <v>0</v>
      </c>
      <c r="AY648" s="0" t="n">
        <v>0</v>
      </c>
      <c r="AZ648" s="0" t="n">
        <v>0</v>
      </c>
      <c r="BA648" s="0" t="n">
        <v>0</v>
      </c>
      <c r="BB648" s="0" t="n">
        <v>0</v>
      </c>
      <c r="BC648" s="0" t="n">
        <v>0</v>
      </c>
      <c r="BD648" s="0" t="n">
        <v>0</v>
      </c>
      <c r="BE648" s="0" t="n">
        <v>0</v>
      </c>
      <c r="BF648" s="0" t="n">
        <v>0</v>
      </c>
      <c r="BG648" s="0" t="n">
        <v>0</v>
      </c>
      <c r="BH648" s="0" t="n">
        <v>0</v>
      </c>
      <c r="BI648" s="0" t="n">
        <v>0</v>
      </c>
      <c r="BJ648" s="0" t="n">
        <v>0</v>
      </c>
      <c r="BK648" s="0" t="n">
        <v>0</v>
      </c>
      <c r="BM648" s="6" t="n">
        <f aca="false">IFERROR(VALUE(F648),"")</f>
        <v>429.57</v>
      </c>
      <c r="BN648" s="6" t="n">
        <f aca="false">IF(R648="-","",IFERROR(VALUE(LEFT(Q648,LEN(Q648)-2)),""))</f>
        <v>141.49</v>
      </c>
      <c r="BO648" s="6" t="n">
        <f aca="false">IF(R648="-","",IFERROR(VALUE(LEFT(R648,LEN(R648)-5)),""))</f>
        <v>3.04</v>
      </c>
      <c r="BP648" s="6" t="n">
        <f aca="false">IF(R648="-","",IFERROR(VALUE(F648),""))</f>
        <v>429.57</v>
      </c>
      <c r="BQ648" s="4" t="n">
        <f aca="false">IF(R648="-",1,0)</f>
        <v>0</v>
      </c>
    </row>
    <row r="649" customFormat="false" ht="15" hidden="false" customHeight="false" outlineLevel="0" collapsed="false">
      <c r="A649" s="0" t="s">
        <v>2608</v>
      </c>
      <c r="B649" s="0" t="s">
        <v>2609</v>
      </c>
      <c r="C649" s="0" t="s">
        <v>70</v>
      </c>
      <c r="D649" s="0" t="s">
        <v>2615</v>
      </c>
      <c r="E649" s="3" t="n">
        <v>46277</v>
      </c>
      <c r="F649" s="4" t="s">
        <v>2626</v>
      </c>
      <c r="G649" s="5" t="n">
        <v>0.653078703703704</v>
      </c>
      <c r="H649" s="5" t="n">
        <v>0.641921296296296</v>
      </c>
      <c r="I649" s="5" t="n">
        <v>0.00861111111111111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9</v>
      </c>
      <c r="O649" s="5" t="n">
        <v>0</v>
      </c>
      <c r="P649" s="5" t="n">
        <v>0.00715277777777778</v>
      </c>
      <c r="Q649" s="4" t="s">
        <v>2627</v>
      </c>
      <c r="R649" s="4" t="s">
        <v>1341</v>
      </c>
      <c r="S649" s="5" t="n">
        <v>0.000115740740740741</v>
      </c>
      <c r="T649" s="5" t="n">
        <v>0.223842592592593</v>
      </c>
      <c r="U649" s="5" t="n">
        <v>0.219675925925926</v>
      </c>
      <c r="V649" s="5" t="n">
        <v>0.184953703703704</v>
      </c>
      <c r="W649" s="5" t="n">
        <v>0</v>
      </c>
      <c r="X649" s="5" t="n">
        <v>0</v>
      </c>
      <c r="Y649" s="5" t="n">
        <v>0</v>
      </c>
      <c r="Z649" s="0" t="n">
        <v>0</v>
      </c>
      <c r="AA649" s="0" t="n">
        <v>0</v>
      </c>
      <c r="AB649" s="0" t="n">
        <v>0</v>
      </c>
      <c r="AC649" s="4" t="s">
        <v>81</v>
      </c>
      <c r="AD649" s="4" t="s">
        <v>74</v>
      </c>
      <c r="AE649" s="4" t="s">
        <v>2625</v>
      </c>
      <c r="AF649" s="4" t="s">
        <v>2628</v>
      </c>
      <c r="AG649" s="5" t="n">
        <v>0.535844907407407</v>
      </c>
      <c r="AH649" s="5" t="n">
        <v>0.181018518518519</v>
      </c>
      <c r="AI649" s="5" t="n">
        <v>0</v>
      </c>
      <c r="AJ649" s="5" t="n">
        <v>0</v>
      </c>
      <c r="AK649" s="5" t="n">
        <v>0</v>
      </c>
      <c r="AL649" s="5" t="n">
        <v>0</v>
      </c>
      <c r="AM649" s="4" t="s">
        <v>78</v>
      </c>
      <c r="AN649" s="0" t="n">
        <v>0</v>
      </c>
      <c r="AO649" s="0" t="n">
        <v>2</v>
      </c>
      <c r="AP649" s="0" t="n">
        <v>0</v>
      </c>
      <c r="AQ649" s="0" t="n">
        <v>0</v>
      </c>
      <c r="AR649" s="0" t="n">
        <v>1</v>
      </c>
      <c r="AS649" s="0" t="n">
        <v>1</v>
      </c>
      <c r="AT649" s="0" t="n">
        <v>0</v>
      </c>
      <c r="AU649" s="0" t="n">
        <v>8</v>
      </c>
      <c r="AV649" s="0" t="n">
        <v>0</v>
      </c>
      <c r="AW649" s="0" t="n">
        <v>0</v>
      </c>
      <c r="AX649" s="0" t="n">
        <v>0</v>
      </c>
      <c r="AY649" s="0" t="n">
        <v>0</v>
      </c>
      <c r="AZ649" s="0" t="n">
        <v>0</v>
      </c>
      <c r="BA649" s="0" t="n">
        <v>0</v>
      </c>
      <c r="BB649" s="0" t="n">
        <v>0</v>
      </c>
      <c r="BC649" s="0" t="n">
        <v>0</v>
      </c>
      <c r="BD649" s="0" t="n">
        <v>0</v>
      </c>
      <c r="BE649" s="0" t="n">
        <v>0</v>
      </c>
      <c r="BF649" s="0" t="n">
        <v>0</v>
      </c>
      <c r="BG649" s="0" t="n">
        <v>0</v>
      </c>
      <c r="BH649" s="0" t="n">
        <v>0</v>
      </c>
      <c r="BI649" s="0" t="n">
        <v>0</v>
      </c>
      <c r="BJ649" s="0" t="n">
        <v>0</v>
      </c>
      <c r="BK649" s="0" t="n">
        <v>0</v>
      </c>
      <c r="BM649" s="6" t="n">
        <f aca="false">IFERROR(VALUE(F649),"")</f>
        <v>483.57</v>
      </c>
      <c r="BN649" s="6" t="n">
        <f aca="false">IF(R649="-","",IFERROR(VALUE(LEFT(Q649,LEN(Q649)-2)),""))</f>
        <v>161.01</v>
      </c>
      <c r="BO649" s="6" t="n">
        <f aca="false">IF(R649="-","",IFERROR(VALUE(LEFT(R649,LEN(R649)-5)),""))</f>
        <v>3</v>
      </c>
      <c r="BP649" s="6" t="n">
        <f aca="false">IF(R649="-","",IFERROR(VALUE(F649),""))</f>
        <v>483.57</v>
      </c>
      <c r="BQ649" s="4" t="n">
        <f aca="false">IF(R649="-",1,0)</f>
        <v>0</v>
      </c>
    </row>
    <row r="650" customFormat="false" ht="15" hidden="false" customHeight="false" outlineLevel="0" collapsed="false">
      <c r="A650" s="0" t="s">
        <v>2608</v>
      </c>
      <c r="B650" s="0" t="s">
        <v>2609</v>
      </c>
      <c r="C650" s="0" t="s">
        <v>70</v>
      </c>
      <c r="D650" s="0" t="s">
        <v>2629</v>
      </c>
      <c r="E650" s="3" t="n">
        <v>46278</v>
      </c>
      <c r="F650" s="4" t="s">
        <v>2630</v>
      </c>
      <c r="G650" s="5" t="n">
        <v>0.131400462962963</v>
      </c>
      <c r="H650" s="5" t="n">
        <v>0.123483796296296</v>
      </c>
      <c r="I650" s="5" t="n">
        <v>0.00131944444444444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1</v>
      </c>
      <c r="O650" s="5" t="n">
        <v>0</v>
      </c>
      <c r="P650" s="5" t="n">
        <v>0.017962962962963</v>
      </c>
      <c r="Q650" s="4" t="s">
        <v>2631</v>
      </c>
      <c r="R650" s="4" t="s">
        <v>1169</v>
      </c>
      <c r="S650" s="5" t="n">
        <v>0.000115740740740741</v>
      </c>
      <c r="T650" s="5" t="n">
        <v>0.0641203703703704</v>
      </c>
      <c r="U650" s="5" t="n">
        <v>0.0320601851851852</v>
      </c>
      <c r="V650" s="5" t="n">
        <v>0.0322916666666667</v>
      </c>
      <c r="W650" s="5" t="n">
        <v>0</v>
      </c>
      <c r="X650" s="5" t="n">
        <v>0</v>
      </c>
      <c r="Y650" s="5" t="n">
        <v>0</v>
      </c>
      <c r="Z650" s="0" t="n">
        <v>0</v>
      </c>
      <c r="AA650" s="0" t="n">
        <v>0</v>
      </c>
      <c r="AB650" s="0" t="n">
        <v>0</v>
      </c>
      <c r="AC650" s="4" t="s">
        <v>74</v>
      </c>
      <c r="AD650" s="4" t="s">
        <v>74</v>
      </c>
      <c r="AE650" s="4" t="s">
        <v>2628</v>
      </c>
      <c r="AF650" s="4" t="s">
        <v>2632</v>
      </c>
      <c r="AG650" s="5" t="n">
        <v>0.0874074074074074</v>
      </c>
      <c r="AH650" s="5" t="n">
        <v>0.0832407407407407</v>
      </c>
      <c r="AI650" s="5" t="n">
        <v>0</v>
      </c>
      <c r="AJ650" s="5" t="n">
        <v>0</v>
      </c>
      <c r="AK650" s="5" t="n">
        <v>0</v>
      </c>
      <c r="AL650" s="5" t="n">
        <v>0</v>
      </c>
      <c r="AM650" s="4" t="s">
        <v>78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  <c r="AU650" s="0" t="n">
        <v>0</v>
      </c>
      <c r="AV650" s="0" t="n">
        <v>0</v>
      </c>
      <c r="AW650" s="0" t="n">
        <v>0</v>
      </c>
      <c r="AX650" s="0" t="n">
        <v>0</v>
      </c>
      <c r="AY650" s="0" t="n">
        <v>0</v>
      </c>
      <c r="AZ650" s="0" t="n">
        <v>0</v>
      </c>
      <c r="BA650" s="0" t="n">
        <v>0</v>
      </c>
      <c r="BB650" s="0" t="n">
        <v>0</v>
      </c>
      <c r="BC650" s="0" t="n">
        <v>0</v>
      </c>
      <c r="BD650" s="0" t="n">
        <v>0</v>
      </c>
      <c r="BE650" s="0" t="n">
        <v>0</v>
      </c>
      <c r="BF650" s="0" t="n">
        <v>0</v>
      </c>
      <c r="BG650" s="0" t="n">
        <v>0</v>
      </c>
      <c r="BH650" s="0" t="n">
        <v>0</v>
      </c>
      <c r="BI650" s="0" t="n">
        <v>0</v>
      </c>
      <c r="BJ650" s="0" t="n">
        <v>0</v>
      </c>
      <c r="BK650" s="0" t="n">
        <v>0</v>
      </c>
      <c r="BM650" s="6" t="n">
        <f aca="false">IFERROR(VALUE(F650),"")</f>
        <v>75.02</v>
      </c>
      <c r="BN650" s="6" t="n">
        <f aca="false">IF(R650="-","",IFERROR(VALUE(LEFT(Q650,LEN(Q650)-2)),""))</f>
        <v>28.5</v>
      </c>
      <c r="BO650" s="6" t="n">
        <f aca="false">IF(R650="-","",IFERROR(VALUE(LEFT(R650,LEN(R650)-5)),""))</f>
        <v>2.63</v>
      </c>
      <c r="BP650" s="6" t="n">
        <f aca="false">IF(R650="-","",IFERROR(VALUE(F650),""))</f>
        <v>75.02</v>
      </c>
      <c r="BQ650" s="4" t="n">
        <f aca="false">IF(R650="-",1,0)</f>
        <v>0</v>
      </c>
    </row>
    <row r="651" customFormat="false" ht="15" hidden="false" customHeight="false" outlineLevel="0" collapsed="false">
      <c r="A651" s="0" t="s">
        <v>2608</v>
      </c>
      <c r="B651" s="0" t="s">
        <v>2609</v>
      </c>
      <c r="C651" s="0" t="s">
        <v>70</v>
      </c>
      <c r="D651" s="0" t="s">
        <v>2619</v>
      </c>
      <c r="E651" s="3" t="n">
        <v>46279</v>
      </c>
      <c r="F651" s="4" t="s">
        <v>2633</v>
      </c>
      <c r="G651" s="5" t="n">
        <v>0.632418981481482</v>
      </c>
      <c r="H651" s="5" t="n">
        <v>0.603159722222222</v>
      </c>
      <c r="I651" s="5" t="n">
        <v>0.00538194444444444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7</v>
      </c>
      <c r="O651" s="5" t="n">
        <v>0</v>
      </c>
      <c r="P651" s="5" t="n">
        <v>0</v>
      </c>
      <c r="Q651" s="4" t="s">
        <v>2634</v>
      </c>
      <c r="R651" s="4" t="s">
        <v>1317</v>
      </c>
      <c r="S651" s="5" t="n">
        <v>0.000694444444444445</v>
      </c>
      <c r="T651" s="5" t="n">
        <v>0.224652777777778</v>
      </c>
      <c r="U651" s="5" t="n">
        <v>0.202546296296296</v>
      </c>
      <c r="V651" s="5" t="n">
        <v>0.159490740740741</v>
      </c>
      <c r="W651" s="5" t="n">
        <v>0</v>
      </c>
      <c r="X651" s="5" t="n">
        <v>0</v>
      </c>
      <c r="Y651" s="5" t="n">
        <v>0</v>
      </c>
      <c r="Z651" s="0" t="n">
        <v>0</v>
      </c>
      <c r="AA651" s="0" t="n">
        <v>0</v>
      </c>
      <c r="AB651" s="0" t="n">
        <v>0</v>
      </c>
      <c r="AC651" s="4" t="s">
        <v>228</v>
      </c>
      <c r="AD651" s="4" t="s">
        <v>75</v>
      </c>
      <c r="AE651" s="4" t="s">
        <v>2632</v>
      </c>
      <c r="AF651" s="4" t="s">
        <v>2635</v>
      </c>
      <c r="AG651" s="5" t="n">
        <v>0.477604166666667</v>
      </c>
      <c r="AH651" s="5" t="n">
        <v>0.266666666666667</v>
      </c>
      <c r="AI651" s="5" t="n">
        <v>0</v>
      </c>
      <c r="AJ651" s="5" t="n">
        <v>0</v>
      </c>
      <c r="AK651" s="5" t="n">
        <v>0</v>
      </c>
      <c r="AL651" s="5" t="n">
        <v>0</v>
      </c>
      <c r="AM651" s="4" t="s">
        <v>78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1</v>
      </c>
      <c r="AS651" s="0" t="n">
        <v>0</v>
      </c>
      <c r="AT651" s="0" t="n">
        <v>0</v>
      </c>
      <c r="AU651" s="0" t="n">
        <v>7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  <c r="BA651" s="0" t="n">
        <v>0</v>
      </c>
      <c r="BB651" s="0" t="n">
        <v>0</v>
      </c>
      <c r="BC651" s="0" t="n">
        <v>0</v>
      </c>
      <c r="BD651" s="0" t="n">
        <v>0</v>
      </c>
      <c r="BE651" s="0" t="n">
        <v>0</v>
      </c>
      <c r="BF651" s="0" t="n">
        <v>0</v>
      </c>
      <c r="BG651" s="0" t="n">
        <v>0</v>
      </c>
      <c r="BH651" s="0" t="n">
        <v>0</v>
      </c>
      <c r="BI651" s="0" t="n">
        <v>0</v>
      </c>
      <c r="BJ651" s="0" t="n">
        <v>0</v>
      </c>
      <c r="BK651" s="0" t="n">
        <v>0</v>
      </c>
      <c r="BM651" s="6" t="n">
        <f aca="false">IFERROR(VALUE(F651),"")</f>
        <v>429.51</v>
      </c>
      <c r="BN651" s="6" t="n">
        <f aca="false">IF(R651="-","",IFERROR(VALUE(LEFT(Q651,LEN(Q651)-2)),""))</f>
        <v>142</v>
      </c>
      <c r="BO651" s="6" t="n">
        <f aca="false">IF(R651="-","",IFERROR(VALUE(LEFT(R651,LEN(R651)-5)),""))</f>
        <v>3.02</v>
      </c>
      <c r="BP651" s="6" t="n">
        <f aca="false">IF(R651="-","",IFERROR(VALUE(F651),""))</f>
        <v>429.51</v>
      </c>
      <c r="BQ651" s="4" t="n">
        <f aca="false">IF(R651="-",1,0)</f>
        <v>0</v>
      </c>
    </row>
    <row r="652" customFormat="false" ht="15" hidden="false" customHeight="false" outlineLevel="0" collapsed="false">
      <c r="A652" s="0" t="s">
        <v>2636</v>
      </c>
      <c r="B652" s="0" t="s">
        <v>2637</v>
      </c>
      <c r="C652" s="0" t="s">
        <v>70</v>
      </c>
      <c r="D652" s="0" t="s">
        <v>2638</v>
      </c>
      <c r="E652" s="3" t="n">
        <v>46273</v>
      </c>
      <c r="F652" s="4" t="s">
        <v>2639</v>
      </c>
      <c r="G652" s="5" t="n">
        <v>0.617835648148148</v>
      </c>
      <c r="H652" s="5" t="n">
        <v>0.542592592592593</v>
      </c>
      <c r="I652" s="5" t="n">
        <v>0.00501157407407407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5" t="n">
        <v>0</v>
      </c>
      <c r="P652" s="5" t="n">
        <v>0.0164814814814815</v>
      </c>
      <c r="Q652" s="4" t="s">
        <v>2621</v>
      </c>
      <c r="R652" s="4" t="s">
        <v>1609</v>
      </c>
      <c r="S652" s="5" t="n">
        <v>0.000231481481481482</v>
      </c>
      <c r="T652" s="5" t="n">
        <v>0.200462962962963</v>
      </c>
      <c r="U652" s="5" t="n">
        <v>0.17755787037037</v>
      </c>
      <c r="V652" s="5" t="n">
        <v>0.159409722222222</v>
      </c>
      <c r="W652" s="5" t="n">
        <v>0.00025462962962963</v>
      </c>
      <c r="X652" s="5" t="n">
        <v>0</v>
      </c>
      <c r="Y652" s="5" t="n">
        <v>0.000266203703703704</v>
      </c>
      <c r="Z652" s="0" t="n">
        <v>0</v>
      </c>
      <c r="AA652" s="0" t="n">
        <v>0</v>
      </c>
      <c r="AB652" s="0" t="n">
        <v>0</v>
      </c>
      <c r="AC652" s="4" t="s">
        <v>81</v>
      </c>
      <c r="AD652" s="4" t="s">
        <v>81</v>
      </c>
      <c r="AE652" s="4" t="s">
        <v>2640</v>
      </c>
      <c r="AF652" s="4" t="s">
        <v>2641</v>
      </c>
      <c r="AG652" s="5" t="n">
        <v>0.4575</v>
      </c>
      <c r="AH652" s="5" t="n">
        <v>0.289282407407407</v>
      </c>
      <c r="AI652" s="5" t="n">
        <v>0</v>
      </c>
      <c r="AJ652" s="5" t="n">
        <v>0</v>
      </c>
      <c r="AK652" s="5" t="n">
        <v>0</v>
      </c>
      <c r="AL652" s="5" t="n">
        <v>0</v>
      </c>
      <c r="AM652" s="4" t="s">
        <v>78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  <c r="AU652" s="0" t="n">
        <v>8</v>
      </c>
      <c r="AV652" s="0" t="n">
        <v>0</v>
      </c>
      <c r="AW652" s="0" t="n">
        <v>0</v>
      </c>
      <c r="AX652" s="0" t="n">
        <v>0</v>
      </c>
      <c r="AY652" s="0" t="n">
        <v>0</v>
      </c>
      <c r="AZ652" s="0" t="n">
        <v>0</v>
      </c>
      <c r="BA652" s="0" t="n">
        <v>0</v>
      </c>
      <c r="BB652" s="0" t="n">
        <v>0</v>
      </c>
      <c r="BC652" s="0" t="n">
        <v>0</v>
      </c>
      <c r="BD652" s="0" t="n">
        <v>0</v>
      </c>
      <c r="BE652" s="0" t="n">
        <v>0</v>
      </c>
      <c r="BF652" s="0" t="n">
        <v>0</v>
      </c>
      <c r="BG652" s="0" t="n">
        <v>0</v>
      </c>
      <c r="BH652" s="0" t="n">
        <v>0</v>
      </c>
      <c r="BI652" s="0" t="n">
        <v>0</v>
      </c>
      <c r="BJ652" s="0" t="n">
        <v>0</v>
      </c>
      <c r="BK652" s="0" t="n">
        <v>0</v>
      </c>
      <c r="BM652" s="6" t="n">
        <f aca="false">IFERROR(VALUE(F652),"")</f>
        <v>369.52</v>
      </c>
      <c r="BN652" s="6" t="n">
        <f aca="false">IF(R652="-","",IFERROR(VALUE(LEFT(Q652,LEN(Q652)-2)),""))</f>
        <v>141.01</v>
      </c>
      <c r="BO652" s="6" t="n">
        <f aca="false">IF(R652="-","",IFERROR(VALUE(LEFT(R652,LEN(R652)-5)),""))</f>
        <v>2.62</v>
      </c>
      <c r="BP652" s="6" t="n">
        <f aca="false">IF(R652="-","",IFERROR(VALUE(F652),""))</f>
        <v>369.52</v>
      </c>
      <c r="BQ652" s="4" t="n">
        <f aca="false">IF(R652="-",1,0)</f>
        <v>0</v>
      </c>
    </row>
    <row r="653" customFormat="false" ht="15" hidden="false" customHeight="false" outlineLevel="0" collapsed="false">
      <c r="A653" s="0" t="s">
        <v>2636</v>
      </c>
      <c r="B653" s="0" t="s">
        <v>2637</v>
      </c>
      <c r="C653" s="0" t="s">
        <v>70</v>
      </c>
      <c r="D653" s="0" t="s">
        <v>2642</v>
      </c>
      <c r="E653" s="3" t="n">
        <v>46274</v>
      </c>
      <c r="F653" s="4" t="s">
        <v>2643</v>
      </c>
      <c r="G653" s="5" t="n">
        <v>0.659189814814815</v>
      </c>
      <c r="H653" s="5" t="n">
        <v>0.585289351851852</v>
      </c>
      <c r="I653" s="5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5" t="n">
        <v>0</v>
      </c>
      <c r="P653" s="5" t="n">
        <v>0.00877314814814815</v>
      </c>
      <c r="Q653" s="4" t="s">
        <v>2644</v>
      </c>
      <c r="R653" s="4" t="s">
        <v>1362</v>
      </c>
      <c r="S653" s="5" t="n">
        <v>0.000231481481481482</v>
      </c>
      <c r="T653" s="5" t="n">
        <v>0.253009259259259</v>
      </c>
      <c r="U653" s="5" t="n">
        <v>0.207175925925926</v>
      </c>
      <c r="V653" s="5" t="n">
        <v>0.119375</v>
      </c>
      <c r="W653" s="5" t="n">
        <v>0.000196759259259259</v>
      </c>
      <c r="X653" s="5" t="n">
        <v>0</v>
      </c>
      <c r="Y653" s="5" t="n">
        <v>8.10185185185185E-005</v>
      </c>
      <c r="Z653" s="0" t="n">
        <v>0</v>
      </c>
      <c r="AA653" s="0" t="n">
        <v>0</v>
      </c>
      <c r="AB653" s="0" t="n">
        <v>0</v>
      </c>
      <c r="AC653" s="4" t="s">
        <v>81</v>
      </c>
      <c r="AD653" s="4" t="s">
        <v>81</v>
      </c>
      <c r="AE653" s="4" t="s">
        <v>2641</v>
      </c>
      <c r="AF653" s="4" t="s">
        <v>2645</v>
      </c>
      <c r="AG653" s="5" t="n">
        <v>0.499189814814815</v>
      </c>
      <c r="AH653" s="5" t="n">
        <v>0.208518518518519</v>
      </c>
      <c r="AI653" s="5" t="n">
        <v>0</v>
      </c>
      <c r="AJ653" s="5" t="n">
        <v>0</v>
      </c>
      <c r="AK653" s="5" t="n">
        <v>0</v>
      </c>
      <c r="AL653" s="5" t="n">
        <v>0</v>
      </c>
      <c r="AM653" s="4" t="s">
        <v>78</v>
      </c>
      <c r="AN653" s="0" t="n">
        <v>0</v>
      </c>
      <c r="AO653" s="0" t="n">
        <v>3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  <c r="AU653" s="0" t="n">
        <v>6</v>
      </c>
      <c r="AV653" s="0" t="n">
        <v>0</v>
      </c>
      <c r="AW653" s="0" t="n">
        <v>0</v>
      </c>
      <c r="AX653" s="0" t="n">
        <v>0</v>
      </c>
      <c r="AY653" s="0" t="n">
        <v>0</v>
      </c>
      <c r="AZ653" s="0" t="n">
        <v>0</v>
      </c>
      <c r="BA653" s="0" t="n">
        <v>0</v>
      </c>
      <c r="BB653" s="0" t="n">
        <v>0</v>
      </c>
      <c r="BC653" s="0" t="n">
        <v>0</v>
      </c>
      <c r="BD653" s="0" t="n">
        <v>0</v>
      </c>
      <c r="BE653" s="0" t="n">
        <v>0</v>
      </c>
      <c r="BF653" s="0" t="n">
        <v>0</v>
      </c>
      <c r="BG653" s="0" t="n">
        <v>0</v>
      </c>
      <c r="BH653" s="0" t="n">
        <v>0</v>
      </c>
      <c r="BI653" s="0" t="n">
        <v>0</v>
      </c>
      <c r="BJ653" s="0" t="n">
        <v>0</v>
      </c>
      <c r="BK653" s="0" t="n">
        <v>0</v>
      </c>
      <c r="BM653" s="6" t="n">
        <f aca="false">IFERROR(VALUE(F653),"")</f>
        <v>323.08</v>
      </c>
      <c r="BN653" s="6" t="n">
        <f aca="false">IF(R653="-","",IFERROR(VALUE(LEFT(Q653,LEN(Q653)-2)),""))</f>
        <v>129.5</v>
      </c>
      <c r="BO653" s="6" t="n">
        <f aca="false">IF(R653="-","",IFERROR(VALUE(LEFT(R653,LEN(R653)-5)),""))</f>
        <v>2.49</v>
      </c>
      <c r="BP653" s="6" t="n">
        <f aca="false">IF(R653="-","",IFERROR(VALUE(F653),""))</f>
        <v>323.08</v>
      </c>
      <c r="BQ653" s="4" t="n">
        <f aca="false">IF(R653="-",1,0)</f>
        <v>0</v>
      </c>
    </row>
    <row r="654" customFormat="false" ht="15" hidden="false" customHeight="false" outlineLevel="0" collapsed="false">
      <c r="A654" s="0" t="s">
        <v>2636</v>
      </c>
      <c r="B654" s="0" t="s">
        <v>2637</v>
      </c>
      <c r="C654" s="0" t="s">
        <v>70</v>
      </c>
      <c r="D654" s="0" t="s">
        <v>2213</v>
      </c>
      <c r="E654" s="3" t="n">
        <v>46275</v>
      </c>
      <c r="F654" s="4" t="s">
        <v>2646</v>
      </c>
      <c r="G654" s="5" t="n">
        <v>0.311967592592593</v>
      </c>
      <c r="H654" s="5" t="n">
        <v>0.26912037037037</v>
      </c>
      <c r="I654" s="5" t="n">
        <v>5.78703703703704E-005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5" t="n">
        <v>0</v>
      </c>
      <c r="P654" s="5" t="n">
        <v>0</v>
      </c>
      <c r="Q654" s="4" t="s">
        <v>2647</v>
      </c>
      <c r="R654" s="4" t="s">
        <v>2187</v>
      </c>
      <c r="S654" s="5" t="n">
        <v>0.000462962962962963</v>
      </c>
      <c r="T654" s="5" t="n">
        <v>0.119328703703704</v>
      </c>
      <c r="U654" s="5" t="n">
        <v>0.125578703703704</v>
      </c>
      <c r="V654" s="5" t="n">
        <v>0.0386574074074074</v>
      </c>
      <c r="W654" s="5" t="n">
        <v>0</v>
      </c>
      <c r="X654" s="5" t="n">
        <v>0</v>
      </c>
      <c r="Y654" s="5" t="n">
        <v>0</v>
      </c>
      <c r="Z654" s="0" t="n">
        <v>0</v>
      </c>
      <c r="AA654" s="0" t="n">
        <v>0</v>
      </c>
      <c r="AB654" s="0" t="n">
        <v>0</v>
      </c>
      <c r="AC654" s="4" t="s">
        <v>75</v>
      </c>
      <c r="AD654" s="4" t="s">
        <v>228</v>
      </c>
      <c r="AE654" s="4" t="s">
        <v>2645</v>
      </c>
      <c r="AF654" s="4" t="s">
        <v>2648</v>
      </c>
      <c r="AG654" s="5" t="n">
        <v>0.23994212962963</v>
      </c>
      <c r="AH654" s="5" t="n">
        <v>0.17962962962963</v>
      </c>
      <c r="AI654" s="5" t="n">
        <v>0</v>
      </c>
      <c r="AJ654" s="5" t="n">
        <v>0</v>
      </c>
      <c r="AK654" s="5" t="n">
        <v>0</v>
      </c>
      <c r="AL654" s="5" t="n">
        <v>0</v>
      </c>
      <c r="AM654" s="4" t="s">
        <v>78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  <c r="AU654" s="0" t="n">
        <v>11</v>
      </c>
      <c r="AV654" s="0" t="n">
        <v>0</v>
      </c>
      <c r="AW654" s="0" t="n">
        <v>0</v>
      </c>
      <c r="AX654" s="0" t="n">
        <v>0</v>
      </c>
      <c r="AY654" s="0" t="n">
        <v>0</v>
      </c>
      <c r="AZ654" s="0" t="n">
        <v>0</v>
      </c>
      <c r="BA654" s="0" t="n">
        <v>0</v>
      </c>
      <c r="BB654" s="0" t="n">
        <v>0</v>
      </c>
      <c r="BC654" s="0" t="n">
        <v>0</v>
      </c>
      <c r="BD654" s="0" t="n">
        <v>0</v>
      </c>
      <c r="BE654" s="0" t="n">
        <v>0</v>
      </c>
      <c r="BF654" s="0" t="n">
        <v>0</v>
      </c>
      <c r="BG654" s="0" t="n">
        <v>0</v>
      </c>
      <c r="BH654" s="0" t="n">
        <v>0</v>
      </c>
      <c r="BI654" s="0" t="n">
        <v>0</v>
      </c>
      <c r="BJ654" s="0" t="n">
        <v>0</v>
      </c>
      <c r="BK654" s="0" t="n">
        <v>0</v>
      </c>
      <c r="BM654" s="6" t="n">
        <f aca="false">IFERROR(VALUE(F654),"")</f>
        <v>145.16</v>
      </c>
      <c r="BN654" s="6" t="n">
        <f aca="false">IF(R654="-","",IFERROR(VALUE(LEFT(Q654,LEN(Q654)-2)),""))</f>
        <v>56.99</v>
      </c>
      <c r="BO654" s="6" t="n">
        <f aca="false">IF(R654="-","",IFERROR(VALUE(LEFT(R654,LEN(R654)-5)),""))</f>
        <v>2.55</v>
      </c>
      <c r="BP654" s="6" t="n">
        <f aca="false">IF(R654="-","",IFERROR(VALUE(F654),""))</f>
        <v>145.16</v>
      </c>
      <c r="BQ654" s="4" t="n">
        <f aca="false">IF(R654="-",1,0)</f>
        <v>0</v>
      </c>
    </row>
    <row r="655" customFormat="false" ht="15" hidden="false" customHeight="false" outlineLevel="0" collapsed="false">
      <c r="A655" s="0" t="s">
        <v>2636</v>
      </c>
      <c r="B655" s="0" t="s">
        <v>2637</v>
      </c>
      <c r="C655" s="0" t="s">
        <v>70</v>
      </c>
      <c r="D655" s="0" t="s">
        <v>1659</v>
      </c>
      <c r="E655" s="3" t="n">
        <v>46276</v>
      </c>
      <c r="F655" s="4" t="s">
        <v>861</v>
      </c>
      <c r="G655" s="5" t="n">
        <v>0.36712962962963</v>
      </c>
      <c r="H655" s="5" t="n">
        <v>0.348032407407407</v>
      </c>
      <c r="I655" s="5" t="n">
        <v>0.000393518518518519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3</v>
      </c>
      <c r="O655" s="5" t="n">
        <v>0</v>
      </c>
      <c r="P655" s="5" t="n">
        <v>0.00737268518518519</v>
      </c>
      <c r="Q655" s="4" t="s">
        <v>2041</v>
      </c>
      <c r="R655" s="4" t="s">
        <v>2649</v>
      </c>
      <c r="S655" s="5" t="n">
        <v>0.000115740740740741</v>
      </c>
      <c r="T655" s="5" t="n">
        <v>0.153009259259259</v>
      </c>
      <c r="U655" s="5" t="n">
        <v>0.125231481481482</v>
      </c>
      <c r="V655" s="5" t="n">
        <v>0.0659722222222222</v>
      </c>
      <c r="W655" s="5" t="n">
        <v>0.000462962962962963</v>
      </c>
      <c r="X655" s="5" t="n">
        <v>0</v>
      </c>
      <c r="Y655" s="5" t="n">
        <v>0</v>
      </c>
      <c r="Z655" s="0" t="n">
        <v>0</v>
      </c>
      <c r="AA655" s="0" t="n">
        <v>0</v>
      </c>
      <c r="AB655" s="0" t="n">
        <v>0</v>
      </c>
      <c r="AC655" s="4" t="s">
        <v>593</v>
      </c>
      <c r="AD655" s="4" t="s">
        <v>75</v>
      </c>
      <c r="AE655" s="4" t="s">
        <v>2648</v>
      </c>
      <c r="AF655" s="4" t="s">
        <v>2650</v>
      </c>
      <c r="AG655" s="5" t="n">
        <v>0.299583333333333</v>
      </c>
      <c r="AH655" s="5" t="n">
        <v>0.123935185185185</v>
      </c>
      <c r="AI655" s="5" t="n">
        <v>0.000358796296296296</v>
      </c>
      <c r="AJ655" s="5" t="n">
        <v>0</v>
      </c>
      <c r="AK655" s="5" t="n">
        <v>0</v>
      </c>
      <c r="AL655" s="5" t="n">
        <v>0</v>
      </c>
      <c r="AM655" s="4" t="s">
        <v>78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  <c r="AU655" s="0" t="n">
        <v>9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0</v>
      </c>
      <c r="BA655" s="0" t="n">
        <v>0</v>
      </c>
      <c r="BB655" s="0" t="n">
        <v>0</v>
      </c>
      <c r="BC655" s="0" t="n">
        <v>0</v>
      </c>
      <c r="BD655" s="0" t="n">
        <v>0</v>
      </c>
      <c r="BE655" s="0" t="n">
        <v>0</v>
      </c>
      <c r="BF655" s="0" t="n">
        <v>0</v>
      </c>
      <c r="BG655" s="0" t="n">
        <v>0</v>
      </c>
      <c r="BH655" s="0" t="n">
        <v>0</v>
      </c>
      <c r="BI655" s="0" t="n">
        <v>0</v>
      </c>
      <c r="BJ655" s="0" t="n">
        <v>0</v>
      </c>
      <c r="BK655" s="0" t="n">
        <v>0</v>
      </c>
      <c r="BM655" s="6" t="n">
        <f aca="false">IFERROR(VALUE(F655),"")</f>
        <v>180.67</v>
      </c>
      <c r="BN655" s="6" t="n">
        <f aca="false">IF(R655="-","",IFERROR(VALUE(LEFT(Q655,LEN(Q655)-2)),""))</f>
        <v>75.01</v>
      </c>
      <c r="BO655" s="6" t="n">
        <f aca="false">IF(R655="-","",IFERROR(VALUE(LEFT(R655,LEN(R655)-5)),""))</f>
        <v>2.41</v>
      </c>
      <c r="BP655" s="6" t="n">
        <f aca="false">IF(R655="-","",IFERROR(VALUE(F655),""))</f>
        <v>180.67</v>
      </c>
      <c r="BQ655" s="4" t="n">
        <f aca="false">IF(R655="-",1,0)</f>
        <v>0</v>
      </c>
    </row>
    <row r="656" customFormat="false" ht="15" hidden="false" customHeight="false" outlineLevel="0" collapsed="false">
      <c r="A656" s="0" t="s">
        <v>2636</v>
      </c>
      <c r="B656" s="0" t="s">
        <v>2637</v>
      </c>
      <c r="C656" s="0" t="s">
        <v>70</v>
      </c>
      <c r="D656" s="0" t="s">
        <v>2571</v>
      </c>
      <c r="E656" s="3" t="n">
        <v>46277</v>
      </c>
      <c r="F656" s="4" t="s">
        <v>2651</v>
      </c>
      <c r="G656" s="5" t="n">
        <v>0.129861111111111</v>
      </c>
      <c r="H656" s="5" t="n">
        <v>0.112847222222222</v>
      </c>
      <c r="I656" s="5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5" t="n">
        <v>0</v>
      </c>
      <c r="P656" s="5" t="n">
        <v>0</v>
      </c>
      <c r="Q656" s="4" t="s">
        <v>2652</v>
      </c>
      <c r="R656" s="4" t="s">
        <v>1656</v>
      </c>
      <c r="S656" s="5" t="n">
        <v>0</v>
      </c>
      <c r="T656" s="5" t="n">
        <v>0.0395833333333333</v>
      </c>
      <c r="U656" s="5" t="n">
        <v>0.0549768518518519</v>
      </c>
      <c r="V656" s="5" t="n">
        <v>0.0204861111111111</v>
      </c>
      <c r="W656" s="5" t="n">
        <v>0</v>
      </c>
      <c r="X656" s="5" t="n">
        <v>0</v>
      </c>
      <c r="Y656" s="5" t="n">
        <v>0</v>
      </c>
      <c r="Z656" s="0" t="n">
        <v>0</v>
      </c>
      <c r="AA656" s="0" t="n">
        <v>0</v>
      </c>
      <c r="AB656" s="0" t="n">
        <v>0</v>
      </c>
      <c r="AC656" s="4" t="s">
        <v>111</v>
      </c>
      <c r="AD656" s="4" t="s">
        <v>75</v>
      </c>
      <c r="AE656" s="4" t="s">
        <v>2650</v>
      </c>
      <c r="AF656" s="4" t="s">
        <v>2653</v>
      </c>
      <c r="AG656" s="5" t="n">
        <v>0.106342592592593</v>
      </c>
      <c r="AH656" s="5" t="n">
        <v>0.0827893518518519</v>
      </c>
      <c r="AI656" s="5" t="n">
        <v>0</v>
      </c>
      <c r="AJ656" s="5" t="n">
        <v>0</v>
      </c>
      <c r="AK656" s="5" t="n">
        <v>0</v>
      </c>
      <c r="AL656" s="5" t="n">
        <v>0</v>
      </c>
      <c r="AM656" s="4" t="s">
        <v>78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  <c r="AU656" s="0" t="n">
        <v>1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0</v>
      </c>
      <c r="BA656" s="0" t="n">
        <v>0</v>
      </c>
      <c r="BB656" s="0" t="n">
        <v>0</v>
      </c>
      <c r="BC656" s="0" t="n">
        <v>0</v>
      </c>
      <c r="BD656" s="0" t="n">
        <v>0</v>
      </c>
      <c r="BE656" s="0" t="n">
        <v>0</v>
      </c>
      <c r="BF656" s="0" t="n">
        <v>0</v>
      </c>
      <c r="BG656" s="0" t="n">
        <v>0</v>
      </c>
      <c r="BH656" s="0" t="n">
        <v>0</v>
      </c>
      <c r="BI656" s="0" t="n">
        <v>0</v>
      </c>
      <c r="BJ656" s="0" t="n">
        <v>0</v>
      </c>
      <c r="BK656" s="0" t="n">
        <v>0</v>
      </c>
      <c r="BM656" s="6" t="n">
        <f aca="false">IFERROR(VALUE(F656),"")</f>
        <v>44.63</v>
      </c>
      <c r="BN656" s="6" t="n">
        <f aca="false">IF(R656="-","",IFERROR(VALUE(LEFT(Q656,LEN(Q656)-2)),""))</f>
        <v>22</v>
      </c>
      <c r="BO656" s="6" t="n">
        <f aca="false">IF(R656="-","",IFERROR(VALUE(LEFT(R656,LEN(R656)-5)),""))</f>
        <v>2.03</v>
      </c>
      <c r="BP656" s="6" t="n">
        <f aca="false">IF(R656="-","",IFERROR(VALUE(F656),""))</f>
        <v>44.63</v>
      </c>
      <c r="BQ656" s="4" t="n">
        <f aca="false">IF(R656="-",1,0)</f>
        <v>0</v>
      </c>
    </row>
    <row r="657" customFormat="false" ht="15" hidden="false" customHeight="false" outlineLevel="0" collapsed="false">
      <c r="A657" s="0" t="s">
        <v>2636</v>
      </c>
      <c r="B657" s="0" t="s">
        <v>2637</v>
      </c>
      <c r="C657" s="0" t="s">
        <v>70</v>
      </c>
      <c r="D657" s="0" t="s">
        <v>2654</v>
      </c>
      <c r="E657" s="3" t="n">
        <v>46278</v>
      </c>
      <c r="F657" s="4" t="s">
        <v>2655</v>
      </c>
      <c r="G657" s="5" t="n">
        <v>0.102210648148148</v>
      </c>
      <c r="H657" s="5" t="n">
        <v>0.0971296296296296</v>
      </c>
      <c r="I657" s="5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5" t="n">
        <v>0</v>
      </c>
      <c r="P657" s="5" t="n">
        <v>0</v>
      </c>
      <c r="Q657" s="4" t="s">
        <v>2656</v>
      </c>
      <c r="R657" s="4" t="s">
        <v>309</v>
      </c>
      <c r="S657" s="5" t="n">
        <v>0</v>
      </c>
      <c r="T657" s="5" t="n">
        <v>0.0402777777777778</v>
      </c>
      <c r="U657" s="5" t="n">
        <v>0.0375</v>
      </c>
      <c r="V657" s="5" t="n">
        <v>0.0231481481481482</v>
      </c>
      <c r="W657" s="5" t="n">
        <v>0</v>
      </c>
      <c r="X657" s="5" t="n">
        <v>0</v>
      </c>
      <c r="Y657" s="5" t="n">
        <v>0</v>
      </c>
      <c r="Z657" s="0" t="n">
        <v>0</v>
      </c>
      <c r="AA657" s="0" t="n">
        <v>0</v>
      </c>
      <c r="AB657" s="0" t="n">
        <v>0</v>
      </c>
      <c r="AC657" s="4" t="s">
        <v>75</v>
      </c>
      <c r="AD657" s="4" t="s">
        <v>75</v>
      </c>
      <c r="AE657" s="4" t="s">
        <v>2653</v>
      </c>
      <c r="AF657" s="4" t="s">
        <v>2657</v>
      </c>
      <c r="AG657" s="5" t="n">
        <v>0.0824884259259259</v>
      </c>
      <c r="AH657" s="5" t="n">
        <v>0.0595023148148148</v>
      </c>
      <c r="AI657" s="5" t="n">
        <v>0</v>
      </c>
      <c r="AJ657" s="5" t="n">
        <v>0</v>
      </c>
      <c r="AK657" s="5" t="n">
        <v>0</v>
      </c>
      <c r="AL657" s="5" t="n">
        <v>0</v>
      </c>
      <c r="AM657" s="4" t="s">
        <v>78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0</v>
      </c>
      <c r="BA657" s="0" t="n">
        <v>0</v>
      </c>
      <c r="BB657" s="0" t="n">
        <v>0</v>
      </c>
      <c r="BC657" s="0" t="n">
        <v>0</v>
      </c>
      <c r="BD657" s="0" t="n">
        <v>0</v>
      </c>
      <c r="BE657" s="0" t="n">
        <v>0</v>
      </c>
      <c r="BF657" s="0" t="n">
        <v>0</v>
      </c>
      <c r="BG657" s="0" t="n">
        <v>0</v>
      </c>
      <c r="BH657" s="0" t="n">
        <v>0</v>
      </c>
      <c r="BI657" s="0" t="n">
        <v>0</v>
      </c>
      <c r="BJ657" s="0" t="n">
        <v>0</v>
      </c>
      <c r="BK657" s="0" t="n">
        <v>0</v>
      </c>
      <c r="BM657" s="6" t="n">
        <f aca="false">IFERROR(VALUE(F657),"")</f>
        <v>53.4</v>
      </c>
      <c r="BN657" s="6" t="n">
        <f aca="false">IF(R657="-","",IFERROR(VALUE(LEFT(Q657,LEN(Q657)-2)),""))</f>
        <v>21.5</v>
      </c>
      <c r="BO657" s="6" t="n">
        <f aca="false">IF(R657="-","",IFERROR(VALUE(LEFT(R657,LEN(R657)-5)),""))</f>
        <v>2.48</v>
      </c>
      <c r="BP657" s="6" t="n">
        <f aca="false">IF(R657="-","",IFERROR(VALUE(F657),""))</f>
        <v>53.4</v>
      </c>
      <c r="BQ657" s="4" t="n">
        <f aca="false">IF(R657="-",1,0)</f>
        <v>0</v>
      </c>
    </row>
    <row r="658" customFormat="false" ht="15" hidden="false" customHeight="false" outlineLevel="0" collapsed="false">
      <c r="A658" s="0" t="s">
        <v>2636</v>
      </c>
      <c r="B658" s="0" t="s">
        <v>2637</v>
      </c>
      <c r="C658" s="0" t="s">
        <v>70</v>
      </c>
      <c r="D658" s="0" t="s">
        <v>476</v>
      </c>
      <c r="E658" s="3" t="n">
        <v>46279</v>
      </c>
      <c r="F658" s="4" t="s">
        <v>2658</v>
      </c>
      <c r="G658" s="5" t="n">
        <v>0.546145833333333</v>
      </c>
      <c r="H658" s="5" t="n">
        <v>0.529328703703704</v>
      </c>
      <c r="I658" s="5" t="n">
        <v>0.00159722222222222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9</v>
      </c>
      <c r="O658" s="5" t="n">
        <v>0</v>
      </c>
      <c r="P658" s="5" t="n">
        <v>0</v>
      </c>
      <c r="Q658" s="4" t="s">
        <v>2262</v>
      </c>
      <c r="R658" s="4" t="s">
        <v>2146</v>
      </c>
      <c r="S658" s="5" t="n">
        <v>0.000115740740740741</v>
      </c>
      <c r="T658" s="5" t="n">
        <v>0.181944444444444</v>
      </c>
      <c r="U658" s="5" t="n">
        <v>0.202615740740741</v>
      </c>
      <c r="V658" s="5" t="n">
        <v>0.14630787037037</v>
      </c>
      <c r="W658" s="5" t="n">
        <v>0.00421296296296296</v>
      </c>
      <c r="X658" s="5" t="n">
        <v>0</v>
      </c>
      <c r="Y658" s="5" t="n">
        <v>0.00173611111111111</v>
      </c>
      <c r="Z658" s="0" t="n">
        <v>0</v>
      </c>
      <c r="AA658" s="0" t="n">
        <v>0</v>
      </c>
      <c r="AB658" s="0" t="n">
        <v>0</v>
      </c>
      <c r="AC658" s="4" t="s">
        <v>2659</v>
      </c>
      <c r="AD658" s="4" t="s">
        <v>74</v>
      </c>
      <c r="AE658" s="4" t="s">
        <v>2657</v>
      </c>
      <c r="AF658" s="4" t="s">
        <v>2660</v>
      </c>
      <c r="AG658" s="5" t="n">
        <v>0.484421296296296</v>
      </c>
      <c r="AH658" s="5" t="n">
        <v>0.1665625</v>
      </c>
      <c r="AI658" s="5" t="n">
        <v>0</v>
      </c>
      <c r="AJ658" s="5" t="n">
        <v>0</v>
      </c>
      <c r="AK658" s="5" t="n">
        <v>0</v>
      </c>
      <c r="AL658" s="5" t="n">
        <v>0</v>
      </c>
      <c r="AM658" s="4" t="s">
        <v>78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1</v>
      </c>
      <c r="AT658" s="0" t="n">
        <v>0</v>
      </c>
      <c r="AU658" s="0" t="n">
        <v>4</v>
      </c>
      <c r="AV658" s="0" t="n">
        <v>0</v>
      </c>
      <c r="AW658" s="0" t="n">
        <v>0</v>
      </c>
      <c r="AX658" s="0" t="n">
        <v>0</v>
      </c>
      <c r="AY658" s="0" t="n">
        <v>0</v>
      </c>
      <c r="AZ658" s="0" t="n">
        <v>0</v>
      </c>
      <c r="BA658" s="0" t="n">
        <v>0</v>
      </c>
      <c r="BB658" s="0" t="n">
        <v>0</v>
      </c>
      <c r="BC658" s="0" t="n">
        <v>0</v>
      </c>
      <c r="BD658" s="0" t="n">
        <v>0</v>
      </c>
      <c r="BE658" s="0" t="n">
        <v>0</v>
      </c>
      <c r="BF658" s="0" t="n">
        <v>0</v>
      </c>
      <c r="BG658" s="0" t="n">
        <v>0</v>
      </c>
      <c r="BH658" s="0" t="n">
        <v>0</v>
      </c>
      <c r="BI658" s="0" t="n">
        <v>0</v>
      </c>
      <c r="BJ658" s="0" t="n">
        <v>0</v>
      </c>
      <c r="BK658" s="0" t="n">
        <v>0</v>
      </c>
      <c r="BM658" s="6" t="n">
        <f aca="false">IFERROR(VALUE(F658),"")</f>
        <v>343.6</v>
      </c>
      <c r="BN658" s="6" t="n">
        <f aca="false">IF(R658="-","",IFERROR(VALUE(LEFT(Q658,LEN(Q658)-2)),""))</f>
        <v>136</v>
      </c>
      <c r="BO658" s="6" t="n">
        <f aca="false">IF(R658="-","",IFERROR(VALUE(LEFT(R658,LEN(R658)-5)),""))</f>
        <v>2.53</v>
      </c>
      <c r="BP658" s="6" t="n">
        <f aca="false">IF(R658="-","",IFERROR(VALUE(F658),""))</f>
        <v>343.6</v>
      </c>
      <c r="BQ658" s="4" t="n">
        <f aca="false">IF(R658="-",1,0)</f>
        <v>0</v>
      </c>
    </row>
    <row r="659" customFormat="false" ht="15" hidden="false" customHeight="false" outlineLevel="0" collapsed="false">
      <c r="A659" s="0" t="s">
        <v>2661</v>
      </c>
      <c r="B659" s="0" t="s">
        <v>2662</v>
      </c>
      <c r="C659" s="0" t="s">
        <v>70</v>
      </c>
      <c r="D659" s="0" t="s">
        <v>2663</v>
      </c>
      <c r="E659" s="3" t="n">
        <v>46273</v>
      </c>
      <c r="F659" s="4" t="s">
        <v>2664</v>
      </c>
      <c r="G659" s="5" t="n">
        <v>0.123958333333333</v>
      </c>
      <c r="H659" s="5" t="n">
        <v>0.0930092592592593</v>
      </c>
      <c r="I659" s="5" t="n">
        <v>0.000127314814814815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5" t="n">
        <v>0</v>
      </c>
      <c r="P659" s="5" t="n">
        <v>0</v>
      </c>
      <c r="Q659" s="4" t="s">
        <v>2665</v>
      </c>
      <c r="R659" s="4" t="s">
        <v>2666</v>
      </c>
      <c r="S659" s="5" t="n">
        <v>0.000231481481481482</v>
      </c>
      <c r="T659" s="5" t="n">
        <v>0.0686342592592593</v>
      </c>
      <c r="U659" s="5" t="n">
        <v>0.0180555555555556</v>
      </c>
      <c r="V659" s="5" t="n">
        <v>0.000578703703703704</v>
      </c>
      <c r="W659" s="5" t="n">
        <v>0</v>
      </c>
      <c r="X659" s="5" t="n">
        <v>0</v>
      </c>
      <c r="Y659" s="5" t="n">
        <v>0</v>
      </c>
      <c r="Z659" s="0" t="n">
        <v>0</v>
      </c>
      <c r="AA659" s="0" t="n">
        <v>0</v>
      </c>
      <c r="AB659" s="0" t="n">
        <v>0</v>
      </c>
      <c r="AC659" s="4" t="s">
        <v>81</v>
      </c>
      <c r="AD659" s="4" t="s">
        <v>74</v>
      </c>
      <c r="AE659" s="4" t="s">
        <v>2667</v>
      </c>
      <c r="AF659" s="4" t="s">
        <v>2668</v>
      </c>
      <c r="AG659" s="5" t="n">
        <v>0.0645949074074074</v>
      </c>
      <c r="AH659" s="5" t="n">
        <v>0.155023148148148</v>
      </c>
      <c r="AI659" s="5" t="n">
        <v>0</v>
      </c>
      <c r="AJ659" s="5" t="n">
        <v>0</v>
      </c>
      <c r="AK659" s="5" t="n">
        <v>0</v>
      </c>
      <c r="AL659" s="5" t="n">
        <v>0</v>
      </c>
      <c r="AM659" s="4" t="s">
        <v>78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  <c r="AU659" s="0" t="n">
        <v>0</v>
      </c>
      <c r="AV659" s="0" t="n">
        <v>0</v>
      </c>
      <c r="AW659" s="0" t="n">
        <v>0</v>
      </c>
      <c r="AX659" s="0" t="n">
        <v>0</v>
      </c>
      <c r="AY659" s="0" t="n">
        <v>0</v>
      </c>
      <c r="AZ659" s="0" t="n">
        <v>0</v>
      </c>
      <c r="BA659" s="0" t="n">
        <v>0</v>
      </c>
      <c r="BB659" s="0" t="n">
        <v>0</v>
      </c>
      <c r="BC659" s="0" t="n">
        <v>0</v>
      </c>
      <c r="BD659" s="0" t="n">
        <v>0</v>
      </c>
      <c r="BE659" s="0" t="n">
        <v>0</v>
      </c>
      <c r="BF659" s="0" t="n">
        <v>0</v>
      </c>
      <c r="BG659" s="0" t="n">
        <v>0</v>
      </c>
      <c r="BH659" s="0" t="n">
        <v>0</v>
      </c>
      <c r="BI659" s="0" t="n">
        <v>0</v>
      </c>
      <c r="BJ659" s="0" t="n">
        <v>0</v>
      </c>
      <c r="BK659" s="0" t="n">
        <v>0</v>
      </c>
      <c r="BM659" s="6" t="n">
        <f aca="false">IFERROR(VALUE(F659),"")</f>
        <v>20.82</v>
      </c>
      <c r="BN659" s="6" t="n">
        <f aca="false">IF(R659="-","",IFERROR(VALUE(LEFT(Q659,LEN(Q659)-2)),""))</f>
        <v>12.99</v>
      </c>
      <c r="BO659" s="6" t="n">
        <f aca="false">IF(R659="-","",IFERROR(VALUE(LEFT(R659,LEN(R659)-5)),""))</f>
        <v>1.6</v>
      </c>
      <c r="BP659" s="6" t="n">
        <f aca="false">IF(R659="-","",IFERROR(VALUE(F659),""))</f>
        <v>20.82</v>
      </c>
      <c r="BQ659" s="4" t="n">
        <f aca="false">IF(R659="-",1,0)</f>
        <v>0</v>
      </c>
    </row>
    <row r="660" customFormat="false" ht="15" hidden="false" customHeight="false" outlineLevel="0" collapsed="false">
      <c r="A660" s="0" t="s">
        <v>2661</v>
      </c>
      <c r="B660" s="0" t="s">
        <v>2662</v>
      </c>
      <c r="C660" s="0" t="s">
        <v>70</v>
      </c>
      <c r="D660" s="0" t="s">
        <v>2669</v>
      </c>
      <c r="E660" s="3" t="n">
        <v>46274</v>
      </c>
      <c r="F660" s="4" t="s">
        <v>2670</v>
      </c>
      <c r="G660" s="5" t="n">
        <v>0.279814814814815</v>
      </c>
      <c r="H660" s="5" t="n">
        <v>0.0678240740740741</v>
      </c>
      <c r="I660" s="5" t="n">
        <v>0.000115740740740741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5" t="n">
        <v>0</v>
      </c>
      <c r="P660" s="5" t="n">
        <v>0</v>
      </c>
      <c r="Q660" s="4" t="s">
        <v>2671</v>
      </c>
      <c r="R660" s="4" t="s">
        <v>2672</v>
      </c>
      <c r="S660" s="5" t="n">
        <v>0.00185185185185185</v>
      </c>
      <c r="T660" s="5" t="n">
        <v>0.110763888888889</v>
      </c>
      <c r="U660" s="5" t="n">
        <v>0.0170138888888889</v>
      </c>
      <c r="V660" s="5" t="n">
        <v>0.00127314814814815</v>
      </c>
      <c r="W660" s="5" t="n">
        <v>0</v>
      </c>
      <c r="X660" s="5" t="n">
        <v>0</v>
      </c>
      <c r="Y660" s="5" t="n">
        <v>0</v>
      </c>
      <c r="Z660" s="0" t="n">
        <v>0</v>
      </c>
      <c r="AA660" s="0" t="n">
        <v>0</v>
      </c>
      <c r="AB660" s="0" t="n">
        <v>0</v>
      </c>
      <c r="AC660" s="4" t="s">
        <v>228</v>
      </c>
      <c r="AD660" s="4" t="s">
        <v>74</v>
      </c>
      <c r="AE660" s="4" t="s">
        <v>2668</v>
      </c>
      <c r="AF660" s="4" t="s">
        <v>2673</v>
      </c>
      <c r="AG660" s="5" t="n">
        <v>0.0591435185185185</v>
      </c>
      <c r="AH660" s="5" t="n">
        <v>0.311516203703704</v>
      </c>
      <c r="AI660" s="5" t="n">
        <v>0</v>
      </c>
      <c r="AJ660" s="5" t="n">
        <v>0</v>
      </c>
      <c r="AK660" s="5" t="n">
        <v>0</v>
      </c>
      <c r="AL660" s="5" t="n">
        <v>0</v>
      </c>
      <c r="AM660" s="4" t="s">
        <v>78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  <c r="AU660" s="0" t="n">
        <v>0</v>
      </c>
      <c r="AV660" s="0" t="n">
        <v>0</v>
      </c>
      <c r="AW660" s="0" t="n">
        <v>0</v>
      </c>
      <c r="AX660" s="0" t="n">
        <v>0</v>
      </c>
      <c r="AY660" s="0" t="n">
        <v>0</v>
      </c>
      <c r="AZ660" s="0" t="n">
        <v>0</v>
      </c>
      <c r="BA660" s="0" t="n">
        <v>0</v>
      </c>
      <c r="BB660" s="0" t="n">
        <v>0</v>
      </c>
      <c r="BC660" s="0" t="n">
        <v>0</v>
      </c>
      <c r="BD660" s="0" t="n">
        <v>0</v>
      </c>
      <c r="BE660" s="0" t="n">
        <v>0</v>
      </c>
      <c r="BF660" s="0" t="n">
        <v>0</v>
      </c>
      <c r="BG660" s="0" t="n">
        <v>0</v>
      </c>
      <c r="BH660" s="0" t="n">
        <v>0</v>
      </c>
      <c r="BI660" s="0" t="n">
        <v>0</v>
      </c>
      <c r="BJ660" s="0" t="n">
        <v>0</v>
      </c>
      <c r="BK660" s="0" t="n">
        <v>0</v>
      </c>
      <c r="BM660" s="6" t="n">
        <f aca="false">IFERROR(VALUE(F660),"")</f>
        <v>18.79</v>
      </c>
      <c r="BN660" s="6" t="n">
        <f aca="false">IF(R660="-","",IFERROR(VALUE(LEFT(Q660,LEN(Q660)-2)),""))</f>
        <v>17.01</v>
      </c>
      <c r="BO660" s="6" t="n">
        <f aca="false">IF(R660="-","",IFERROR(VALUE(LEFT(R660,LEN(R660)-5)),""))</f>
        <v>1.1</v>
      </c>
      <c r="BP660" s="6" t="n">
        <f aca="false">IF(R660="-","",IFERROR(VALUE(F660),""))</f>
        <v>18.79</v>
      </c>
      <c r="BQ660" s="4" t="n">
        <f aca="false">IF(R660="-",1,0)</f>
        <v>0</v>
      </c>
    </row>
    <row r="661" customFormat="false" ht="15" hidden="false" customHeight="false" outlineLevel="0" collapsed="false">
      <c r="A661" s="0" t="s">
        <v>2661</v>
      </c>
      <c r="B661" s="0" t="s">
        <v>2662</v>
      </c>
      <c r="C661" s="0" t="s">
        <v>70</v>
      </c>
      <c r="D661" s="0" t="s">
        <v>2674</v>
      </c>
      <c r="E661" s="3" t="n">
        <v>46275</v>
      </c>
      <c r="F661" s="4" t="s">
        <v>2675</v>
      </c>
      <c r="G661" s="5" t="n">
        <v>0.022650462962963</v>
      </c>
      <c r="H661" s="5" t="n">
        <v>0.0226388888888889</v>
      </c>
      <c r="I661" s="5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5" t="n">
        <v>0</v>
      </c>
      <c r="P661" s="5" t="n">
        <v>0.00774305555555556</v>
      </c>
      <c r="Q661" s="4" t="s">
        <v>2676</v>
      </c>
      <c r="R661" s="4" t="s">
        <v>2677</v>
      </c>
      <c r="S661" s="5" t="n">
        <v>0</v>
      </c>
      <c r="T661" s="5" t="n">
        <v>0.0178240740740741</v>
      </c>
      <c r="U661" s="5" t="n">
        <v>0.00196759259259259</v>
      </c>
      <c r="V661" s="5" t="n">
        <v>0.000115740740740741</v>
      </c>
      <c r="W661" s="5" t="n">
        <v>0</v>
      </c>
      <c r="X661" s="5" t="n">
        <v>0</v>
      </c>
      <c r="Y661" s="5" t="n">
        <v>0</v>
      </c>
      <c r="Z661" s="0" t="n">
        <v>0</v>
      </c>
      <c r="AA661" s="0" t="n">
        <v>0</v>
      </c>
      <c r="AB661" s="0" t="n">
        <v>0</v>
      </c>
      <c r="AC661" s="4" t="s">
        <v>81</v>
      </c>
      <c r="AD661" s="4" t="s">
        <v>74</v>
      </c>
      <c r="AE661" s="4" t="s">
        <v>2673</v>
      </c>
      <c r="AF661" s="4" t="s">
        <v>2678</v>
      </c>
      <c r="AG661" s="5" t="n">
        <v>0.0108449074074074</v>
      </c>
      <c r="AH661" s="5" t="n">
        <v>0.0246527777777778</v>
      </c>
      <c r="AI661" s="5" t="n">
        <v>0</v>
      </c>
      <c r="AJ661" s="5" t="n">
        <v>0</v>
      </c>
      <c r="AK661" s="5" t="n">
        <v>0</v>
      </c>
      <c r="AL661" s="5" t="n">
        <v>0</v>
      </c>
      <c r="AM661" s="4" t="s">
        <v>78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  <c r="AU661" s="0" t="n">
        <v>0</v>
      </c>
      <c r="AV661" s="0" t="n">
        <v>0</v>
      </c>
      <c r="AW661" s="0" t="n">
        <v>0</v>
      </c>
      <c r="AX661" s="0" t="n">
        <v>0</v>
      </c>
      <c r="AY661" s="0" t="n">
        <v>0</v>
      </c>
      <c r="AZ661" s="0" t="n">
        <v>0</v>
      </c>
      <c r="BA661" s="0" t="n">
        <v>0</v>
      </c>
      <c r="BB661" s="0" t="n">
        <v>0</v>
      </c>
      <c r="BC661" s="0" t="n">
        <v>0</v>
      </c>
      <c r="BD661" s="0" t="n">
        <v>0</v>
      </c>
      <c r="BE661" s="0" t="n">
        <v>0</v>
      </c>
      <c r="BF661" s="0" t="n">
        <v>0</v>
      </c>
      <c r="BG661" s="0" t="n">
        <v>0</v>
      </c>
      <c r="BH661" s="0" t="n">
        <v>0</v>
      </c>
      <c r="BI661" s="0" t="n">
        <v>0</v>
      </c>
      <c r="BJ661" s="0" t="n">
        <v>0</v>
      </c>
      <c r="BK661" s="0" t="n">
        <v>0</v>
      </c>
      <c r="BM661" s="6" t="n">
        <f aca="false">IFERROR(VALUE(F661),"")</f>
        <v>2.88</v>
      </c>
      <c r="BN661" s="6" t="n">
        <f aca="false">IF(R661="-","",IFERROR(VALUE(LEFT(Q661,LEN(Q661)-2)),""))</f>
        <v>2</v>
      </c>
      <c r="BO661" s="6" t="n">
        <f aca="false">IF(R661="-","",IFERROR(VALUE(LEFT(R661,LEN(R661)-5)),""))</f>
        <v>1.44</v>
      </c>
      <c r="BP661" s="6" t="n">
        <f aca="false">IF(R661="-","",IFERROR(VALUE(F661),""))</f>
        <v>2.88</v>
      </c>
      <c r="BQ661" s="4" t="n">
        <f aca="false">IF(R661="-",1,0)</f>
        <v>0</v>
      </c>
    </row>
    <row r="662" customFormat="false" ht="15" hidden="false" customHeight="false" outlineLevel="0" collapsed="false">
      <c r="A662" s="0" t="s">
        <v>2661</v>
      </c>
      <c r="B662" s="0" t="s">
        <v>2662</v>
      </c>
      <c r="C662" s="0" t="s">
        <v>70</v>
      </c>
      <c r="D662" s="0" t="s">
        <v>2679</v>
      </c>
      <c r="E662" s="3" t="n">
        <v>46276</v>
      </c>
      <c r="F662" s="4" t="s">
        <v>2680</v>
      </c>
      <c r="G662" s="5" t="n">
        <v>0.577569444444445</v>
      </c>
      <c r="H662" s="5" t="n">
        <v>0.560787037037037</v>
      </c>
      <c r="I662" s="5" t="n">
        <v>0.00373842592592593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5" t="n">
        <v>0</v>
      </c>
      <c r="P662" s="5" t="n">
        <v>0.00761574074074074</v>
      </c>
      <c r="Q662" s="4" t="s">
        <v>2681</v>
      </c>
      <c r="R662" s="4" t="s">
        <v>2274</v>
      </c>
      <c r="S662" s="5" t="n">
        <v>0.000115740740740741</v>
      </c>
      <c r="T662" s="5" t="n">
        <v>0.307523148148148</v>
      </c>
      <c r="U662" s="5" t="n">
        <v>0.228009259259259</v>
      </c>
      <c r="V662" s="5" t="n">
        <v>0.0118055555555556</v>
      </c>
      <c r="W662" s="5" t="n">
        <v>0</v>
      </c>
      <c r="X662" s="5" t="n">
        <v>0</v>
      </c>
      <c r="Y662" s="5" t="n">
        <v>0</v>
      </c>
      <c r="Z662" s="0" t="n">
        <v>0</v>
      </c>
      <c r="AA662" s="0" t="n">
        <v>0</v>
      </c>
      <c r="AB662" s="0" t="n">
        <v>0</v>
      </c>
      <c r="AC662" s="4" t="s">
        <v>228</v>
      </c>
      <c r="AD662" s="4" t="s">
        <v>74</v>
      </c>
      <c r="AE662" s="4" t="s">
        <v>2678</v>
      </c>
      <c r="AF662" s="4" t="s">
        <v>2682</v>
      </c>
      <c r="AG662" s="5" t="n">
        <v>0.45806712962963</v>
      </c>
      <c r="AH662" s="5" t="n">
        <v>0.178611111111111</v>
      </c>
      <c r="AI662" s="5" t="n">
        <v>0</v>
      </c>
      <c r="AJ662" s="5" t="n">
        <v>0</v>
      </c>
      <c r="AK662" s="5" t="n">
        <v>0</v>
      </c>
      <c r="AL662" s="5" t="n">
        <v>0</v>
      </c>
      <c r="AM662" s="4" t="s">
        <v>78</v>
      </c>
      <c r="AN662" s="0" t="n">
        <v>0</v>
      </c>
      <c r="AO662" s="0" t="n">
        <v>2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  <c r="AU662" s="0" t="n">
        <v>14</v>
      </c>
      <c r="AV662" s="0" t="n">
        <v>0</v>
      </c>
      <c r="AW662" s="0" t="n">
        <v>0</v>
      </c>
      <c r="AX662" s="0" t="n">
        <v>0</v>
      </c>
      <c r="AY662" s="0" t="n">
        <v>0</v>
      </c>
      <c r="AZ662" s="0" t="n">
        <v>0</v>
      </c>
      <c r="BA662" s="0" t="n">
        <v>0</v>
      </c>
      <c r="BB662" s="0" t="n">
        <v>2</v>
      </c>
      <c r="BC662" s="0" t="n">
        <v>4</v>
      </c>
      <c r="BD662" s="0" t="n">
        <v>0</v>
      </c>
      <c r="BE662" s="0" t="n">
        <v>0</v>
      </c>
      <c r="BF662" s="0" t="n">
        <v>0</v>
      </c>
      <c r="BG662" s="0" t="n">
        <v>0</v>
      </c>
      <c r="BH662" s="0" t="n">
        <v>0</v>
      </c>
      <c r="BI662" s="0" t="n">
        <v>0</v>
      </c>
      <c r="BJ662" s="0" t="n">
        <v>0</v>
      </c>
      <c r="BK662" s="0" t="n">
        <v>0</v>
      </c>
      <c r="BM662" s="6" t="n">
        <f aca="false">IFERROR(VALUE(F662),"")</f>
        <v>329.73</v>
      </c>
      <c r="BN662" s="6" t="n">
        <f aca="false">IF(R662="-","",IFERROR(VALUE(LEFT(Q662,LEN(Q662)-2)),""))</f>
        <v>138</v>
      </c>
      <c r="BO662" s="6" t="n">
        <f aca="false">IF(R662="-","",IFERROR(VALUE(LEFT(R662,LEN(R662)-5)),""))</f>
        <v>2.39</v>
      </c>
      <c r="BP662" s="6" t="n">
        <f aca="false">IF(R662="-","",IFERROR(VALUE(F662),""))</f>
        <v>329.73</v>
      </c>
      <c r="BQ662" s="4" t="n">
        <f aca="false">IF(R662="-",1,0)</f>
        <v>0</v>
      </c>
    </row>
    <row r="663" customFormat="false" ht="15" hidden="false" customHeight="false" outlineLevel="0" collapsed="false">
      <c r="A663" s="0" t="s">
        <v>2661</v>
      </c>
      <c r="B663" s="0" t="s">
        <v>2662</v>
      </c>
      <c r="C663" s="0" t="s">
        <v>70</v>
      </c>
      <c r="D663" s="0" t="s">
        <v>2683</v>
      </c>
      <c r="E663" s="3" t="n">
        <v>46277</v>
      </c>
      <c r="F663" s="4" t="s">
        <v>2684</v>
      </c>
      <c r="G663" s="5" t="n">
        <v>0.594444444444444</v>
      </c>
      <c r="H663" s="5" t="n">
        <v>0.561122685185185</v>
      </c>
      <c r="I663" s="5" t="n">
        <v>0.00226851851851852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5" t="n">
        <v>0</v>
      </c>
      <c r="P663" s="5" t="n">
        <v>0</v>
      </c>
      <c r="Q663" s="4" t="s">
        <v>2685</v>
      </c>
      <c r="R663" s="4" t="s">
        <v>1527</v>
      </c>
      <c r="S663" s="5" t="n">
        <v>0.000231481481481482</v>
      </c>
      <c r="T663" s="5" t="n">
        <v>0.300925925925926</v>
      </c>
      <c r="U663" s="5" t="n">
        <v>0.227893518518519</v>
      </c>
      <c r="V663" s="5" t="n">
        <v>0.0145833333333333</v>
      </c>
      <c r="W663" s="5" t="n">
        <v>0</v>
      </c>
      <c r="X663" s="5" t="n">
        <v>0</v>
      </c>
      <c r="Y663" s="5" t="n">
        <v>0</v>
      </c>
      <c r="Z663" s="0" t="n">
        <v>0</v>
      </c>
      <c r="AA663" s="0" t="n">
        <v>0</v>
      </c>
      <c r="AB663" s="0" t="n">
        <v>0</v>
      </c>
      <c r="AC663" s="4" t="s">
        <v>228</v>
      </c>
      <c r="AD663" s="4" t="s">
        <v>75</v>
      </c>
      <c r="AE663" s="4" t="s">
        <v>2682</v>
      </c>
      <c r="AF663" s="4" t="s">
        <v>2686</v>
      </c>
      <c r="AG663" s="5" t="n">
        <v>0.446909722222222</v>
      </c>
      <c r="AH663" s="5" t="n">
        <v>0.203888888888889</v>
      </c>
      <c r="AI663" s="5" t="n">
        <v>0</v>
      </c>
      <c r="AJ663" s="5" t="n">
        <v>0</v>
      </c>
      <c r="AK663" s="5" t="n">
        <v>0</v>
      </c>
      <c r="AL663" s="5" t="n">
        <v>0</v>
      </c>
      <c r="AM663" s="4" t="s">
        <v>78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  <c r="AU663" s="0" t="n">
        <v>0</v>
      </c>
      <c r="AV663" s="0" t="n">
        <v>0</v>
      </c>
      <c r="AW663" s="0" t="n">
        <v>0</v>
      </c>
      <c r="AX663" s="0" t="n">
        <v>0</v>
      </c>
      <c r="AY663" s="0" t="n">
        <v>0</v>
      </c>
      <c r="AZ663" s="0" t="n">
        <v>0</v>
      </c>
      <c r="BA663" s="0" t="n">
        <v>0</v>
      </c>
      <c r="BB663" s="0" t="n">
        <v>0</v>
      </c>
      <c r="BC663" s="0" t="n">
        <v>2</v>
      </c>
      <c r="BD663" s="0" t="n">
        <v>0</v>
      </c>
      <c r="BE663" s="0" t="n">
        <v>0</v>
      </c>
      <c r="BF663" s="0" t="n">
        <v>0</v>
      </c>
      <c r="BG663" s="0" t="n">
        <v>0</v>
      </c>
      <c r="BH663" s="0" t="n">
        <v>0</v>
      </c>
      <c r="BI663" s="0" t="n">
        <v>0</v>
      </c>
      <c r="BJ663" s="0" t="n">
        <v>0</v>
      </c>
      <c r="BK663" s="0" t="n">
        <v>0</v>
      </c>
      <c r="BM663" s="6" t="n">
        <f aca="false">IFERROR(VALUE(F663),"")</f>
        <v>330.04</v>
      </c>
      <c r="BN663" s="6" t="n">
        <f aca="false">IF(R663="-","",IFERROR(VALUE(LEFT(Q663,LEN(Q663)-2)),""))</f>
        <v>140</v>
      </c>
      <c r="BO663" s="6" t="n">
        <f aca="false">IF(R663="-","",IFERROR(VALUE(LEFT(R663,LEN(R663)-5)),""))</f>
        <v>2.36</v>
      </c>
      <c r="BP663" s="6" t="n">
        <f aca="false">IF(R663="-","",IFERROR(VALUE(F663),""))</f>
        <v>330.04</v>
      </c>
      <c r="BQ663" s="4" t="n">
        <f aca="false">IF(R663="-",1,0)</f>
        <v>0</v>
      </c>
    </row>
    <row r="664" customFormat="false" ht="15" hidden="false" customHeight="false" outlineLevel="0" collapsed="false">
      <c r="A664" s="0" t="s">
        <v>2661</v>
      </c>
      <c r="B664" s="0" t="s">
        <v>2662</v>
      </c>
      <c r="C664" s="0" t="s">
        <v>70</v>
      </c>
      <c r="D664" s="0" t="s">
        <v>2687</v>
      </c>
      <c r="E664" s="3" t="n">
        <v>46278</v>
      </c>
      <c r="F664" s="4" t="s">
        <v>2684</v>
      </c>
      <c r="G664" s="5" t="n">
        <v>0.534826388888889</v>
      </c>
      <c r="H664" s="5" t="n">
        <v>0.525520833333333</v>
      </c>
      <c r="I664" s="5" t="n">
        <v>0.000810185185185185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5" t="n">
        <v>0</v>
      </c>
      <c r="P664" s="5" t="n">
        <v>0</v>
      </c>
      <c r="Q664" s="4" t="s">
        <v>2688</v>
      </c>
      <c r="R664" s="4" t="s">
        <v>1609</v>
      </c>
      <c r="S664" s="5" t="n">
        <v>0</v>
      </c>
      <c r="T664" s="5" t="n">
        <v>0.291550925925926</v>
      </c>
      <c r="U664" s="5" t="n">
        <v>0.214814814814815</v>
      </c>
      <c r="V664" s="5" t="n">
        <v>0.00625</v>
      </c>
      <c r="W664" s="5" t="n">
        <v>0</v>
      </c>
      <c r="X664" s="5" t="n">
        <v>0</v>
      </c>
      <c r="Y664" s="5" t="n">
        <v>0</v>
      </c>
      <c r="Z664" s="0" t="n">
        <v>0</v>
      </c>
      <c r="AA664" s="0" t="n">
        <v>0</v>
      </c>
      <c r="AB664" s="0" t="n">
        <v>0</v>
      </c>
      <c r="AC664" s="4" t="s">
        <v>81</v>
      </c>
      <c r="AD664" s="4" t="s">
        <v>74</v>
      </c>
      <c r="AE664" s="4" t="s">
        <v>2686</v>
      </c>
      <c r="AF664" s="4" t="s">
        <v>2689</v>
      </c>
      <c r="AG664" s="5" t="n">
        <v>0.440219907407407</v>
      </c>
      <c r="AH664" s="5" t="n">
        <v>0.166898148148148</v>
      </c>
      <c r="AI664" s="5" t="n">
        <v>0</v>
      </c>
      <c r="AJ664" s="5" t="n">
        <v>0</v>
      </c>
      <c r="AK664" s="5" t="n">
        <v>0</v>
      </c>
      <c r="AL664" s="5" t="n">
        <v>0</v>
      </c>
      <c r="AM664" s="4" t="s">
        <v>78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1</v>
      </c>
      <c r="AS664" s="0" t="n">
        <v>0</v>
      </c>
      <c r="AT664" s="0" t="n">
        <v>0</v>
      </c>
      <c r="AU664" s="0" t="n">
        <v>0</v>
      </c>
      <c r="AV664" s="0" t="n">
        <v>0</v>
      </c>
      <c r="AW664" s="0" t="n">
        <v>0</v>
      </c>
      <c r="AX664" s="0" t="n">
        <v>0</v>
      </c>
      <c r="AY664" s="0" t="n">
        <v>0</v>
      </c>
      <c r="AZ664" s="0" t="n">
        <v>0</v>
      </c>
      <c r="BA664" s="0" t="n">
        <v>0</v>
      </c>
      <c r="BB664" s="0" t="n">
        <v>0</v>
      </c>
      <c r="BC664" s="0" t="n">
        <v>0</v>
      </c>
      <c r="BD664" s="0" t="n">
        <v>0</v>
      </c>
      <c r="BE664" s="0" t="n">
        <v>0</v>
      </c>
      <c r="BF664" s="0" t="n">
        <v>0</v>
      </c>
      <c r="BG664" s="0" t="n">
        <v>0</v>
      </c>
      <c r="BH664" s="0" t="n">
        <v>0</v>
      </c>
      <c r="BI664" s="0" t="n">
        <v>0</v>
      </c>
      <c r="BJ664" s="0" t="n">
        <v>0</v>
      </c>
      <c r="BK664" s="0" t="n">
        <v>0</v>
      </c>
      <c r="BM664" s="6" t="n">
        <f aca="false">IFERROR(VALUE(F664),"")</f>
        <v>330.04</v>
      </c>
      <c r="BN664" s="6" t="n">
        <f aca="false">IF(R664="-","",IFERROR(VALUE(LEFT(Q664,LEN(Q664)-2)),""))</f>
        <v>125.98</v>
      </c>
      <c r="BO664" s="6" t="n">
        <f aca="false">IF(R664="-","",IFERROR(VALUE(LEFT(R664,LEN(R664)-5)),""))</f>
        <v>2.62</v>
      </c>
      <c r="BP664" s="6" t="n">
        <f aca="false">IF(R664="-","",IFERROR(VALUE(F664),""))</f>
        <v>330.04</v>
      </c>
      <c r="BQ664" s="4" t="n">
        <f aca="false">IF(R664="-",1,0)</f>
        <v>0</v>
      </c>
    </row>
    <row r="665" customFormat="false" ht="15" hidden="false" customHeight="false" outlineLevel="0" collapsed="false">
      <c r="A665" s="0" t="s">
        <v>2661</v>
      </c>
      <c r="B665" s="0" t="s">
        <v>2662</v>
      </c>
      <c r="C665" s="0" t="s">
        <v>70</v>
      </c>
      <c r="D665" s="0" t="s">
        <v>2690</v>
      </c>
      <c r="E665" s="3" t="n">
        <v>46279</v>
      </c>
      <c r="F665" s="4" t="s">
        <v>2691</v>
      </c>
      <c r="G665" s="5" t="n">
        <v>0.587372685185185</v>
      </c>
      <c r="H665" s="5" t="n">
        <v>0.579641203703704</v>
      </c>
      <c r="I665" s="5" t="n">
        <v>0.00101851851851852</v>
      </c>
      <c r="J665" s="0" t="n">
        <v>0</v>
      </c>
      <c r="K665" s="0" t="n">
        <v>1</v>
      </c>
      <c r="L665" s="0" t="n">
        <v>0</v>
      </c>
      <c r="M665" s="0" t="n">
        <v>0</v>
      </c>
      <c r="N665" s="0" t="n">
        <v>0</v>
      </c>
      <c r="O665" s="5" t="n">
        <v>0</v>
      </c>
      <c r="P665" s="5" t="n">
        <v>0</v>
      </c>
      <c r="Q665" s="4" t="s">
        <v>2262</v>
      </c>
      <c r="R665" s="4" t="s">
        <v>1089</v>
      </c>
      <c r="S665" s="5" t="n">
        <v>0.000231481481481482</v>
      </c>
      <c r="T665" s="5" t="n">
        <v>0.324768518518519</v>
      </c>
      <c r="U665" s="5" t="n">
        <v>0.22962962962963</v>
      </c>
      <c r="V665" s="5" t="n">
        <v>0.012037037037037</v>
      </c>
      <c r="W665" s="5" t="n">
        <v>0</v>
      </c>
      <c r="X665" s="5" t="n">
        <v>0</v>
      </c>
      <c r="Y665" s="5" t="n">
        <v>0</v>
      </c>
      <c r="Z665" s="0" t="n">
        <v>0</v>
      </c>
      <c r="AA665" s="0" t="n">
        <v>0</v>
      </c>
      <c r="AB665" s="0" t="n">
        <v>0</v>
      </c>
      <c r="AC665" s="4" t="s">
        <v>228</v>
      </c>
      <c r="AD665" s="4" t="s">
        <v>228</v>
      </c>
      <c r="AE665" s="4" t="s">
        <v>2689</v>
      </c>
      <c r="AF665" s="4" t="s">
        <v>2692</v>
      </c>
      <c r="AG665" s="5" t="n">
        <v>0.485381944444444</v>
      </c>
      <c r="AH665" s="5" t="n">
        <v>0.176840277777778</v>
      </c>
      <c r="AI665" s="5" t="n">
        <v>0</v>
      </c>
      <c r="AJ665" s="5" t="n">
        <v>0</v>
      </c>
      <c r="AK665" s="5" t="n">
        <v>0</v>
      </c>
      <c r="AL665" s="5" t="n">
        <v>0</v>
      </c>
      <c r="AM665" s="4" t="s">
        <v>78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  <c r="AU665" s="0" t="n">
        <v>1</v>
      </c>
      <c r="AV665" s="0" t="n">
        <v>0</v>
      </c>
      <c r="AW665" s="0" t="n">
        <v>0</v>
      </c>
      <c r="AX665" s="0" t="n">
        <v>0</v>
      </c>
      <c r="AY665" s="0" t="n">
        <v>0</v>
      </c>
      <c r="AZ665" s="0" t="n">
        <v>0</v>
      </c>
      <c r="BA665" s="0" t="n">
        <v>0</v>
      </c>
      <c r="BB665" s="0" t="n">
        <v>5</v>
      </c>
      <c r="BC665" s="0" t="n">
        <v>0</v>
      </c>
      <c r="BD665" s="0" t="n">
        <v>0</v>
      </c>
      <c r="BE665" s="0" t="n">
        <v>0</v>
      </c>
      <c r="BF665" s="0" t="n">
        <v>0</v>
      </c>
      <c r="BG665" s="0" t="n">
        <v>0</v>
      </c>
      <c r="BH665" s="0" t="n">
        <v>0</v>
      </c>
      <c r="BI665" s="0" t="n">
        <v>0</v>
      </c>
      <c r="BJ665" s="0" t="n">
        <v>0</v>
      </c>
      <c r="BK665" s="0" t="n">
        <v>0</v>
      </c>
      <c r="BM665" s="6" t="n">
        <f aca="false">IFERROR(VALUE(F665),"")</f>
        <v>330.06</v>
      </c>
      <c r="BN665" s="6" t="n">
        <f aca="false">IF(R665="-","",IFERROR(VALUE(LEFT(Q665,LEN(Q665)-2)),""))</f>
        <v>136</v>
      </c>
      <c r="BO665" s="6" t="n">
        <f aca="false">IF(R665="-","",IFERROR(VALUE(LEFT(R665,LEN(R665)-5)),""))</f>
        <v>2.43</v>
      </c>
      <c r="BP665" s="6" t="n">
        <f aca="false">IF(R665="-","",IFERROR(VALUE(F665),""))</f>
        <v>330.06</v>
      </c>
      <c r="BQ665" s="4" t="n">
        <f aca="false">IF(R665="-",1,0)</f>
        <v>0</v>
      </c>
    </row>
    <row r="666" customFormat="false" ht="15" hidden="false" customHeight="false" outlineLevel="0" collapsed="false">
      <c r="A666" s="0" t="s">
        <v>2693</v>
      </c>
      <c r="B666" s="0" t="s">
        <v>2694</v>
      </c>
      <c r="C666" s="0" t="s">
        <v>70</v>
      </c>
      <c r="D666" s="0" t="s">
        <v>2695</v>
      </c>
      <c r="E666" s="3" t="n">
        <v>46273</v>
      </c>
      <c r="F666" s="4" t="s">
        <v>2696</v>
      </c>
      <c r="G666" s="5" t="n">
        <v>0.224606481481482</v>
      </c>
      <c r="H666" s="5" t="n">
        <v>0.156018518518519</v>
      </c>
      <c r="I666" s="5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5" t="n">
        <v>0</v>
      </c>
      <c r="P666" s="5" t="n">
        <v>0.0633912037037037</v>
      </c>
      <c r="Q666" s="4" t="s">
        <v>2697</v>
      </c>
      <c r="R666" s="4" t="s">
        <v>139</v>
      </c>
      <c r="S666" s="5" t="n">
        <v>0</v>
      </c>
      <c r="T666" s="5" t="n">
        <v>0.131944444444444</v>
      </c>
      <c r="U666" s="5" t="n">
        <v>0.0809027777777778</v>
      </c>
      <c r="V666" s="5" t="n">
        <v>0.00150462962962963</v>
      </c>
      <c r="W666" s="5" t="n">
        <v>0</v>
      </c>
      <c r="X666" s="5" t="n">
        <v>0</v>
      </c>
      <c r="Y666" s="5" t="n">
        <v>0</v>
      </c>
      <c r="Z666" s="0" t="n">
        <v>0</v>
      </c>
      <c r="AA666" s="0" t="n">
        <v>0</v>
      </c>
      <c r="AB666" s="0" t="n">
        <v>0</v>
      </c>
      <c r="AC666" s="4" t="s">
        <v>74</v>
      </c>
      <c r="AD666" s="4" t="s">
        <v>421</v>
      </c>
      <c r="AE666" s="4" t="s">
        <v>2698</v>
      </c>
      <c r="AF666" s="4" t="s">
        <v>2699</v>
      </c>
      <c r="AG666" s="5" t="n">
        <v>0.139537037037037</v>
      </c>
      <c r="AH666" s="5" t="n">
        <v>0.100439814814815</v>
      </c>
      <c r="AI666" s="5" t="n">
        <v>0</v>
      </c>
      <c r="AJ666" s="5" t="n">
        <v>0</v>
      </c>
      <c r="AK666" s="5" t="n">
        <v>0</v>
      </c>
      <c r="AL666" s="5" t="n">
        <v>0</v>
      </c>
      <c r="AM666" s="4" t="s">
        <v>78</v>
      </c>
      <c r="AN666" s="0" t="n">
        <v>0</v>
      </c>
      <c r="AO666" s="0" t="n">
        <v>1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  <c r="AU666" s="0" t="n">
        <v>0</v>
      </c>
      <c r="AV666" s="0" t="n">
        <v>0</v>
      </c>
      <c r="AW666" s="0" t="n">
        <v>0</v>
      </c>
      <c r="AX666" s="0" t="n">
        <v>0</v>
      </c>
      <c r="AY666" s="0" t="n">
        <v>0</v>
      </c>
      <c r="AZ666" s="0" t="n">
        <v>0</v>
      </c>
      <c r="BA666" s="0" t="n">
        <v>0</v>
      </c>
      <c r="BB666" s="0" t="n">
        <v>0</v>
      </c>
      <c r="BC666" s="0" t="n">
        <v>0</v>
      </c>
      <c r="BD666" s="0" t="n">
        <v>0</v>
      </c>
      <c r="BE666" s="0" t="n">
        <v>0</v>
      </c>
      <c r="BF666" s="0" t="n">
        <v>0</v>
      </c>
      <c r="BG666" s="0" t="n">
        <v>0</v>
      </c>
      <c r="BH666" s="0" t="n">
        <v>0</v>
      </c>
      <c r="BI666" s="0" t="n">
        <v>0</v>
      </c>
      <c r="BJ666" s="0" t="n">
        <v>0</v>
      </c>
      <c r="BK666" s="0" t="n">
        <v>0</v>
      </c>
      <c r="BM666" s="6" t="n">
        <f aca="false">IFERROR(VALUE(F666),"")</f>
        <v>104.7</v>
      </c>
      <c r="BN666" s="6" t="n">
        <f aca="false">IF(R666="-","",IFERROR(VALUE(LEFT(Q666,LEN(Q666)-2)),""))</f>
        <v>42.5</v>
      </c>
      <c r="BO666" s="6" t="n">
        <f aca="false">IF(R666="-","",IFERROR(VALUE(LEFT(R666,LEN(R666)-5)),""))</f>
        <v>2.46</v>
      </c>
      <c r="BP666" s="6" t="n">
        <f aca="false">IF(R666="-","",IFERROR(VALUE(F666),""))</f>
        <v>104.7</v>
      </c>
      <c r="BQ666" s="4" t="n">
        <f aca="false">IF(R666="-",1,0)</f>
        <v>0</v>
      </c>
    </row>
    <row r="667" customFormat="false" ht="15" hidden="false" customHeight="false" outlineLevel="0" collapsed="false">
      <c r="A667" s="0" t="s">
        <v>2693</v>
      </c>
      <c r="B667" s="0" t="s">
        <v>2694</v>
      </c>
      <c r="C667" s="0" t="s">
        <v>70</v>
      </c>
      <c r="D667" s="0" t="s">
        <v>2700</v>
      </c>
      <c r="E667" s="3" t="n">
        <v>46274</v>
      </c>
      <c r="F667" s="4" t="s">
        <v>2701</v>
      </c>
      <c r="G667" s="5" t="n">
        <v>0.435717592592593</v>
      </c>
      <c r="H667" s="5" t="n">
        <v>0.125509259259259</v>
      </c>
      <c r="I667" s="5" t="n">
        <v>0.00144675925925926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5" t="n">
        <v>0</v>
      </c>
      <c r="P667" s="5" t="n">
        <v>0</v>
      </c>
      <c r="Q667" s="4" t="s">
        <v>2702</v>
      </c>
      <c r="R667" s="4" t="s">
        <v>1362</v>
      </c>
      <c r="S667" s="5" t="n">
        <v>0.000694444444444445</v>
      </c>
      <c r="T667" s="5" t="n">
        <v>0.180787037037037</v>
      </c>
      <c r="U667" s="5" t="n">
        <v>0.187731481481482</v>
      </c>
      <c r="V667" s="5" t="n">
        <v>0.0237268518518519</v>
      </c>
      <c r="W667" s="5" t="n">
        <v>0</v>
      </c>
      <c r="X667" s="5" t="n">
        <v>0</v>
      </c>
      <c r="Y667" s="5" t="n">
        <v>0</v>
      </c>
      <c r="Z667" s="0" t="n">
        <v>0</v>
      </c>
      <c r="AA667" s="0" t="n">
        <v>0</v>
      </c>
      <c r="AB667" s="0" t="n">
        <v>0</v>
      </c>
      <c r="AC667" s="4" t="s">
        <v>421</v>
      </c>
      <c r="AD667" s="4" t="s">
        <v>228</v>
      </c>
      <c r="AE667" s="4" t="s">
        <v>2699</v>
      </c>
      <c r="AF667" s="4" t="s">
        <v>2703</v>
      </c>
      <c r="AG667" s="5" t="n">
        <v>0.361412037037037</v>
      </c>
      <c r="AH667" s="5" t="n">
        <v>0.132025462962963</v>
      </c>
      <c r="AI667" s="5" t="n">
        <v>0</v>
      </c>
      <c r="AJ667" s="5" t="n">
        <v>0</v>
      </c>
      <c r="AK667" s="5" t="n">
        <v>0</v>
      </c>
      <c r="AL667" s="5" t="n">
        <v>0</v>
      </c>
      <c r="AM667" s="4" t="s">
        <v>78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  <c r="AU667" s="0" t="n">
        <v>0</v>
      </c>
      <c r="AV667" s="0" t="n">
        <v>0</v>
      </c>
      <c r="AW667" s="0" t="n">
        <v>0</v>
      </c>
      <c r="AX667" s="0" t="n">
        <v>0</v>
      </c>
      <c r="AY667" s="0" t="n">
        <v>0</v>
      </c>
      <c r="AZ667" s="0" t="n">
        <v>0</v>
      </c>
      <c r="BA667" s="0" t="n">
        <v>0</v>
      </c>
      <c r="BB667" s="0" t="n">
        <v>0</v>
      </c>
      <c r="BC667" s="0" t="n">
        <v>0</v>
      </c>
      <c r="BD667" s="0" t="n">
        <v>0</v>
      </c>
      <c r="BE667" s="0" t="n">
        <v>0</v>
      </c>
      <c r="BF667" s="0" t="n">
        <v>0</v>
      </c>
      <c r="BG667" s="0" t="n">
        <v>0</v>
      </c>
      <c r="BH667" s="0" t="n">
        <v>0</v>
      </c>
      <c r="BI667" s="0" t="n">
        <v>0</v>
      </c>
      <c r="BJ667" s="0" t="n">
        <v>0</v>
      </c>
      <c r="BK667" s="0" t="n">
        <v>0</v>
      </c>
      <c r="BM667" s="6" t="n">
        <f aca="false">IFERROR(VALUE(F667),"")</f>
        <v>304.18</v>
      </c>
      <c r="BN667" s="6" t="n">
        <f aca="false">IF(R667="-","",IFERROR(VALUE(LEFT(Q667,LEN(Q667)-2)),""))</f>
        <v>122</v>
      </c>
      <c r="BO667" s="6" t="n">
        <f aca="false">IF(R667="-","",IFERROR(VALUE(LEFT(R667,LEN(R667)-5)),""))</f>
        <v>2.49</v>
      </c>
      <c r="BP667" s="6" t="n">
        <f aca="false">IF(R667="-","",IFERROR(VALUE(F667),""))</f>
        <v>304.18</v>
      </c>
      <c r="BQ667" s="4" t="n">
        <f aca="false">IF(R667="-",1,0)</f>
        <v>0</v>
      </c>
    </row>
    <row r="668" customFormat="false" ht="15" hidden="false" customHeight="false" outlineLevel="0" collapsed="false">
      <c r="A668" s="0" t="s">
        <v>2693</v>
      </c>
      <c r="B668" s="0" t="s">
        <v>2694</v>
      </c>
      <c r="C668" s="0" t="s">
        <v>70</v>
      </c>
      <c r="D668" s="0" t="s">
        <v>2704</v>
      </c>
      <c r="E668" s="3" t="n">
        <v>46275</v>
      </c>
      <c r="F668" s="4" t="s">
        <v>2705</v>
      </c>
      <c r="G668" s="5" t="n">
        <v>0.378518518518519</v>
      </c>
      <c r="H668" s="5" t="n">
        <v>0.238043981481482</v>
      </c>
      <c r="I668" s="5" t="n">
        <v>0.00125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5" t="n">
        <v>0</v>
      </c>
      <c r="P668" s="5" t="n">
        <v>0</v>
      </c>
      <c r="Q668" s="4" t="s">
        <v>2706</v>
      </c>
      <c r="R668" s="4" t="s">
        <v>2187</v>
      </c>
      <c r="S668" s="5" t="n">
        <v>0.000925925925925926</v>
      </c>
      <c r="T668" s="5" t="n">
        <v>0.172337962962963</v>
      </c>
      <c r="U668" s="5" t="n">
        <v>0.174537037037037</v>
      </c>
      <c r="V668" s="5" t="n">
        <v>0.0200810185185185</v>
      </c>
      <c r="W668" s="5" t="n">
        <v>0.000208333333333333</v>
      </c>
      <c r="X668" s="5" t="n">
        <v>0</v>
      </c>
      <c r="Y668" s="5" t="n">
        <v>0</v>
      </c>
      <c r="Z668" s="0" t="n">
        <v>0</v>
      </c>
      <c r="AA668" s="0" t="n">
        <v>0</v>
      </c>
      <c r="AB668" s="0" t="n">
        <v>0</v>
      </c>
      <c r="AC668" s="4" t="s">
        <v>81</v>
      </c>
      <c r="AD668" s="4" t="s">
        <v>320</v>
      </c>
      <c r="AE668" s="4" t="s">
        <v>2703</v>
      </c>
      <c r="AF668" s="4" t="s">
        <v>2707</v>
      </c>
      <c r="AG668" s="5" t="n">
        <v>0.333275462962963</v>
      </c>
      <c r="AH668" s="5" t="n">
        <v>0.0823842592592593</v>
      </c>
      <c r="AI668" s="5" t="n">
        <v>0</v>
      </c>
      <c r="AJ668" s="5" t="n">
        <v>0</v>
      </c>
      <c r="AK668" s="5" t="n">
        <v>0</v>
      </c>
      <c r="AL668" s="5" t="n">
        <v>0</v>
      </c>
      <c r="AM668" s="4" t="s">
        <v>78</v>
      </c>
      <c r="AN668" s="0" t="n">
        <v>0</v>
      </c>
      <c r="AO668" s="0" t="n">
        <v>2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  <c r="AU668" s="0" t="n">
        <v>0</v>
      </c>
      <c r="AV668" s="0" t="n">
        <v>0</v>
      </c>
      <c r="AW668" s="0" t="n">
        <v>0</v>
      </c>
      <c r="AX668" s="0" t="n">
        <v>0</v>
      </c>
      <c r="AY668" s="0" t="n">
        <v>0</v>
      </c>
      <c r="AZ668" s="0" t="n">
        <v>0</v>
      </c>
      <c r="BA668" s="0" t="n">
        <v>0</v>
      </c>
      <c r="BB668" s="0" t="n">
        <v>0</v>
      </c>
      <c r="BC668" s="0" t="n">
        <v>0</v>
      </c>
      <c r="BD668" s="0" t="n">
        <v>0</v>
      </c>
      <c r="BE668" s="0" t="n">
        <v>0</v>
      </c>
      <c r="BF668" s="0" t="n">
        <v>0</v>
      </c>
      <c r="BG668" s="0" t="n">
        <v>0</v>
      </c>
      <c r="BH668" s="0" t="n">
        <v>0</v>
      </c>
      <c r="BI668" s="0" t="n">
        <v>0</v>
      </c>
      <c r="BJ668" s="0" t="n">
        <v>0</v>
      </c>
      <c r="BK668" s="0" t="n">
        <v>0</v>
      </c>
      <c r="BM668" s="6" t="n">
        <f aca="false">IFERROR(VALUE(F668),"")</f>
        <v>293.08</v>
      </c>
      <c r="BN668" s="6" t="n">
        <f aca="false">IF(R668="-","",IFERROR(VALUE(LEFT(Q668,LEN(Q668)-2)),""))</f>
        <v>114.99</v>
      </c>
      <c r="BO668" s="6" t="n">
        <f aca="false">IF(R668="-","",IFERROR(VALUE(LEFT(R668,LEN(R668)-5)),""))</f>
        <v>2.55</v>
      </c>
      <c r="BP668" s="6" t="n">
        <f aca="false">IF(R668="-","",IFERROR(VALUE(F668),""))</f>
        <v>293.08</v>
      </c>
      <c r="BQ668" s="4" t="n">
        <f aca="false">IF(R668="-",1,0)</f>
        <v>0</v>
      </c>
    </row>
    <row r="669" customFormat="false" ht="15" hidden="false" customHeight="false" outlineLevel="0" collapsed="false">
      <c r="A669" s="0" t="s">
        <v>2693</v>
      </c>
      <c r="B669" s="0" t="s">
        <v>2694</v>
      </c>
      <c r="C669" s="0" t="s">
        <v>70</v>
      </c>
      <c r="D669" s="0" t="s">
        <v>2708</v>
      </c>
      <c r="E669" s="3" t="n">
        <v>46276</v>
      </c>
      <c r="F669" s="4" t="s">
        <v>2709</v>
      </c>
      <c r="G669" s="5" t="n">
        <v>0.459166666666667</v>
      </c>
      <c r="H669" s="5" t="n">
        <v>0.262453703703704</v>
      </c>
      <c r="I669" s="5" t="n">
        <v>0.00321759259259259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5" t="n">
        <v>0</v>
      </c>
      <c r="P669" s="5" t="n">
        <v>0.00767361111111111</v>
      </c>
      <c r="Q669" s="4" t="s">
        <v>2710</v>
      </c>
      <c r="R669" s="4" t="s">
        <v>2711</v>
      </c>
      <c r="S669" s="5" t="n">
        <v>0.000810185185185185</v>
      </c>
      <c r="T669" s="5" t="n">
        <v>0.207638888888889</v>
      </c>
      <c r="U669" s="5" t="n">
        <v>0.19224537037037</v>
      </c>
      <c r="V669" s="5" t="n">
        <v>0.0143518518518519</v>
      </c>
      <c r="W669" s="5" t="n">
        <v>0</v>
      </c>
      <c r="X669" s="5" t="n">
        <v>0</v>
      </c>
      <c r="Y669" s="5" t="n">
        <v>0</v>
      </c>
      <c r="Z669" s="0" t="n">
        <v>0</v>
      </c>
      <c r="AA669" s="0" t="n">
        <v>0</v>
      </c>
      <c r="AB669" s="0" t="n">
        <v>0</v>
      </c>
      <c r="AC669" s="4" t="s">
        <v>320</v>
      </c>
      <c r="AD669" s="4" t="s">
        <v>75</v>
      </c>
      <c r="AE669" s="4" t="s">
        <v>2707</v>
      </c>
      <c r="AF669" s="4" t="s">
        <v>2712</v>
      </c>
      <c r="AG669" s="5" t="n">
        <v>0.352013888888889</v>
      </c>
      <c r="AH669" s="5" t="n">
        <v>0.200069444444444</v>
      </c>
      <c r="AI669" s="5" t="n">
        <v>0</v>
      </c>
      <c r="AJ669" s="5" t="n">
        <v>0</v>
      </c>
      <c r="AK669" s="5" t="n">
        <v>0</v>
      </c>
      <c r="AL669" s="5" t="n">
        <v>0</v>
      </c>
      <c r="AM669" s="4" t="s">
        <v>78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  <c r="AU669" s="0" t="n">
        <v>0</v>
      </c>
      <c r="AV669" s="0" t="n">
        <v>0</v>
      </c>
      <c r="AW669" s="0" t="n">
        <v>0</v>
      </c>
      <c r="AX669" s="0" t="n">
        <v>0</v>
      </c>
      <c r="AY669" s="0" t="n">
        <v>0</v>
      </c>
      <c r="AZ669" s="0" t="n">
        <v>0</v>
      </c>
      <c r="BA669" s="0" t="n">
        <v>0</v>
      </c>
      <c r="BB669" s="0" t="n">
        <v>0</v>
      </c>
      <c r="BC669" s="0" t="n">
        <v>0</v>
      </c>
      <c r="BD669" s="0" t="n">
        <v>0</v>
      </c>
      <c r="BE669" s="0" t="n">
        <v>0</v>
      </c>
      <c r="BF669" s="0" t="n">
        <v>0</v>
      </c>
      <c r="BG669" s="0" t="n">
        <v>0</v>
      </c>
      <c r="BH669" s="0" t="n">
        <v>0</v>
      </c>
      <c r="BI669" s="0" t="n">
        <v>0</v>
      </c>
      <c r="BJ669" s="0" t="n">
        <v>0</v>
      </c>
      <c r="BK669" s="0" t="n">
        <v>0</v>
      </c>
      <c r="BM669" s="6" t="n">
        <f aca="false">IFERROR(VALUE(F669),"")</f>
        <v>296.46</v>
      </c>
      <c r="BN669" s="6" t="n">
        <f aca="false">IF(R669="-","",IFERROR(VALUE(LEFT(Q669,LEN(Q669)-2)),""))</f>
        <v>120</v>
      </c>
      <c r="BO669" s="6" t="n">
        <f aca="false">IF(R669="-","",IFERROR(VALUE(LEFT(R669,LEN(R669)-5)),""))</f>
        <v>2.47</v>
      </c>
      <c r="BP669" s="6" t="n">
        <f aca="false">IF(R669="-","",IFERROR(VALUE(F669),""))</f>
        <v>296.46</v>
      </c>
      <c r="BQ669" s="4" t="n">
        <f aca="false">IF(R669="-",1,0)</f>
        <v>0</v>
      </c>
    </row>
    <row r="670" customFormat="false" ht="15" hidden="false" customHeight="false" outlineLevel="0" collapsed="false">
      <c r="A670" s="0" t="s">
        <v>2693</v>
      </c>
      <c r="B670" s="0" t="s">
        <v>2694</v>
      </c>
      <c r="C670" s="0" t="s">
        <v>70</v>
      </c>
      <c r="D670" s="0" t="s">
        <v>2713</v>
      </c>
      <c r="E670" s="3" t="n">
        <v>46277</v>
      </c>
      <c r="F670" s="4" t="s">
        <v>2714</v>
      </c>
      <c r="G670" s="5" t="n">
        <v>0.291099537037037</v>
      </c>
      <c r="H670" s="5" t="n">
        <v>0.271944444444444</v>
      </c>
      <c r="I670" s="5" t="n">
        <v>3.47222222222222E-005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5" t="n">
        <v>0</v>
      </c>
      <c r="P670" s="5" t="n">
        <v>0</v>
      </c>
      <c r="Q670" s="4" t="s">
        <v>2715</v>
      </c>
      <c r="R670" s="4" t="s">
        <v>1169</v>
      </c>
      <c r="S670" s="5" t="n">
        <v>0.000347222222222222</v>
      </c>
      <c r="T670" s="5" t="n">
        <v>0.097337962962963</v>
      </c>
      <c r="U670" s="5" t="n">
        <v>0.142708333333333</v>
      </c>
      <c r="V670" s="5" t="n">
        <v>0.00671296296296296</v>
      </c>
      <c r="W670" s="5" t="n">
        <v>0</v>
      </c>
      <c r="X670" s="5" t="n">
        <v>0</v>
      </c>
      <c r="Y670" s="5" t="n">
        <v>0</v>
      </c>
      <c r="Z670" s="0" t="n">
        <v>0</v>
      </c>
      <c r="AA670" s="0" t="n">
        <v>0</v>
      </c>
      <c r="AB670" s="0" t="n">
        <v>0</v>
      </c>
      <c r="AC670" s="4" t="s">
        <v>228</v>
      </c>
      <c r="AD670" s="4" t="s">
        <v>75</v>
      </c>
      <c r="AE670" s="4" t="s">
        <v>2712</v>
      </c>
      <c r="AF670" s="4" t="s">
        <v>2716</v>
      </c>
      <c r="AG670" s="5" t="n">
        <v>0.228900462962963</v>
      </c>
      <c r="AH670" s="5" t="n">
        <v>0.118148148148148</v>
      </c>
      <c r="AI670" s="5" t="n">
        <v>0</v>
      </c>
      <c r="AJ670" s="5" t="n">
        <v>0</v>
      </c>
      <c r="AK670" s="5" t="n">
        <v>0</v>
      </c>
      <c r="AL670" s="5" t="n">
        <v>0</v>
      </c>
      <c r="AM670" s="4" t="s">
        <v>78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  <c r="AU670" s="0" t="n">
        <v>0</v>
      </c>
      <c r="AV670" s="0" t="n">
        <v>0</v>
      </c>
      <c r="AW670" s="0" t="n">
        <v>0</v>
      </c>
      <c r="AX670" s="0" t="n">
        <v>0</v>
      </c>
      <c r="AY670" s="0" t="n">
        <v>0</v>
      </c>
      <c r="AZ670" s="0" t="n">
        <v>0</v>
      </c>
      <c r="BA670" s="0" t="n">
        <v>0</v>
      </c>
      <c r="BB670" s="0" t="n">
        <v>0</v>
      </c>
      <c r="BC670" s="0" t="n">
        <v>0</v>
      </c>
      <c r="BD670" s="0" t="n">
        <v>0</v>
      </c>
      <c r="BE670" s="0" t="n">
        <v>0</v>
      </c>
      <c r="BF670" s="0" t="n">
        <v>0</v>
      </c>
      <c r="BG670" s="0" t="n">
        <v>0</v>
      </c>
      <c r="BH670" s="0" t="n">
        <v>0</v>
      </c>
      <c r="BI670" s="0" t="n">
        <v>0</v>
      </c>
      <c r="BJ670" s="0" t="n">
        <v>0</v>
      </c>
      <c r="BK670" s="0" t="n">
        <v>0</v>
      </c>
      <c r="BM670" s="6" t="n">
        <f aca="false">IFERROR(VALUE(F670),"")</f>
        <v>204.89</v>
      </c>
      <c r="BN670" s="6" t="n">
        <f aca="false">IF(R670="-","",IFERROR(VALUE(LEFT(Q670,LEN(Q670)-2)),""))</f>
        <v>78.02</v>
      </c>
      <c r="BO670" s="6" t="n">
        <f aca="false">IF(R670="-","",IFERROR(VALUE(LEFT(R670,LEN(R670)-5)),""))</f>
        <v>2.63</v>
      </c>
      <c r="BP670" s="6" t="n">
        <f aca="false">IF(R670="-","",IFERROR(VALUE(F670),""))</f>
        <v>204.89</v>
      </c>
      <c r="BQ670" s="4" t="n">
        <f aca="false">IF(R670="-",1,0)</f>
        <v>0</v>
      </c>
    </row>
    <row r="671" customFormat="false" ht="15" hidden="false" customHeight="false" outlineLevel="0" collapsed="false">
      <c r="A671" s="0" t="s">
        <v>2693</v>
      </c>
      <c r="B671" s="0" t="s">
        <v>2694</v>
      </c>
      <c r="C671" s="0" t="s">
        <v>70</v>
      </c>
      <c r="D671" s="0" t="s">
        <v>2717</v>
      </c>
      <c r="E671" s="3" t="n">
        <v>46278</v>
      </c>
      <c r="F671" s="4" t="s">
        <v>2718</v>
      </c>
      <c r="G671" s="5" t="n">
        <v>0.557476851851852</v>
      </c>
      <c r="H671" s="5" t="n">
        <v>0.534560185185185</v>
      </c>
      <c r="I671" s="5" t="n">
        <v>0.000578703703703704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5" t="n">
        <v>0</v>
      </c>
      <c r="P671" s="5" t="n">
        <v>0</v>
      </c>
      <c r="Q671" s="4" t="s">
        <v>2719</v>
      </c>
      <c r="R671" s="4" t="s">
        <v>1685</v>
      </c>
      <c r="S671" s="5" t="n">
        <v>0.000925925925925926</v>
      </c>
      <c r="T671" s="5" t="n">
        <v>0.234606481481482</v>
      </c>
      <c r="U671" s="5" t="n">
        <v>0.256597222222222</v>
      </c>
      <c r="V671" s="5" t="n">
        <v>0.0211226851851852</v>
      </c>
      <c r="W671" s="5" t="n">
        <v>0.000208333333333333</v>
      </c>
      <c r="X671" s="5" t="n">
        <v>0</v>
      </c>
      <c r="Y671" s="5" t="n">
        <v>0.000104166666666667</v>
      </c>
      <c r="Z671" s="0" t="n">
        <v>0</v>
      </c>
      <c r="AA671" s="0" t="n">
        <v>0</v>
      </c>
      <c r="AB671" s="0" t="n">
        <v>0</v>
      </c>
      <c r="AC671" s="4" t="s">
        <v>81</v>
      </c>
      <c r="AD671" s="4" t="s">
        <v>74</v>
      </c>
      <c r="AE671" s="4" t="s">
        <v>2716</v>
      </c>
      <c r="AF671" s="4" t="s">
        <v>2720</v>
      </c>
      <c r="AG671" s="5" t="n">
        <v>0.471365740740741</v>
      </c>
      <c r="AH671" s="5" t="n">
        <v>0.15255787037037</v>
      </c>
      <c r="AI671" s="5" t="n">
        <v>0</v>
      </c>
      <c r="AJ671" s="5" t="n">
        <v>0</v>
      </c>
      <c r="AK671" s="5" t="n">
        <v>0</v>
      </c>
      <c r="AL671" s="5" t="n">
        <v>0</v>
      </c>
      <c r="AM671" s="4" t="s">
        <v>78</v>
      </c>
      <c r="AN671" s="0" t="n">
        <v>0</v>
      </c>
      <c r="AO671" s="0" t="n">
        <v>1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  <c r="AU671" s="0" t="n">
        <v>0</v>
      </c>
      <c r="AV671" s="0" t="n">
        <v>0</v>
      </c>
      <c r="AW671" s="0" t="n">
        <v>0</v>
      </c>
      <c r="AX671" s="0" t="n">
        <v>0</v>
      </c>
      <c r="AY671" s="0" t="n">
        <v>0</v>
      </c>
      <c r="AZ671" s="0" t="n">
        <v>0</v>
      </c>
      <c r="BA671" s="0" t="n">
        <v>0</v>
      </c>
      <c r="BB671" s="0" t="n">
        <v>0</v>
      </c>
      <c r="BC671" s="0" t="n">
        <v>0</v>
      </c>
      <c r="BD671" s="0" t="n">
        <v>0</v>
      </c>
      <c r="BE671" s="0" t="n">
        <v>0</v>
      </c>
      <c r="BF671" s="0" t="n">
        <v>0</v>
      </c>
      <c r="BG671" s="0" t="n">
        <v>0</v>
      </c>
      <c r="BH671" s="0" t="n">
        <v>0</v>
      </c>
      <c r="BI671" s="0" t="n">
        <v>0</v>
      </c>
      <c r="BJ671" s="0" t="n">
        <v>0</v>
      </c>
      <c r="BK671" s="0" t="n">
        <v>0</v>
      </c>
      <c r="BM671" s="6" t="n">
        <f aca="false">IFERROR(VALUE(F671),"")</f>
        <v>408.71</v>
      </c>
      <c r="BN671" s="6" t="n">
        <f aca="false">IF(R671="-","",IFERROR(VALUE(LEFT(Q671,LEN(Q671)-2)),""))</f>
        <v>156.99</v>
      </c>
      <c r="BO671" s="6" t="n">
        <f aca="false">IF(R671="-","",IFERROR(VALUE(LEFT(R671,LEN(R671)-5)),""))</f>
        <v>2.6</v>
      </c>
      <c r="BP671" s="6" t="n">
        <f aca="false">IF(R671="-","",IFERROR(VALUE(F671),""))</f>
        <v>408.71</v>
      </c>
      <c r="BQ671" s="4" t="n">
        <f aca="false">IF(R671="-",1,0)</f>
        <v>0</v>
      </c>
    </row>
    <row r="672" customFormat="false" ht="15" hidden="false" customHeight="false" outlineLevel="0" collapsed="false">
      <c r="A672" s="0" t="s">
        <v>2693</v>
      </c>
      <c r="B672" s="0" t="s">
        <v>2694</v>
      </c>
      <c r="C672" s="0" t="s">
        <v>70</v>
      </c>
      <c r="D672" s="0" t="s">
        <v>2721</v>
      </c>
      <c r="E672" s="3" t="n">
        <v>46279</v>
      </c>
      <c r="F672" s="4" t="s">
        <v>2722</v>
      </c>
      <c r="G672" s="5" t="n">
        <v>0.461736111111111</v>
      </c>
      <c r="H672" s="5" t="n">
        <v>0.301793981481482</v>
      </c>
      <c r="I672" s="5" t="n">
        <v>0.000590277777777778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5" t="n">
        <v>0</v>
      </c>
      <c r="P672" s="5" t="n">
        <v>0</v>
      </c>
      <c r="Q672" s="4" t="s">
        <v>2315</v>
      </c>
      <c r="R672" s="4" t="s">
        <v>1089</v>
      </c>
      <c r="S672" s="5" t="n">
        <v>0.000347222222222222</v>
      </c>
      <c r="T672" s="5" t="n">
        <v>0.197337962962963</v>
      </c>
      <c r="U672" s="5" t="n">
        <v>0.219097222222222</v>
      </c>
      <c r="V672" s="5" t="n">
        <v>0.0108796296296296</v>
      </c>
      <c r="W672" s="5" t="n">
        <v>0</v>
      </c>
      <c r="X672" s="5" t="n">
        <v>0</v>
      </c>
      <c r="Y672" s="5" t="n">
        <v>0</v>
      </c>
      <c r="Z672" s="0" t="n">
        <v>0</v>
      </c>
      <c r="AA672" s="0" t="n">
        <v>0</v>
      </c>
      <c r="AB672" s="0" t="n">
        <v>0</v>
      </c>
      <c r="AC672" s="4" t="s">
        <v>228</v>
      </c>
      <c r="AD672" s="4" t="s">
        <v>421</v>
      </c>
      <c r="AE672" s="4" t="s">
        <v>2720</v>
      </c>
      <c r="AF672" s="4" t="s">
        <v>2723</v>
      </c>
      <c r="AG672" s="5" t="n">
        <v>0.386793981481482</v>
      </c>
      <c r="AH672" s="5" t="n">
        <v>0.138888888888889</v>
      </c>
      <c r="AI672" s="5" t="n">
        <v>0</v>
      </c>
      <c r="AJ672" s="5" t="n">
        <v>0</v>
      </c>
      <c r="AK672" s="5" t="n">
        <v>0</v>
      </c>
      <c r="AL672" s="5" t="n">
        <v>0</v>
      </c>
      <c r="AM672" s="4" t="s">
        <v>78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  <c r="AU672" s="0" t="n">
        <v>0</v>
      </c>
      <c r="AV672" s="0" t="n">
        <v>0</v>
      </c>
      <c r="AW672" s="0" t="n">
        <v>0</v>
      </c>
      <c r="AX672" s="0" t="n">
        <v>0</v>
      </c>
      <c r="AY672" s="0" t="n">
        <v>0</v>
      </c>
      <c r="AZ672" s="0" t="n">
        <v>0</v>
      </c>
      <c r="BA672" s="0" t="n">
        <v>0</v>
      </c>
      <c r="BB672" s="0" t="n">
        <v>0</v>
      </c>
      <c r="BC672" s="0" t="n">
        <v>0</v>
      </c>
      <c r="BD672" s="0" t="n">
        <v>0</v>
      </c>
      <c r="BE672" s="0" t="n">
        <v>0</v>
      </c>
      <c r="BF672" s="0" t="n">
        <v>0</v>
      </c>
      <c r="BG672" s="0" t="n">
        <v>0</v>
      </c>
      <c r="BH672" s="0" t="n">
        <v>0</v>
      </c>
      <c r="BI672" s="0" t="n">
        <v>0</v>
      </c>
      <c r="BJ672" s="0" t="n">
        <v>0</v>
      </c>
      <c r="BK672" s="0" t="n">
        <v>0</v>
      </c>
      <c r="BM672" s="6" t="n">
        <f aca="false">IFERROR(VALUE(F672),"")</f>
        <v>306.86</v>
      </c>
      <c r="BN672" s="6" t="n">
        <f aca="false">IF(R672="-","",IFERROR(VALUE(LEFT(Q672,LEN(Q672)-2)),""))</f>
        <v>126.5</v>
      </c>
      <c r="BO672" s="6" t="n">
        <f aca="false">IF(R672="-","",IFERROR(VALUE(LEFT(R672,LEN(R672)-5)),""))</f>
        <v>2.43</v>
      </c>
      <c r="BP672" s="6" t="n">
        <f aca="false">IF(R672="-","",IFERROR(VALUE(F672),""))</f>
        <v>306.86</v>
      </c>
      <c r="BQ672" s="4" t="n">
        <f aca="false">IF(R672="-",1,0)</f>
        <v>0</v>
      </c>
    </row>
    <row r="673" customFormat="false" ht="15" hidden="false" customHeight="false" outlineLevel="0" collapsed="false">
      <c r="A673" s="0" t="s">
        <v>2724</v>
      </c>
      <c r="B673" s="0" t="s">
        <v>2725</v>
      </c>
      <c r="C673" s="0" t="s">
        <v>70</v>
      </c>
      <c r="E673" s="3" t="n">
        <v>46273</v>
      </c>
      <c r="F673" s="4" t="s">
        <v>1449</v>
      </c>
      <c r="G673" s="5" t="n">
        <v>0.0255787037037037</v>
      </c>
      <c r="H673" s="5" t="n">
        <v>0</v>
      </c>
      <c r="I673" s="5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5" t="n">
        <v>0</v>
      </c>
      <c r="P673" s="5" t="n">
        <v>0</v>
      </c>
      <c r="Q673" s="4" t="s">
        <v>2726</v>
      </c>
      <c r="R673" s="4" t="s">
        <v>2727</v>
      </c>
      <c r="S673" s="5" t="n">
        <v>0.000347222222222222</v>
      </c>
      <c r="T673" s="5" t="n">
        <v>0.0126157407407407</v>
      </c>
      <c r="U673" s="5" t="n">
        <v>0.000231481481481482</v>
      </c>
      <c r="V673" s="5" t="n">
        <v>0</v>
      </c>
      <c r="W673" s="5" t="n">
        <v>0</v>
      </c>
      <c r="X673" s="5" t="n">
        <v>0</v>
      </c>
      <c r="Y673" s="5" t="n">
        <v>0</v>
      </c>
      <c r="Z673" s="0" t="n">
        <v>0</v>
      </c>
      <c r="AA673" s="0" t="n">
        <v>0</v>
      </c>
      <c r="AB673" s="0" t="n">
        <v>0</v>
      </c>
      <c r="AC673" s="4" t="s">
        <v>75</v>
      </c>
      <c r="AD673" s="4" t="s">
        <v>75</v>
      </c>
      <c r="AE673" s="4" t="s">
        <v>2728</v>
      </c>
      <c r="AF673" s="4" t="s">
        <v>2729</v>
      </c>
      <c r="AG673" s="5" t="n">
        <v>0.000763888888888889</v>
      </c>
      <c r="AH673" s="5" t="n">
        <v>0.0504513888888889</v>
      </c>
      <c r="AI673" s="5" t="n">
        <v>0</v>
      </c>
      <c r="AJ673" s="5" t="n">
        <v>0</v>
      </c>
      <c r="AK673" s="5" t="n">
        <v>0</v>
      </c>
      <c r="AL673" s="5" t="n">
        <v>0</v>
      </c>
      <c r="AM673" s="4" t="s">
        <v>78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  <c r="AU673" s="0" t="n">
        <v>0</v>
      </c>
      <c r="AV673" s="0" t="n">
        <v>0</v>
      </c>
      <c r="AW673" s="0" t="n">
        <v>0</v>
      </c>
      <c r="AX673" s="0" t="n">
        <v>0</v>
      </c>
      <c r="AY673" s="0" t="n">
        <v>0</v>
      </c>
      <c r="AZ673" s="0" t="n">
        <v>0</v>
      </c>
      <c r="BA673" s="0" t="n">
        <v>0</v>
      </c>
      <c r="BB673" s="0" t="n">
        <v>0</v>
      </c>
      <c r="BC673" s="0" t="n">
        <v>0</v>
      </c>
      <c r="BD673" s="0" t="n">
        <v>0</v>
      </c>
      <c r="BE673" s="0" t="n">
        <v>0</v>
      </c>
      <c r="BF673" s="0" t="n">
        <v>0</v>
      </c>
      <c r="BG673" s="0" t="n">
        <v>0</v>
      </c>
      <c r="BH673" s="0" t="n">
        <v>0</v>
      </c>
      <c r="BI673" s="0" t="n">
        <v>0</v>
      </c>
      <c r="BJ673" s="0" t="n">
        <v>0</v>
      </c>
      <c r="BK673" s="0" t="n">
        <v>0</v>
      </c>
      <c r="BM673" s="6" t="n">
        <f aca="false">IFERROR(VALUE(F673),"")</f>
        <v>0.05</v>
      </c>
      <c r="BN673" s="6" t="n">
        <f aca="false">IF(R673="-","",IFERROR(VALUE(LEFT(Q673,LEN(Q673)-2)),""))</f>
        <v>1.01</v>
      </c>
      <c r="BO673" s="6" t="n">
        <f aca="false">IF(R673="-","",IFERROR(VALUE(LEFT(R673,LEN(R673)-5)),""))</f>
        <v>0.05</v>
      </c>
      <c r="BP673" s="6" t="n">
        <f aca="false">IF(R673="-","",IFERROR(VALUE(F673),""))</f>
        <v>0.05</v>
      </c>
      <c r="BQ673" s="4" t="n">
        <f aca="false">IF(R673="-",1,0)</f>
        <v>0</v>
      </c>
    </row>
    <row r="674" customFormat="false" ht="15" hidden="false" customHeight="false" outlineLevel="0" collapsed="false">
      <c r="A674" s="0" t="s">
        <v>2724</v>
      </c>
      <c r="B674" s="0" t="s">
        <v>2725</v>
      </c>
      <c r="C674" s="0" t="s">
        <v>70</v>
      </c>
      <c r="E674" s="3" t="n">
        <v>46276</v>
      </c>
      <c r="F674" s="4" t="s">
        <v>2730</v>
      </c>
      <c r="G674" s="5" t="n">
        <v>0.325219907407407</v>
      </c>
      <c r="H674" s="5" t="n">
        <v>0</v>
      </c>
      <c r="I674" s="5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5" t="n">
        <v>0</v>
      </c>
      <c r="P674" s="5" t="n">
        <v>0.0402430555555556</v>
      </c>
      <c r="Q674" s="4" t="s">
        <v>2731</v>
      </c>
      <c r="R674" s="4" t="s">
        <v>2732</v>
      </c>
      <c r="S674" s="5" t="n">
        <v>0.00150462962962963</v>
      </c>
      <c r="T674" s="5" t="n">
        <v>0.0988425925925926</v>
      </c>
      <c r="U674" s="5" t="n">
        <v>0.0025462962962963</v>
      </c>
      <c r="V674" s="5" t="n">
        <v>0.000231481481481482</v>
      </c>
      <c r="W674" s="5" t="n">
        <v>0</v>
      </c>
      <c r="X674" s="5" t="n">
        <v>0</v>
      </c>
      <c r="Y674" s="5" t="n">
        <v>0</v>
      </c>
      <c r="Z674" s="0" t="n">
        <v>0</v>
      </c>
      <c r="AA674" s="0" t="n">
        <v>0</v>
      </c>
      <c r="AB674" s="0" t="n">
        <v>0</v>
      </c>
      <c r="AC674" s="4" t="s">
        <v>228</v>
      </c>
      <c r="AD674" s="4" t="s">
        <v>81</v>
      </c>
      <c r="AE674" s="4" t="s">
        <v>2729</v>
      </c>
      <c r="AF674" s="4" t="s">
        <v>2733</v>
      </c>
      <c r="AG674" s="5" t="n">
        <v>0.00847222222222222</v>
      </c>
      <c r="AH674" s="5" t="n">
        <v>0.395844907407407</v>
      </c>
      <c r="AI674" s="5" t="n">
        <v>0</v>
      </c>
      <c r="AJ674" s="5" t="n">
        <v>0</v>
      </c>
      <c r="AK674" s="5" t="n">
        <v>0</v>
      </c>
      <c r="AL674" s="5" t="n">
        <v>0</v>
      </c>
      <c r="AM674" s="4" t="s">
        <v>78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  <c r="AU674" s="0" t="n">
        <v>0</v>
      </c>
      <c r="AV674" s="0" t="n">
        <v>0</v>
      </c>
      <c r="AW674" s="0" t="n">
        <v>0</v>
      </c>
      <c r="AX674" s="0" t="n">
        <v>0</v>
      </c>
      <c r="AY674" s="0" t="n">
        <v>0</v>
      </c>
      <c r="AZ674" s="0" t="n">
        <v>0</v>
      </c>
      <c r="BA674" s="0" t="n">
        <v>0</v>
      </c>
      <c r="BB674" s="0" t="n">
        <v>0</v>
      </c>
      <c r="BC674" s="0" t="n">
        <v>0</v>
      </c>
      <c r="BD674" s="0" t="n">
        <v>0</v>
      </c>
      <c r="BE674" s="0" t="n">
        <v>0</v>
      </c>
      <c r="BF674" s="0" t="n">
        <v>0</v>
      </c>
      <c r="BG674" s="0" t="n">
        <v>0</v>
      </c>
      <c r="BH674" s="0" t="n">
        <v>0</v>
      </c>
      <c r="BI674" s="0" t="n">
        <v>0</v>
      </c>
      <c r="BJ674" s="0" t="n">
        <v>0</v>
      </c>
      <c r="BK674" s="0" t="n">
        <v>0</v>
      </c>
      <c r="BM674" s="6" t="n">
        <f aca="false">IFERROR(VALUE(F674),"")</f>
        <v>0.88</v>
      </c>
      <c r="BN674" s="6" t="n">
        <f aca="false">IF(R674="-","",IFERROR(VALUE(LEFT(Q674,LEN(Q674)-2)),""))</f>
        <v>10.5</v>
      </c>
      <c r="BO674" s="6" t="n">
        <f aca="false">IF(R674="-","",IFERROR(VALUE(LEFT(R674,LEN(R674)-5)),""))</f>
        <v>0.08</v>
      </c>
      <c r="BP674" s="6" t="n">
        <f aca="false">IF(R674="-","",IFERROR(VALUE(F674),""))</f>
        <v>0.88</v>
      </c>
      <c r="BQ674" s="4" t="n">
        <f aca="false">IF(R674="-",1,0)</f>
        <v>0</v>
      </c>
    </row>
    <row r="675" customFormat="false" ht="15" hidden="false" customHeight="false" outlineLevel="0" collapsed="false">
      <c r="A675" s="0" t="s">
        <v>2724</v>
      </c>
      <c r="B675" s="0" t="s">
        <v>2725</v>
      </c>
      <c r="C675" s="0" t="s">
        <v>70</v>
      </c>
      <c r="D675" s="0" t="s">
        <v>2734</v>
      </c>
      <c r="E675" s="3" t="n">
        <v>46277</v>
      </c>
      <c r="F675" s="4" t="s">
        <v>2735</v>
      </c>
      <c r="G675" s="5" t="n">
        <v>0.467094907407407</v>
      </c>
      <c r="H675" s="5" t="n">
        <v>0.389513888888889</v>
      </c>
      <c r="I675" s="5" t="n">
        <v>0.000428240740740741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5" t="n">
        <v>0</v>
      </c>
      <c r="P675" s="5" t="n">
        <v>0.00795138888888889</v>
      </c>
      <c r="Q675" s="4" t="s">
        <v>2736</v>
      </c>
      <c r="R675" s="4" t="s">
        <v>2737</v>
      </c>
      <c r="S675" s="5" t="n">
        <v>0.000694444444444445</v>
      </c>
      <c r="T675" s="5" t="n">
        <v>0.257523148148148</v>
      </c>
      <c r="U675" s="5" t="n">
        <v>0.142361111111111</v>
      </c>
      <c r="V675" s="5" t="n">
        <v>0.0212962962962963</v>
      </c>
      <c r="W675" s="5" t="n">
        <v>0</v>
      </c>
      <c r="X675" s="5" t="n">
        <v>0</v>
      </c>
      <c r="Y675" s="5" t="n">
        <v>0</v>
      </c>
      <c r="Z675" s="0" t="n">
        <v>0</v>
      </c>
      <c r="AA675" s="0" t="n">
        <v>0</v>
      </c>
      <c r="AB675" s="0" t="n">
        <v>0</v>
      </c>
      <c r="AC675" s="4" t="s">
        <v>81</v>
      </c>
      <c r="AD675" s="4" t="s">
        <v>228</v>
      </c>
      <c r="AE675" s="4" t="s">
        <v>2733</v>
      </c>
      <c r="AF675" s="4" t="s">
        <v>2738</v>
      </c>
      <c r="AG675" s="5" t="n">
        <v>0.325335648148148</v>
      </c>
      <c r="AH675" s="5" t="n">
        <v>0.248842592592593</v>
      </c>
      <c r="AI675" s="5" t="n">
        <v>0</v>
      </c>
      <c r="AJ675" s="5" t="n">
        <v>0</v>
      </c>
      <c r="AK675" s="5" t="n">
        <v>0</v>
      </c>
      <c r="AL675" s="5" t="n">
        <v>0</v>
      </c>
      <c r="AM675" s="4" t="s">
        <v>78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1</v>
      </c>
      <c r="AT675" s="0" t="n">
        <v>0</v>
      </c>
      <c r="AU675" s="0" t="n">
        <v>10</v>
      </c>
      <c r="AV675" s="0" t="n">
        <v>0</v>
      </c>
      <c r="AW675" s="0" t="n">
        <v>0</v>
      </c>
      <c r="AX675" s="0" t="n">
        <v>0</v>
      </c>
      <c r="AY675" s="0" t="n">
        <v>0</v>
      </c>
      <c r="AZ675" s="0" t="n">
        <v>0</v>
      </c>
      <c r="BA675" s="0" t="n">
        <v>0</v>
      </c>
      <c r="BB675" s="0" t="n">
        <v>0</v>
      </c>
      <c r="BC675" s="0" t="n">
        <v>0</v>
      </c>
      <c r="BD675" s="0" t="n">
        <v>0</v>
      </c>
      <c r="BE675" s="0" t="n">
        <v>0</v>
      </c>
      <c r="BF675" s="0" t="n">
        <v>0</v>
      </c>
      <c r="BG675" s="0" t="n">
        <v>0</v>
      </c>
      <c r="BH675" s="0" t="n">
        <v>0</v>
      </c>
      <c r="BI675" s="0" t="n">
        <v>0</v>
      </c>
      <c r="BJ675" s="0" t="n">
        <v>0</v>
      </c>
      <c r="BK675" s="0" t="n">
        <v>0</v>
      </c>
      <c r="BM675" s="6" t="n">
        <f aca="false">IFERROR(VALUE(F675),"")</f>
        <v>217.5</v>
      </c>
      <c r="BN675" s="6" t="n">
        <f aca="false">IF(R675="-","",IFERROR(VALUE(LEFT(Q675,LEN(Q675)-2)),""))</f>
        <v>102.51</v>
      </c>
      <c r="BO675" s="6" t="n">
        <f aca="false">IF(R675="-","",IFERROR(VALUE(LEFT(R675,LEN(R675)-5)),""))</f>
        <v>2.12</v>
      </c>
      <c r="BP675" s="6" t="n">
        <f aca="false">IF(R675="-","",IFERROR(VALUE(F675),""))</f>
        <v>217.5</v>
      </c>
      <c r="BQ675" s="4" t="n">
        <f aca="false">IF(R675="-",1,0)</f>
        <v>0</v>
      </c>
    </row>
    <row r="676" customFormat="false" ht="15" hidden="false" customHeight="false" outlineLevel="0" collapsed="false">
      <c r="A676" s="0" t="s">
        <v>2724</v>
      </c>
      <c r="B676" s="0" t="s">
        <v>2725</v>
      </c>
      <c r="C676" s="0" t="s">
        <v>70</v>
      </c>
      <c r="D676" s="0" t="s">
        <v>2739</v>
      </c>
      <c r="E676" s="3" t="n">
        <v>46278</v>
      </c>
      <c r="F676" s="4" t="s">
        <v>2740</v>
      </c>
      <c r="G676" s="5" t="n">
        <v>0.566134259259259</v>
      </c>
      <c r="H676" s="5" t="n">
        <v>0.513819444444445</v>
      </c>
      <c r="I676" s="5" t="n">
        <v>0.0047337962962963</v>
      </c>
      <c r="J676" s="0" t="n">
        <v>0</v>
      </c>
      <c r="K676" s="0" t="n">
        <v>1</v>
      </c>
      <c r="L676" s="0" t="n">
        <v>0</v>
      </c>
      <c r="M676" s="0" t="n">
        <v>0</v>
      </c>
      <c r="N676" s="0" t="n">
        <v>0</v>
      </c>
      <c r="O676" s="5" t="n">
        <v>0</v>
      </c>
      <c r="P676" s="5" t="n">
        <v>0</v>
      </c>
      <c r="Q676" s="4" t="s">
        <v>2741</v>
      </c>
      <c r="R676" s="4" t="s">
        <v>993</v>
      </c>
      <c r="S676" s="5" t="n">
        <v>0.000462962962962963</v>
      </c>
      <c r="T676" s="5" t="n">
        <v>0.264699074074074</v>
      </c>
      <c r="U676" s="5" t="n">
        <v>0.233564814814815</v>
      </c>
      <c r="V676" s="5" t="n">
        <v>0.00601851851851852</v>
      </c>
      <c r="W676" s="5" t="n">
        <v>0</v>
      </c>
      <c r="X676" s="5" t="n">
        <v>0</v>
      </c>
      <c r="Y676" s="5" t="n">
        <v>0</v>
      </c>
      <c r="Z676" s="0" t="n">
        <v>0</v>
      </c>
      <c r="AA676" s="0" t="n">
        <v>0</v>
      </c>
      <c r="AB676" s="0" t="n">
        <v>0</v>
      </c>
      <c r="AC676" s="4" t="s">
        <v>228</v>
      </c>
      <c r="AD676" s="4" t="s">
        <v>74</v>
      </c>
      <c r="AE676" s="4" t="s">
        <v>2738</v>
      </c>
      <c r="AF676" s="4" t="s">
        <v>2742</v>
      </c>
      <c r="AG676" s="5" t="n">
        <v>0.427361111111111</v>
      </c>
      <c r="AH676" s="5" t="n">
        <v>0.155601851851852</v>
      </c>
      <c r="AI676" s="5" t="n">
        <v>0</v>
      </c>
      <c r="AJ676" s="5" t="n">
        <v>0</v>
      </c>
      <c r="AK676" s="5" t="n">
        <v>0</v>
      </c>
      <c r="AL676" s="5" t="n">
        <v>0</v>
      </c>
      <c r="AM676" s="4" t="s">
        <v>78</v>
      </c>
      <c r="AN676" s="0" t="n">
        <v>0</v>
      </c>
      <c r="AO676" s="0" t="n">
        <v>1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  <c r="AU676" s="0" t="n">
        <v>21</v>
      </c>
      <c r="AV676" s="0" t="n">
        <v>0</v>
      </c>
      <c r="AW676" s="0" t="n">
        <v>0</v>
      </c>
      <c r="AX676" s="0" t="n">
        <v>0</v>
      </c>
      <c r="AY676" s="0" t="n">
        <v>0</v>
      </c>
      <c r="AZ676" s="0" t="n">
        <v>0</v>
      </c>
      <c r="BA676" s="0" t="n">
        <v>0</v>
      </c>
      <c r="BB676" s="0" t="n">
        <v>0</v>
      </c>
      <c r="BC676" s="0" t="n">
        <v>0</v>
      </c>
      <c r="BD676" s="0" t="n">
        <v>0</v>
      </c>
      <c r="BE676" s="0" t="n">
        <v>0</v>
      </c>
      <c r="BF676" s="0" t="n">
        <v>0</v>
      </c>
      <c r="BG676" s="0" t="n">
        <v>0</v>
      </c>
      <c r="BH676" s="0" t="n">
        <v>0</v>
      </c>
      <c r="BI676" s="0" t="n">
        <v>0</v>
      </c>
      <c r="BJ676" s="0" t="n">
        <v>0</v>
      </c>
      <c r="BK676" s="0" t="n">
        <v>0</v>
      </c>
      <c r="BM676" s="6" t="n">
        <f aca="false">IFERROR(VALUE(F676),"")</f>
        <v>320.29</v>
      </c>
      <c r="BN676" s="6" t="n">
        <f aca="false">IF(R676="-","",IFERROR(VALUE(LEFT(Q676,LEN(Q676)-2)),""))</f>
        <v>137.49</v>
      </c>
      <c r="BO676" s="6" t="n">
        <f aca="false">IF(R676="-","",IFERROR(VALUE(LEFT(R676,LEN(R676)-5)),""))</f>
        <v>2.33</v>
      </c>
      <c r="BP676" s="6" t="n">
        <f aca="false">IF(R676="-","",IFERROR(VALUE(F676),""))</f>
        <v>320.29</v>
      </c>
      <c r="BQ676" s="4" t="n">
        <f aca="false">IF(R676="-",1,0)</f>
        <v>0</v>
      </c>
    </row>
    <row r="677" customFormat="false" ht="15" hidden="false" customHeight="false" outlineLevel="0" collapsed="false">
      <c r="A677" s="0" t="s">
        <v>2724</v>
      </c>
      <c r="B677" s="0" t="s">
        <v>2725</v>
      </c>
      <c r="C677" s="0" t="s">
        <v>70</v>
      </c>
      <c r="D677" s="0" t="s">
        <v>2743</v>
      </c>
      <c r="E677" s="3" t="n">
        <v>46279</v>
      </c>
      <c r="F677" s="4" t="s">
        <v>2744</v>
      </c>
      <c r="G677" s="5" t="n">
        <v>0.276678240740741</v>
      </c>
      <c r="H677" s="5" t="n">
        <v>0.20193287037037</v>
      </c>
      <c r="I677" s="5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5" t="n">
        <v>0</v>
      </c>
      <c r="P677" s="5" t="n">
        <v>0.0327777777777778</v>
      </c>
      <c r="Q677" s="4" t="s">
        <v>1223</v>
      </c>
      <c r="R677" s="4" t="s">
        <v>2508</v>
      </c>
      <c r="S677" s="5" t="n">
        <v>0.000578703703703704</v>
      </c>
      <c r="T677" s="5" t="n">
        <v>0.177662037037037</v>
      </c>
      <c r="U677" s="5" t="n">
        <v>0.0733796296296296</v>
      </c>
      <c r="V677" s="5" t="n">
        <v>0.00833333333333333</v>
      </c>
      <c r="W677" s="5" t="n">
        <v>0</v>
      </c>
      <c r="X677" s="5" t="n">
        <v>0</v>
      </c>
      <c r="Y677" s="5" t="n">
        <v>0</v>
      </c>
      <c r="Z677" s="0" t="n">
        <v>0</v>
      </c>
      <c r="AA677" s="0" t="n">
        <v>0</v>
      </c>
      <c r="AB677" s="0" t="n">
        <v>0</v>
      </c>
      <c r="AC677" s="4" t="s">
        <v>228</v>
      </c>
      <c r="AD677" s="4" t="s">
        <v>75</v>
      </c>
      <c r="AE677" s="4" t="s">
        <v>2742</v>
      </c>
      <c r="AF677" s="4" t="s">
        <v>2745</v>
      </c>
      <c r="AG677" s="5" t="n">
        <v>0.175891203703704</v>
      </c>
      <c r="AH677" s="5" t="n">
        <v>0.139201388888889</v>
      </c>
      <c r="AI677" s="5" t="n">
        <v>0</v>
      </c>
      <c r="AJ677" s="5" t="n">
        <v>0</v>
      </c>
      <c r="AK677" s="5" t="n">
        <v>0</v>
      </c>
      <c r="AL677" s="5" t="n">
        <v>0</v>
      </c>
      <c r="AM677" s="4" t="s">
        <v>78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  <c r="AU677" s="0" t="n">
        <v>5</v>
      </c>
      <c r="AV677" s="0" t="n">
        <v>0</v>
      </c>
      <c r="AW677" s="0" t="n">
        <v>0</v>
      </c>
      <c r="AX677" s="0" t="n">
        <v>0</v>
      </c>
      <c r="AY677" s="0" t="n">
        <v>0</v>
      </c>
      <c r="AZ677" s="0" t="n">
        <v>0</v>
      </c>
      <c r="BA677" s="0" t="n">
        <v>0</v>
      </c>
      <c r="BB677" s="0" t="n">
        <v>0</v>
      </c>
      <c r="BC677" s="0" t="n">
        <v>0</v>
      </c>
      <c r="BD677" s="0" t="n">
        <v>0</v>
      </c>
      <c r="BE677" s="0" t="n">
        <v>0</v>
      </c>
      <c r="BF677" s="0" t="n">
        <v>0</v>
      </c>
      <c r="BG677" s="0" t="n">
        <v>0</v>
      </c>
      <c r="BH677" s="0" t="n">
        <v>0</v>
      </c>
      <c r="BI677" s="0" t="n">
        <v>0</v>
      </c>
      <c r="BJ677" s="0" t="n">
        <v>0</v>
      </c>
      <c r="BK677" s="0" t="n">
        <v>0</v>
      </c>
      <c r="BM677" s="6" t="n">
        <f aca="false">IFERROR(VALUE(F677),"")</f>
        <v>109.43</v>
      </c>
      <c r="BN677" s="6" t="n">
        <f aca="false">IF(R677="-","",IFERROR(VALUE(LEFT(Q677,LEN(Q677)-2)),""))</f>
        <v>57.01</v>
      </c>
      <c r="BO677" s="6" t="n">
        <f aca="false">IF(R677="-","",IFERROR(VALUE(LEFT(R677,LEN(R677)-5)),""))</f>
        <v>1.92</v>
      </c>
      <c r="BP677" s="6" t="n">
        <f aca="false">IF(R677="-","",IFERROR(VALUE(F677),""))</f>
        <v>109.43</v>
      </c>
      <c r="BQ677" s="4" t="n">
        <f aca="false">IF(R677="-",1,0)</f>
        <v>0</v>
      </c>
    </row>
    <row r="678" customFormat="false" ht="15" hidden="false" customHeight="false" outlineLevel="0" collapsed="false">
      <c r="A678" s="0" t="s">
        <v>2746</v>
      </c>
      <c r="B678" s="0" t="s">
        <v>2747</v>
      </c>
      <c r="C678" s="0" t="s">
        <v>70</v>
      </c>
      <c r="D678" s="0" t="s">
        <v>2748</v>
      </c>
      <c r="E678" s="3" t="n">
        <v>46273</v>
      </c>
      <c r="F678" s="4" t="s">
        <v>2749</v>
      </c>
      <c r="G678" s="5" t="n">
        <v>0.650023148148148</v>
      </c>
      <c r="H678" s="5" t="n">
        <v>0.587881944444444</v>
      </c>
      <c r="I678" s="5" t="n">
        <v>0.000196759259259259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12</v>
      </c>
      <c r="O678" s="5" t="n">
        <v>0</v>
      </c>
      <c r="P678" s="5" t="n">
        <v>0.00917824074074074</v>
      </c>
      <c r="Q678" s="4" t="s">
        <v>2750</v>
      </c>
      <c r="R678" s="4" t="s">
        <v>2751</v>
      </c>
      <c r="S678" s="5" t="n">
        <v>0.000462962962962963</v>
      </c>
      <c r="T678" s="5" t="n">
        <v>0.359606481481482</v>
      </c>
      <c r="U678" s="5" t="n">
        <v>0.23125</v>
      </c>
      <c r="V678" s="5" t="n">
        <v>0.0121527777777778</v>
      </c>
      <c r="W678" s="5" t="n">
        <v>0</v>
      </c>
      <c r="X678" s="5" t="n">
        <v>0</v>
      </c>
      <c r="Y678" s="5" t="n">
        <v>0</v>
      </c>
      <c r="Z678" s="0" t="n">
        <v>0</v>
      </c>
      <c r="AA678" s="0" t="n">
        <v>0</v>
      </c>
      <c r="AB678" s="0" t="n">
        <v>0</v>
      </c>
      <c r="AC678" s="4" t="s">
        <v>74</v>
      </c>
      <c r="AD678" s="4" t="s">
        <v>228</v>
      </c>
      <c r="AE678" s="4" t="s">
        <v>2752</v>
      </c>
      <c r="AF678" s="4" t="s">
        <v>2753</v>
      </c>
      <c r="AG678" s="5" t="n">
        <v>0.498703703703704</v>
      </c>
      <c r="AH678" s="5" t="n">
        <v>0.202083333333333</v>
      </c>
      <c r="AI678" s="5" t="n">
        <v>0</v>
      </c>
      <c r="AJ678" s="5" t="n">
        <v>0</v>
      </c>
      <c r="AK678" s="5" t="n">
        <v>0</v>
      </c>
      <c r="AL678" s="5" t="n">
        <v>0</v>
      </c>
      <c r="AM678" s="4" t="s">
        <v>78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  <c r="AU678" s="0" t="n">
        <v>5</v>
      </c>
      <c r="AV678" s="0" t="n">
        <v>0</v>
      </c>
      <c r="AW678" s="0" t="n">
        <v>0</v>
      </c>
      <c r="AX678" s="0" t="n">
        <v>0</v>
      </c>
      <c r="AY678" s="0" t="n">
        <v>0</v>
      </c>
      <c r="AZ678" s="0" t="n">
        <v>0</v>
      </c>
      <c r="BA678" s="0" t="n">
        <v>0</v>
      </c>
      <c r="BB678" s="0" t="n">
        <v>0</v>
      </c>
      <c r="BC678" s="0" t="n">
        <v>0</v>
      </c>
      <c r="BD678" s="0" t="n">
        <v>0</v>
      </c>
      <c r="BE678" s="0" t="n">
        <v>0</v>
      </c>
      <c r="BF678" s="0" t="n">
        <v>0</v>
      </c>
      <c r="BG678" s="0" t="n">
        <v>0</v>
      </c>
      <c r="BH678" s="0" t="n">
        <v>0</v>
      </c>
      <c r="BI678" s="0" t="n">
        <v>0</v>
      </c>
      <c r="BJ678" s="0" t="n">
        <v>0</v>
      </c>
      <c r="BK678" s="0" t="n">
        <v>0</v>
      </c>
      <c r="BM678" s="6" t="n">
        <f aca="false">IFERROR(VALUE(F678),"")</f>
        <v>319.11</v>
      </c>
      <c r="BN678" s="6" t="n">
        <f aca="false">IF(R678="-","",IFERROR(VALUE(LEFT(Q678,LEN(Q678)-2)),""))</f>
        <v>148.5</v>
      </c>
      <c r="BO678" s="6" t="n">
        <f aca="false">IF(R678="-","",IFERROR(VALUE(LEFT(R678,LEN(R678)-5)),""))</f>
        <v>2.15</v>
      </c>
      <c r="BP678" s="6" t="n">
        <f aca="false">IF(R678="-","",IFERROR(VALUE(F678),""))</f>
        <v>319.11</v>
      </c>
      <c r="BQ678" s="4" t="n">
        <f aca="false">IF(R678="-",1,0)</f>
        <v>0</v>
      </c>
    </row>
    <row r="679" customFormat="false" ht="15" hidden="false" customHeight="false" outlineLevel="0" collapsed="false">
      <c r="A679" s="0" t="s">
        <v>2746</v>
      </c>
      <c r="B679" s="0" t="s">
        <v>2747</v>
      </c>
      <c r="C679" s="0" t="s">
        <v>70</v>
      </c>
      <c r="D679" s="0" t="s">
        <v>2754</v>
      </c>
      <c r="E679" s="3" t="n">
        <v>46274</v>
      </c>
      <c r="F679" s="4" t="s">
        <v>2755</v>
      </c>
      <c r="G679" s="5" t="n">
        <v>0.598287037037037</v>
      </c>
      <c r="H679" s="5" t="n">
        <v>0.581388888888889</v>
      </c>
      <c r="I679" s="5" t="n">
        <v>8.10185185185185E-005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2</v>
      </c>
      <c r="O679" s="5" t="n">
        <v>0</v>
      </c>
      <c r="P679" s="5" t="n">
        <v>0</v>
      </c>
      <c r="Q679" s="4" t="s">
        <v>2351</v>
      </c>
      <c r="R679" s="4" t="s">
        <v>2756</v>
      </c>
      <c r="S679" s="5" t="n">
        <v>0.000462962962962963</v>
      </c>
      <c r="T679" s="5" t="n">
        <v>0.313773148148148</v>
      </c>
      <c r="U679" s="5" t="n">
        <v>0.243055555555556</v>
      </c>
      <c r="V679" s="5" t="n">
        <v>0.0206018518518519</v>
      </c>
      <c r="W679" s="5" t="n">
        <v>0</v>
      </c>
      <c r="X679" s="5" t="n">
        <v>0</v>
      </c>
      <c r="Y679" s="5" t="n">
        <v>0</v>
      </c>
      <c r="Z679" s="0" t="n">
        <v>0</v>
      </c>
      <c r="AA679" s="0" t="n">
        <v>0</v>
      </c>
      <c r="AB679" s="0" t="n">
        <v>0</v>
      </c>
      <c r="AC679" s="4" t="s">
        <v>74</v>
      </c>
      <c r="AD679" s="4" t="s">
        <v>75</v>
      </c>
      <c r="AE679" s="4" t="s">
        <v>2753</v>
      </c>
      <c r="AF679" s="4" t="s">
        <v>2757</v>
      </c>
      <c r="AG679" s="5" t="n">
        <v>0.499027777777778</v>
      </c>
      <c r="AH679" s="5" t="n">
        <v>0.116979166666667</v>
      </c>
      <c r="AI679" s="5" t="n">
        <v>0</v>
      </c>
      <c r="AJ679" s="5" t="n">
        <v>0</v>
      </c>
      <c r="AK679" s="5" t="n">
        <v>0</v>
      </c>
      <c r="AL679" s="5" t="n">
        <v>0</v>
      </c>
      <c r="AM679" s="4" t="s">
        <v>78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  <c r="AU679" s="0" t="n">
        <v>5</v>
      </c>
      <c r="AV679" s="0" t="n">
        <v>0</v>
      </c>
      <c r="AW679" s="0" t="n">
        <v>0</v>
      </c>
      <c r="AX679" s="0" t="n">
        <v>0</v>
      </c>
      <c r="AY679" s="0" t="n">
        <v>0</v>
      </c>
      <c r="AZ679" s="0" t="n">
        <v>0</v>
      </c>
      <c r="BA679" s="0" t="n">
        <v>0</v>
      </c>
      <c r="BB679" s="0" t="n">
        <v>0</v>
      </c>
      <c r="BC679" s="0" t="n">
        <v>0</v>
      </c>
      <c r="BD679" s="0" t="n">
        <v>0</v>
      </c>
      <c r="BE679" s="0" t="n">
        <v>0</v>
      </c>
      <c r="BF679" s="0" t="n">
        <v>0</v>
      </c>
      <c r="BG679" s="0" t="n">
        <v>0</v>
      </c>
      <c r="BH679" s="0" t="n">
        <v>0</v>
      </c>
      <c r="BI679" s="0" t="n">
        <v>0</v>
      </c>
      <c r="BJ679" s="0" t="n">
        <v>0</v>
      </c>
      <c r="BK679" s="0" t="n">
        <v>0</v>
      </c>
      <c r="BM679" s="6" t="n">
        <f aca="false">IFERROR(VALUE(F679),"")</f>
        <v>320.96</v>
      </c>
      <c r="BN679" s="6" t="n">
        <f aca="false">IF(R679="-","",IFERROR(VALUE(LEFT(Q679,LEN(Q679)-2)),""))</f>
        <v>144</v>
      </c>
      <c r="BO679" s="6" t="n">
        <f aca="false">IF(R679="-","",IFERROR(VALUE(LEFT(R679,LEN(R679)-5)),""))</f>
        <v>2.23</v>
      </c>
      <c r="BP679" s="6" t="n">
        <f aca="false">IF(R679="-","",IFERROR(VALUE(F679),""))</f>
        <v>320.96</v>
      </c>
      <c r="BQ679" s="4" t="n">
        <f aca="false">IF(R679="-",1,0)</f>
        <v>0</v>
      </c>
    </row>
    <row r="680" customFormat="false" ht="15" hidden="false" customHeight="false" outlineLevel="0" collapsed="false">
      <c r="A680" s="0" t="s">
        <v>2746</v>
      </c>
      <c r="B680" s="0" t="s">
        <v>2747</v>
      </c>
      <c r="C680" s="0" t="s">
        <v>70</v>
      </c>
      <c r="D680" s="0" t="s">
        <v>2758</v>
      </c>
      <c r="E680" s="3" t="n">
        <v>46275</v>
      </c>
      <c r="F680" s="4" t="s">
        <v>2759</v>
      </c>
      <c r="G680" s="5" t="n">
        <v>0.564456018518519</v>
      </c>
      <c r="H680" s="5" t="n">
        <v>0.559409722222222</v>
      </c>
      <c r="I680" s="5" t="n">
        <v>0.000150462962962963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1</v>
      </c>
      <c r="O680" s="5" t="n">
        <v>0</v>
      </c>
      <c r="P680" s="5" t="n">
        <v>0</v>
      </c>
      <c r="Q680" s="4" t="s">
        <v>2760</v>
      </c>
      <c r="R680" s="4" t="s">
        <v>978</v>
      </c>
      <c r="S680" s="5" t="n">
        <v>0.000115740740740741</v>
      </c>
      <c r="T680" s="5" t="n">
        <v>0.275578703703704</v>
      </c>
      <c r="U680" s="5" t="n">
        <v>0.244212962962963</v>
      </c>
      <c r="V680" s="5" t="n">
        <v>0.0172453703703704</v>
      </c>
      <c r="W680" s="5" t="n">
        <v>0</v>
      </c>
      <c r="X680" s="5" t="n">
        <v>0</v>
      </c>
      <c r="Y680" s="5" t="n">
        <v>0</v>
      </c>
      <c r="Z680" s="0" t="n">
        <v>0</v>
      </c>
      <c r="AA680" s="0" t="n">
        <v>0</v>
      </c>
      <c r="AB680" s="0" t="n">
        <v>0</v>
      </c>
      <c r="AC680" s="4" t="s">
        <v>75</v>
      </c>
      <c r="AD680" s="4" t="s">
        <v>75</v>
      </c>
      <c r="AE680" s="4" t="s">
        <v>2757</v>
      </c>
      <c r="AF680" s="4" t="s">
        <v>2761</v>
      </c>
      <c r="AG680" s="5" t="n">
        <v>0.474560185185185</v>
      </c>
      <c r="AH680" s="5" t="n">
        <v>0.146724537037037</v>
      </c>
      <c r="AI680" s="5" t="n">
        <v>0</v>
      </c>
      <c r="AJ680" s="5" t="n">
        <v>0</v>
      </c>
      <c r="AK680" s="5" t="n">
        <v>0</v>
      </c>
      <c r="AL680" s="5" t="n">
        <v>0</v>
      </c>
      <c r="AM680" s="4" t="s">
        <v>78</v>
      </c>
      <c r="AN680" s="0" t="n">
        <v>0</v>
      </c>
      <c r="AO680" s="0" t="n">
        <v>2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  <c r="AU680" s="0" t="n">
        <v>4</v>
      </c>
      <c r="AV680" s="0" t="n">
        <v>0</v>
      </c>
      <c r="AW680" s="0" t="n">
        <v>0</v>
      </c>
      <c r="AX680" s="0" t="n">
        <v>0</v>
      </c>
      <c r="AY680" s="0" t="n">
        <v>0</v>
      </c>
      <c r="AZ680" s="0" t="n">
        <v>0</v>
      </c>
      <c r="BA680" s="0" t="n">
        <v>0</v>
      </c>
      <c r="BB680" s="0" t="n">
        <v>0</v>
      </c>
      <c r="BC680" s="0" t="n">
        <v>0</v>
      </c>
      <c r="BD680" s="0" t="n">
        <v>0</v>
      </c>
      <c r="BE680" s="0" t="n">
        <v>0</v>
      </c>
      <c r="BF680" s="0" t="n">
        <v>0</v>
      </c>
      <c r="BG680" s="0" t="n">
        <v>0</v>
      </c>
      <c r="BH680" s="0" t="n">
        <v>0</v>
      </c>
      <c r="BI680" s="0" t="n">
        <v>0</v>
      </c>
      <c r="BJ680" s="0" t="n">
        <v>0</v>
      </c>
      <c r="BK680" s="0" t="n">
        <v>0</v>
      </c>
      <c r="BM680" s="6" t="n">
        <f aca="false">IFERROR(VALUE(F680),"")</f>
        <v>318.3</v>
      </c>
      <c r="BN680" s="6" t="n">
        <f aca="false">IF(R680="-","",IFERROR(VALUE(LEFT(Q680,LEN(Q680)-2)),""))</f>
        <v>132.5</v>
      </c>
      <c r="BO680" s="6" t="n">
        <f aca="false">IF(R680="-","",IFERROR(VALUE(LEFT(R680,LEN(R680)-5)),""))</f>
        <v>2.4</v>
      </c>
      <c r="BP680" s="6" t="n">
        <f aca="false">IF(R680="-","",IFERROR(VALUE(F680),""))</f>
        <v>318.3</v>
      </c>
      <c r="BQ680" s="4" t="n">
        <f aca="false">IF(R680="-",1,0)</f>
        <v>0</v>
      </c>
    </row>
    <row r="681" customFormat="false" ht="15" hidden="false" customHeight="false" outlineLevel="0" collapsed="false">
      <c r="A681" s="0" t="s">
        <v>2746</v>
      </c>
      <c r="B681" s="0" t="s">
        <v>2747</v>
      </c>
      <c r="C681" s="0" t="s">
        <v>70</v>
      </c>
      <c r="D681" s="0" t="s">
        <v>2762</v>
      </c>
      <c r="E681" s="3" t="n">
        <v>46276</v>
      </c>
      <c r="F681" s="4" t="s">
        <v>2763</v>
      </c>
      <c r="G681" s="5" t="n">
        <v>0.672673611111111</v>
      </c>
      <c r="H681" s="5" t="n">
        <v>0.559803240740741</v>
      </c>
      <c r="I681" s="5" t="n">
        <v>0.000138888888888889</v>
      </c>
      <c r="J681" s="0" t="n">
        <v>0</v>
      </c>
      <c r="K681" s="0" t="n">
        <v>1</v>
      </c>
      <c r="L681" s="0" t="n">
        <v>0</v>
      </c>
      <c r="M681" s="0" t="n">
        <v>0</v>
      </c>
      <c r="N681" s="0" t="n">
        <v>3</v>
      </c>
      <c r="O681" s="5" t="n">
        <v>0</v>
      </c>
      <c r="P681" s="5" t="n">
        <v>0</v>
      </c>
      <c r="Q681" s="4" t="s">
        <v>2764</v>
      </c>
      <c r="R681" s="4" t="s">
        <v>2765</v>
      </c>
      <c r="S681" s="5" t="n">
        <v>0.000115740740740741</v>
      </c>
      <c r="T681" s="5" t="n">
        <v>0.299305555555556</v>
      </c>
      <c r="U681" s="5" t="n">
        <v>0.238541666666667</v>
      </c>
      <c r="V681" s="5" t="n">
        <v>0.015162037037037</v>
      </c>
      <c r="W681" s="5" t="n">
        <v>0</v>
      </c>
      <c r="X681" s="5" t="n">
        <v>0</v>
      </c>
      <c r="Y681" s="5" t="n">
        <v>0</v>
      </c>
      <c r="Z681" s="0" t="n">
        <v>0</v>
      </c>
      <c r="AA681" s="0" t="n">
        <v>0</v>
      </c>
      <c r="AB681" s="0" t="n">
        <v>0</v>
      </c>
      <c r="AC681" s="4" t="s">
        <v>74</v>
      </c>
      <c r="AD681" s="4" t="s">
        <v>74</v>
      </c>
      <c r="AE681" s="4" t="s">
        <v>2761</v>
      </c>
      <c r="AF681" s="4" t="s">
        <v>2766</v>
      </c>
      <c r="AG681" s="5" t="n">
        <v>0.490752314814815</v>
      </c>
      <c r="AH681" s="5" t="n">
        <v>0.149247685185185</v>
      </c>
      <c r="AI681" s="5" t="n">
        <v>0</v>
      </c>
      <c r="AJ681" s="5" t="n">
        <v>0</v>
      </c>
      <c r="AK681" s="5" t="n">
        <v>0</v>
      </c>
      <c r="AL681" s="5" t="n">
        <v>0</v>
      </c>
      <c r="AM681" s="4" t="s">
        <v>78</v>
      </c>
      <c r="AN681" s="0" t="n">
        <v>0</v>
      </c>
      <c r="AO681" s="0" t="n">
        <v>1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  <c r="AU681" s="0" t="n">
        <v>0</v>
      </c>
      <c r="AV681" s="0" t="n">
        <v>0</v>
      </c>
      <c r="AW681" s="0" t="n">
        <v>0</v>
      </c>
      <c r="AX681" s="0" t="n">
        <v>0</v>
      </c>
      <c r="AY681" s="0" t="n">
        <v>0</v>
      </c>
      <c r="AZ681" s="0" t="n">
        <v>0</v>
      </c>
      <c r="BA681" s="0" t="n">
        <v>0</v>
      </c>
      <c r="BB681" s="0" t="n">
        <v>0</v>
      </c>
      <c r="BC681" s="0" t="n">
        <v>0</v>
      </c>
      <c r="BD681" s="0" t="n">
        <v>0</v>
      </c>
      <c r="BE681" s="0" t="n">
        <v>0</v>
      </c>
      <c r="BF681" s="0" t="n">
        <v>0</v>
      </c>
      <c r="BG681" s="0" t="n">
        <v>0</v>
      </c>
      <c r="BH681" s="0" t="n">
        <v>0</v>
      </c>
      <c r="BI681" s="0" t="n">
        <v>0</v>
      </c>
      <c r="BJ681" s="0" t="n">
        <v>0</v>
      </c>
      <c r="BK681" s="0" t="n">
        <v>0</v>
      </c>
      <c r="BM681" s="6" t="n">
        <f aca="false">IFERROR(VALUE(F681),"")</f>
        <v>318.42</v>
      </c>
      <c r="BN681" s="6" t="n">
        <f aca="false">IF(R681="-","",IFERROR(VALUE(LEFT(Q681,LEN(Q681)-2)),""))</f>
        <v>142.02</v>
      </c>
      <c r="BO681" s="6" t="n">
        <f aca="false">IF(R681="-","",IFERROR(VALUE(LEFT(R681,LEN(R681)-5)),""))</f>
        <v>2.24</v>
      </c>
      <c r="BP681" s="6" t="n">
        <f aca="false">IF(R681="-","",IFERROR(VALUE(F681),""))</f>
        <v>318.42</v>
      </c>
      <c r="BQ681" s="4" t="n">
        <f aca="false">IF(R681="-",1,0)</f>
        <v>0</v>
      </c>
    </row>
    <row r="682" customFormat="false" ht="15" hidden="false" customHeight="false" outlineLevel="0" collapsed="false">
      <c r="A682" s="0" t="s">
        <v>2746</v>
      </c>
      <c r="B682" s="0" t="s">
        <v>2747</v>
      </c>
      <c r="C682" s="0" t="s">
        <v>70</v>
      </c>
      <c r="D682" s="0" t="s">
        <v>2767</v>
      </c>
      <c r="E682" s="3" t="n">
        <v>46277</v>
      </c>
      <c r="F682" s="4" t="s">
        <v>2768</v>
      </c>
      <c r="G682" s="5" t="n">
        <v>0.557256944444444</v>
      </c>
      <c r="H682" s="5" t="n">
        <v>0.554884259259259</v>
      </c>
      <c r="I682" s="5" t="n">
        <v>0.00304398148148148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8</v>
      </c>
      <c r="O682" s="5" t="n">
        <v>0</v>
      </c>
      <c r="P682" s="5" t="n">
        <v>0</v>
      </c>
      <c r="Q682" s="4" t="s">
        <v>2769</v>
      </c>
      <c r="R682" s="4" t="s">
        <v>1083</v>
      </c>
      <c r="S682" s="5" t="n">
        <v>0.00104166666666667</v>
      </c>
      <c r="T682" s="5" t="n">
        <v>0.282986111111111</v>
      </c>
      <c r="U682" s="5" t="n">
        <v>0.224189814814815</v>
      </c>
      <c r="V682" s="5" t="n">
        <v>0.0149305555555556</v>
      </c>
      <c r="W682" s="5" t="n">
        <v>0</v>
      </c>
      <c r="X682" s="5" t="n">
        <v>0</v>
      </c>
      <c r="Y682" s="5" t="n">
        <v>0</v>
      </c>
      <c r="Z682" s="0" t="n">
        <v>0</v>
      </c>
      <c r="AA682" s="0" t="n">
        <v>0</v>
      </c>
      <c r="AB682" s="0" t="n">
        <v>0</v>
      </c>
      <c r="AC682" s="4" t="s">
        <v>81</v>
      </c>
      <c r="AD682" s="4" t="s">
        <v>75</v>
      </c>
      <c r="AE682" s="4" t="s">
        <v>2766</v>
      </c>
      <c r="AF682" s="4" t="s">
        <v>2770</v>
      </c>
      <c r="AG682" s="5" t="n">
        <v>0.443287037037037</v>
      </c>
      <c r="AH682" s="5" t="n">
        <v>0.146828703703704</v>
      </c>
      <c r="AI682" s="5" t="n">
        <v>0</v>
      </c>
      <c r="AJ682" s="5" t="n">
        <v>0</v>
      </c>
      <c r="AK682" s="5" t="n">
        <v>0</v>
      </c>
      <c r="AL682" s="5" t="n">
        <v>0</v>
      </c>
      <c r="AM682" s="4" t="s">
        <v>78</v>
      </c>
      <c r="AN682" s="0" t="n">
        <v>0</v>
      </c>
      <c r="AO682" s="0" t="n">
        <v>2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  <c r="AU682" s="0" t="n">
        <v>5</v>
      </c>
      <c r="AV682" s="0" t="n">
        <v>0</v>
      </c>
      <c r="AW682" s="0" t="n">
        <v>0</v>
      </c>
      <c r="AX682" s="0" t="n">
        <v>0</v>
      </c>
      <c r="AY682" s="0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0" t="n">
        <v>0</v>
      </c>
      <c r="BE682" s="0" t="n">
        <v>0</v>
      </c>
      <c r="BF682" s="0" t="n">
        <v>0</v>
      </c>
      <c r="BG682" s="0" t="n">
        <v>0</v>
      </c>
      <c r="BH682" s="0" t="n">
        <v>0</v>
      </c>
      <c r="BI682" s="0" t="n">
        <v>0</v>
      </c>
      <c r="BJ682" s="0" t="n">
        <v>0</v>
      </c>
      <c r="BK682" s="0" t="n">
        <v>0</v>
      </c>
      <c r="BM682" s="6" t="n">
        <f aca="false">IFERROR(VALUE(F682),"")</f>
        <v>309.62</v>
      </c>
      <c r="BN682" s="6" t="n">
        <f aca="false">IF(R682="-","",IFERROR(VALUE(LEFT(Q682,LEN(Q682)-2)),""))</f>
        <v>142.99</v>
      </c>
      <c r="BO682" s="6" t="n">
        <f aca="false">IF(R682="-","",IFERROR(VALUE(LEFT(R682,LEN(R682)-5)),""))</f>
        <v>2.17</v>
      </c>
      <c r="BP682" s="6" t="n">
        <f aca="false">IF(R682="-","",IFERROR(VALUE(F682),""))</f>
        <v>309.62</v>
      </c>
      <c r="BQ682" s="4" t="n">
        <f aca="false">IF(R682="-",1,0)</f>
        <v>0</v>
      </c>
    </row>
    <row r="683" customFormat="false" ht="15" hidden="false" customHeight="false" outlineLevel="0" collapsed="false">
      <c r="A683" s="0" t="s">
        <v>2746</v>
      </c>
      <c r="B683" s="0" t="s">
        <v>2747</v>
      </c>
      <c r="C683" s="0" t="s">
        <v>70</v>
      </c>
      <c r="D683" s="0" t="s">
        <v>2771</v>
      </c>
      <c r="E683" s="3" t="n">
        <v>46278</v>
      </c>
      <c r="F683" s="4" t="s">
        <v>2772</v>
      </c>
      <c r="G683" s="5" t="n">
        <v>0.542071759259259</v>
      </c>
      <c r="H683" s="5" t="n">
        <v>0.529363425925926</v>
      </c>
      <c r="I683" s="5" t="n">
        <v>0.00240740740740741</v>
      </c>
      <c r="J683" s="0" t="n">
        <v>0</v>
      </c>
      <c r="K683" s="0" t="n">
        <v>1</v>
      </c>
      <c r="L683" s="0" t="n">
        <v>0</v>
      </c>
      <c r="M683" s="0" t="n">
        <v>0</v>
      </c>
      <c r="N683" s="0" t="n">
        <v>4</v>
      </c>
      <c r="O683" s="5" t="n">
        <v>0</v>
      </c>
      <c r="P683" s="5" t="n">
        <v>0</v>
      </c>
      <c r="Q683" s="4" t="s">
        <v>2773</v>
      </c>
      <c r="R683" s="4" t="s">
        <v>2737</v>
      </c>
      <c r="S683" s="5" t="n">
        <v>0.000694444444444445</v>
      </c>
      <c r="T683" s="5" t="n">
        <v>0.277777777777778</v>
      </c>
      <c r="U683" s="5" t="n">
        <v>0.217361111111111</v>
      </c>
      <c r="V683" s="5" t="n">
        <v>0.0291666666666667</v>
      </c>
      <c r="W683" s="5" t="n">
        <v>0.000115740740740741</v>
      </c>
      <c r="X683" s="5" t="n">
        <v>0</v>
      </c>
      <c r="Y683" s="5" t="n">
        <v>0</v>
      </c>
      <c r="Z683" s="0" t="n">
        <v>0</v>
      </c>
      <c r="AA683" s="0" t="n">
        <v>0</v>
      </c>
      <c r="AB683" s="0" t="n">
        <v>0</v>
      </c>
      <c r="AC683" s="4" t="s">
        <v>75</v>
      </c>
      <c r="AD683" s="4" t="s">
        <v>228</v>
      </c>
      <c r="AE683" s="4" t="s">
        <v>2770</v>
      </c>
      <c r="AF683" s="4" t="s">
        <v>2774</v>
      </c>
      <c r="AG683" s="5" t="n">
        <v>0.432025462962963</v>
      </c>
      <c r="AH683" s="5" t="n">
        <v>0.168935185185185</v>
      </c>
      <c r="AI683" s="5" t="n">
        <v>0</v>
      </c>
      <c r="AJ683" s="5" t="n">
        <v>0</v>
      </c>
      <c r="AK683" s="5" t="n">
        <v>0</v>
      </c>
      <c r="AL683" s="5" t="n">
        <v>0</v>
      </c>
      <c r="AM683" s="4" t="s">
        <v>78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  <c r="AU683" s="0" t="n">
        <v>5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  <c r="BA683" s="0" t="n">
        <v>0</v>
      </c>
      <c r="BB683" s="0" t="n">
        <v>0</v>
      </c>
      <c r="BC683" s="0" t="n">
        <v>0</v>
      </c>
      <c r="BD683" s="0" t="n">
        <v>0</v>
      </c>
      <c r="BE683" s="0" t="n">
        <v>0</v>
      </c>
      <c r="BF683" s="0" t="n">
        <v>0</v>
      </c>
      <c r="BG683" s="0" t="n">
        <v>0</v>
      </c>
      <c r="BH683" s="0" t="n">
        <v>0</v>
      </c>
      <c r="BI683" s="0" t="n">
        <v>0</v>
      </c>
      <c r="BJ683" s="0" t="n">
        <v>0</v>
      </c>
      <c r="BK683" s="0" t="n">
        <v>0</v>
      </c>
      <c r="BM683" s="6" t="n">
        <f aca="false">IFERROR(VALUE(F683),"")</f>
        <v>319.03</v>
      </c>
      <c r="BN683" s="6" t="n">
        <f aca="false">IF(R683="-","",IFERROR(VALUE(LEFT(Q683,LEN(Q683)-2)),""))</f>
        <v>150.5</v>
      </c>
      <c r="BO683" s="6" t="n">
        <f aca="false">IF(R683="-","",IFERROR(VALUE(LEFT(R683,LEN(R683)-5)),""))</f>
        <v>2.12</v>
      </c>
      <c r="BP683" s="6" t="n">
        <f aca="false">IF(R683="-","",IFERROR(VALUE(F683),""))</f>
        <v>319.03</v>
      </c>
      <c r="BQ683" s="4" t="n">
        <f aca="false">IF(R683="-",1,0)</f>
        <v>0</v>
      </c>
    </row>
    <row r="684" customFormat="false" ht="15" hidden="false" customHeight="false" outlineLevel="0" collapsed="false">
      <c r="A684" s="0" t="s">
        <v>2746</v>
      </c>
      <c r="B684" s="0" t="s">
        <v>2747</v>
      </c>
      <c r="C684" s="0" t="s">
        <v>70</v>
      </c>
      <c r="D684" s="0" t="s">
        <v>2775</v>
      </c>
      <c r="E684" s="3" t="n">
        <v>46279</v>
      </c>
      <c r="F684" s="4" t="s">
        <v>2776</v>
      </c>
      <c r="G684" s="5" t="n">
        <v>0.591261574074074</v>
      </c>
      <c r="H684" s="5" t="n">
        <v>0.56693287037037</v>
      </c>
      <c r="I684" s="5" t="n">
        <v>0.000289351851851852</v>
      </c>
      <c r="J684" s="0" t="n">
        <v>0</v>
      </c>
      <c r="K684" s="0" t="n">
        <v>1</v>
      </c>
      <c r="L684" s="0" t="n">
        <v>0</v>
      </c>
      <c r="M684" s="0" t="n">
        <v>0</v>
      </c>
      <c r="N684" s="0" t="n">
        <v>1</v>
      </c>
      <c r="O684" s="5" t="n">
        <v>0</v>
      </c>
      <c r="P684" s="5" t="n">
        <v>0</v>
      </c>
      <c r="Q684" s="4" t="s">
        <v>2777</v>
      </c>
      <c r="R684" s="4" t="s">
        <v>2778</v>
      </c>
      <c r="S684" s="5" t="n">
        <v>0.000231481481481482</v>
      </c>
      <c r="T684" s="5" t="n">
        <v>0.319212962962963</v>
      </c>
      <c r="U684" s="5" t="n">
        <v>0.225115740740741</v>
      </c>
      <c r="V684" s="5" t="n">
        <v>0.00902777777777778</v>
      </c>
      <c r="W684" s="5" t="n">
        <v>0</v>
      </c>
      <c r="X684" s="5" t="n">
        <v>0</v>
      </c>
      <c r="Y684" s="5" t="n">
        <v>0</v>
      </c>
      <c r="Z684" s="0" t="n">
        <v>0</v>
      </c>
      <c r="AA684" s="0" t="n">
        <v>0</v>
      </c>
      <c r="AB684" s="0" t="n">
        <v>0</v>
      </c>
      <c r="AC684" s="4" t="s">
        <v>74</v>
      </c>
      <c r="AD684" s="4" t="s">
        <v>75</v>
      </c>
      <c r="AE684" s="4" t="s">
        <v>2774</v>
      </c>
      <c r="AF684" s="4" t="s">
        <v>2779</v>
      </c>
      <c r="AG684" s="5" t="n">
        <v>0.472986111111111</v>
      </c>
      <c r="AH684" s="5" t="n">
        <v>0.200763888888889</v>
      </c>
      <c r="AI684" s="5" t="n">
        <v>0</v>
      </c>
      <c r="AJ684" s="5" t="n">
        <v>0</v>
      </c>
      <c r="AK684" s="5" t="n">
        <v>0</v>
      </c>
      <c r="AL684" s="5" t="n">
        <v>0</v>
      </c>
      <c r="AM684" s="4" t="s">
        <v>78</v>
      </c>
      <c r="AN684" s="0" t="n">
        <v>0</v>
      </c>
      <c r="AO684" s="0" t="n">
        <v>2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  <c r="AU684" s="0" t="n">
        <v>6</v>
      </c>
      <c r="AV684" s="0" t="n">
        <v>0</v>
      </c>
      <c r="AW684" s="0" t="n">
        <v>0</v>
      </c>
      <c r="AX684" s="0" t="n">
        <v>0</v>
      </c>
      <c r="AY684" s="0" t="n">
        <v>0</v>
      </c>
      <c r="AZ684" s="0" t="n">
        <v>0</v>
      </c>
      <c r="BA684" s="0" t="n">
        <v>0</v>
      </c>
      <c r="BB684" s="0" t="n">
        <v>0</v>
      </c>
      <c r="BC684" s="0" t="n">
        <v>0</v>
      </c>
      <c r="BD684" s="0" t="n">
        <v>0</v>
      </c>
      <c r="BE684" s="0" t="n">
        <v>0</v>
      </c>
      <c r="BF684" s="0" t="n">
        <v>0</v>
      </c>
      <c r="BG684" s="0" t="n">
        <v>0</v>
      </c>
      <c r="BH684" s="0" t="n">
        <v>0</v>
      </c>
      <c r="BI684" s="0" t="n">
        <v>0</v>
      </c>
      <c r="BJ684" s="0" t="n">
        <v>0</v>
      </c>
      <c r="BK684" s="0" t="n">
        <v>0</v>
      </c>
      <c r="BM684" s="6" t="n">
        <f aca="false">IFERROR(VALUE(F684),"")</f>
        <v>318.92</v>
      </c>
      <c r="BN684" s="6" t="n">
        <f aca="false">IF(R684="-","",IFERROR(VALUE(LEFT(Q684,LEN(Q684)-2)),""))</f>
        <v>143.5</v>
      </c>
      <c r="BO684" s="6" t="n">
        <f aca="false">IF(R684="-","",IFERROR(VALUE(LEFT(R684,LEN(R684)-5)),""))</f>
        <v>2.22</v>
      </c>
      <c r="BP684" s="6" t="n">
        <f aca="false">IF(R684="-","",IFERROR(VALUE(F684),""))</f>
        <v>318.92</v>
      </c>
      <c r="BQ684" s="4" t="n">
        <f aca="false">IF(R684="-",1,0)</f>
        <v>0</v>
      </c>
    </row>
    <row r="685" customFormat="false" ht="15" hidden="false" customHeight="false" outlineLevel="0" collapsed="false">
      <c r="A685" s="0" t="s">
        <v>2780</v>
      </c>
      <c r="B685" s="0" t="s">
        <v>2781</v>
      </c>
      <c r="C685" s="0" t="s">
        <v>70</v>
      </c>
      <c r="E685" s="3" t="n">
        <v>46273</v>
      </c>
      <c r="F685" s="4" t="s">
        <v>2782</v>
      </c>
      <c r="G685" s="5" t="n">
        <v>0.572048611111111</v>
      </c>
      <c r="H685" s="5" t="n">
        <v>0</v>
      </c>
      <c r="I685" s="5" t="n">
        <v>0.00131944444444444</v>
      </c>
      <c r="J685" s="0" t="n">
        <v>0</v>
      </c>
      <c r="K685" s="0" t="n">
        <v>1</v>
      </c>
      <c r="L685" s="0" t="n">
        <v>0</v>
      </c>
      <c r="M685" s="0" t="n">
        <v>0</v>
      </c>
      <c r="N685" s="0" t="n">
        <v>1</v>
      </c>
      <c r="O685" s="5" t="n">
        <v>0</v>
      </c>
      <c r="P685" s="5" t="n">
        <v>0.00704861111111111</v>
      </c>
      <c r="Q685" s="4" t="s">
        <v>2783</v>
      </c>
      <c r="R685" s="4" t="s">
        <v>414</v>
      </c>
      <c r="S685" s="5" t="n">
        <v>0.000462962962962963</v>
      </c>
      <c r="T685" s="5" t="n">
        <v>0.328819444444444</v>
      </c>
      <c r="U685" s="5" t="n">
        <v>0.201736111111111</v>
      </c>
      <c r="V685" s="5" t="n">
        <v>0.0127893518518519</v>
      </c>
      <c r="W685" s="5" t="n">
        <v>0.000196759259259259</v>
      </c>
      <c r="X685" s="5" t="n">
        <v>0</v>
      </c>
      <c r="Y685" s="5" t="n">
        <v>8.10185185185185E-005</v>
      </c>
      <c r="Z685" s="0" t="n">
        <v>0</v>
      </c>
      <c r="AA685" s="0" t="n">
        <v>0</v>
      </c>
      <c r="AB685" s="0" t="n">
        <v>0</v>
      </c>
      <c r="AC685" s="4" t="s">
        <v>81</v>
      </c>
      <c r="AD685" s="4" t="s">
        <v>228</v>
      </c>
      <c r="AE685" s="4" t="s">
        <v>2784</v>
      </c>
      <c r="AF685" s="4" t="s">
        <v>2785</v>
      </c>
      <c r="AG685" s="5" t="n">
        <v>0.461736111111111</v>
      </c>
      <c r="AH685" s="5" t="n">
        <v>0.162453703703704</v>
      </c>
      <c r="AI685" s="5" t="n">
        <v>0</v>
      </c>
      <c r="AJ685" s="5" t="n">
        <v>0</v>
      </c>
      <c r="AK685" s="5" t="n">
        <v>0</v>
      </c>
      <c r="AL685" s="5" t="n">
        <v>0</v>
      </c>
      <c r="AM685" s="4" t="s">
        <v>78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  <c r="AU685" s="0" t="n">
        <v>0</v>
      </c>
      <c r="AV685" s="0" t="n">
        <v>0</v>
      </c>
      <c r="AW685" s="0" t="n">
        <v>0</v>
      </c>
      <c r="AX685" s="0" t="n">
        <v>0</v>
      </c>
      <c r="AY685" s="0" t="n">
        <v>0</v>
      </c>
      <c r="AZ685" s="0" t="n">
        <v>0</v>
      </c>
      <c r="BA685" s="0" t="n">
        <v>0</v>
      </c>
      <c r="BB685" s="0" t="n">
        <v>0</v>
      </c>
      <c r="BC685" s="0" t="n">
        <v>0</v>
      </c>
      <c r="BD685" s="0" t="n">
        <v>0</v>
      </c>
      <c r="BE685" s="0" t="n">
        <v>0</v>
      </c>
      <c r="BF685" s="0" t="n">
        <v>0</v>
      </c>
      <c r="BG685" s="0" t="n">
        <v>0</v>
      </c>
      <c r="BH685" s="0" t="n">
        <v>0</v>
      </c>
      <c r="BI685" s="0" t="n">
        <v>0</v>
      </c>
      <c r="BJ685" s="0" t="n">
        <v>0</v>
      </c>
      <c r="BK685" s="0" t="n">
        <v>0</v>
      </c>
      <c r="BM685" s="6" t="n">
        <f aca="false">IFERROR(VALUE(F685),"")</f>
        <v>319.02</v>
      </c>
      <c r="BN685" s="6" t="n">
        <f aca="false">IF(R685="-","",IFERROR(VALUE(LEFT(Q685,LEN(Q685)-2)),""))</f>
        <v>135.5</v>
      </c>
      <c r="BO685" s="6" t="n">
        <f aca="false">IF(R685="-","",IFERROR(VALUE(LEFT(R685,LEN(R685)-5)),""))</f>
        <v>2.35</v>
      </c>
      <c r="BP685" s="6" t="n">
        <f aca="false">IF(R685="-","",IFERROR(VALUE(F685),""))</f>
        <v>319.02</v>
      </c>
      <c r="BQ685" s="4" t="n">
        <f aca="false">IF(R685="-",1,0)</f>
        <v>0</v>
      </c>
    </row>
    <row r="686" customFormat="false" ht="15" hidden="false" customHeight="false" outlineLevel="0" collapsed="false">
      <c r="A686" s="0" t="s">
        <v>2780</v>
      </c>
      <c r="B686" s="0" t="s">
        <v>2781</v>
      </c>
      <c r="C686" s="0" t="s">
        <v>70</v>
      </c>
      <c r="E686" s="3" t="n">
        <v>46274</v>
      </c>
      <c r="F686" s="4" t="s">
        <v>2786</v>
      </c>
      <c r="G686" s="5" t="n">
        <v>0.429652777777778</v>
      </c>
      <c r="H686" s="5" t="n">
        <v>0</v>
      </c>
      <c r="I686" s="5" t="n">
        <v>0.000266203703703704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3</v>
      </c>
      <c r="O686" s="5" t="n">
        <v>0</v>
      </c>
      <c r="P686" s="5" t="n">
        <v>0.0861342592592593</v>
      </c>
      <c r="Q686" s="4" t="s">
        <v>2787</v>
      </c>
      <c r="R686" s="4" t="s">
        <v>2788</v>
      </c>
      <c r="S686" s="5" t="n">
        <v>0.000231481481481482</v>
      </c>
      <c r="T686" s="5" t="n">
        <v>0.274537037037037</v>
      </c>
      <c r="U686" s="5" t="n">
        <v>0.121527777777778</v>
      </c>
      <c r="V686" s="5" t="n">
        <v>0.00219907407407407</v>
      </c>
      <c r="W686" s="5" t="n">
        <v>0</v>
      </c>
      <c r="X686" s="5" t="n">
        <v>0</v>
      </c>
      <c r="Y686" s="5" t="n">
        <v>0</v>
      </c>
      <c r="Z686" s="0" t="n">
        <v>0</v>
      </c>
      <c r="AA686" s="0" t="n">
        <v>0</v>
      </c>
      <c r="AB686" s="0" t="n">
        <v>0</v>
      </c>
      <c r="AC686" s="4" t="s">
        <v>228</v>
      </c>
      <c r="AD686" s="4" t="s">
        <v>74</v>
      </c>
      <c r="AE686" s="4" t="s">
        <v>2785</v>
      </c>
      <c r="AF686" s="4" t="s">
        <v>2789</v>
      </c>
      <c r="AG686" s="5" t="n">
        <v>0.260810185185185</v>
      </c>
      <c r="AH686" s="5" t="n">
        <v>0.240474537037037</v>
      </c>
      <c r="AI686" s="5" t="n">
        <v>0</v>
      </c>
      <c r="AJ686" s="5" t="n">
        <v>0</v>
      </c>
      <c r="AK686" s="5" t="n">
        <v>0</v>
      </c>
      <c r="AL686" s="5" t="n">
        <v>0</v>
      </c>
      <c r="AM686" s="4" t="s">
        <v>78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  <c r="AU686" s="0" t="n">
        <v>0</v>
      </c>
      <c r="AV686" s="0" t="n">
        <v>0</v>
      </c>
      <c r="AW686" s="0" t="n">
        <v>0</v>
      </c>
      <c r="AX686" s="0" t="n">
        <v>0</v>
      </c>
      <c r="AY686" s="0" t="n">
        <v>0</v>
      </c>
      <c r="AZ686" s="0" t="n">
        <v>0</v>
      </c>
      <c r="BA686" s="0" t="n">
        <v>0</v>
      </c>
      <c r="BB686" s="0" t="n">
        <v>0</v>
      </c>
      <c r="BC686" s="0" t="n">
        <v>0</v>
      </c>
      <c r="BD686" s="0" t="n">
        <v>0</v>
      </c>
      <c r="BE686" s="0" t="n">
        <v>0</v>
      </c>
      <c r="BF686" s="0" t="n">
        <v>0</v>
      </c>
      <c r="BG686" s="0" t="n">
        <v>0</v>
      </c>
      <c r="BH686" s="0" t="n">
        <v>0</v>
      </c>
      <c r="BI686" s="0" t="n">
        <v>0</v>
      </c>
      <c r="BJ686" s="0" t="n">
        <v>0</v>
      </c>
      <c r="BK686" s="0" t="n">
        <v>0</v>
      </c>
      <c r="BM686" s="6" t="n">
        <f aca="false">IFERROR(VALUE(F686),"")</f>
        <v>175.57</v>
      </c>
      <c r="BN686" s="6" t="n">
        <f aca="false">IF(R686="-","",IFERROR(VALUE(LEFT(Q686,LEN(Q686)-2)),""))</f>
        <v>79.5</v>
      </c>
      <c r="BO686" s="6" t="n">
        <f aca="false">IF(R686="-","",IFERROR(VALUE(LEFT(R686,LEN(R686)-5)),""))</f>
        <v>2.21</v>
      </c>
      <c r="BP686" s="6" t="n">
        <f aca="false">IF(R686="-","",IFERROR(VALUE(F686),""))</f>
        <v>175.57</v>
      </c>
      <c r="BQ686" s="4" t="n">
        <f aca="false">IF(R686="-",1,0)</f>
        <v>0</v>
      </c>
    </row>
    <row r="687" customFormat="false" ht="15" hidden="false" customHeight="false" outlineLevel="0" collapsed="false">
      <c r="A687" s="0" t="s">
        <v>2780</v>
      </c>
      <c r="B687" s="0" t="s">
        <v>2781</v>
      </c>
      <c r="C687" s="0" t="s">
        <v>70</v>
      </c>
      <c r="E687" s="3" t="n">
        <v>46275</v>
      </c>
      <c r="F687" s="4" t="s">
        <v>2790</v>
      </c>
      <c r="G687" s="5" t="n">
        <v>0.201759259259259</v>
      </c>
      <c r="H687" s="5" t="n">
        <v>0</v>
      </c>
      <c r="I687" s="5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5" t="n">
        <v>0</v>
      </c>
      <c r="P687" s="5" t="n">
        <v>0.0563310185185185</v>
      </c>
      <c r="Q687" s="4" t="s">
        <v>2791</v>
      </c>
      <c r="R687" s="4" t="s">
        <v>2792</v>
      </c>
      <c r="S687" s="5" t="n">
        <v>0.000231481481481482</v>
      </c>
      <c r="T687" s="5" t="n">
        <v>0.0574074074074074</v>
      </c>
      <c r="U687" s="5" t="n">
        <v>0.003125</v>
      </c>
      <c r="V687" s="5" t="n">
        <v>0</v>
      </c>
      <c r="W687" s="5" t="n">
        <v>0</v>
      </c>
      <c r="X687" s="5" t="n">
        <v>0</v>
      </c>
      <c r="Y687" s="5" t="n">
        <v>0</v>
      </c>
      <c r="Z687" s="0" t="n">
        <v>0</v>
      </c>
      <c r="AA687" s="0" t="n">
        <v>0</v>
      </c>
      <c r="AB687" s="0" t="n">
        <v>0</v>
      </c>
      <c r="AC687" s="4" t="s">
        <v>75</v>
      </c>
      <c r="AD687" s="4" t="s">
        <v>81</v>
      </c>
      <c r="AE687" s="4" t="s">
        <v>2789</v>
      </c>
      <c r="AF687" s="4" t="s">
        <v>2793</v>
      </c>
      <c r="AG687" s="5" t="n">
        <v>0.00538194444444444</v>
      </c>
      <c r="AH687" s="5" t="n">
        <v>0.202847222222222</v>
      </c>
      <c r="AI687" s="5" t="n">
        <v>0</v>
      </c>
      <c r="AJ687" s="5" t="n">
        <v>0</v>
      </c>
      <c r="AK687" s="5" t="n">
        <v>0</v>
      </c>
      <c r="AL687" s="5" t="n">
        <v>0</v>
      </c>
      <c r="AM687" s="4" t="s">
        <v>78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  <c r="AU687" s="0" t="n">
        <v>0</v>
      </c>
      <c r="AV687" s="0" t="n">
        <v>0</v>
      </c>
      <c r="AW687" s="0" t="n">
        <v>0</v>
      </c>
      <c r="AX687" s="0" t="n">
        <v>0</v>
      </c>
      <c r="AY687" s="0" t="n">
        <v>0</v>
      </c>
      <c r="AZ687" s="0" t="n">
        <v>0</v>
      </c>
      <c r="BA687" s="0" t="n">
        <v>0</v>
      </c>
      <c r="BB687" s="0" t="n">
        <v>0</v>
      </c>
      <c r="BC687" s="0" t="n">
        <v>0</v>
      </c>
      <c r="BD687" s="0" t="n">
        <v>0</v>
      </c>
      <c r="BE687" s="0" t="n">
        <v>0</v>
      </c>
      <c r="BF687" s="0" t="n">
        <v>0</v>
      </c>
      <c r="BG687" s="0" t="n">
        <v>0</v>
      </c>
      <c r="BH687" s="0" t="n">
        <v>0</v>
      </c>
      <c r="BI687" s="0" t="n">
        <v>0</v>
      </c>
      <c r="BJ687" s="0" t="n">
        <v>0</v>
      </c>
      <c r="BK687" s="0" t="n">
        <v>0</v>
      </c>
      <c r="BM687" s="6" t="n">
        <f aca="false">IFERROR(VALUE(F687),"")</f>
        <v>0.41</v>
      </c>
      <c r="BN687" s="6" t="n">
        <f aca="false">IF(R687="-","",IFERROR(VALUE(LEFT(Q687,LEN(Q687)-2)),""))</f>
        <v>6.5</v>
      </c>
      <c r="BO687" s="6" t="n">
        <f aca="false">IF(R687="-","",IFERROR(VALUE(LEFT(R687,LEN(R687)-5)),""))</f>
        <v>0.06</v>
      </c>
      <c r="BP687" s="6" t="n">
        <f aca="false">IF(R687="-","",IFERROR(VALUE(F687),""))</f>
        <v>0.41</v>
      </c>
      <c r="BQ687" s="4" t="n">
        <f aca="false">IF(R687="-",1,0)</f>
        <v>0</v>
      </c>
    </row>
    <row r="688" customFormat="false" ht="15" hidden="false" customHeight="false" outlineLevel="0" collapsed="false">
      <c r="A688" s="0" t="s">
        <v>2780</v>
      </c>
      <c r="B688" s="0" t="s">
        <v>2781</v>
      </c>
      <c r="C688" s="0" t="s">
        <v>70</v>
      </c>
      <c r="E688" s="3" t="n">
        <v>46276</v>
      </c>
      <c r="F688" s="4" t="s">
        <v>2794</v>
      </c>
      <c r="G688" s="5" t="n">
        <v>0.56494212962963</v>
      </c>
      <c r="H688" s="5" t="n">
        <v>0</v>
      </c>
      <c r="I688" s="5" t="n">
        <v>2.31481481481482E-005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1</v>
      </c>
      <c r="O688" s="5" t="n">
        <v>0</v>
      </c>
      <c r="P688" s="5" t="n">
        <v>0.00768518518518519</v>
      </c>
      <c r="Q688" s="4" t="s">
        <v>2760</v>
      </c>
      <c r="R688" s="4" t="s">
        <v>2649</v>
      </c>
      <c r="S688" s="5" t="n">
        <v>0</v>
      </c>
      <c r="T688" s="5" t="n">
        <v>0.342013888888889</v>
      </c>
      <c r="U688" s="5" t="n">
        <v>0.201157407407407</v>
      </c>
      <c r="V688" s="5" t="n">
        <v>0.00335648148148148</v>
      </c>
      <c r="W688" s="5" t="n">
        <v>0</v>
      </c>
      <c r="X688" s="5" t="n">
        <v>0</v>
      </c>
      <c r="Y688" s="5" t="n">
        <v>0</v>
      </c>
      <c r="Z688" s="0" t="n">
        <v>0</v>
      </c>
      <c r="AA688" s="0" t="n">
        <v>0</v>
      </c>
      <c r="AB688" s="0" t="n">
        <v>0</v>
      </c>
      <c r="AC688" s="4" t="s">
        <v>81</v>
      </c>
      <c r="AD688" s="4" t="s">
        <v>228</v>
      </c>
      <c r="AE688" s="4" t="s">
        <v>2793</v>
      </c>
      <c r="AF688" s="4" t="s">
        <v>2795</v>
      </c>
      <c r="AG688" s="5" t="n">
        <v>0.475115740740741</v>
      </c>
      <c r="AH688" s="5" t="n">
        <v>0.219675925925926</v>
      </c>
      <c r="AI688" s="5" t="n">
        <v>0</v>
      </c>
      <c r="AJ688" s="5" t="n">
        <v>0</v>
      </c>
      <c r="AK688" s="5" t="n">
        <v>0</v>
      </c>
      <c r="AL688" s="5" t="n">
        <v>0</v>
      </c>
      <c r="AM688" s="4" t="s">
        <v>78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0" t="n">
        <v>0</v>
      </c>
      <c r="BE688" s="0" t="n">
        <v>0</v>
      </c>
      <c r="BF688" s="0" t="n">
        <v>0</v>
      </c>
      <c r="BG688" s="0" t="n">
        <v>0</v>
      </c>
      <c r="BH688" s="0" t="n">
        <v>0</v>
      </c>
      <c r="BI688" s="0" t="n">
        <v>0</v>
      </c>
      <c r="BJ688" s="0" t="n">
        <v>0</v>
      </c>
      <c r="BK688" s="0" t="n">
        <v>0</v>
      </c>
      <c r="BM688" s="6" t="n">
        <f aca="false">IFERROR(VALUE(F688),"")</f>
        <v>318.97</v>
      </c>
      <c r="BN688" s="6" t="n">
        <f aca="false">IF(R688="-","",IFERROR(VALUE(LEFT(Q688,LEN(Q688)-2)),""))</f>
        <v>132.5</v>
      </c>
      <c r="BO688" s="6" t="n">
        <f aca="false">IF(R688="-","",IFERROR(VALUE(LEFT(R688,LEN(R688)-5)),""))</f>
        <v>2.41</v>
      </c>
      <c r="BP688" s="6" t="n">
        <f aca="false">IF(R688="-","",IFERROR(VALUE(F688),""))</f>
        <v>318.97</v>
      </c>
      <c r="BQ688" s="4" t="n">
        <f aca="false">IF(R688="-",1,0)</f>
        <v>0</v>
      </c>
    </row>
    <row r="689" customFormat="false" ht="15" hidden="false" customHeight="false" outlineLevel="0" collapsed="false">
      <c r="A689" s="0" t="s">
        <v>2780</v>
      </c>
      <c r="B689" s="0" t="s">
        <v>2781</v>
      </c>
      <c r="C689" s="0" t="s">
        <v>70</v>
      </c>
      <c r="E689" s="3" t="n">
        <v>46277</v>
      </c>
      <c r="F689" s="4" t="s">
        <v>2796</v>
      </c>
      <c r="G689" s="5" t="n">
        <v>0.398622685185185</v>
      </c>
      <c r="H689" s="5" t="n">
        <v>0</v>
      </c>
      <c r="I689" s="5" t="n">
        <v>0.000798611111111111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5" t="n">
        <v>0</v>
      </c>
      <c r="P689" s="5" t="n">
        <v>0.0111805555555556</v>
      </c>
      <c r="Q689" s="4" t="s">
        <v>2797</v>
      </c>
      <c r="R689" s="4" t="s">
        <v>2274</v>
      </c>
      <c r="S689" s="5" t="n">
        <v>0.000115740740740741</v>
      </c>
      <c r="T689" s="5" t="n">
        <v>0.215162037037037</v>
      </c>
      <c r="U689" s="5" t="n">
        <v>0.165162037037037</v>
      </c>
      <c r="V689" s="5" t="n">
        <v>0.0068287037037037</v>
      </c>
      <c r="W689" s="5" t="n">
        <v>0</v>
      </c>
      <c r="X689" s="5" t="n">
        <v>0</v>
      </c>
      <c r="Y689" s="5" t="n">
        <v>0</v>
      </c>
      <c r="Z689" s="0" t="n">
        <v>0</v>
      </c>
      <c r="AA689" s="0" t="n">
        <v>0</v>
      </c>
      <c r="AB689" s="0" t="n">
        <v>0</v>
      </c>
      <c r="AC689" s="4" t="s">
        <v>81</v>
      </c>
      <c r="AD689" s="4" t="s">
        <v>228</v>
      </c>
      <c r="AE689" s="4" t="s">
        <v>2795</v>
      </c>
      <c r="AF689" s="4" t="s">
        <v>2798</v>
      </c>
      <c r="AG689" s="5" t="n">
        <v>0.317013888888889</v>
      </c>
      <c r="AH689" s="5" t="n">
        <v>0.108969907407407</v>
      </c>
      <c r="AI689" s="5" t="n">
        <v>0</v>
      </c>
      <c r="AJ689" s="5" t="n">
        <v>0</v>
      </c>
      <c r="AK689" s="5" t="n">
        <v>0</v>
      </c>
      <c r="AL689" s="5" t="n">
        <v>0</v>
      </c>
      <c r="AM689" s="4" t="s">
        <v>78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0</v>
      </c>
      <c r="AT689" s="0" t="n">
        <v>0</v>
      </c>
      <c r="AU689" s="0" t="n">
        <v>0</v>
      </c>
      <c r="AV689" s="0" t="n">
        <v>0</v>
      </c>
      <c r="AW689" s="0" t="n">
        <v>0</v>
      </c>
      <c r="AX689" s="0" t="n">
        <v>0</v>
      </c>
      <c r="AY689" s="0" t="n">
        <v>0</v>
      </c>
      <c r="AZ689" s="0" t="n">
        <v>0</v>
      </c>
      <c r="BA689" s="0" t="n">
        <v>0</v>
      </c>
      <c r="BB689" s="0" t="n">
        <v>0</v>
      </c>
      <c r="BC689" s="0" t="n">
        <v>0</v>
      </c>
      <c r="BD689" s="0" t="n">
        <v>0</v>
      </c>
      <c r="BE689" s="0" t="n">
        <v>0</v>
      </c>
      <c r="BF689" s="0" t="n">
        <v>0</v>
      </c>
      <c r="BG689" s="0" t="n">
        <v>0</v>
      </c>
      <c r="BH689" s="0" t="n">
        <v>0</v>
      </c>
      <c r="BI689" s="0" t="n">
        <v>0</v>
      </c>
      <c r="BJ689" s="0" t="n">
        <v>0</v>
      </c>
      <c r="BK689" s="0" t="n">
        <v>0</v>
      </c>
      <c r="BM689" s="6" t="n">
        <f aca="false">IFERROR(VALUE(F689),"")</f>
        <v>215.29</v>
      </c>
      <c r="BN689" s="6" t="n">
        <f aca="false">IF(R689="-","",IFERROR(VALUE(LEFT(Q689,LEN(Q689)-2)),""))</f>
        <v>90</v>
      </c>
      <c r="BO689" s="6" t="n">
        <f aca="false">IF(R689="-","",IFERROR(VALUE(LEFT(R689,LEN(R689)-5)),""))</f>
        <v>2.39</v>
      </c>
      <c r="BP689" s="6" t="n">
        <f aca="false">IF(R689="-","",IFERROR(VALUE(F689),""))</f>
        <v>215.29</v>
      </c>
      <c r="BQ689" s="4" t="n">
        <f aca="false">IF(R689="-",1,0)</f>
        <v>0</v>
      </c>
    </row>
    <row r="690" customFormat="false" ht="15" hidden="false" customHeight="false" outlineLevel="0" collapsed="false">
      <c r="A690" s="0" t="s">
        <v>2780</v>
      </c>
      <c r="B690" s="0" t="s">
        <v>2781</v>
      </c>
      <c r="C690" s="0" t="s">
        <v>70</v>
      </c>
      <c r="E690" s="3" t="n">
        <v>46278</v>
      </c>
      <c r="F690" s="4" t="s">
        <v>2799</v>
      </c>
      <c r="G690" s="5" t="n">
        <v>0.26787037037037</v>
      </c>
      <c r="H690" s="5" t="n">
        <v>0</v>
      </c>
      <c r="I690" s="5" t="n">
        <v>0.000138888888888889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5" t="n">
        <v>0</v>
      </c>
      <c r="P690" s="5" t="n">
        <v>0</v>
      </c>
      <c r="Q690" s="4" t="s">
        <v>2800</v>
      </c>
      <c r="R690" s="4" t="s">
        <v>1527</v>
      </c>
      <c r="S690" s="5" t="n">
        <v>0.000347222222222222</v>
      </c>
      <c r="T690" s="5" t="n">
        <v>0.118518518518519</v>
      </c>
      <c r="U690" s="5" t="n">
        <v>0.0804398148148148</v>
      </c>
      <c r="V690" s="5" t="n">
        <v>0.00277777777777778</v>
      </c>
      <c r="W690" s="5" t="n">
        <v>0</v>
      </c>
      <c r="X690" s="5" t="n">
        <v>0</v>
      </c>
      <c r="Y690" s="5" t="n">
        <v>0</v>
      </c>
      <c r="Z690" s="0" t="n">
        <v>0</v>
      </c>
      <c r="AA690" s="0" t="n">
        <v>0</v>
      </c>
      <c r="AB690" s="0" t="n">
        <v>0</v>
      </c>
      <c r="AC690" s="4" t="s">
        <v>75</v>
      </c>
      <c r="AD690" s="4" t="s">
        <v>228</v>
      </c>
      <c r="AE690" s="4" t="s">
        <v>2798</v>
      </c>
      <c r="AF690" s="4" t="s">
        <v>2801</v>
      </c>
      <c r="AG690" s="5" t="n">
        <v>0.162800925925926</v>
      </c>
      <c r="AH690" s="5" t="n">
        <v>0.128391203703704</v>
      </c>
      <c r="AI690" s="5" t="n">
        <v>0</v>
      </c>
      <c r="AJ690" s="5" t="n">
        <v>0</v>
      </c>
      <c r="AK690" s="5" t="n">
        <v>0</v>
      </c>
      <c r="AL690" s="5" t="n">
        <v>0</v>
      </c>
      <c r="AM690" s="4" t="s">
        <v>78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  <c r="AU690" s="0" t="n">
        <v>0</v>
      </c>
      <c r="AV690" s="0" t="n">
        <v>0</v>
      </c>
      <c r="AW690" s="0" t="n">
        <v>0</v>
      </c>
      <c r="AX690" s="0" t="n">
        <v>0</v>
      </c>
      <c r="AY690" s="0" t="n">
        <v>0</v>
      </c>
      <c r="AZ690" s="0" t="n">
        <v>0</v>
      </c>
      <c r="BA690" s="0" t="n">
        <v>0</v>
      </c>
      <c r="BB690" s="0" t="n">
        <v>0</v>
      </c>
      <c r="BC690" s="0" t="n">
        <v>0</v>
      </c>
      <c r="BD690" s="0" t="n">
        <v>0</v>
      </c>
      <c r="BE690" s="0" t="n">
        <v>0</v>
      </c>
      <c r="BF690" s="0" t="n">
        <v>0</v>
      </c>
      <c r="BG690" s="0" t="n">
        <v>0</v>
      </c>
      <c r="BH690" s="0" t="n">
        <v>0</v>
      </c>
      <c r="BI690" s="0" t="n">
        <v>0</v>
      </c>
      <c r="BJ690" s="0" t="n">
        <v>0</v>
      </c>
      <c r="BK690" s="0" t="n">
        <v>0</v>
      </c>
      <c r="BM690" s="6" t="n">
        <f aca="false">IFERROR(VALUE(F690),"")</f>
        <v>108.61</v>
      </c>
      <c r="BN690" s="6" t="n">
        <f aca="false">IF(R690="-","",IFERROR(VALUE(LEFT(Q690,LEN(Q690)-2)),""))</f>
        <v>46</v>
      </c>
      <c r="BO690" s="6" t="n">
        <f aca="false">IF(R690="-","",IFERROR(VALUE(LEFT(R690,LEN(R690)-5)),""))</f>
        <v>2.36</v>
      </c>
      <c r="BP690" s="6" t="n">
        <f aca="false">IF(R690="-","",IFERROR(VALUE(F690),""))</f>
        <v>108.61</v>
      </c>
      <c r="BQ690" s="4" t="n">
        <f aca="false">IF(R690="-",1,0)</f>
        <v>0</v>
      </c>
    </row>
    <row r="691" customFormat="false" ht="15" hidden="false" customHeight="false" outlineLevel="0" collapsed="false">
      <c r="A691" s="0" t="s">
        <v>2780</v>
      </c>
      <c r="B691" s="0" t="s">
        <v>2781</v>
      </c>
      <c r="C691" s="0" t="s">
        <v>70</v>
      </c>
      <c r="E691" s="3" t="n">
        <v>46279</v>
      </c>
      <c r="F691" s="4" t="s">
        <v>2802</v>
      </c>
      <c r="G691" s="5" t="n">
        <v>0.654780092592593</v>
      </c>
      <c r="H691" s="5" t="n">
        <v>0</v>
      </c>
      <c r="I691" s="5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5" t="n">
        <v>0</v>
      </c>
      <c r="P691" s="5" t="n">
        <v>0</v>
      </c>
      <c r="Q691" s="4" t="s">
        <v>2343</v>
      </c>
      <c r="R691" s="4" t="s">
        <v>2803</v>
      </c>
      <c r="S691" s="5" t="n">
        <v>0.000115740740740741</v>
      </c>
      <c r="T691" s="5" t="n">
        <v>0.352546296296296</v>
      </c>
      <c r="U691" s="5" t="n">
        <v>0.213078703703704</v>
      </c>
      <c r="V691" s="5" t="n">
        <v>0.00115740740740741</v>
      </c>
      <c r="W691" s="5" t="n">
        <v>0</v>
      </c>
      <c r="X691" s="5" t="n">
        <v>0</v>
      </c>
      <c r="Y691" s="5" t="n">
        <v>0</v>
      </c>
      <c r="Z691" s="0" t="n">
        <v>0</v>
      </c>
      <c r="AA691" s="0" t="n">
        <v>0</v>
      </c>
      <c r="AB691" s="0" t="n">
        <v>0</v>
      </c>
      <c r="AC691" s="4" t="s">
        <v>228</v>
      </c>
      <c r="AD691" s="4" t="s">
        <v>228</v>
      </c>
      <c r="AE691" s="4" t="s">
        <v>2801</v>
      </c>
      <c r="AF691" s="4" t="s">
        <v>2804</v>
      </c>
      <c r="AG691" s="5" t="n">
        <v>0.476979166666667</v>
      </c>
      <c r="AH691" s="5" t="n">
        <v>0.256087962962963</v>
      </c>
      <c r="AI691" s="5" t="n">
        <v>0</v>
      </c>
      <c r="AJ691" s="5" t="n">
        <v>0</v>
      </c>
      <c r="AK691" s="5" t="n">
        <v>0</v>
      </c>
      <c r="AL691" s="5" t="n">
        <v>0</v>
      </c>
      <c r="AM691" s="4" t="s">
        <v>78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  <c r="AU691" s="0" t="n">
        <v>0</v>
      </c>
      <c r="AV691" s="0" t="n">
        <v>0</v>
      </c>
      <c r="AW691" s="0" t="n">
        <v>0</v>
      </c>
      <c r="AX691" s="0" t="n">
        <v>0</v>
      </c>
      <c r="AY691" s="0" t="n">
        <v>0</v>
      </c>
      <c r="AZ691" s="0" t="n">
        <v>0</v>
      </c>
      <c r="BA691" s="0" t="n">
        <v>0</v>
      </c>
      <c r="BB691" s="0" t="n">
        <v>0</v>
      </c>
      <c r="BC691" s="0" t="n">
        <v>0</v>
      </c>
      <c r="BD691" s="0" t="n">
        <v>0</v>
      </c>
      <c r="BE691" s="0" t="n">
        <v>0</v>
      </c>
      <c r="BF691" s="0" t="n">
        <v>0</v>
      </c>
      <c r="BG691" s="0" t="n">
        <v>0</v>
      </c>
      <c r="BH691" s="0" t="n">
        <v>0</v>
      </c>
      <c r="BI691" s="0" t="n">
        <v>0</v>
      </c>
      <c r="BJ691" s="0" t="n">
        <v>0</v>
      </c>
      <c r="BK691" s="0" t="n">
        <v>0</v>
      </c>
      <c r="BM691" s="6" t="n">
        <f aca="false">IFERROR(VALUE(F691),"")</f>
        <v>318.23</v>
      </c>
      <c r="BN691" s="6" t="n">
        <f aca="false">IF(R691="-","",IFERROR(VALUE(LEFT(Q691,LEN(Q691)-2)),""))</f>
        <v>134</v>
      </c>
      <c r="BO691" s="6" t="n">
        <f aca="false">IF(R691="-","",IFERROR(VALUE(LEFT(R691,LEN(R691)-5)),""))</f>
        <v>2.37</v>
      </c>
      <c r="BP691" s="6" t="n">
        <f aca="false">IF(R691="-","",IFERROR(VALUE(F691),""))</f>
        <v>318.23</v>
      </c>
      <c r="BQ691" s="4" t="n">
        <f aca="false">IF(R691="-",1,0)</f>
        <v>0</v>
      </c>
    </row>
    <row r="692" customFormat="false" ht="15" hidden="false" customHeight="false" outlineLevel="0" collapsed="false">
      <c r="A692" s="0" t="s">
        <v>2805</v>
      </c>
      <c r="B692" s="0" t="s">
        <v>2806</v>
      </c>
      <c r="C692" s="0" t="s">
        <v>70</v>
      </c>
      <c r="D692" s="0" t="s">
        <v>1033</v>
      </c>
      <c r="E692" s="3" t="n">
        <v>46273</v>
      </c>
      <c r="F692" s="4" t="s">
        <v>2807</v>
      </c>
      <c r="G692" s="5" t="n">
        <v>0.55875</v>
      </c>
      <c r="H692" s="5" t="n">
        <v>0.479780092592593</v>
      </c>
      <c r="I692" s="5" t="n">
        <v>0.0135185185185185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10</v>
      </c>
      <c r="O692" s="5" t="n">
        <v>0</v>
      </c>
      <c r="P692" s="5" t="n">
        <v>0</v>
      </c>
      <c r="Q692" s="4" t="s">
        <v>2808</v>
      </c>
      <c r="R692" s="4" t="s">
        <v>385</v>
      </c>
      <c r="S692" s="5" t="n">
        <v>0.000694444444444445</v>
      </c>
      <c r="T692" s="5" t="n">
        <v>0.120023148148148</v>
      </c>
      <c r="U692" s="5" t="n">
        <v>0.331134259259259</v>
      </c>
      <c r="V692" s="5" t="n">
        <v>0.0209490740740741</v>
      </c>
      <c r="W692" s="5" t="n">
        <v>0.000231481481481482</v>
      </c>
      <c r="X692" s="5" t="n">
        <v>0</v>
      </c>
      <c r="Y692" s="5" t="n">
        <v>0</v>
      </c>
      <c r="Z692" s="0" t="n">
        <v>0</v>
      </c>
      <c r="AA692" s="0" t="n">
        <v>0</v>
      </c>
      <c r="AB692" s="0" t="n">
        <v>0</v>
      </c>
      <c r="AC692" s="4" t="s">
        <v>75</v>
      </c>
      <c r="AD692" s="4" t="s">
        <v>74</v>
      </c>
      <c r="AE692" s="4" t="s">
        <v>2809</v>
      </c>
      <c r="AF692" s="4" t="s">
        <v>2810</v>
      </c>
      <c r="AG692" s="5" t="n">
        <v>0.427939814814815</v>
      </c>
      <c r="AH692" s="5" t="n">
        <v>0.250277777777778</v>
      </c>
      <c r="AI692" s="5" t="n">
        <v>0</v>
      </c>
      <c r="AJ692" s="5" t="n">
        <v>0</v>
      </c>
      <c r="AK692" s="5" t="n">
        <v>0</v>
      </c>
      <c r="AL692" s="5" t="n">
        <v>0</v>
      </c>
      <c r="AM692" s="4" t="s">
        <v>78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  <c r="AU692" s="0" t="n">
        <v>20</v>
      </c>
      <c r="AV692" s="0" t="n">
        <v>0</v>
      </c>
      <c r="AW692" s="0" t="n">
        <v>0</v>
      </c>
      <c r="AX692" s="0" t="n">
        <v>0</v>
      </c>
      <c r="AY692" s="0" t="n">
        <v>0</v>
      </c>
      <c r="AZ692" s="0" t="n">
        <v>0</v>
      </c>
      <c r="BA692" s="0" t="n">
        <v>0</v>
      </c>
      <c r="BB692" s="0" t="n">
        <v>0</v>
      </c>
      <c r="BC692" s="0" t="n">
        <v>0</v>
      </c>
      <c r="BD692" s="0" t="n">
        <v>0</v>
      </c>
      <c r="BE692" s="0" t="n">
        <v>0</v>
      </c>
      <c r="BF692" s="0" t="n">
        <v>0</v>
      </c>
      <c r="BG692" s="0" t="n">
        <v>0</v>
      </c>
      <c r="BH692" s="0" t="n">
        <v>0</v>
      </c>
      <c r="BI692" s="0" t="n">
        <v>0</v>
      </c>
      <c r="BJ692" s="0" t="n">
        <v>0</v>
      </c>
      <c r="BK692" s="0" t="n">
        <v>0</v>
      </c>
      <c r="BM692" s="6" t="n">
        <f aca="false">IFERROR(VALUE(F692),"")</f>
        <v>599.56</v>
      </c>
      <c r="BN692" s="6" t="n">
        <f aca="false">IF(R692="-","",IFERROR(VALUE(LEFT(Q692,LEN(Q692)-2)),""))</f>
        <v>205.98</v>
      </c>
      <c r="BO692" s="6" t="n">
        <f aca="false">IF(R692="-","",IFERROR(VALUE(LEFT(R692,LEN(R692)-5)),""))</f>
        <v>2.91</v>
      </c>
      <c r="BP692" s="6" t="n">
        <f aca="false">IF(R692="-","",IFERROR(VALUE(F692),""))</f>
        <v>599.56</v>
      </c>
      <c r="BQ692" s="4" t="n">
        <f aca="false">IF(R692="-",1,0)</f>
        <v>0</v>
      </c>
    </row>
    <row r="693" customFormat="false" ht="15" hidden="false" customHeight="false" outlineLevel="0" collapsed="false">
      <c r="A693" s="0" t="s">
        <v>2805</v>
      </c>
      <c r="B693" s="0" t="s">
        <v>2806</v>
      </c>
      <c r="C693" s="0" t="s">
        <v>70</v>
      </c>
      <c r="D693" s="0" t="s">
        <v>2811</v>
      </c>
      <c r="E693" s="3" t="n">
        <v>46274</v>
      </c>
      <c r="F693" s="4" t="s">
        <v>2812</v>
      </c>
      <c r="G693" s="5" t="n">
        <v>0.290520833333333</v>
      </c>
      <c r="H693" s="5" t="n">
        <v>0.237372685185185</v>
      </c>
      <c r="I693" s="5" t="n">
        <v>0.00104166666666667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2</v>
      </c>
      <c r="O693" s="5" t="n">
        <v>0</v>
      </c>
      <c r="P693" s="5" t="n">
        <v>0</v>
      </c>
      <c r="Q693" s="4" t="s">
        <v>2813</v>
      </c>
      <c r="R693" s="4" t="s">
        <v>2460</v>
      </c>
      <c r="S693" s="5" t="n">
        <v>0.000347222222222222</v>
      </c>
      <c r="T693" s="5" t="n">
        <v>0.0677546296296296</v>
      </c>
      <c r="U693" s="5" t="n">
        <v>0.1559375</v>
      </c>
      <c r="V693" s="5" t="n">
        <v>0.0262847222222222</v>
      </c>
      <c r="W693" s="5" t="n">
        <v>0.000185185185185185</v>
      </c>
      <c r="X693" s="5" t="n">
        <v>0</v>
      </c>
      <c r="Y693" s="5" t="n">
        <v>0.000196759259259259</v>
      </c>
      <c r="Z693" s="0" t="n">
        <v>0</v>
      </c>
      <c r="AA693" s="0" t="n">
        <v>0</v>
      </c>
      <c r="AB693" s="0" t="n">
        <v>0</v>
      </c>
      <c r="AC693" s="4" t="s">
        <v>228</v>
      </c>
      <c r="AD693" s="4" t="s">
        <v>432</v>
      </c>
      <c r="AE693" s="4" t="s">
        <v>2810</v>
      </c>
      <c r="AF693" s="4" t="s">
        <v>2814</v>
      </c>
      <c r="AG693" s="5" t="n">
        <v>0.225497685185185</v>
      </c>
      <c r="AH693" s="5" t="n">
        <v>0.141770833333333</v>
      </c>
      <c r="AI693" s="5" t="n">
        <v>0</v>
      </c>
      <c r="AJ693" s="5" t="n">
        <v>0</v>
      </c>
      <c r="AK693" s="5" t="n">
        <v>0</v>
      </c>
      <c r="AL693" s="5" t="n">
        <v>0</v>
      </c>
      <c r="AM693" s="4" t="s">
        <v>78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  <c r="AU693" s="0" t="n">
        <v>5</v>
      </c>
      <c r="AV693" s="0" t="n">
        <v>0</v>
      </c>
      <c r="AW693" s="0" t="n">
        <v>0</v>
      </c>
      <c r="AX693" s="0" t="n">
        <v>0</v>
      </c>
      <c r="AY693" s="0" t="n">
        <v>0</v>
      </c>
      <c r="AZ693" s="0" t="n">
        <v>0</v>
      </c>
      <c r="BA693" s="0" t="n">
        <v>0</v>
      </c>
      <c r="BB693" s="0" t="n">
        <v>0</v>
      </c>
      <c r="BC693" s="0" t="n">
        <v>0</v>
      </c>
      <c r="BD693" s="0" t="n">
        <v>0</v>
      </c>
      <c r="BE693" s="0" t="n">
        <v>0</v>
      </c>
      <c r="BF693" s="0" t="n">
        <v>0</v>
      </c>
      <c r="BG693" s="0" t="n">
        <v>0</v>
      </c>
      <c r="BH693" s="0" t="n">
        <v>0</v>
      </c>
      <c r="BI693" s="0" t="n">
        <v>0</v>
      </c>
      <c r="BJ693" s="0" t="n">
        <v>0</v>
      </c>
      <c r="BK693" s="0" t="n">
        <v>0</v>
      </c>
      <c r="BM693" s="6" t="n">
        <f aca="false">IFERROR(VALUE(F693),"")</f>
        <v>299.2</v>
      </c>
      <c r="BN693" s="6" t="n">
        <f aca="false">IF(R693="-","",IFERROR(VALUE(LEFT(Q693,LEN(Q693)-2)),""))</f>
        <v>97.02</v>
      </c>
      <c r="BO693" s="6" t="n">
        <f aca="false">IF(R693="-","",IFERROR(VALUE(LEFT(R693,LEN(R693)-5)),""))</f>
        <v>3.08</v>
      </c>
      <c r="BP693" s="6" t="n">
        <f aca="false">IF(R693="-","",IFERROR(VALUE(F693),""))</f>
        <v>299.2</v>
      </c>
      <c r="BQ693" s="4" t="n">
        <f aca="false">IF(R693="-",1,0)</f>
        <v>0</v>
      </c>
    </row>
    <row r="694" customFormat="false" ht="15" hidden="false" customHeight="false" outlineLevel="0" collapsed="false">
      <c r="A694" s="0" t="s">
        <v>2805</v>
      </c>
      <c r="B694" s="0" t="s">
        <v>2806</v>
      </c>
      <c r="C694" s="0" t="s">
        <v>70</v>
      </c>
      <c r="D694" s="0" t="s">
        <v>2815</v>
      </c>
      <c r="E694" s="3" t="n">
        <v>46275</v>
      </c>
      <c r="F694" s="4" t="s">
        <v>2816</v>
      </c>
      <c r="G694" s="5" t="n">
        <v>0.268634259259259</v>
      </c>
      <c r="H694" s="5" t="n">
        <v>0.238796296296296</v>
      </c>
      <c r="I694" s="5" t="n">
        <v>0.0170833333333333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4</v>
      </c>
      <c r="O694" s="5" t="n">
        <v>0</v>
      </c>
      <c r="P694" s="5" t="n">
        <v>0</v>
      </c>
      <c r="Q694" s="4" t="s">
        <v>2817</v>
      </c>
      <c r="R694" s="4" t="s">
        <v>299</v>
      </c>
      <c r="S694" s="5" t="n">
        <v>0.000231481481481482</v>
      </c>
      <c r="T694" s="5" t="n">
        <v>0.0581018518518519</v>
      </c>
      <c r="U694" s="5" t="n">
        <v>0.154664351851852</v>
      </c>
      <c r="V694" s="5" t="n">
        <v>0.0123958333333333</v>
      </c>
      <c r="W694" s="5" t="n">
        <v>5.78703703703704E-005</v>
      </c>
      <c r="X694" s="5" t="n">
        <v>0</v>
      </c>
      <c r="Y694" s="5" t="n">
        <v>5.78703703703704E-005</v>
      </c>
      <c r="Z694" s="0" t="n">
        <v>0</v>
      </c>
      <c r="AA694" s="0" t="n">
        <v>0</v>
      </c>
      <c r="AB694" s="0" t="n">
        <v>0</v>
      </c>
      <c r="AC694" s="4" t="s">
        <v>432</v>
      </c>
      <c r="AD694" s="4" t="s">
        <v>228</v>
      </c>
      <c r="AE694" s="4" t="s">
        <v>2814</v>
      </c>
      <c r="AF694" s="4" t="s">
        <v>2818</v>
      </c>
      <c r="AG694" s="5" t="n">
        <v>0.200798611111111</v>
      </c>
      <c r="AH694" s="5" t="n">
        <v>0.104409722222222</v>
      </c>
      <c r="AI694" s="5" t="n">
        <v>0</v>
      </c>
      <c r="AJ694" s="5" t="n">
        <v>0</v>
      </c>
      <c r="AK694" s="5" t="n">
        <v>0</v>
      </c>
      <c r="AL694" s="5" t="n">
        <v>0</v>
      </c>
      <c r="AM694" s="4" t="s">
        <v>78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  <c r="AU694" s="0" t="n">
        <v>3</v>
      </c>
      <c r="AV694" s="0" t="n">
        <v>0</v>
      </c>
      <c r="AW694" s="0" t="n">
        <v>1</v>
      </c>
      <c r="AX694" s="0" t="n">
        <v>0</v>
      </c>
      <c r="AY694" s="0" t="n">
        <v>0</v>
      </c>
      <c r="AZ694" s="0" t="n">
        <v>0</v>
      </c>
      <c r="BA694" s="0" t="n">
        <v>0</v>
      </c>
      <c r="BB694" s="0" t="n">
        <v>0</v>
      </c>
      <c r="BC694" s="0" t="n">
        <v>0</v>
      </c>
      <c r="BD694" s="0" t="n">
        <v>0</v>
      </c>
      <c r="BE694" s="0" t="n">
        <v>0</v>
      </c>
      <c r="BF694" s="0" t="n">
        <v>0</v>
      </c>
      <c r="BG694" s="0" t="n">
        <v>0</v>
      </c>
      <c r="BH694" s="0" t="n">
        <v>0</v>
      </c>
      <c r="BI694" s="0" t="n">
        <v>0</v>
      </c>
      <c r="BJ694" s="0" t="n">
        <v>0</v>
      </c>
      <c r="BK694" s="0" t="n">
        <v>0</v>
      </c>
      <c r="BM694" s="6" t="n">
        <f aca="false">IFERROR(VALUE(F694),"")</f>
        <v>296.18</v>
      </c>
      <c r="BN694" s="6" t="n">
        <f aca="false">IF(R694="-","",IFERROR(VALUE(LEFT(Q694,LEN(Q694)-2)),""))</f>
        <v>98.98</v>
      </c>
      <c r="BO694" s="6" t="n">
        <f aca="false">IF(R694="-","",IFERROR(VALUE(LEFT(R694,LEN(R694)-5)),""))</f>
        <v>2.99</v>
      </c>
      <c r="BP694" s="6" t="n">
        <f aca="false">IF(R694="-","",IFERROR(VALUE(F694),""))</f>
        <v>296.18</v>
      </c>
      <c r="BQ694" s="4" t="n">
        <f aca="false">IF(R694="-",1,0)</f>
        <v>0</v>
      </c>
    </row>
    <row r="695" customFormat="false" ht="15" hidden="false" customHeight="false" outlineLevel="0" collapsed="false">
      <c r="A695" s="0" t="s">
        <v>2805</v>
      </c>
      <c r="B695" s="0" t="s">
        <v>2806</v>
      </c>
      <c r="C695" s="0" t="s">
        <v>70</v>
      </c>
      <c r="D695" s="0" t="s">
        <v>2819</v>
      </c>
      <c r="E695" s="3" t="n">
        <v>46276</v>
      </c>
      <c r="F695" s="4" t="s">
        <v>2820</v>
      </c>
      <c r="G695" s="5" t="n">
        <v>0.636875</v>
      </c>
      <c r="H695" s="5" t="n">
        <v>0.619618055555556</v>
      </c>
      <c r="I695" s="5" t="n">
        <v>0.0015625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6</v>
      </c>
      <c r="O695" s="5" t="n">
        <v>0</v>
      </c>
      <c r="P695" s="5" t="n">
        <v>0.0127546296296296</v>
      </c>
      <c r="Q695" s="4" t="s">
        <v>2821</v>
      </c>
      <c r="R695" s="4" t="s">
        <v>2058</v>
      </c>
      <c r="S695" s="5" t="n">
        <v>0.000347222222222222</v>
      </c>
      <c r="T695" s="5" t="n">
        <v>0.150578703703704</v>
      </c>
      <c r="U695" s="5" t="n">
        <v>0.379861111111111</v>
      </c>
      <c r="V695" s="5" t="n">
        <v>0.0362268518518519</v>
      </c>
      <c r="W695" s="5" t="n">
        <v>0.000115740740740741</v>
      </c>
      <c r="X695" s="5" t="n">
        <v>0</v>
      </c>
      <c r="Y695" s="5" t="n">
        <v>0</v>
      </c>
      <c r="Z695" s="0" t="n">
        <v>0</v>
      </c>
      <c r="AA695" s="0" t="n">
        <v>0</v>
      </c>
      <c r="AB695" s="0" t="n">
        <v>0</v>
      </c>
      <c r="AC695" s="4" t="s">
        <v>75</v>
      </c>
      <c r="AD695" s="4" t="s">
        <v>208</v>
      </c>
      <c r="AE695" s="4" t="s">
        <v>2818</v>
      </c>
      <c r="AF695" s="4" t="s">
        <v>2822</v>
      </c>
      <c r="AG695" s="5" t="n">
        <v>0.510960648148148</v>
      </c>
      <c r="AH695" s="5" t="n">
        <v>0.231041666666667</v>
      </c>
      <c r="AI695" s="5" t="n">
        <v>0</v>
      </c>
      <c r="AJ695" s="5" t="n">
        <v>0</v>
      </c>
      <c r="AK695" s="5" t="n">
        <v>0</v>
      </c>
      <c r="AL695" s="5" t="n">
        <v>0</v>
      </c>
      <c r="AM695" s="4" t="s">
        <v>78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  <c r="AU695" s="0" t="n">
        <v>9</v>
      </c>
      <c r="AV695" s="0" t="n">
        <v>0</v>
      </c>
      <c r="AW695" s="0" t="n">
        <v>1</v>
      </c>
      <c r="AX695" s="0" t="n">
        <v>0</v>
      </c>
      <c r="AY695" s="0" t="n">
        <v>0</v>
      </c>
      <c r="AZ695" s="0" t="n">
        <v>0</v>
      </c>
      <c r="BA695" s="0" t="n">
        <v>0</v>
      </c>
      <c r="BB695" s="0" t="n">
        <v>0</v>
      </c>
      <c r="BC695" s="0" t="n">
        <v>0</v>
      </c>
      <c r="BD695" s="0" t="n">
        <v>0</v>
      </c>
      <c r="BE695" s="0" t="n">
        <v>0</v>
      </c>
      <c r="BF695" s="0" t="n">
        <v>0</v>
      </c>
      <c r="BG695" s="0" t="n">
        <v>0</v>
      </c>
      <c r="BH695" s="0" t="n">
        <v>0</v>
      </c>
      <c r="BI695" s="0" t="n">
        <v>0</v>
      </c>
      <c r="BJ695" s="0" t="n">
        <v>0</v>
      </c>
      <c r="BK695" s="0" t="n">
        <v>0</v>
      </c>
      <c r="BM695" s="6" t="n">
        <f aca="false">IFERROR(VALUE(F695),"")</f>
        <v>682.36</v>
      </c>
      <c r="BN695" s="6" t="n">
        <f aca="false">IF(R695="-","",IFERROR(VALUE(LEFT(Q695,LEN(Q695)-2)),""))</f>
        <v>232.99</v>
      </c>
      <c r="BO695" s="6" t="n">
        <f aca="false">IF(R695="-","",IFERROR(VALUE(LEFT(R695,LEN(R695)-5)),""))</f>
        <v>2.93</v>
      </c>
      <c r="BP695" s="6" t="n">
        <f aca="false">IF(R695="-","",IFERROR(VALUE(F695),""))</f>
        <v>682.36</v>
      </c>
      <c r="BQ695" s="4" t="n">
        <f aca="false">IF(R695="-",1,0)</f>
        <v>0</v>
      </c>
    </row>
    <row r="696" customFormat="false" ht="15" hidden="false" customHeight="false" outlineLevel="0" collapsed="false">
      <c r="A696" s="0" t="s">
        <v>2805</v>
      </c>
      <c r="B696" s="0" t="s">
        <v>2806</v>
      </c>
      <c r="C696" s="0" t="s">
        <v>70</v>
      </c>
      <c r="D696" s="0" t="s">
        <v>2823</v>
      </c>
      <c r="E696" s="3" t="n">
        <v>46277</v>
      </c>
      <c r="F696" s="4" t="s">
        <v>2824</v>
      </c>
      <c r="G696" s="5" t="n">
        <v>0.311041666666667</v>
      </c>
      <c r="H696" s="5" t="n">
        <v>0.277951388888889</v>
      </c>
      <c r="I696" s="5" t="n">
        <v>0.000532407407407407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5</v>
      </c>
      <c r="O696" s="5" t="n">
        <v>0</v>
      </c>
      <c r="P696" s="5" t="n">
        <v>0</v>
      </c>
      <c r="Q696" s="4" t="s">
        <v>2825</v>
      </c>
      <c r="R696" s="4" t="s">
        <v>437</v>
      </c>
      <c r="S696" s="5" t="n">
        <v>0.000347222222222222</v>
      </c>
      <c r="T696" s="5" t="n">
        <v>0.0581018518518519</v>
      </c>
      <c r="U696" s="5" t="n">
        <v>0.173263888888889</v>
      </c>
      <c r="V696" s="5" t="n">
        <v>0.0162037037037037</v>
      </c>
      <c r="W696" s="5" t="n">
        <v>0</v>
      </c>
      <c r="X696" s="5" t="n">
        <v>0</v>
      </c>
      <c r="Y696" s="5" t="n">
        <v>0</v>
      </c>
      <c r="Z696" s="0" t="n">
        <v>0</v>
      </c>
      <c r="AA696" s="0" t="n">
        <v>0</v>
      </c>
      <c r="AB696" s="0" t="n">
        <v>0</v>
      </c>
      <c r="AC696" s="4" t="s">
        <v>208</v>
      </c>
      <c r="AD696" s="4" t="s">
        <v>432</v>
      </c>
      <c r="AE696" s="4" t="s">
        <v>2822</v>
      </c>
      <c r="AF696" s="4" t="s">
        <v>2826</v>
      </c>
      <c r="AG696" s="5" t="n">
        <v>0.229143518518519</v>
      </c>
      <c r="AH696" s="5" t="n">
        <v>0.143194444444445</v>
      </c>
      <c r="AI696" s="5" t="n">
        <v>0</v>
      </c>
      <c r="AJ696" s="5" t="n">
        <v>0</v>
      </c>
      <c r="AK696" s="5" t="n">
        <v>0</v>
      </c>
      <c r="AL696" s="5" t="n">
        <v>0</v>
      </c>
      <c r="AM696" s="4" t="s">
        <v>78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  <c r="AU696" s="0" t="n">
        <v>3</v>
      </c>
      <c r="AV696" s="0" t="n">
        <v>0</v>
      </c>
      <c r="AW696" s="0" t="n">
        <v>0</v>
      </c>
      <c r="AX696" s="0" t="n">
        <v>0</v>
      </c>
      <c r="AY696" s="0" t="n">
        <v>0</v>
      </c>
      <c r="AZ696" s="0" t="n">
        <v>0</v>
      </c>
      <c r="BA696" s="0" t="n">
        <v>0</v>
      </c>
      <c r="BB696" s="0" t="n">
        <v>0</v>
      </c>
      <c r="BC696" s="0" t="n">
        <v>0</v>
      </c>
      <c r="BD696" s="0" t="n">
        <v>0</v>
      </c>
      <c r="BE696" s="0" t="n">
        <v>0</v>
      </c>
      <c r="BF696" s="0" t="n">
        <v>0</v>
      </c>
      <c r="BG696" s="0" t="n">
        <v>0</v>
      </c>
      <c r="BH696" s="0" t="n">
        <v>0</v>
      </c>
      <c r="BI696" s="0" t="n">
        <v>0</v>
      </c>
      <c r="BJ696" s="0" t="n">
        <v>0</v>
      </c>
      <c r="BK696" s="0" t="n">
        <v>0</v>
      </c>
      <c r="BM696" s="6" t="n">
        <f aca="false">IFERROR(VALUE(F696),"")</f>
        <v>319.85</v>
      </c>
      <c r="BN696" s="6" t="n">
        <f aca="false">IF(R696="-","",IFERROR(VALUE(LEFT(Q696,LEN(Q696)-2)),""))</f>
        <v>108.51</v>
      </c>
      <c r="BO696" s="6" t="n">
        <f aca="false">IF(R696="-","",IFERROR(VALUE(LEFT(R696,LEN(R696)-5)),""))</f>
        <v>2.95</v>
      </c>
      <c r="BP696" s="6" t="n">
        <f aca="false">IF(R696="-","",IFERROR(VALUE(F696),""))</f>
        <v>319.85</v>
      </c>
      <c r="BQ696" s="4" t="n">
        <f aca="false">IF(R696="-",1,0)</f>
        <v>0</v>
      </c>
    </row>
    <row r="697" customFormat="false" ht="15" hidden="false" customHeight="false" outlineLevel="0" collapsed="false">
      <c r="A697" s="0" t="s">
        <v>2805</v>
      </c>
      <c r="B697" s="0" t="s">
        <v>2806</v>
      </c>
      <c r="C697" s="0" t="s">
        <v>70</v>
      </c>
      <c r="D697" s="0" t="s">
        <v>1033</v>
      </c>
      <c r="E697" s="3" t="n">
        <v>46278</v>
      </c>
      <c r="F697" s="4" t="s">
        <v>2827</v>
      </c>
      <c r="G697" s="5" t="n">
        <v>0.273935185185185</v>
      </c>
      <c r="H697" s="5" t="n">
        <v>0.225972222222222</v>
      </c>
      <c r="I697" s="5" t="n">
        <v>0.0115856481481482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7</v>
      </c>
      <c r="O697" s="5" t="n">
        <v>0</v>
      </c>
      <c r="P697" s="5" t="n">
        <v>0.0143402777777778</v>
      </c>
      <c r="Q697" s="4" t="s">
        <v>2828</v>
      </c>
      <c r="R697" s="4" t="s">
        <v>340</v>
      </c>
      <c r="S697" s="5" t="n">
        <v>0.000347222222222222</v>
      </c>
      <c r="T697" s="5" t="n">
        <v>0.0609953703703704</v>
      </c>
      <c r="U697" s="5" t="n">
        <v>0.158101851851852</v>
      </c>
      <c r="V697" s="5" t="n">
        <v>0.0130787037037037</v>
      </c>
      <c r="W697" s="5" t="n">
        <v>0.000115740740740741</v>
      </c>
      <c r="X697" s="5" t="n">
        <v>0</v>
      </c>
      <c r="Y697" s="5" t="n">
        <v>0</v>
      </c>
      <c r="Z697" s="0" t="n">
        <v>0</v>
      </c>
      <c r="AA697" s="0" t="n">
        <v>0</v>
      </c>
      <c r="AB697" s="0" t="n">
        <v>0</v>
      </c>
      <c r="AC697" s="4" t="s">
        <v>432</v>
      </c>
      <c r="AD697" s="4" t="s">
        <v>228</v>
      </c>
      <c r="AE697" s="4" t="s">
        <v>2826</v>
      </c>
      <c r="AF697" s="4" t="s">
        <v>2829</v>
      </c>
      <c r="AG697" s="5" t="n">
        <v>0.202488425925926</v>
      </c>
      <c r="AH697" s="5" t="n">
        <v>0.148553240740741</v>
      </c>
      <c r="AI697" s="5" t="n">
        <v>0</v>
      </c>
      <c r="AJ697" s="5" t="n">
        <v>0</v>
      </c>
      <c r="AK697" s="5" t="n">
        <v>0</v>
      </c>
      <c r="AL697" s="5" t="n">
        <v>0</v>
      </c>
      <c r="AM697" s="4" t="s">
        <v>78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  <c r="AU697" s="0" t="n">
        <v>5</v>
      </c>
      <c r="AV697" s="0" t="n">
        <v>0</v>
      </c>
      <c r="AW697" s="0" t="n">
        <v>2</v>
      </c>
      <c r="AX697" s="0" t="n">
        <v>0</v>
      </c>
      <c r="AY697" s="0" t="n">
        <v>0</v>
      </c>
      <c r="AZ697" s="0" t="n">
        <v>0</v>
      </c>
      <c r="BA697" s="0" t="n">
        <v>0</v>
      </c>
      <c r="BB697" s="0" t="n">
        <v>0</v>
      </c>
      <c r="BC697" s="0" t="n">
        <v>0</v>
      </c>
      <c r="BD697" s="0" t="n">
        <v>0</v>
      </c>
      <c r="BE697" s="0" t="n">
        <v>0</v>
      </c>
      <c r="BF697" s="0" t="n">
        <v>0</v>
      </c>
      <c r="BG697" s="0" t="n">
        <v>0</v>
      </c>
      <c r="BH697" s="0" t="n">
        <v>0</v>
      </c>
      <c r="BI697" s="0" t="n">
        <v>0</v>
      </c>
      <c r="BJ697" s="0" t="n">
        <v>0</v>
      </c>
      <c r="BK697" s="0" t="n">
        <v>0</v>
      </c>
      <c r="BM697" s="6" t="n">
        <f aca="false">IFERROR(VALUE(F697),"")</f>
        <v>296.47</v>
      </c>
      <c r="BN697" s="6" t="n">
        <f aca="false">IF(R697="-","",IFERROR(VALUE(LEFT(Q697,LEN(Q697)-2)),""))</f>
        <v>103.01</v>
      </c>
      <c r="BO697" s="6" t="n">
        <f aca="false">IF(R697="-","",IFERROR(VALUE(LEFT(R697,LEN(R697)-5)),""))</f>
        <v>2.88</v>
      </c>
      <c r="BP697" s="6" t="n">
        <f aca="false">IF(R697="-","",IFERROR(VALUE(F697),""))</f>
        <v>296.47</v>
      </c>
      <c r="BQ697" s="4" t="n">
        <f aca="false">IF(R697="-",1,0)</f>
        <v>0</v>
      </c>
    </row>
    <row r="698" customFormat="false" ht="15" hidden="false" customHeight="false" outlineLevel="0" collapsed="false">
      <c r="A698" s="0" t="s">
        <v>2805</v>
      </c>
      <c r="B698" s="0" t="s">
        <v>2806</v>
      </c>
      <c r="C698" s="0" t="s">
        <v>70</v>
      </c>
      <c r="D698" s="0" t="s">
        <v>2830</v>
      </c>
      <c r="E698" s="3" t="n">
        <v>46279</v>
      </c>
      <c r="F698" s="4" t="s">
        <v>2831</v>
      </c>
      <c r="G698" s="5" t="n">
        <v>0.321076388888889</v>
      </c>
      <c r="H698" s="5" t="n">
        <v>0.271331018518519</v>
      </c>
      <c r="I698" s="5" t="n">
        <v>0.000763888888888889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1</v>
      </c>
      <c r="O698" s="5" t="n">
        <v>0</v>
      </c>
      <c r="P698" s="5" t="n">
        <v>0.0161689814814815</v>
      </c>
      <c r="Q698" s="4" t="s">
        <v>2832</v>
      </c>
      <c r="R698" s="4" t="s">
        <v>870</v>
      </c>
      <c r="S698" s="5" t="n">
        <v>0.000578703703703704</v>
      </c>
      <c r="T698" s="5" t="n">
        <v>0.0980555555555556</v>
      </c>
      <c r="U698" s="5" t="n">
        <v>0.166712962962963</v>
      </c>
      <c r="V698" s="5" t="n">
        <v>0.00905092592592593</v>
      </c>
      <c r="W698" s="5" t="n">
        <v>0.000416666666666667</v>
      </c>
      <c r="X698" s="5" t="n">
        <v>0</v>
      </c>
      <c r="Y698" s="5" t="n">
        <v>0.000289351851851852</v>
      </c>
      <c r="Z698" s="0" t="n">
        <v>0</v>
      </c>
      <c r="AA698" s="0" t="n">
        <v>0</v>
      </c>
      <c r="AB698" s="0" t="n">
        <v>0</v>
      </c>
      <c r="AC698" s="4" t="s">
        <v>228</v>
      </c>
      <c r="AD698" s="4" t="s">
        <v>432</v>
      </c>
      <c r="AE698" s="4" t="s">
        <v>2829</v>
      </c>
      <c r="AF698" s="4" t="s">
        <v>2833</v>
      </c>
      <c r="AG698" s="5" t="n">
        <v>0.21869212962963</v>
      </c>
      <c r="AH698" s="5" t="n">
        <v>0.159340277777778</v>
      </c>
      <c r="AI698" s="5" t="n">
        <v>0</v>
      </c>
      <c r="AJ698" s="5" t="n">
        <v>0</v>
      </c>
      <c r="AK698" s="5" t="n">
        <v>0</v>
      </c>
      <c r="AL698" s="5" t="n">
        <v>0</v>
      </c>
      <c r="AM698" s="4" t="s">
        <v>78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  <c r="AU698" s="0" t="n">
        <v>2</v>
      </c>
      <c r="AV698" s="0" t="n">
        <v>0</v>
      </c>
      <c r="AW698" s="0" t="n">
        <v>0</v>
      </c>
      <c r="AX698" s="0" t="n">
        <v>0</v>
      </c>
      <c r="AY698" s="0" t="n">
        <v>0</v>
      </c>
      <c r="AZ698" s="0" t="n">
        <v>0</v>
      </c>
      <c r="BA698" s="0" t="n">
        <v>0</v>
      </c>
      <c r="BB698" s="0" t="n">
        <v>0</v>
      </c>
      <c r="BC698" s="0" t="n">
        <v>0</v>
      </c>
      <c r="BD698" s="0" t="n">
        <v>0</v>
      </c>
      <c r="BE698" s="0" t="n">
        <v>0</v>
      </c>
      <c r="BF698" s="0" t="n">
        <v>0</v>
      </c>
      <c r="BG698" s="0" t="n">
        <v>0</v>
      </c>
      <c r="BH698" s="0" t="n">
        <v>0</v>
      </c>
      <c r="BI698" s="0" t="n">
        <v>0</v>
      </c>
      <c r="BJ698" s="0" t="n">
        <v>0</v>
      </c>
      <c r="BK698" s="0" t="n">
        <v>0</v>
      </c>
      <c r="BM698" s="6" t="n">
        <f aca="false">IFERROR(VALUE(F698),"")</f>
        <v>298.91</v>
      </c>
      <c r="BN698" s="6" t="n">
        <f aca="false">IF(R698="-","",IFERROR(VALUE(LEFT(Q698,LEN(Q698)-2)),""))</f>
        <v>100.48</v>
      </c>
      <c r="BO698" s="6" t="n">
        <f aca="false">IF(R698="-","",IFERROR(VALUE(LEFT(R698,LEN(R698)-5)),""))</f>
        <v>2.97</v>
      </c>
      <c r="BP698" s="6" t="n">
        <f aca="false">IF(R698="-","",IFERROR(VALUE(F698),""))</f>
        <v>298.91</v>
      </c>
      <c r="BQ698" s="4" t="n">
        <f aca="false">IF(R698="-",1,0)</f>
        <v>0</v>
      </c>
    </row>
    <row r="699" customFormat="false" ht="15" hidden="false" customHeight="false" outlineLevel="0" collapsed="false">
      <c r="A699" s="0" t="s">
        <v>2834</v>
      </c>
      <c r="B699" s="0" t="s">
        <v>2835</v>
      </c>
      <c r="C699" s="0" t="s">
        <v>70</v>
      </c>
      <c r="D699" s="0" t="s">
        <v>2836</v>
      </c>
      <c r="E699" s="3" t="n">
        <v>46273</v>
      </c>
      <c r="F699" s="4" t="s">
        <v>2837</v>
      </c>
      <c r="G699" s="5" t="n">
        <v>0.35037037037037</v>
      </c>
      <c r="H699" s="5" t="n">
        <v>0.312905092592593</v>
      </c>
      <c r="I699" s="5" t="n">
        <v>1.15740740740741E-005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5" t="n">
        <v>0</v>
      </c>
      <c r="P699" s="5" t="n">
        <v>0.019525462962963</v>
      </c>
      <c r="Q699" s="4" t="s">
        <v>2838</v>
      </c>
      <c r="R699" s="4" t="s">
        <v>1944</v>
      </c>
      <c r="S699" s="5" t="n">
        <v>0.000115740740740741</v>
      </c>
      <c r="T699" s="5" t="n">
        <v>0.141782407407407</v>
      </c>
      <c r="U699" s="5" t="n">
        <v>0.187268518518519</v>
      </c>
      <c r="V699" s="5" t="n">
        <v>0.000925925925925926</v>
      </c>
      <c r="W699" s="5" t="n">
        <v>0</v>
      </c>
      <c r="X699" s="5" t="n">
        <v>0</v>
      </c>
      <c r="Y699" s="5" t="n">
        <v>0</v>
      </c>
      <c r="Z699" s="0" t="n">
        <v>0</v>
      </c>
      <c r="AA699" s="0" t="n">
        <v>0</v>
      </c>
      <c r="AB699" s="0" t="n">
        <v>0</v>
      </c>
      <c r="AC699" s="4" t="s">
        <v>228</v>
      </c>
      <c r="AD699" s="4" t="s">
        <v>432</v>
      </c>
      <c r="AE699" s="4" t="s">
        <v>2839</v>
      </c>
      <c r="AF699" s="4" t="s">
        <v>2840</v>
      </c>
      <c r="AG699" s="5" t="n">
        <v>0.265358796296296</v>
      </c>
      <c r="AH699" s="5" t="n">
        <v>0.166006944444444</v>
      </c>
      <c r="AI699" s="5" t="n">
        <v>0</v>
      </c>
      <c r="AJ699" s="5" t="n">
        <v>0</v>
      </c>
      <c r="AK699" s="5" t="n">
        <v>0</v>
      </c>
      <c r="AL699" s="5" t="n">
        <v>0</v>
      </c>
      <c r="AM699" s="4" t="s">
        <v>78</v>
      </c>
      <c r="AN699" s="0" t="n">
        <v>0</v>
      </c>
      <c r="AO699" s="0" t="n">
        <v>3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  <c r="AU699" s="0" t="n">
        <v>0</v>
      </c>
      <c r="AV699" s="0" t="n">
        <v>0</v>
      </c>
      <c r="AW699" s="0" t="n">
        <v>0</v>
      </c>
      <c r="AX699" s="0" t="n">
        <v>0</v>
      </c>
      <c r="AY699" s="0" t="n">
        <v>0</v>
      </c>
      <c r="AZ699" s="0" t="n">
        <v>0</v>
      </c>
      <c r="BA699" s="0" t="n">
        <v>0</v>
      </c>
      <c r="BB699" s="0" t="n">
        <v>0</v>
      </c>
      <c r="BC699" s="0" t="n">
        <v>0</v>
      </c>
      <c r="BD699" s="0" t="n">
        <v>0</v>
      </c>
      <c r="BE699" s="0" t="n">
        <v>0</v>
      </c>
      <c r="BF699" s="0" t="n">
        <v>0</v>
      </c>
      <c r="BG699" s="0" t="n">
        <v>0</v>
      </c>
      <c r="BH699" s="0" t="n">
        <v>0</v>
      </c>
      <c r="BI699" s="0" t="n">
        <v>0</v>
      </c>
      <c r="BJ699" s="0" t="n">
        <v>0</v>
      </c>
      <c r="BK699" s="0" t="n">
        <v>0</v>
      </c>
      <c r="BM699" s="6" t="n">
        <f aca="false">IFERROR(VALUE(F699),"")</f>
        <v>298.58</v>
      </c>
      <c r="BN699" s="6" t="n">
        <f aca="false">IF(R699="-","",IFERROR(VALUE(LEFT(Q699,LEN(Q699)-2)),""))</f>
        <v>108.99</v>
      </c>
      <c r="BO699" s="6" t="n">
        <f aca="false">IF(R699="-","",IFERROR(VALUE(LEFT(R699,LEN(R699)-5)),""))</f>
        <v>2.74</v>
      </c>
      <c r="BP699" s="6" t="n">
        <f aca="false">IF(R699="-","",IFERROR(VALUE(F699),""))</f>
        <v>298.58</v>
      </c>
      <c r="BQ699" s="4" t="n">
        <f aca="false">IF(R699="-",1,0)</f>
        <v>0</v>
      </c>
    </row>
    <row r="700" customFormat="false" ht="15" hidden="false" customHeight="false" outlineLevel="0" collapsed="false">
      <c r="A700" s="0" t="s">
        <v>2834</v>
      </c>
      <c r="B700" s="0" t="s">
        <v>2835</v>
      </c>
      <c r="C700" s="0" t="s">
        <v>70</v>
      </c>
      <c r="E700" s="3" t="n">
        <v>46276</v>
      </c>
      <c r="F700" s="4" t="s">
        <v>95</v>
      </c>
      <c r="G700" s="5" t="n">
        <v>0</v>
      </c>
      <c r="H700" s="5" t="n">
        <v>0</v>
      </c>
      <c r="I700" s="5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5" t="n">
        <v>0</v>
      </c>
      <c r="P700" s="5" t="n">
        <v>0</v>
      </c>
      <c r="Q700" s="4" t="s">
        <v>73</v>
      </c>
      <c r="R700" s="4" t="s">
        <v>73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0</v>
      </c>
      <c r="X700" s="5" t="n">
        <v>0</v>
      </c>
      <c r="Y700" s="5" t="n">
        <v>0</v>
      </c>
      <c r="Z700" s="0" t="n">
        <v>0</v>
      </c>
      <c r="AA700" s="0" t="n">
        <v>0</v>
      </c>
      <c r="AB700" s="0" t="n">
        <v>0</v>
      </c>
      <c r="AC700" s="4" t="s">
        <v>432</v>
      </c>
      <c r="AD700" s="4" t="s">
        <v>432</v>
      </c>
      <c r="AE700" s="4" t="s">
        <v>2840</v>
      </c>
      <c r="AF700" s="4" t="s">
        <v>2840</v>
      </c>
      <c r="AG700" s="5" t="n">
        <v>0</v>
      </c>
      <c r="AH700" s="5" t="n">
        <v>0.0184027777777778</v>
      </c>
      <c r="AI700" s="5" t="n">
        <v>0</v>
      </c>
      <c r="AJ700" s="5" t="n">
        <v>0</v>
      </c>
      <c r="AK700" s="5" t="n">
        <v>0</v>
      </c>
      <c r="AL700" s="5" t="n">
        <v>0</v>
      </c>
      <c r="AM700" s="4" t="s">
        <v>78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  <c r="AU700" s="0" t="n">
        <v>0</v>
      </c>
      <c r="AV700" s="0" t="n">
        <v>0</v>
      </c>
      <c r="AW700" s="0" t="n">
        <v>0</v>
      </c>
      <c r="AX700" s="0" t="n">
        <v>0</v>
      </c>
      <c r="AY700" s="0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0</v>
      </c>
      <c r="BG700" s="0" t="n">
        <v>0</v>
      </c>
      <c r="BH700" s="0" t="n">
        <v>0</v>
      </c>
      <c r="BI700" s="0" t="n">
        <v>0</v>
      </c>
      <c r="BJ700" s="0" t="n">
        <v>0</v>
      </c>
      <c r="BK700" s="0" t="n">
        <v>0</v>
      </c>
      <c r="BM700" s="6" t="n">
        <f aca="false">IFERROR(VALUE(F700),"")</f>
        <v>0</v>
      </c>
      <c r="BN700" s="6" t="str">
        <f aca="false">IF(R700="-","",IFERROR(VALUE(LEFT(Q700,LEN(Q700)-2)),""))</f>
        <v/>
      </c>
      <c r="BO700" s="6" t="str">
        <f aca="false">IF(R700="-","",IFERROR(VALUE(LEFT(R700,LEN(R700)-5)),""))</f>
        <v/>
      </c>
      <c r="BP700" s="6" t="str">
        <f aca="false">IF(R700="-","",IFERROR(VALUE(F700),""))</f>
        <v/>
      </c>
      <c r="BQ700" s="4" t="n">
        <f aca="false">IF(R700="-",1,0)</f>
        <v>1</v>
      </c>
    </row>
    <row r="701" customFormat="false" ht="15" hidden="false" customHeight="false" outlineLevel="0" collapsed="false">
      <c r="A701" s="0" t="s">
        <v>2834</v>
      </c>
      <c r="B701" s="0" t="s">
        <v>2835</v>
      </c>
      <c r="C701" s="0" t="s">
        <v>70</v>
      </c>
      <c r="D701" s="0" t="s">
        <v>2841</v>
      </c>
      <c r="E701" s="3" t="n">
        <v>46277</v>
      </c>
      <c r="F701" s="4" t="s">
        <v>2842</v>
      </c>
      <c r="G701" s="5" t="n">
        <v>0.321342592592593</v>
      </c>
      <c r="H701" s="5" t="n">
        <v>0.281944444444444</v>
      </c>
      <c r="I701" s="5" t="n">
        <v>0.0012962962962963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1</v>
      </c>
      <c r="O701" s="5" t="n">
        <v>0</v>
      </c>
      <c r="P701" s="5" t="n">
        <v>0.0218865740740741</v>
      </c>
      <c r="Q701" s="4" t="s">
        <v>2843</v>
      </c>
      <c r="R701" s="4" t="s">
        <v>1061</v>
      </c>
      <c r="S701" s="5" t="n">
        <v>0.000115740740740741</v>
      </c>
      <c r="T701" s="5" t="n">
        <v>0.0733796296296296</v>
      </c>
      <c r="U701" s="5" t="n">
        <v>0.18587962962963</v>
      </c>
      <c r="V701" s="5" t="n">
        <v>0.00960648148148148</v>
      </c>
      <c r="W701" s="5" t="n">
        <v>0</v>
      </c>
      <c r="X701" s="5" t="n">
        <v>0</v>
      </c>
      <c r="Y701" s="5" t="n">
        <v>0</v>
      </c>
      <c r="Z701" s="0" t="n">
        <v>0</v>
      </c>
      <c r="AA701" s="0" t="n">
        <v>0</v>
      </c>
      <c r="AB701" s="0" t="n">
        <v>0</v>
      </c>
      <c r="AC701" s="4" t="s">
        <v>432</v>
      </c>
      <c r="AD701" s="4" t="s">
        <v>208</v>
      </c>
      <c r="AE701" s="4" t="s">
        <v>2840</v>
      </c>
      <c r="AF701" s="4" t="s">
        <v>2844</v>
      </c>
      <c r="AG701" s="5" t="n">
        <v>0.233969907407407</v>
      </c>
      <c r="AH701" s="5" t="n">
        <v>0.10619212962963</v>
      </c>
      <c r="AI701" s="5" t="n">
        <v>0</v>
      </c>
      <c r="AJ701" s="5" t="n">
        <v>0</v>
      </c>
      <c r="AK701" s="5" t="n">
        <v>0</v>
      </c>
      <c r="AL701" s="5" t="n">
        <v>0</v>
      </c>
      <c r="AM701" s="4" t="s">
        <v>78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  <c r="AU701" s="0" t="n">
        <v>2</v>
      </c>
      <c r="AV701" s="0" t="n">
        <v>0</v>
      </c>
      <c r="AW701" s="0" t="n">
        <v>0</v>
      </c>
      <c r="AX701" s="0" t="n">
        <v>0</v>
      </c>
      <c r="AY701" s="0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0</v>
      </c>
      <c r="BH701" s="0" t="n">
        <v>0</v>
      </c>
      <c r="BI701" s="0" t="n">
        <v>0</v>
      </c>
      <c r="BJ701" s="0" t="n">
        <v>0</v>
      </c>
      <c r="BK701" s="0" t="n">
        <v>0</v>
      </c>
      <c r="BM701" s="6" t="n">
        <f aca="false">IFERROR(VALUE(F701),"")</f>
        <v>322.79</v>
      </c>
      <c r="BN701" s="6" t="n">
        <f aca="false">IF(R701="-","",IFERROR(VALUE(LEFT(Q701,LEN(Q701)-2)),""))</f>
        <v>106.02</v>
      </c>
      <c r="BO701" s="6" t="n">
        <f aca="false">IF(R701="-","",IFERROR(VALUE(LEFT(R701,LEN(R701)-5)),""))</f>
        <v>3.04</v>
      </c>
      <c r="BP701" s="6" t="n">
        <f aca="false">IF(R701="-","",IFERROR(VALUE(F701),""))</f>
        <v>322.79</v>
      </c>
      <c r="BQ701" s="4" t="n">
        <f aca="false">IF(R701="-",1,0)</f>
        <v>0</v>
      </c>
    </row>
    <row r="702" customFormat="false" ht="15" hidden="false" customHeight="false" outlineLevel="0" collapsed="false">
      <c r="A702" s="0" t="s">
        <v>2834</v>
      </c>
      <c r="B702" s="0" t="s">
        <v>2835</v>
      </c>
      <c r="C702" s="0" t="s">
        <v>70</v>
      </c>
      <c r="D702" s="0" t="s">
        <v>2845</v>
      </c>
      <c r="E702" s="3" t="n">
        <v>46278</v>
      </c>
      <c r="F702" s="4" t="s">
        <v>2846</v>
      </c>
      <c r="G702" s="5" t="n">
        <v>0.508912037037037</v>
      </c>
      <c r="H702" s="5" t="n">
        <v>0.469791666666667</v>
      </c>
      <c r="I702" s="5" t="n">
        <v>0.00121527777777778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1</v>
      </c>
      <c r="O702" s="5" t="n">
        <v>0</v>
      </c>
      <c r="P702" s="5" t="n">
        <v>0.00849537037037037</v>
      </c>
      <c r="Q702" s="4" t="s">
        <v>2847</v>
      </c>
      <c r="R702" s="4" t="s">
        <v>1341</v>
      </c>
      <c r="S702" s="5" t="n">
        <v>0.000115740740740741</v>
      </c>
      <c r="T702" s="5" t="n">
        <v>0.150115740740741</v>
      </c>
      <c r="U702" s="5" t="n">
        <v>0.318518518518519</v>
      </c>
      <c r="V702" s="5" t="n">
        <v>0.021875</v>
      </c>
      <c r="W702" s="5" t="n">
        <v>0</v>
      </c>
      <c r="X702" s="5" t="n">
        <v>0</v>
      </c>
      <c r="Y702" s="5" t="n">
        <v>0</v>
      </c>
      <c r="Z702" s="0" t="n">
        <v>0</v>
      </c>
      <c r="AA702" s="0" t="n">
        <v>0</v>
      </c>
      <c r="AB702" s="0" t="n">
        <v>0</v>
      </c>
      <c r="AC702" s="4" t="s">
        <v>208</v>
      </c>
      <c r="AD702" s="4" t="s">
        <v>208</v>
      </c>
      <c r="AE702" s="4" t="s">
        <v>2844</v>
      </c>
      <c r="AF702" s="4" t="s">
        <v>2848</v>
      </c>
      <c r="AG702" s="5" t="n">
        <v>0.427719907407407</v>
      </c>
      <c r="AH702" s="5" t="n">
        <v>0.170335648148148</v>
      </c>
      <c r="AI702" s="5" t="n">
        <v>0</v>
      </c>
      <c r="AJ702" s="5" t="n">
        <v>0</v>
      </c>
      <c r="AK702" s="5" t="n">
        <v>0</v>
      </c>
      <c r="AL702" s="5" t="n">
        <v>0</v>
      </c>
      <c r="AM702" s="4" t="s">
        <v>78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  <c r="AU702" s="0" t="n">
        <v>7</v>
      </c>
      <c r="AV702" s="0" t="n">
        <v>0</v>
      </c>
      <c r="AW702" s="0" t="n">
        <v>0</v>
      </c>
      <c r="AX702" s="0" t="n">
        <v>0</v>
      </c>
      <c r="AY702" s="0" t="n">
        <v>0</v>
      </c>
      <c r="AZ702" s="0" t="n">
        <v>0</v>
      </c>
      <c r="BA702" s="0" t="n">
        <v>0</v>
      </c>
      <c r="BB702" s="0" t="n">
        <v>0</v>
      </c>
      <c r="BC702" s="0" t="n">
        <v>0</v>
      </c>
      <c r="BD702" s="0" t="n">
        <v>0</v>
      </c>
      <c r="BE702" s="0" t="n">
        <v>0</v>
      </c>
      <c r="BF702" s="0" t="n">
        <v>0</v>
      </c>
      <c r="BG702" s="0" t="n">
        <v>0</v>
      </c>
      <c r="BH702" s="0" t="n">
        <v>0</v>
      </c>
      <c r="BI702" s="0" t="n">
        <v>0</v>
      </c>
      <c r="BJ702" s="0" t="n">
        <v>0</v>
      </c>
      <c r="BK702" s="0" t="n">
        <v>0</v>
      </c>
      <c r="BM702" s="6" t="n">
        <f aca="false">IFERROR(VALUE(F702),"")</f>
        <v>554.65</v>
      </c>
      <c r="BN702" s="6" t="n">
        <f aca="false">IF(R702="-","",IFERROR(VALUE(LEFT(Q702,LEN(Q702)-2)),""))</f>
        <v>184.99</v>
      </c>
      <c r="BO702" s="6" t="n">
        <f aca="false">IF(R702="-","",IFERROR(VALUE(LEFT(R702,LEN(R702)-5)),""))</f>
        <v>3</v>
      </c>
      <c r="BP702" s="6" t="n">
        <f aca="false">IF(R702="-","",IFERROR(VALUE(F702),""))</f>
        <v>554.65</v>
      </c>
      <c r="BQ702" s="4" t="n">
        <f aca="false">IF(R702="-",1,0)</f>
        <v>0</v>
      </c>
    </row>
    <row r="703" customFormat="false" ht="15" hidden="false" customHeight="false" outlineLevel="0" collapsed="false">
      <c r="A703" s="0" t="s">
        <v>2834</v>
      </c>
      <c r="B703" s="0" t="s">
        <v>2835</v>
      </c>
      <c r="C703" s="0" t="s">
        <v>70</v>
      </c>
      <c r="D703" s="0" t="s">
        <v>2849</v>
      </c>
      <c r="E703" s="3" t="n">
        <v>46279</v>
      </c>
      <c r="F703" s="4" t="s">
        <v>2850</v>
      </c>
      <c r="G703" s="5" t="n">
        <v>0.533993055555556</v>
      </c>
      <c r="H703" s="5" t="n">
        <v>0.460023148148148</v>
      </c>
      <c r="I703" s="5" t="n">
        <v>9.25925925925926E-005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5" t="n">
        <v>0</v>
      </c>
      <c r="P703" s="5" t="n">
        <v>0.0143634259259259</v>
      </c>
      <c r="Q703" s="4" t="s">
        <v>2605</v>
      </c>
      <c r="R703" s="4" t="s">
        <v>299</v>
      </c>
      <c r="S703" s="5" t="n">
        <v>0.000231481481481482</v>
      </c>
      <c r="T703" s="5" t="n">
        <v>0.177662037037037</v>
      </c>
      <c r="U703" s="5" t="n">
        <v>0.336111111111111</v>
      </c>
      <c r="V703" s="5" t="n">
        <v>0.00347222222222222</v>
      </c>
      <c r="W703" s="5" t="n">
        <v>0</v>
      </c>
      <c r="X703" s="5" t="n">
        <v>0</v>
      </c>
      <c r="Y703" s="5" t="n">
        <v>0</v>
      </c>
      <c r="Z703" s="0" t="n">
        <v>0</v>
      </c>
      <c r="AA703" s="0" t="n">
        <v>0</v>
      </c>
      <c r="AB703" s="0" t="n">
        <v>0</v>
      </c>
      <c r="AC703" s="4" t="s">
        <v>208</v>
      </c>
      <c r="AD703" s="4" t="s">
        <v>208</v>
      </c>
      <c r="AE703" s="4" t="s">
        <v>2848</v>
      </c>
      <c r="AF703" s="4" t="s">
        <v>2851</v>
      </c>
      <c r="AG703" s="5" t="n">
        <v>0.45587962962963</v>
      </c>
      <c r="AH703" s="5" t="n">
        <v>0.248900462962963</v>
      </c>
      <c r="AI703" s="5" t="n">
        <v>0</v>
      </c>
      <c r="AJ703" s="5" t="n">
        <v>0</v>
      </c>
      <c r="AK703" s="5" t="n">
        <v>0</v>
      </c>
      <c r="AL703" s="5" t="n">
        <v>0</v>
      </c>
      <c r="AM703" s="4" t="s">
        <v>78</v>
      </c>
      <c r="AN703" s="0" t="n">
        <v>0</v>
      </c>
      <c r="AO703" s="0" t="n">
        <v>1</v>
      </c>
      <c r="AP703" s="0" t="n">
        <v>0</v>
      </c>
      <c r="AQ703" s="0" t="n">
        <v>0</v>
      </c>
      <c r="AR703" s="0" t="n">
        <v>0</v>
      </c>
      <c r="AS703" s="0" t="n">
        <v>2</v>
      </c>
      <c r="AT703" s="0" t="n">
        <v>0</v>
      </c>
      <c r="AU703" s="0" t="n">
        <v>7</v>
      </c>
      <c r="AV703" s="0" t="n">
        <v>0</v>
      </c>
      <c r="AW703" s="0" t="n">
        <v>1</v>
      </c>
      <c r="AX703" s="0" t="n">
        <v>0</v>
      </c>
      <c r="AY703" s="0" t="n">
        <v>0</v>
      </c>
      <c r="AZ703" s="0" t="n">
        <v>0</v>
      </c>
      <c r="BA703" s="0" t="n">
        <v>0</v>
      </c>
      <c r="BB703" s="0" t="n">
        <v>0</v>
      </c>
      <c r="BC703" s="0" t="n">
        <v>0</v>
      </c>
      <c r="BD703" s="0" t="n">
        <v>0</v>
      </c>
      <c r="BE703" s="0" t="n">
        <v>0</v>
      </c>
      <c r="BF703" s="0" t="n">
        <v>0</v>
      </c>
      <c r="BG703" s="0" t="n">
        <v>0</v>
      </c>
      <c r="BH703" s="0" t="n">
        <v>0</v>
      </c>
      <c r="BI703" s="0" t="n">
        <v>0</v>
      </c>
      <c r="BJ703" s="0" t="n">
        <v>0</v>
      </c>
      <c r="BK703" s="0" t="n">
        <v>0</v>
      </c>
      <c r="BM703" s="6" t="n">
        <f aca="false">IFERROR(VALUE(F703),"")</f>
        <v>561.52</v>
      </c>
      <c r="BN703" s="6" t="n">
        <f aca="false">IF(R703="-","",IFERROR(VALUE(LEFT(Q703,LEN(Q703)-2)),""))</f>
        <v>187.49</v>
      </c>
      <c r="BO703" s="6" t="n">
        <f aca="false">IF(R703="-","",IFERROR(VALUE(LEFT(R703,LEN(R703)-5)),""))</f>
        <v>2.99</v>
      </c>
      <c r="BP703" s="6" t="n">
        <f aca="false">IF(R703="-","",IFERROR(VALUE(F703),""))</f>
        <v>561.52</v>
      </c>
      <c r="BQ703" s="4" t="n">
        <f aca="false">IF(R703="-",1,0)</f>
        <v>0</v>
      </c>
    </row>
    <row r="704" customFormat="false" ht="15" hidden="false" customHeight="false" outlineLevel="0" collapsed="false">
      <c r="A704" s="0" t="s">
        <v>2852</v>
      </c>
      <c r="B704" s="0" t="s">
        <v>2853</v>
      </c>
      <c r="C704" s="0" t="s">
        <v>70</v>
      </c>
      <c r="D704" s="0" t="s">
        <v>2854</v>
      </c>
      <c r="E704" s="3" t="n">
        <v>46273</v>
      </c>
      <c r="F704" s="4" t="s">
        <v>2855</v>
      </c>
      <c r="G704" s="5" t="n">
        <v>0.0305324074074074</v>
      </c>
      <c r="H704" s="5" t="n">
        <v>0.00703703703703704</v>
      </c>
      <c r="I704" s="5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5" t="n">
        <v>0</v>
      </c>
      <c r="P704" s="5" t="n">
        <v>0</v>
      </c>
      <c r="Q704" s="4" t="s">
        <v>2002</v>
      </c>
      <c r="R704" s="4" t="s">
        <v>2856</v>
      </c>
      <c r="S704" s="5" t="n">
        <v>0.000347222222222222</v>
      </c>
      <c r="T704" s="5" t="n">
        <v>0.0166666666666667</v>
      </c>
      <c r="U704" s="5" t="n">
        <v>0.00231481481481482</v>
      </c>
      <c r="V704" s="5" t="n">
        <v>0.000115740740740741</v>
      </c>
      <c r="W704" s="5" t="n">
        <v>0</v>
      </c>
      <c r="X704" s="5" t="n">
        <v>0</v>
      </c>
      <c r="Y704" s="5" t="n">
        <v>0</v>
      </c>
      <c r="Z704" s="0" t="n">
        <v>0</v>
      </c>
      <c r="AA704" s="0" t="n">
        <v>0</v>
      </c>
      <c r="AB704" s="0" t="n">
        <v>0</v>
      </c>
      <c r="AC704" s="4" t="s">
        <v>2857</v>
      </c>
      <c r="AD704" s="4" t="s">
        <v>1026</v>
      </c>
      <c r="AE704" s="4" t="s">
        <v>2858</v>
      </c>
      <c r="AF704" s="4" t="s">
        <v>2859</v>
      </c>
      <c r="AG704" s="5" t="n">
        <v>0.00672453703703704</v>
      </c>
      <c r="AH704" s="5" t="n">
        <v>0.0702777777777778</v>
      </c>
      <c r="AI704" s="5" t="n">
        <v>0</v>
      </c>
      <c r="AJ704" s="5" t="n">
        <v>0</v>
      </c>
      <c r="AK704" s="5" t="n">
        <v>0</v>
      </c>
      <c r="AL704" s="5" t="n">
        <v>0</v>
      </c>
      <c r="AM704" s="4" t="s">
        <v>78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  <c r="AU704" s="0" t="n">
        <v>0</v>
      </c>
      <c r="AV704" s="0" t="n">
        <v>0</v>
      </c>
      <c r="AW704" s="0" t="n">
        <v>0</v>
      </c>
      <c r="AX704" s="0" t="n">
        <v>0</v>
      </c>
      <c r="AY704" s="0" t="n">
        <v>0</v>
      </c>
      <c r="AZ704" s="0" t="n">
        <v>0</v>
      </c>
      <c r="BA704" s="0" t="n">
        <v>0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0</v>
      </c>
      <c r="BH704" s="0" t="n">
        <v>0</v>
      </c>
      <c r="BI704" s="0" t="n">
        <v>0</v>
      </c>
      <c r="BJ704" s="0" t="n">
        <v>0</v>
      </c>
      <c r="BK704" s="0" t="n">
        <v>0</v>
      </c>
      <c r="BM704" s="6" t="n">
        <f aca="false">IFERROR(VALUE(F704),"")</f>
        <v>1.48</v>
      </c>
      <c r="BN704" s="6" t="n">
        <f aca="false">IF(R704="-","",IFERROR(VALUE(LEFT(Q704,LEN(Q704)-2)),""))</f>
        <v>2.02</v>
      </c>
      <c r="BO704" s="6" t="n">
        <f aca="false">IF(R704="-","",IFERROR(VALUE(LEFT(R704,LEN(R704)-5)),""))</f>
        <v>0.73</v>
      </c>
      <c r="BP704" s="6" t="n">
        <f aca="false">IF(R704="-","",IFERROR(VALUE(F704),""))</f>
        <v>1.48</v>
      </c>
      <c r="BQ704" s="4" t="n">
        <f aca="false">IF(R704="-",1,0)</f>
        <v>0</v>
      </c>
    </row>
    <row r="705" customFormat="false" ht="15" hidden="false" customHeight="false" outlineLevel="0" collapsed="false">
      <c r="A705" s="0" t="s">
        <v>2852</v>
      </c>
      <c r="B705" s="0" t="s">
        <v>2853</v>
      </c>
      <c r="C705" s="0" t="s">
        <v>70</v>
      </c>
      <c r="D705" s="0" t="s">
        <v>2860</v>
      </c>
      <c r="E705" s="3" t="n">
        <v>46274</v>
      </c>
      <c r="F705" s="4" t="s">
        <v>2861</v>
      </c>
      <c r="G705" s="5" t="n">
        <v>0.00690972222222222</v>
      </c>
      <c r="H705" s="5" t="n">
        <v>0.00356481481481482</v>
      </c>
      <c r="I705" s="5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5" t="n">
        <v>0</v>
      </c>
      <c r="P705" s="5" t="n">
        <v>0</v>
      </c>
      <c r="Q705" s="4" t="s">
        <v>73</v>
      </c>
      <c r="R705" s="4" t="s">
        <v>73</v>
      </c>
      <c r="S705" s="5" t="n">
        <v>0.000115740740740741</v>
      </c>
      <c r="T705" s="5" t="n">
        <v>0.00555555555555556</v>
      </c>
      <c r="U705" s="5" t="n">
        <v>0</v>
      </c>
      <c r="V705" s="5" t="n">
        <v>0</v>
      </c>
      <c r="W705" s="5" t="n">
        <v>0</v>
      </c>
      <c r="X705" s="5" t="n">
        <v>0</v>
      </c>
      <c r="Y705" s="5" t="n">
        <v>0</v>
      </c>
      <c r="Z705" s="0" t="n">
        <v>0</v>
      </c>
      <c r="AA705" s="0" t="n">
        <v>0</v>
      </c>
      <c r="AB705" s="0" t="n">
        <v>0</v>
      </c>
      <c r="AC705" s="4" t="s">
        <v>2862</v>
      </c>
      <c r="AD705" s="4" t="s">
        <v>1026</v>
      </c>
      <c r="AE705" s="4" t="s">
        <v>2859</v>
      </c>
      <c r="AF705" s="4" t="s">
        <v>2863</v>
      </c>
      <c r="AG705" s="5" t="n">
        <v>0.00105324074074074</v>
      </c>
      <c r="AH705" s="5" t="n">
        <v>0.0327430555555556</v>
      </c>
      <c r="AI705" s="5" t="n">
        <v>0</v>
      </c>
      <c r="AJ705" s="5" t="n">
        <v>0</v>
      </c>
      <c r="AK705" s="5" t="n">
        <v>0</v>
      </c>
      <c r="AL705" s="5" t="n">
        <v>0</v>
      </c>
      <c r="AM705" s="4" t="s">
        <v>78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0</v>
      </c>
      <c r="AY705" s="0" t="n">
        <v>0</v>
      </c>
      <c r="AZ705" s="0" t="n">
        <v>0</v>
      </c>
      <c r="BA705" s="0" t="n">
        <v>0</v>
      </c>
      <c r="BB705" s="0" t="n">
        <v>0</v>
      </c>
      <c r="BC705" s="0" t="n">
        <v>0</v>
      </c>
      <c r="BD705" s="0" t="n">
        <v>0</v>
      </c>
      <c r="BE705" s="0" t="n">
        <v>0</v>
      </c>
      <c r="BF705" s="0" t="n">
        <v>0</v>
      </c>
      <c r="BG705" s="0" t="n">
        <v>0</v>
      </c>
      <c r="BH705" s="0" t="n">
        <v>0</v>
      </c>
      <c r="BI705" s="0" t="n">
        <v>0</v>
      </c>
      <c r="BJ705" s="0" t="n">
        <v>0</v>
      </c>
      <c r="BK705" s="0" t="n">
        <v>0</v>
      </c>
      <c r="BM705" s="6" t="n">
        <f aca="false">IFERROR(VALUE(F705),"")</f>
        <v>0.02</v>
      </c>
      <c r="BN705" s="6" t="str">
        <f aca="false">IF(R705="-","",IFERROR(VALUE(LEFT(Q705,LEN(Q705)-2)),""))</f>
        <v/>
      </c>
      <c r="BO705" s="6" t="str">
        <f aca="false">IF(R705="-","",IFERROR(VALUE(LEFT(R705,LEN(R705)-5)),""))</f>
        <v/>
      </c>
      <c r="BP705" s="6" t="str">
        <f aca="false">IF(R705="-","",IFERROR(VALUE(F705),""))</f>
        <v/>
      </c>
      <c r="BQ705" s="4" t="n">
        <f aca="false">IF(R705="-",1,0)</f>
        <v>1</v>
      </c>
    </row>
    <row r="706" customFormat="false" ht="15" hidden="false" customHeight="false" outlineLevel="0" collapsed="false">
      <c r="A706" s="0" t="s">
        <v>2852</v>
      </c>
      <c r="B706" s="0" t="s">
        <v>2853</v>
      </c>
      <c r="C706" s="0" t="s">
        <v>70</v>
      </c>
      <c r="D706" s="0" t="s">
        <v>2864</v>
      </c>
      <c r="E706" s="3" t="n">
        <v>46275</v>
      </c>
      <c r="F706" s="4" t="s">
        <v>2865</v>
      </c>
      <c r="G706" s="5" t="n">
        <v>0.562835648148148</v>
      </c>
      <c r="H706" s="5" t="n">
        <v>0.555150462962963</v>
      </c>
      <c r="I706" s="5" t="n">
        <v>0.0119560185185185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3</v>
      </c>
      <c r="O706" s="5" t="n">
        <v>0</v>
      </c>
      <c r="P706" s="5" t="n">
        <v>0.00866898148148148</v>
      </c>
      <c r="Q706" s="4" t="s">
        <v>2866</v>
      </c>
      <c r="R706" s="4" t="s">
        <v>1108</v>
      </c>
      <c r="S706" s="5" t="n">
        <v>0.000694444444444445</v>
      </c>
      <c r="T706" s="5" t="n">
        <v>0.161111111111111</v>
      </c>
      <c r="U706" s="5" t="n">
        <v>0.318518518518519</v>
      </c>
      <c r="V706" s="5" t="n">
        <v>0.0297453703703704</v>
      </c>
      <c r="W706" s="5" t="n">
        <v>0</v>
      </c>
      <c r="X706" s="5" t="n">
        <v>0</v>
      </c>
      <c r="Y706" s="5" t="n">
        <v>0</v>
      </c>
      <c r="Z706" s="0" t="n">
        <v>0</v>
      </c>
      <c r="AA706" s="0" t="n">
        <v>0</v>
      </c>
      <c r="AB706" s="0" t="n">
        <v>0</v>
      </c>
      <c r="AC706" s="4" t="s">
        <v>1026</v>
      </c>
      <c r="AD706" s="4" t="s">
        <v>1026</v>
      </c>
      <c r="AE706" s="4" t="s">
        <v>2863</v>
      </c>
      <c r="AF706" s="4" t="s">
        <v>2867</v>
      </c>
      <c r="AG706" s="5" t="n">
        <v>0.455578703703704</v>
      </c>
      <c r="AH706" s="5" t="n">
        <v>0.175590277777778</v>
      </c>
      <c r="AI706" s="5" t="n">
        <v>0</v>
      </c>
      <c r="AJ706" s="5" t="n">
        <v>0</v>
      </c>
      <c r="AK706" s="5" t="n">
        <v>0</v>
      </c>
      <c r="AL706" s="5" t="n">
        <v>0</v>
      </c>
      <c r="AM706" s="4" t="s">
        <v>78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  <c r="AU706" s="0" t="n">
        <v>0</v>
      </c>
      <c r="AV706" s="0" t="n">
        <v>0</v>
      </c>
      <c r="AW706" s="0" t="n">
        <v>0</v>
      </c>
      <c r="AX706" s="0" t="n">
        <v>0</v>
      </c>
      <c r="AY706" s="0" t="n">
        <v>0</v>
      </c>
      <c r="AZ706" s="0" t="n">
        <v>0</v>
      </c>
      <c r="BA706" s="0" t="n">
        <v>0</v>
      </c>
      <c r="BB706" s="0" t="n">
        <v>0</v>
      </c>
      <c r="BC706" s="0" t="n">
        <v>0</v>
      </c>
      <c r="BD706" s="0" t="n">
        <v>0</v>
      </c>
      <c r="BE706" s="0" t="n">
        <v>0</v>
      </c>
      <c r="BF706" s="0" t="n">
        <v>0</v>
      </c>
      <c r="BG706" s="0" t="n">
        <v>0</v>
      </c>
      <c r="BH706" s="0" t="n">
        <v>0</v>
      </c>
      <c r="BI706" s="0" t="n">
        <v>0</v>
      </c>
      <c r="BJ706" s="0" t="n">
        <v>0</v>
      </c>
      <c r="BK706" s="0" t="n">
        <v>0</v>
      </c>
      <c r="BM706" s="6" t="n">
        <f aca="false">IFERROR(VALUE(F706),"")</f>
        <v>571.49</v>
      </c>
      <c r="BN706" s="6" t="n">
        <f aca="false">IF(R706="-","",IFERROR(VALUE(LEFT(Q706,LEN(Q706)-2)),""))</f>
        <v>220.48</v>
      </c>
      <c r="BO706" s="6" t="n">
        <f aca="false">IF(R706="-","",IFERROR(VALUE(LEFT(R706,LEN(R706)-5)),""))</f>
        <v>2.59</v>
      </c>
      <c r="BP706" s="6" t="n">
        <f aca="false">IF(R706="-","",IFERROR(VALUE(F706),""))</f>
        <v>571.49</v>
      </c>
      <c r="BQ706" s="4" t="n">
        <f aca="false">IF(R706="-",1,0)</f>
        <v>0</v>
      </c>
    </row>
    <row r="707" customFormat="false" ht="15" hidden="false" customHeight="false" outlineLevel="0" collapsed="false">
      <c r="A707" s="0" t="s">
        <v>2852</v>
      </c>
      <c r="B707" s="0" t="s">
        <v>2853</v>
      </c>
      <c r="C707" s="0" t="s">
        <v>70</v>
      </c>
      <c r="D707" s="0" t="s">
        <v>2868</v>
      </c>
      <c r="E707" s="3" t="n">
        <v>46276</v>
      </c>
      <c r="F707" s="4" t="s">
        <v>2869</v>
      </c>
      <c r="G707" s="5" t="n">
        <v>0.590335648148148</v>
      </c>
      <c r="H707" s="5" t="n">
        <v>0.283055555555556</v>
      </c>
      <c r="I707" s="5" t="n">
        <v>8.10185185185185E-005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5" t="n">
        <v>0</v>
      </c>
      <c r="P707" s="5" t="n">
        <v>0</v>
      </c>
      <c r="Q707" s="4" t="s">
        <v>2870</v>
      </c>
      <c r="R707" s="4" t="s">
        <v>515</v>
      </c>
      <c r="S707" s="5" t="n">
        <v>0.00150462962962963</v>
      </c>
      <c r="T707" s="5" t="n">
        <v>0.187152777777778</v>
      </c>
      <c r="U707" s="5" t="n">
        <v>0.326041666666667</v>
      </c>
      <c r="V707" s="5" t="n">
        <v>0.0138888888888889</v>
      </c>
      <c r="W707" s="5" t="n">
        <v>0</v>
      </c>
      <c r="X707" s="5" t="n">
        <v>0</v>
      </c>
      <c r="Y707" s="5" t="n">
        <v>0</v>
      </c>
      <c r="Z707" s="0" t="n">
        <v>0</v>
      </c>
      <c r="AA707" s="0" t="n">
        <v>0</v>
      </c>
      <c r="AB707" s="0" t="n">
        <v>0</v>
      </c>
      <c r="AC707" s="4" t="s">
        <v>1026</v>
      </c>
      <c r="AD707" s="4" t="s">
        <v>1026</v>
      </c>
      <c r="AE707" s="4" t="s">
        <v>2867</v>
      </c>
      <c r="AF707" s="4" t="s">
        <v>2871</v>
      </c>
      <c r="AG707" s="5" t="n">
        <v>0.468842592592593</v>
      </c>
      <c r="AH707" s="5" t="n">
        <v>0.249918981481482</v>
      </c>
      <c r="AI707" s="5" t="n">
        <v>0</v>
      </c>
      <c r="AJ707" s="5" t="n">
        <v>0</v>
      </c>
      <c r="AK707" s="5" t="n">
        <v>0</v>
      </c>
      <c r="AL707" s="5" t="n">
        <v>0</v>
      </c>
      <c r="AM707" s="4" t="s">
        <v>78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0</v>
      </c>
      <c r="AZ707" s="0" t="n">
        <v>0</v>
      </c>
      <c r="BA707" s="0" t="n">
        <v>0</v>
      </c>
      <c r="BB707" s="0" t="n">
        <v>0</v>
      </c>
      <c r="BC707" s="0" t="n">
        <v>0</v>
      </c>
      <c r="BD707" s="0" t="n">
        <v>0</v>
      </c>
      <c r="BE707" s="0" t="n">
        <v>0</v>
      </c>
      <c r="BF707" s="0" t="n">
        <v>0</v>
      </c>
      <c r="BG707" s="0" t="n">
        <v>0</v>
      </c>
      <c r="BH707" s="0" t="n">
        <v>0</v>
      </c>
      <c r="BI707" s="0" t="n">
        <v>0</v>
      </c>
      <c r="BJ707" s="0" t="n">
        <v>0</v>
      </c>
      <c r="BK707" s="0" t="n">
        <v>0</v>
      </c>
      <c r="BM707" s="6" t="n">
        <f aca="false">IFERROR(VALUE(F707),"")</f>
        <v>578.45</v>
      </c>
      <c r="BN707" s="6" t="n">
        <f aca="false">IF(R707="-","",IFERROR(VALUE(LEFT(Q707,LEN(Q707)-2)),""))</f>
        <v>214.46</v>
      </c>
      <c r="BO707" s="6" t="n">
        <f aca="false">IF(R707="-","",IFERROR(VALUE(LEFT(R707,LEN(R707)-5)),""))</f>
        <v>2.7</v>
      </c>
      <c r="BP707" s="6" t="n">
        <f aca="false">IF(R707="-","",IFERROR(VALUE(F707),""))</f>
        <v>578.45</v>
      </c>
      <c r="BQ707" s="4" t="n">
        <f aca="false">IF(R707="-",1,0)</f>
        <v>0</v>
      </c>
    </row>
    <row r="708" customFormat="false" ht="15" hidden="false" customHeight="false" outlineLevel="0" collapsed="false">
      <c r="A708" s="0" t="s">
        <v>2852</v>
      </c>
      <c r="B708" s="0" t="s">
        <v>2853</v>
      </c>
      <c r="C708" s="0" t="s">
        <v>70</v>
      </c>
      <c r="D708" s="0" t="s">
        <v>2872</v>
      </c>
      <c r="E708" s="3" t="n">
        <v>46277</v>
      </c>
      <c r="F708" s="4" t="s">
        <v>2873</v>
      </c>
      <c r="G708" s="5" t="n">
        <v>0.590069444444444</v>
      </c>
      <c r="H708" s="5" t="n">
        <v>0.55587962962963</v>
      </c>
      <c r="I708" s="5" t="n">
        <v>0.0003125</v>
      </c>
      <c r="J708" s="0" t="n">
        <v>0</v>
      </c>
      <c r="K708" s="0" t="n">
        <v>3</v>
      </c>
      <c r="L708" s="0" t="n">
        <v>0</v>
      </c>
      <c r="M708" s="0" t="n">
        <v>0</v>
      </c>
      <c r="N708" s="0" t="n">
        <v>6</v>
      </c>
      <c r="O708" s="5" t="n">
        <v>0</v>
      </c>
      <c r="P708" s="5" t="n">
        <v>0</v>
      </c>
      <c r="Q708" s="4" t="s">
        <v>2874</v>
      </c>
      <c r="R708" s="4" t="s">
        <v>1169</v>
      </c>
      <c r="S708" s="5" t="n">
        <v>0.00104166666666667</v>
      </c>
      <c r="T708" s="5" t="n">
        <v>0.141782407407407</v>
      </c>
      <c r="U708" s="5" t="n">
        <v>0.322685185185185</v>
      </c>
      <c r="V708" s="5" t="n">
        <v>0.0167824074074074</v>
      </c>
      <c r="W708" s="5" t="n">
        <v>0.000115740740740741</v>
      </c>
      <c r="X708" s="5" t="n">
        <v>0</v>
      </c>
      <c r="Y708" s="5" t="n">
        <v>0</v>
      </c>
      <c r="Z708" s="0" t="n">
        <v>0</v>
      </c>
      <c r="AA708" s="0" t="n">
        <v>0</v>
      </c>
      <c r="AB708" s="0" t="n">
        <v>0</v>
      </c>
      <c r="AC708" s="4" t="s">
        <v>1026</v>
      </c>
      <c r="AD708" s="4" t="s">
        <v>1026</v>
      </c>
      <c r="AE708" s="4" t="s">
        <v>2871</v>
      </c>
      <c r="AF708" s="4" t="s">
        <v>2875</v>
      </c>
      <c r="AG708" s="5" t="n">
        <v>0.419456018518519</v>
      </c>
      <c r="AH708" s="5" t="n">
        <v>0.24068287037037</v>
      </c>
      <c r="AI708" s="5" t="n">
        <v>0</v>
      </c>
      <c r="AJ708" s="5" t="n">
        <v>0</v>
      </c>
      <c r="AK708" s="5" t="n">
        <v>0</v>
      </c>
      <c r="AL708" s="5" t="n">
        <v>0</v>
      </c>
      <c r="AM708" s="4" t="s">
        <v>78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  <c r="AU708" s="0" t="n">
        <v>0</v>
      </c>
      <c r="AV708" s="0" t="n">
        <v>0</v>
      </c>
      <c r="AW708" s="0" t="n">
        <v>0</v>
      </c>
      <c r="AX708" s="0" t="n">
        <v>0</v>
      </c>
      <c r="AY708" s="0" t="n">
        <v>0</v>
      </c>
      <c r="AZ708" s="0" t="n">
        <v>0</v>
      </c>
      <c r="BA708" s="0" t="n">
        <v>0</v>
      </c>
      <c r="BB708" s="0" t="n">
        <v>0</v>
      </c>
      <c r="BC708" s="0" t="n">
        <v>0</v>
      </c>
      <c r="BD708" s="0" t="n">
        <v>0</v>
      </c>
      <c r="BE708" s="0" t="n">
        <v>0</v>
      </c>
      <c r="BF708" s="0" t="n">
        <v>0</v>
      </c>
      <c r="BG708" s="0" t="n">
        <v>0</v>
      </c>
      <c r="BH708" s="0" t="n">
        <v>0</v>
      </c>
      <c r="BI708" s="0" t="n">
        <v>0</v>
      </c>
      <c r="BJ708" s="0" t="n">
        <v>0</v>
      </c>
      <c r="BK708" s="0" t="n">
        <v>0</v>
      </c>
      <c r="BM708" s="6" t="n">
        <f aca="false">IFERROR(VALUE(F708),"")</f>
        <v>580.37</v>
      </c>
      <c r="BN708" s="6" t="n">
        <f aca="false">IF(R708="-","",IFERROR(VALUE(LEFT(Q708,LEN(Q708)-2)),""))</f>
        <v>221.02</v>
      </c>
      <c r="BO708" s="6" t="n">
        <f aca="false">IF(R708="-","",IFERROR(VALUE(LEFT(R708,LEN(R708)-5)),""))</f>
        <v>2.63</v>
      </c>
      <c r="BP708" s="6" t="n">
        <f aca="false">IF(R708="-","",IFERROR(VALUE(F708),""))</f>
        <v>580.37</v>
      </c>
      <c r="BQ708" s="4" t="n">
        <f aca="false">IF(R708="-",1,0)</f>
        <v>0</v>
      </c>
    </row>
    <row r="709" customFormat="false" ht="15" hidden="false" customHeight="false" outlineLevel="0" collapsed="false">
      <c r="A709" s="0" t="s">
        <v>2852</v>
      </c>
      <c r="B709" s="0" t="s">
        <v>2853</v>
      </c>
      <c r="C709" s="0" t="s">
        <v>70</v>
      </c>
      <c r="D709" s="0" t="s">
        <v>2876</v>
      </c>
      <c r="E709" s="3" t="n">
        <v>46278</v>
      </c>
      <c r="F709" s="4" t="s">
        <v>2877</v>
      </c>
      <c r="G709" s="5" t="n">
        <v>0.545381944444444</v>
      </c>
      <c r="H709" s="5" t="n">
        <v>0.53568287037037</v>
      </c>
      <c r="I709" s="5" t="n">
        <v>8.10185185185185E-005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3</v>
      </c>
      <c r="O709" s="5" t="n">
        <v>0</v>
      </c>
      <c r="P709" s="5" t="n">
        <v>0.0261342592592593</v>
      </c>
      <c r="Q709" s="4" t="s">
        <v>2878</v>
      </c>
      <c r="R709" s="4" t="s">
        <v>1179</v>
      </c>
      <c r="S709" s="5" t="n">
        <v>0.000578703703703704</v>
      </c>
      <c r="T709" s="5" t="n">
        <v>0.183101851851852</v>
      </c>
      <c r="U709" s="5" t="n">
        <v>0.329050925925926</v>
      </c>
      <c r="V709" s="5" t="n">
        <v>0.0200231481481482</v>
      </c>
      <c r="W709" s="5" t="n">
        <v>0</v>
      </c>
      <c r="X709" s="5" t="n">
        <v>0</v>
      </c>
      <c r="Y709" s="5" t="n">
        <v>0</v>
      </c>
      <c r="Z709" s="0" t="n">
        <v>0</v>
      </c>
      <c r="AA709" s="0" t="n">
        <v>0</v>
      </c>
      <c r="AB709" s="0" t="n">
        <v>0</v>
      </c>
      <c r="AC709" s="4" t="s">
        <v>2377</v>
      </c>
      <c r="AD709" s="4" t="s">
        <v>1026</v>
      </c>
      <c r="AE709" s="4" t="s">
        <v>2875</v>
      </c>
      <c r="AF709" s="4" t="s">
        <v>2879</v>
      </c>
      <c r="AG709" s="5" t="n">
        <v>0.463148148148148</v>
      </c>
      <c r="AH709" s="5" t="n">
        <v>0.188703703703704</v>
      </c>
      <c r="AI709" s="5" t="n">
        <v>0</v>
      </c>
      <c r="AJ709" s="5" t="n">
        <v>0</v>
      </c>
      <c r="AK709" s="5" t="n">
        <v>0</v>
      </c>
      <c r="AL709" s="5" t="n">
        <v>0</v>
      </c>
      <c r="AM709" s="4" t="s">
        <v>78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  <c r="AU709" s="0" t="n">
        <v>0</v>
      </c>
      <c r="AV709" s="0" t="n">
        <v>0</v>
      </c>
      <c r="AW709" s="0" t="n">
        <v>0</v>
      </c>
      <c r="AX709" s="0" t="n">
        <v>0</v>
      </c>
      <c r="AY709" s="0" t="n">
        <v>0</v>
      </c>
      <c r="AZ709" s="0" t="n">
        <v>0</v>
      </c>
      <c r="BA709" s="0" t="n">
        <v>0</v>
      </c>
      <c r="BB709" s="0" t="n">
        <v>0</v>
      </c>
      <c r="BC709" s="0" t="n">
        <v>0</v>
      </c>
      <c r="BD709" s="0" t="n">
        <v>0</v>
      </c>
      <c r="BE709" s="0" t="n">
        <v>0</v>
      </c>
      <c r="BF709" s="0" t="n">
        <v>0</v>
      </c>
      <c r="BG709" s="0" t="n">
        <v>0</v>
      </c>
      <c r="BH709" s="0" t="n">
        <v>0</v>
      </c>
      <c r="BI709" s="0" t="n">
        <v>0</v>
      </c>
      <c r="BJ709" s="0" t="n">
        <v>0</v>
      </c>
      <c r="BK709" s="0" t="n">
        <v>0</v>
      </c>
      <c r="BM709" s="6" t="n">
        <f aca="false">IFERROR(VALUE(F709),"")</f>
        <v>578.28</v>
      </c>
      <c r="BN709" s="6" t="n">
        <f aca="false">IF(R709="-","",IFERROR(VALUE(LEFT(Q709,LEN(Q709)-2)),""))</f>
        <v>216</v>
      </c>
      <c r="BO709" s="6" t="n">
        <f aca="false">IF(R709="-","",IFERROR(VALUE(LEFT(R709,LEN(R709)-5)),""))</f>
        <v>2.68</v>
      </c>
      <c r="BP709" s="6" t="n">
        <f aca="false">IF(R709="-","",IFERROR(VALUE(F709),""))</f>
        <v>578.28</v>
      </c>
      <c r="BQ709" s="4" t="n">
        <f aca="false">IF(R709="-",1,0)</f>
        <v>0</v>
      </c>
    </row>
    <row r="710" customFormat="false" ht="15" hidden="false" customHeight="false" outlineLevel="0" collapsed="false">
      <c r="A710" s="0" t="s">
        <v>2852</v>
      </c>
      <c r="B710" s="0" t="s">
        <v>2853</v>
      </c>
      <c r="C710" s="0" t="s">
        <v>70</v>
      </c>
      <c r="D710" s="0" t="s">
        <v>2880</v>
      </c>
      <c r="E710" s="3" t="n">
        <v>46279</v>
      </c>
      <c r="F710" s="4" t="s">
        <v>2881</v>
      </c>
      <c r="G710" s="5" t="n">
        <v>0.686342592592593</v>
      </c>
      <c r="H710" s="5" t="n">
        <v>0.628032407407407</v>
      </c>
      <c r="I710" s="5" t="n">
        <v>0.000416666666666667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2</v>
      </c>
      <c r="O710" s="5" t="n">
        <v>0</v>
      </c>
      <c r="P710" s="5" t="n">
        <v>0</v>
      </c>
      <c r="Q710" s="4" t="s">
        <v>2882</v>
      </c>
      <c r="R710" s="4" t="s">
        <v>497</v>
      </c>
      <c r="S710" s="5" t="n">
        <v>0.000462962962962963</v>
      </c>
      <c r="T710" s="5" t="n">
        <v>0.163541666666667</v>
      </c>
      <c r="U710" s="5" t="n">
        <v>0.382291666666667</v>
      </c>
      <c r="V710" s="5" t="n">
        <v>0.0127314814814815</v>
      </c>
      <c r="W710" s="5" t="n">
        <v>0</v>
      </c>
      <c r="X710" s="5" t="n">
        <v>0</v>
      </c>
      <c r="Y710" s="5" t="n">
        <v>0</v>
      </c>
      <c r="Z710" s="0" t="n">
        <v>0</v>
      </c>
      <c r="AA710" s="0" t="n">
        <v>0</v>
      </c>
      <c r="AB710" s="0" t="n">
        <v>0</v>
      </c>
      <c r="AC710" s="4" t="s">
        <v>2377</v>
      </c>
      <c r="AD710" s="4" t="s">
        <v>75</v>
      </c>
      <c r="AE710" s="4" t="s">
        <v>2879</v>
      </c>
      <c r="AF710" s="4" t="s">
        <v>2883</v>
      </c>
      <c r="AG710" s="5" t="n">
        <v>0.500671296296296</v>
      </c>
      <c r="AH710" s="5" t="n">
        <v>0.266643518518519</v>
      </c>
      <c r="AI710" s="5" t="n">
        <v>0</v>
      </c>
      <c r="AJ710" s="5" t="n">
        <v>0</v>
      </c>
      <c r="AK710" s="5" t="n">
        <v>0</v>
      </c>
      <c r="AL710" s="5" t="n">
        <v>0</v>
      </c>
      <c r="AM710" s="4" t="s">
        <v>78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  <c r="AU710" s="0" t="n">
        <v>0</v>
      </c>
      <c r="AV710" s="0" t="n">
        <v>0</v>
      </c>
      <c r="AW710" s="0" t="n">
        <v>0</v>
      </c>
      <c r="AX710" s="0" t="n">
        <v>0</v>
      </c>
      <c r="AY710" s="0" t="n">
        <v>0</v>
      </c>
      <c r="AZ710" s="0" t="n">
        <v>0</v>
      </c>
      <c r="BA710" s="0" t="n">
        <v>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0</v>
      </c>
      <c r="BG710" s="0" t="n">
        <v>0</v>
      </c>
      <c r="BH710" s="0" t="n">
        <v>0</v>
      </c>
      <c r="BI710" s="0" t="n">
        <v>0</v>
      </c>
      <c r="BJ710" s="0" t="n">
        <v>0</v>
      </c>
      <c r="BK710" s="0" t="n">
        <v>0</v>
      </c>
      <c r="BM710" s="6" t="n">
        <f aca="false">IFERROR(VALUE(F710),"")</f>
        <v>693.45</v>
      </c>
      <c r="BN710" s="6" t="n">
        <f aca="false">IF(R710="-","",IFERROR(VALUE(LEFT(Q710,LEN(Q710)-2)),""))</f>
        <v>232.48</v>
      </c>
      <c r="BO710" s="6" t="n">
        <f aca="false">IF(R710="-","",IFERROR(VALUE(LEFT(R710,LEN(R710)-5)),""))</f>
        <v>2.98</v>
      </c>
      <c r="BP710" s="6" t="n">
        <f aca="false">IF(R710="-","",IFERROR(VALUE(F710),""))</f>
        <v>693.45</v>
      </c>
      <c r="BQ710" s="4" t="n">
        <f aca="false">IF(R710="-",1,0)</f>
        <v>0</v>
      </c>
    </row>
    <row r="711" customFormat="false" ht="15" hidden="false" customHeight="false" outlineLevel="0" collapsed="false">
      <c r="A711" s="0" t="s">
        <v>2884</v>
      </c>
      <c r="B711" s="0" t="s">
        <v>2885</v>
      </c>
      <c r="C711" s="0" t="s">
        <v>70</v>
      </c>
      <c r="D711" s="0" t="s">
        <v>2886</v>
      </c>
      <c r="E711" s="3" t="n">
        <v>46273</v>
      </c>
      <c r="F711" s="4" t="s">
        <v>2887</v>
      </c>
      <c r="G711" s="5" t="n">
        <v>0.257175925925926</v>
      </c>
      <c r="H711" s="5" t="n">
        <v>0.24630787037037</v>
      </c>
      <c r="I711" s="5" t="n">
        <v>0.0122569444444445</v>
      </c>
      <c r="J711" s="0" t="n">
        <v>1</v>
      </c>
      <c r="K711" s="0" t="n">
        <v>0</v>
      </c>
      <c r="L711" s="0" t="n">
        <v>0</v>
      </c>
      <c r="M711" s="0" t="n">
        <v>0</v>
      </c>
      <c r="N711" s="0" t="n">
        <v>4</v>
      </c>
      <c r="O711" s="5" t="n">
        <v>0</v>
      </c>
      <c r="P711" s="5" t="n">
        <v>0</v>
      </c>
      <c r="Q711" s="4" t="s">
        <v>2424</v>
      </c>
      <c r="R711" s="4" t="s">
        <v>2146</v>
      </c>
      <c r="S711" s="5" t="n">
        <v>0.000462962962962963</v>
      </c>
      <c r="T711" s="5" t="n">
        <v>0.06875</v>
      </c>
      <c r="U711" s="5" t="n">
        <v>0.14837962962963</v>
      </c>
      <c r="V711" s="5" t="n">
        <v>0.0291666666666667</v>
      </c>
      <c r="W711" s="5" t="n">
        <v>0</v>
      </c>
      <c r="X711" s="5" t="n">
        <v>0</v>
      </c>
      <c r="Y711" s="5" t="n">
        <v>0</v>
      </c>
      <c r="Z711" s="0" t="n">
        <v>0</v>
      </c>
      <c r="AA711" s="0" t="n">
        <v>0</v>
      </c>
      <c r="AB711" s="0" t="n">
        <v>0</v>
      </c>
      <c r="AC711" s="4" t="s">
        <v>2377</v>
      </c>
      <c r="AD711" s="4" t="s">
        <v>2425</v>
      </c>
      <c r="AE711" s="4" t="s">
        <v>2888</v>
      </c>
      <c r="AF711" s="4" t="s">
        <v>2889</v>
      </c>
      <c r="AG711" s="5" t="n">
        <v>0.217141203703704</v>
      </c>
      <c r="AH711" s="5" t="n">
        <v>0.116956018518519</v>
      </c>
      <c r="AI711" s="5" t="n">
        <v>0</v>
      </c>
      <c r="AJ711" s="5" t="n">
        <v>0</v>
      </c>
      <c r="AK711" s="5" t="n">
        <v>0</v>
      </c>
      <c r="AL711" s="5" t="n">
        <v>0</v>
      </c>
      <c r="AM711" s="4" t="s">
        <v>78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  <c r="AU711" s="0" t="n">
        <v>1</v>
      </c>
      <c r="AV711" s="0" t="n">
        <v>0</v>
      </c>
      <c r="AW711" s="0" t="n">
        <v>0</v>
      </c>
      <c r="AX711" s="0" t="n">
        <v>0</v>
      </c>
      <c r="AY711" s="0" t="n">
        <v>0</v>
      </c>
      <c r="AZ711" s="0" t="n">
        <v>0</v>
      </c>
      <c r="BA711" s="0" t="n">
        <v>0</v>
      </c>
      <c r="BB711" s="0" t="n">
        <v>0</v>
      </c>
      <c r="BC711" s="0" t="n">
        <v>0</v>
      </c>
      <c r="BD711" s="0" t="n">
        <v>0</v>
      </c>
      <c r="BE711" s="0" t="n">
        <v>0</v>
      </c>
      <c r="BF711" s="0" t="n">
        <v>0</v>
      </c>
      <c r="BG711" s="0" t="n">
        <v>0</v>
      </c>
      <c r="BH711" s="0" t="n">
        <v>0</v>
      </c>
      <c r="BI711" s="0" t="n">
        <v>0</v>
      </c>
      <c r="BJ711" s="0" t="n">
        <v>0</v>
      </c>
      <c r="BK711" s="0" t="n">
        <v>0</v>
      </c>
      <c r="BM711" s="6" t="n">
        <f aca="false">IFERROR(VALUE(F711),"")</f>
        <v>289.78</v>
      </c>
      <c r="BN711" s="6" t="n">
        <f aca="false">IF(R711="-","",IFERROR(VALUE(LEFT(Q711,LEN(Q711)-2)),""))</f>
        <v>114.5</v>
      </c>
      <c r="BO711" s="6" t="n">
        <f aca="false">IF(R711="-","",IFERROR(VALUE(LEFT(R711,LEN(R711)-5)),""))</f>
        <v>2.53</v>
      </c>
      <c r="BP711" s="6" t="n">
        <f aca="false">IF(R711="-","",IFERROR(VALUE(F711),""))</f>
        <v>289.78</v>
      </c>
      <c r="BQ711" s="4" t="n">
        <f aca="false">IF(R711="-",1,0)</f>
        <v>0</v>
      </c>
    </row>
    <row r="712" customFormat="false" ht="15" hidden="false" customHeight="false" outlineLevel="0" collapsed="false">
      <c r="A712" s="0" t="s">
        <v>2884</v>
      </c>
      <c r="B712" s="0" t="s">
        <v>2885</v>
      </c>
      <c r="C712" s="0" t="s">
        <v>70</v>
      </c>
      <c r="D712" s="0" t="s">
        <v>2890</v>
      </c>
      <c r="E712" s="3" t="n">
        <v>46274</v>
      </c>
      <c r="F712" s="4" t="s">
        <v>2891</v>
      </c>
      <c r="G712" s="5" t="n">
        <v>0.516921296296296</v>
      </c>
      <c r="H712" s="5" t="n">
        <v>0.474722222222222</v>
      </c>
      <c r="I712" s="5" t="n">
        <v>8.10185185185185E-005</v>
      </c>
      <c r="J712" s="0" t="n">
        <v>1</v>
      </c>
      <c r="K712" s="0" t="n">
        <v>0</v>
      </c>
      <c r="L712" s="0" t="n">
        <v>0</v>
      </c>
      <c r="M712" s="0" t="n">
        <v>0</v>
      </c>
      <c r="N712" s="0" t="n">
        <v>0</v>
      </c>
      <c r="O712" s="5" t="n">
        <v>0</v>
      </c>
      <c r="P712" s="5" t="n">
        <v>0</v>
      </c>
      <c r="Q712" s="4" t="s">
        <v>2892</v>
      </c>
      <c r="R712" s="4" t="s">
        <v>426</v>
      </c>
      <c r="S712" s="5" t="n">
        <v>0.000347222222222222</v>
      </c>
      <c r="T712" s="5" t="n">
        <v>0.138657407407407</v>
      </c>
      <c r="U712" s="5" t="n">
        <v>0.312731481481482</v>
      </c>
      <c r="V712" s="5" t="n">
        <v>0.015625</v>
      </c>
      <c r="W712" s="5" t="n">
        <v>0</v>
      </c>
      <c r="X712" s="5" t="n">
        <v>0</v>
      </c>
      <c r="Y712" s="5" t="n">
        <v>0</v>
      </c>
      <c r="Z712" s="0" t="n">
        <v>0</v>
      </c>
      <c r="AA712" s="0" t="n">
        <v>0</v>
      </c>
      <c r="AB712" s="0" t="n">
        <v>0</v>
      </c>
      <c r="AC712" s="4" t="s">
        <v>2425</v>
      </c>
      <c r="AD712" s="4" t="s">
        <v>2479</v>
      </c>
      <c r="AE712" s="4" t="s">
        <v>2889</v>
      </c>
      <c r="AF712" s="4" t="s">
        <v>2893</v>
      </c>
      <c r="AG712" s="5" t="n">
        <v>0.432326388888889</v>
      </c>
      <c r="AH712" s="5" t="n">
        <v>0.153715277777778</v>
      </c>
      <c r="AI712" s="5" t="n">
        <v>0</v>
      </c>
      <c r="AJ712" s="5" t="n">
        <v>0</v>
      </c>
      <c r="AK712" s="5" t="n">
        <v>0</v>
      </c>
      <c r="AL712" s="5" t="n">
        <v>0</v>
      </c>
      <c r="AM712" s="4" t="s">
        <v>78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  <c r="AU712" s="0" t="n">
        <v>7</v>
      </c>
      <c r="AV712" s="0" t="n">
        <v>0</v>
      </c>
      <c r="AW712" s="0" t="n">
        <v>0</v>
      </c>
      <c r="AX712" s="0" t="n">
        <v>0</v>
      </c>
      <c r="AY712" s="0" t="n">
        <v>0</v>
      </c>
      <c r="AZ712" s="0" t="n">
        <v>0</v>
      </c>
      <c r="BA712" s="0" t="n">
        <v>0</v>
      </c>
      <c r="BB712" s="0" t="n">
        <v>0</v>
      </c>
      <c r="BC712" s="0" t="n">
        <v>0</v>
      </c>
      <c r="BD712" s="0" t="n">
        <v>0</v>
      </c>
      <c r="BE712" s="0" t="n">
        <v>0</v>
      </c>
      <c r="BF712" s="0" t="n">
        <v>0</v>
      </c>
      <c r="BG712" s="0" t="n">
        <v>0</v>
      </c>
      <c r="BH712" s="0" t="n">
        <v>0</v>
      </c>
      <c r="BI712" s="0" t="n">
        <v>0</v>
      </c>
      <c r="BJ712" s="0" t="n">
        <v>0</v>
      </c>
      <c r="BK712" s="0" t="n">
        <v>0</v>
      </c>
      <c r="BM712" s="6" t="n">
        <f aca="false">IFERROR(VALUE(F712),"")</f>
        <v>556.84</v>
      </c>
      <c r="BN712" s="6" t="n">
        <f aca="false">IF(R712="-","",IFERROR(VALUE(LEFT(Q712,LEN(Q712)-2)),""))</f>
        <v>198.02</v>
      </c>
      <c r="BO712" s="6" t="n">
        <f aca="false">IF(R712="-","",IFERROR(VALUE(LEFT(R712,LEN(R712)-5)),""))</f>
        <v>2.81</v>
      </c>
      <c r="BP712" s="6" t="n">
        <f aca="false">IF(R712="-","",IFERROR(VALUE(F712),""))</f>
        <v>556.84</v>
      </c>
      <c r="BQ712" s="4" t="n">
        <f aca="false">IF(R712="-",1,0)</f>
        <v>0</v>
      </c>
    </row>
    <row r="713" customFormat="false" ht="15" hidden="false" customHeight="false" outlineLevel="0" collapsed="false">
      <c r="A713" s="0" t="s">
        <v>2884</v>
      </c>
      <c r="B713" s="0" t="s">
        <v>2885</v>
      </c>
      <c r="C713" s="0" t="s">
        <v>70</v>
      </c>
      <c r="D713" s="0" t="s">
        <v>2894</v>
      </c>
      <c r="E713" s="3" t="n">
        <v>46275</v>
      </c>
      <c r="F713" s="4" t="s">
        <v>2895</v>
      </c>
      <c r="G713" s="5" t="n">
        <v>0.514027777777778</v>
      </c>
      <c r="H713" s="5" t="n">
        <v>0.477199074074074</v>
      </c>
      <c r="I713" s="5" t="n">
        <v>0.000613425925925926</v>
      </c>
      <c r="J713" s="0" t="n">
        <v>8</v>
      </c>
      <c r="K713" s="0" t="n">
        <v>1</v>
      </c>
      <c r="L713" s="0" t="n">
        <v>0</v>
      </c>
      <c r="M713" s="0" t="n">
        <v>0</v>
      </c>
      <c r="N713" s="0" t="n">
        <v>1</v>
      </c>
      <c r="O713" s="5" t="n">
        <v>0</v>
      </c>
      <c r="P713" s="5" t="n">
        <v>0.00962962962962963</v>
      </c>
      <c r="Q713" s="4" t="s">
        <v>2896</v>
      </c>
      <c r="R713" s="4" t="s">
        <v>473</v>
      </c>
      <c r="S713" s="5" t="n">
        <v>0.000347222222222222</v>
      </c>
      <c r="T713" s="5" t="n">
        <v>0.155671296296296</v>
      </c>
      <c r="U713" s="5" t="n">
        <v>0.302430555555556</v>
      </c>
      <c r="V713" s="5" t="n">
        <v>0.0103009259259259</v>
      </c>
      <c r="W713" s="5" t="n">
        <v>0</v>
      </c>
      <c r="X713" s="5" t="n">
        <v>0</v>
      </c>
      <c r="Y713" s="5" t="n">
        <v>0</v>
      </c>
      <c r="Z713" s="0" t="n">
        <v>0</v>
      </c>
      <c r="AA713" s="0" t="n">
        <v>0</v>
      </c>
      <c r="AB713" s="0" t="n">
        <v>0</v>
      </c>
      <c r="AC713" s="4" t="s">
        <v>2897</v>
      </c>
      <c r="AD713" s="4" t="s">
        <v>2898</v>
      </c>
      <c r="AE713" s="4" t="s">
        <v>2899</v>
      </c>
      <c r="AF713" s="4" t="s">
        <v>2900</v>
      </c>
      <c r="AG713" s="5" t="n">
        <v>0.426412037037037</v>
      </c>
      <c r="AH713" s="5" t="n">
        <v>0.196469907407407</v>
      </c>
      <c r="AI713" s="5" t="n">
        <v>0</v>
      </c>
      <c r="AJ713" s="5" t="n">
        <v>0</v>
      </c>
      <c r="AK713" s="5" t="n">
        <v>0</v>
      </c>
      <c r="AL713" s="5" t="n">
        <v>0</v>
      </c>
      <c r="AM713" s="4" t="s">
        <v>78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0</v>
      </c>
      <c r="AT713" s="0" t="n">
        <v>0</v>
      </c>
      <c r="AU713" s="0" t="n">
        <v>11</v>
      </c>
      <c r="AV713" s="0" t="n">
        <v>0</v>
      </c>
      <c r="AW713" s="0" t="n">
        <v>1</v>
      </c>
      <c r="AX713" s="0" t="n">
        <v>0</v>
      </c>
      <c r="AY713" s="0" t="n">
        <v>0</v>
      </c>
      <c r="AZ713" s="0" t="n">
        <v>0</v>
      </c>
      <c r="BA713" s="0" t="n">
        <v>0</v>
      </c>
      <c r="BB713" s="0" t="n">
        <v>0</v>
      </c>
      <c r="BC713" s="0" t="n">
        <v>0</v>
      </c>
      <c r="BD713" s="0" t="n">
        <v>0</v>
      </c>
      <c r="BE713" s="0" t="n">
        <v>0</v>
      </c>
      <c r="BF713" s="0" t="n">
        <v>0</v>
      </c>
      <c r="BG713" s="0" t="n">
        <v>0</v>
      </c>
      <c r="BH713" s="0" t="n">
        <v>0</v>
      </c>
      <c r="BI713" s="0" t="n">
        <v>0</v>
      </c>
      <c r="BJ713" s="0" t="n">
        <v>0</v>
      </c>
      <c r="BK713" s="0" t="n">
        <v>0</v>
      </c>
      <c r="BM713" s="6" t="n">
        <f aca="false">IFERROR(VALUE(F713),"")</f>
        <v>546.44</v>
      </c>
      <c r="BN713" s="6" t="n">
        <f aca="false">IF(R713="-","",IFERROR(VALUE(LEFT(Q713,LEN(Q713)-2)),""))</f>
        <v>196.99</v>
      </c>
      <c r="BO713" s="6" t="n">
        <f aca="false">IF(R713="-","",IFERROR(VALUE(LEFT(R713,LEN(R713)-5)),""))</f>
        <v>2.77</v>
      </c>
      <c r="BP713" s="6" t="n">
        <f aca="false">IF(R713="-","",IFERROR(VALUE(F713),""))</f>
        <v>546.44</v>
      </c>
      <c r="BQ713" s="4" t="n">
        <f aca="false">IF(R713="-",1,0)</f>
        <v>0</v>
      </c>
    </row>
    <row r="714" customFormat="false" ht="15" hidden="false" customHeight="false" outlineLevel="0" collapsed="false">
      <c r="A714" s="0" t="s">
        <v>2884</v>
      </c>
      <c r="B714" s="0" t="s">
        <v>2885</v>
      </c>
      <c r="C714" s="0" t="s">
        <v>70</v>
      </c>
      <c r="D714" s="0" t="s">
        <v>2901</v>
      </c>
      <c r="E714" s="3" t="n">
        <v>46276</v>
      </c>
      <c r="F714" s="4" t="s">
        <v>2902</v>
      </c>
      <c r="G714" s="5" t="n">
        <v>0.613784722222222</v>
      </c>
      <c r="H714" s="5" t="n">
        <v>0.590648148148148</v>
      </c>
      <c r="I714" s="5" t="n">
        <v>0.000381944444444445</v>
      </c>
      <c r="J714" s="0" t="n">
        <v>1</v>
      </c>
      <c r="K714" s="0" t="n">
        <v>0</v>
      </c>
      <c r="L714" s="0" t="n">
        <v>0</v>
      </c>
      <c r="M714" s="0" t="n">
        <v>0</v>
      </c>
      <c r="N714" s="0" t="n">
        <v>3</v>
      </c>
      <c r="O714" s="5" t="n">
        <v>0</v>
      </c>
      <c r="P714" s="5" t="n">
        <v>0.0621990740740741</v>
      </c>
      <c r="Q714" s="4" t="s">
        <v>2903</v>
      </c>
      <c r="R714" s="4" t="s">
        <v>378</v>
      </c>
      <c r="S714" s="5" t="n">
        <v>0.000347222222222222</v>
      </c>
      <c r="T714" s="5" t="n">
        <v>0.20625</v>
      </c>
      <c r="U714" s="5" t="n">
        <v>0.324571759259259</v>
      </c>
      <c r="V714" s="5" t="n">
        <v>0.0195717592592593</v>
      </c>
      <c r="W714" s="5" t="n">
        <v>0.000185185185185185</v>
      </c>
      <c r="X714" s="5" t="n">
        <v>0</v>
      </c>
      <c r="Y714" s="5" t="n">
        <v>0</v>
      </c>
      <c r="Z714" s="0" t="n">
        <v>0</v>
      </c>
      <c r="AA714" s="0" t="n">
        <v>0</v>
      </c>
      <c r="AB714" s="0" t="n">
        <v>0</v>
      </c>
      <c r="AC714" s="4" t="s">
        <v>2904</v>
      </c>
      <c r="AD714" s="4" t="s">
        <v>994</v>
      </c>
      <c r="AE714" s="4" t="s">
        <v>2905</v>
      </c>
      <c r="AF714" s="4" t="s">
        <v>2906</v>
      </c>
      <c r="AG714" s="5" t="n">
        <v>0.449201388888889</v>
      </c>
      <c r="AH714" s="5" t="n">
        <v>0.193993055555556</v>
      </c>
      <c r="AI714" s="5" t="n">
        <v>0</v>
      </c>
      <c r="AJ714" s="5" t="n">
        <v>0</v>
      </c>
      <c r="AK714" s="5" t="n">
        <v>0</v>
      </c>
      <c r="AL714" s="5" t="n">
        <v>0</v>
      </c>
      <c r="AM714" s="4" t="s">
        <v>78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  <c r="AU714" s="0" t="n">
        <v>6</v>
      </c>
      <c r="AV714" s="0" t="n">
        <v>0</v>
      </c>
      <c r="AW714" s="0" t="n">
        <v>0</v>
      </c>
      <c r="AX714" s="0" t="n">
        <v>0</v>
      </c>
      <c r="AY714" s="0" t="n">
        <v>0</v>
      </c>
      <c r="AZ714" s="0" t="n">
        <v>0</v>
      </c>
      <c r="BA714" s="0" t="n">
        <v>0</v>
      </c>
      <c r="BB714" s="0" t="n">
        <v>0</v>
      </c>
      <c r="BC714" s="0" t="n">
        <v>0</v>
      </c>
      <c r="BD714" s="0" t="n">
        <v>0</v>
      </c>
      <c r="BE714" s="0" t="n">
        <v>0</v>
      </c>
      <c r="BF714" s="0" t="n">
        <v>0</v>
      </c>
      <c r="BG714" s="0" t="n">
        <v>0</v>
      </c>
      <c r="BH714" s="0" t="n">
        <v>0</v>
      </c>
      <c r="BI714" s="0" t="n">
        <v>0</v>
      </c>
      <c r="BJ714" s="0" t="n">
        <v>0</v>
      </c>
      <c r="BK714" s="0" t="n">
        <v>0</v>
      </c>
      <c r="BM714" s="6" t="n">
        <f aca="false">IFERROR(VALUE(F714),"")</f>
        <v>583.12</v>
      </c>
      <c r="BN714" s="6" t="n">
        <f aca="false">IF(R714="-","",IFERROR(VALUE(LEFT(Q714,LEN(Q714)-2)),""))</f>
        <v>214.98</v>
      </c>
      <c r="BO714" s="6" t="n">
        <f aca="false">IF(R714="-","",IFERROR(VALUE(LEFT(R714,LEN(R714)-5)),""))</f>
        <v>2.71</v>
      </c>
      <c r="BP714" s="6" t="n">
        <f aca="false">IF(R714="-","",IFERROR(VALUE(F714),""))</f>
        <v>583.12</v>
      </c>
      <c r="BQ714" s="4" t="n">
        <f aca="false">IF(R714="-",1,0)</f>
        <v>0</v>
      </c>
    </row>
    <row r="715" customFormat="false" ht="15" hidden="false" customHeight="false" outlineLevel="0" collapsed="false">
      <c r="A715" s="0" t="s">
        <v>2884</v>
      </c>
      <c r="B715" s="0" t="s">
        <v>2885</v>
      </c>
      <c r="C715" s="0" t="s">
        <v>70</v>
      </c>
      <c r="D715" s="0" t="s">
        <v>2907</v>
      </c>
      <c r="E715" s="3" t="n">
        <v>46277</v>
      </c>
      <c r="F715" s="4" t="s">
        <v>2908</v>
      </c>
      <c r="G715" s="5" t="n">
        <v>0.295763888888889</v>
      </c>
      <c r="H715" s="5" t="n">
        <v>0.292939814814815</v>
      </c>
      <c r="I715" s="5" t="n">
        <v>0.000601851851851852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1</v>
      </c>
      <c r="O715" s="5" t="n">
        <v>0</v>
      </c>
      <c r="P715" s="5" t="n">
        <v>0</v>
      </c>
      <c r="Q715" s="4" t="s">
        <v>2909</v>
      </c>
      <c r="R715" s="4" t="s">
        <v>2910</v>
      </c>
      <c r="S715" s="5" t="n">
        <v>0.000347222222222222</v>
      </c>
      <c r="T715" s="5" t="n">
        <v>0.044212962962963</v>
      </c>
      <c r="U715" s="5" t="n">
        <v>0.225231481481482</v>
      </c>
      <c r="V715" s="5" t="n">
        <v>0.0178240740740741</v>
      </c>
      <c r="W715" s="5" t="n">
        <v>0</v>
      </c>
      <c r="X715" s="5" t="n">
        <v>0</v>
      </c>
      <c r="Y715" s="5" t="n">
        <v>0</v>
      </c>
      <c r="Z715" s="0" t="n">
        <v>0</v>
      </c>
      <c r="AA715" s="0" t="n">
        <v>0</v>
      </c>
      <c r="AB715" s="0" t="n">
        <v>0</v>
      </c>
      <c r="AC715" s="4" t="s">
        <v>994</v>
      </c>
      <c r="AD715" s="4" t="s">
        <v>2911</v>
      </c>
      <c r="AE715" s="4" t="s">
        <v>2912</v>
      </c>
      <c r="AF715" s="4" t="s">
        <v>2913</v>
      </c>
      <c r="AG715" s="5" t="n">
        <v>0.269583333333333</v>
      </c>
      <c r="AH715" s="5" t="n">
        <v>0.0629282407407407</v>
      </c>
      <c r="AI715" s="5" t="n">
        <v>0</v>
      </c>
      <c r="AJ715" s="5" t="n">
        <v>0</v>
      </c>
      <c r="AK715" s="5" t="n">
        <v>0</v>
      </c>
      <c r="AL715" s="5" t="n">
        <v>0</v>
      </c>
      <c r="AM715" s="4" t="s">
        <v>78</v>
      </c>
      <c r="AN715" s="0" t="n">
        <v>0</v>
      </c>
      <c r="AO715" s="0" t="n">
        <v>0</v>
      </c>
      <c r="AP715" s="0" t="n">
        <v>0</v>
      </c>
      <c r="AQ715" s="0" t="n">
        <v>0</v>
      </c>
      <c r="AR715" s="0" t="n">
        <v>0</v>
      </c>
      <c r="AS715" s="0" t="n">
        <v>0</v>
      </c>
      <c r="AT715" s="0" t="n">
        <v>0</v>
      </c>
      <c r="AU715" s="0" t="n">
        <v>1</v>
      </c>
      <c r="AV715" s="0" t="n">
        <v>0</v>
      </c>
      <c r="AW715" s="0" t="n">
        <v>0</v>
      </c>
      <c r="AX715" s="0" t="n">
        <v>0</v>
      </c>
      <c r="AY715" s="0" t="n">
        <v>0</v>
      </c>
      <c r="AZ715" s="0" t="n">
        <v>0</v>
      </c>
      <c r="BA715" s="0" t="n">
        <v>0</v>
      </c>
      <c r="BB715" s="0" t="n">
        <v>0</v>
      </c>
      <c r="BC715" s="0" t="n">
        <v>0</v>
      </c>
      <c r="BD715" s="0" t="n">
        <v>0</v>
      </c>
      <c r="BE715" s="0" t="n">
        <v>0</v>
      </c>
      <c r="BF715" s="0" t="n">
        <v>0</v>
      </c>
      <c r="BG715" s="0" t="n">
        <v>0</v>
      </c>
      <c r="BH715" s="0" t="n">
        <v>0</v>
      </c>
      <c r="BI715" s="0" t="n">
        <v>0</v>
      </c>
      <c r="BJ715" s="0" t="n">
        <v>0</v>
      </c>
      <c r="BK715" s="0" t="n">
        <v>0</v>
      </c>
      <c r="BM715" s="6" t="n">
        <f aca="false">IFERROR(VALUE(F715),"")</f>
        <v>454.95</v>
      </c>
      <c r="BN715" s="6" t="n">
        <f aca="false">IF(R715="-","",IFERROR(VALUE(LEFT(Q715,LEN(Q715)-2)),""))</f>
        <v>146.53</v>
      </c>
      <c r="BO715" s="6" t="n">
        <f aca="false">IF(R715="-","",IFERROR(VALUE(LEFT(R715,LEN(R715)-5)),""))</f>
        <v>3.1</v>
      </c>
      <c r="BP715" s="6" t="n">
        <f aca="false">IF(R715="-","",IFERROR(VALUE(F715),""))</f>
        <v>454.95</v>
      </c>
      <c r="BQ715" s="4" t="n">
        <f aca="false">IF(R715="-",1,0)</f>
        <v>0</v>
      </c>
    </row>
    <row r="716" customFormat="false" ht="15" hidden="false" customHeight="false" outlineLevel="0" collapsed="false">
      <c r="A716" s="0" t="s">
        <v>2884</v>
      </c>
      <c r="B716" s="0" t="s">
        <v>2885</v>
      </c>
      <c r="C716" s="0" t="s">
        <v>70</v>
      </c>
      <c r="D716" s="0" t="s">
        <v>2914</v>
      </c>
      <c r="E716" s="3" t="n">
        <v>46278</v>
      </c>
      <c r="F716" s="4" t="s">
        <v>2915</v>
      </c>
      <c r="G716" s="5" t="n">
        <v>0.268668981481482</v>
      </c>
      <c r="H716" s="5" t="n">
        <v>0.255462962962963</v>
      </c>
      <c r="I716" s="5" t="n">
        <v>0.000208333333333333</v>
      </c>
      <c r="J716" s="0" t="n">
        <v>0</v>
      </c>
      <c r="K716" s="0" t="n">
        <v>1</v>
      </c>
      <c r="L716" s="0" t="n">
        <v>0</v>
      </c>
      <c r="M716" s="0" t="n">
        <v>0</v>
      </c>
      <c r="N716" s="0" t="n">
        <v>5</v>
      </c>
      <c r="O716" s="5" t="n">
        <v>0</v>
      </c>
      <c r="P716" s="5" t="n">
        <v>0</v>
      </c>
      <c r="Q716" s="4" t="s">
        <v>2916</v>
      </c>
      <c r="R716" s="4" t="s">
        <v>395</v>
      </c>
      <c r="S716" s="5" t="n">
        <v>0.000347222222222222</v>
      </c>
      <c r="T716" s="5" t="n">
        <v>0.0706018518518519</v>
      </c>
      <c r="U716" s="5" t="n">
        <v>0.173842592592593</v>
      </c>
      <c r="V716" s="5" t="n">
        <v>0.0121527777777778</v>
      </c>
      <c r="W716" s="5" t="n">
        <v>0</v>
      </c>
      <c r="X716" s="5" t="n">
        <v>0</v>
      </c>
      <c r="Y716" s="5" t="n">
        <v>0</v>
      </c>
      <c r="Z716" s="0" t="n">
        <v>0</v>
      </c>
      <c r="AA716" s="0" t="n">
        <v>0</v>
      </c>
      <c r="AB716" s="0" t="n">
        <v>0</v>
      </c>
      <c r="AC716" s="4" t="s">
        <v>2911</v>
      </c>
      <c r="AD716" s="4" t="s">
        <v>2917</v>
      </c>
      <c r="AE716" s="4" t="s">
        <v>2913</v>
      </c>
      <c r="AF716" s="4" t="s">
        <v>2918</v>
      </c>
      <c r="AG716" s="5" t="n">
        <v>0.22494212962963</v>
      </c>
      <c r="AH716" s="5" t="n">
        <v>0.0775462962962963</v>
      </c>
      <c r="AI716" s="5" t="n">
        <v>0</v>
      </c>
      <c r="AJ716" s="5" t="n">
        <v>0</v>
      </c>
      <c r="AK716" s="5" t="n">
        <v>0</v>
      </c>
      <c r="AL716" s="5" t="n">
        <v>0</v>
      </c>
      <c r="AM716" s="4" t="s">
        <v>78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  <c r="AU716" s="0" t="n">
        <v>2</v>
      </c>
      <c r="AV716" s="0" t="n">
        <v>0</v>
      </c>
      <c r="AW716" s="0" t="n">
        <v>0</v>
      </c>
      <c r="AX716" s="0" t="n">
        <v>0</v>
      </c>
      <c r="AY716" s="0" t="n">
        <v>0</v>
      </c>
      <c r="AZ716" s="0" t="n">
        <v>0</v>
      </c>
      <c r="BA716" s="0" t="n">
        <v>0</v>
      </c>
      <c r="BB716" s="0" t="n">
        <v>0</v>
      </c>
      <c r="BC716" s="0" t="n">
        <v>0</v>
      </c>
      <c r="BD716" s="0" t="n">
        <v>0</v>
      </c>
      <c r="BE716" s="0" t="n">
        <v>0</v>
      </c>
      <c r="BF716" s="0" t="n">
        <v>0</v>
      </c>
      <c r="BG716" s="0" t="n">
        <v>0</v>
      </c>
      <c r="BH716" s="0" t="n">
        <v>0</v>
      </c>
      <c r="BI716" s="0" t="n">
        <v>0</v>
      </c>
      <c r="BJ716" s="0" t="n">
        <v>0</v>
      </c>
      <c r="BK716" s="0" t="n">
        <v>0</v>
      </c>
      <c r="BM716" s="6" t="n">
        <f aca="false">IFERROR(VALUE(F716),"")</f>
        <v>357.12</v>
      </c>
      <c r="BN716" s="6" t="n">
        <f aca="false">IF(R716="-","",IFERROR(VALUE(LEFT(Q716,LEN(Q716)-2)),""))</f>
        <v>121.5</v>
      </c>
      <c r="BO716" s="6" t="n">
        <f aca="false">IF(R716="-","",IFERROR(VALUE(LEFT(R716,LEN(R716)-5)),""))</f>
        <v>2.94</v>
      </c>
      <c r="BP716" s="6" t="n">
        <f aca="false">IF(R716="-","",IFERROR(VALUE(F716),""))</f>
        <v>357.12</v>
      </c>
      <c r="BQ716" s="4" t="n">
        <f aca="false">IF(R716="-",1,0)</f>
        <v>0</v>
      </c>
    </row>
    <row r="717" customFormat="false" ht="15" hidden="false" customHeight="false" outlineLevel="0" collapsed="false">
      <c r="A717" s="0" t="s">
        <v>2884</v>
      </c>
      <c r="B717" s="0" t="s">
        <v>2885</v>
      </c>
      <c r="C717" s="0" t="s">
        <v>70</v>
      </c>
      <c r="D717" s="0" t="s">
        <v>2919</v>
      </c>
      <c r="E717" s="3" t="n">
        <v>46279</v>
      </c>
      <c r="F717" s="4" t="s">
        <v>2920</v>
      </c>
      <c r="G717" s="5" t="n">
        <v>0.593761574074074</v>
      </c>
      <c r="H717" s="5" t="n">
        <v>0.253773148148148</v>
      </c>
      <c r="I717" s="5" t="n">
        <v>0.00037037037037037</v>
      </c>
      <c r="J717" s="0" t="n">
        <v>2</v>
      </c>
      <c r="K717" s="0" t="n">
        <v>0</v>
      </c>
      <c r="L717" s="0" t="n">
        <v>0</v>
      </c>
      <c r="M717" s="0" t="n">
        <v>0</v>
      </c>
      <c r="N717" s="0" t="n">
        <v>0</v>
      </c>
      <c r="O717" s="5" t="n">
        <v>0</v>
      </c>
      <c r="P717" s="5" t="n">
        <v>0</v>
      </c>
      <c r="Q717" s="4" t="s">
        <v>2921</v>
      </c>
      <c r="R717" s="4" t="s">
        <v>876</v>
      </c>
      <c r="S717" s="5" t="n">
        <v>0.000810185185185185</v>
      </c>
      <c r="T717" s="5" t="n">
        <v>0.149537037037037</v>
      </c>
      <c r="U717" s="5" t="n">
        <v>0.361574074074074</v>
      </c>
      <c r="V717" s="5" t="n">
        <v>0.0140046296296296</v>
      </c>
      <c r="W717" s="5" t="n">
        <v>0</v>
      </c>
      <c r="X717" s="5" t="n">
        <v>0</v>
      </c>
      <c r="Y717" s="5" t="n">
        <v>0</v>
      </c>
      <c r="Z717" s="0" t="n">
        <v>0</v>
      </c>
      <c r="AA717" s="0" t="n">
        <v>0</v>
      </c>
      <c r="AB717" s="0" t="n">
        <v>0</v>
      </c>
      <c r="AC717" s="4" t="s">
        <v>2917</v>
      </c>
      <c r="AD717" s="4" t="s">
        <v>2425</v>
      </c>
      <c r="AE717" s="4" t="s">
        <v>2922</v>
      </c>
      <c r="AF717" s="4" t="s">
        <v>2923</v>
      </c>
      <c r="AG717" s="5" t="n">
        <v>0.469155092592593</v>
      </c>
      <c r="AH717" s="5" t="n">
        <v>0.239814814814815</v>
      </c>
      <c r="AI717" s="5" t="n">
        <v>0</v>
      </c>
      <c r="AJ717" s="5" t="n">
        <v>0</v>
      </c>
      <c r="AK717" s="5" t="n">
        <v>0</v>
      </c>
      <c r="AL717" s="5" t="n">
        <v>0</v>
      </c>
      <c r="AM717" s="4" t="s">
        <v>78</v>
      </c>
      <c r="AN717" s="0" t="n">
        <v>0</v>
      </c>
      <c r="AO717" s="0" t="n">
        <v>1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  <c r="AU717" s="0" t="n">
        <v>14</v>
      </c>
      <c r="AV717" s="0" t="n">
        <v>0</v>
      </c>
      <c r="AW717" s="0" t="n">
        <v>2</v>
      </c>
      <c r="AX717" s="0" t="n">
        <v>0</v>
      </c>
      <c r="AY717" s="0" t="n">
        <v>0</v>
      </c>
      <c r="AZ717" s="0" t="n">
        <v>0</v>
      </c>
      <c r="BA717" s="0" t="n">
        <v>0</v>
      </c>
      <c r="BB717" s="0" t="n">
        <v>0</v>
      </c>
      <c r="BC717" s="0" t="n">
        <v>0</v>
      </c>
      <c r="BD717" s="0" t="n">
        <v>0</v>
      </c>
      <c r="BE717" s="0" t="n">
        <v>0</v>
      </c>
      <c r="BF717" s="0" t="n">
        <v>0</v>
      </c>
      <c r="BG717" s="0" t="n">
        <v>0</v>
      </c>
      <c r="BH717" s="0" t="n">
        <v>0</v>
      </c>
      <c r="BI717" s="0" t="n">
        <v>0</v>
      </c>
      <c r="BJ717" s="0" t="n">
        <v>0</v>
      </c>
      <c r="BK717" s="0" t="n">
        <v>0</v>
      </c>
      <c r="BM717" s="6" t="n">
        <f aca="false">IFERROR(VALUE(F717),"")</f>
        <v>652.59</v>
      </c>
      <c r="BN717" s="6" t="n">
        <f aca="false">IF(R717="-","",IFERROR(VALUE(LEFT(Q717,LEN(Q717)-2)),""))</f>
        <v>215.49</v>
      </c>
      <c r="BO717" s="6" t="n">
        <f aca="false">IF(R717="-","",IFERROR(VALUE(LEFT(R717,LEN(R717)-5)),""))</f>
        <v>3.03</v>
      </c>
      <c r="BP717" s="6" t="n">
        <f aca="false">IF(R717="-","",IFERROR(VALUE(F717),""))</f>
        <v>652.59</v>
      </c>
      <c r="BQ717" s="4" t="n">
        <f aca="false">IF(R717="-",1,0)</f>
        <v>0</v>
      </c>
    </row>
    <row r="718" customFormat="false" ht="15" hidden="false" customHeight="false" outlineLevel="0" collapsed="false">
      <c r="A718" s="0" t="s">
        <v>2924</v>
      </c>
      <c r="B718" s="0" t="s">
        <v>2925</v>
      </c>
      <c r="C718" s="0" t="s">
        <v>70</v>
      </c>
      <c r="E718" s="3" t="n">
        <v>46274</v>
      </c>
      <c r="F718" s="4" t="s">
        <v>2926</v>
      </c>
      <c r="G718" s="5" t="n">
        <v>0.35693287037037</v>
      </c>
      <c r="H718" s="5" t="n">
        <v>0</v>
      </c>
      <c r="I718" s="5" t="n">
        <v>0.00163194444444445</v>
      </c>
      <c r="J718" s="0" t="n">
        <v>0</v>
      </c>
      <c r="K718" s="0" t="n">
        <v>1</v>
      </c>
      <c r="L718" s="0" t="n">
        <v>0</v>
      </c>
      <c r="M718" s="0" t="n">
        <v>0</v>
      </c>
      <c r="N718" s="0" t="n">
        <v>0</v>
      </c>
      <c r="O718" s="5" t="n">
        <v>0</v>
      </c>
      <c r="P718" s="5" t="n">
        <v>0</v>
      </c>
      <c r="Q718" s="4" t="s">
        <v>2927</v>
      </c>
      <c r="R718" s="4" t="s">
        <v>1887</v>
      </c>
      <c r="S718" s="5" t="n">
        <v>0.000231481481481482</v>
      </c>
      <c r="T718" s="5" t="n">
        <v>0.0900462962962963</v>
      </c>
      <c r="U718" s="5" t="n">
        <v>0.228935185185185</v>
      </c>
      <c r="V718" s="5" t="n">
        <v>0.025</v>
      </c>
      <c r="W718" s="5" t="n">
        <v>0</v>
      </c>
      <c r="X718" s="5" t="n">
        <v>0</v>
      </c>
      <c r="Y718" s="5" t="n">
        <v>0</v>
      </c>
      <c r="Z718" s="0" t="n">
        <v>0</v>
      </c>
      <c r="AA718" s="0" t="n">
        <v>0</v>
      </c>
      <c r="AB718" s="0" t="n">
        <v>0</v>
      </c>
      <c r="AC718" s="4" t="s">
        <v>432</v>
      </c>
      <c r="AD718" s="4" t="s">
        <v>421</v>
      </c>
      <c r="AE718" s="4" t="s">
        <v>2928</v>
      </c>
      <c r="AF718" s="4" t="s">
        <v>2929</v>
      </c>
      <c r="AG718" s="5" t="n">
        <v>0.314166666666667</v>
      </c>
      <c r="AH718" s="5" t="n">
        <v>0.0752083333333333</v>
      </c>
      <c r="AI718" s="5" t="n">
        <v>0</v>
      </c>
      <c r="AJ718" s="5" t="n">
        <v>0</v>
      </c>
      <c r="AK718" s="5" t="n">
        <v>0</v>
      </c>
      <c r="AL718" s="5" t="n">
        <v>0</v>
      </c>
      <c r="AM718" s="4" t="s">
        <v>78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  <c r="AU718" s="0" t="n">
        <v>0</v>
      </c>
      <c r="AV718" s="0" t="n">
        <v>0</v>
      </c>
      <c r="AW718" s="0" t="n">
        <v>0</v>
      </c>
      <c r="AX718" s="0" t="n">
        <v>0</v>
      </c>
      <c r="AY718" s="0" t="n">
        <v>0</v>
      </c>
      <c r="AZ718" s="0" t="n">
        <v>0</v>
      </c>
      <c r="BA718" s="0" t="n">
        <v>0</v>
      </c>
      <c r="BB718" s="0" t="n">
        <v>4</v>
      </c>
      <c r="BC718" s="0" t="n">
        <v>0</v>
      </c>
      <c r="BD718" s="0" t="n">
        <v>0</v>
      </c>
      <c r="BE718" s="0" t="n">
        <v>0</v>
      </c>
      <c r="BF718" s="0" t="n">
        <v>0</v>
      </c>
      <c r="BG718" s="0" t="n">
        <v>0</v>
      </c>
      <c r="BH718" s="0" t="n">
        <v>0</v>
      </c>
      <c r="BI718" s="0" t="n">
        <v>0</v>
      </c>
      <c r="BJ718" s="0" t="n">
        <v>0</v>
      </c>
      <c r="BK718" s="0" t="n">
        <v>0</v>
      </c>
      <c r="BM718" s="6" t="n">
        <f aca="false">IFERROR(VALUE(F718),"")</f>
        <v>405.89</v>
      </c>
      <c r="BN718" s="6" t="n">
        <f aca="false">IF(R718="-","",IFERROR(VALUE(LEFT(Q718,LEN(Q718)-2)),""))</f>
        <v>130.5</v>
      </c>
      <c r="BO718" s="6" t="n">
        <f aca="false">IF(R718="-","",IFERROR(VALUE(LEFT(R718,LEN(R718)-5)),""))</f>
        <v>3.11</v>
      </c>
      <c r="BP718" s="6" t="n">
        <f aca="false">IF(R718="-","",IFERROR(VALUE(F718),""))</f>
        <v>405.89</v>
      </c>
      <c r="BQ718" s="4" t="n">
        <f aca="false">IF(R718="-",1,0)</f>
        <v>0</v>
      </c>
    </row>
    <row r="719" customFormat="false" ht="15" hidden="false" customHeight="false" outlineLevel="0" collapsed="false">
      <c r="A719" s="0" t="s">
        <v>2924</v>
      </c>
      <c r="B719" s="0" t="s">
        <v>2925</v>
      </c>
      <c r="C719" s="0" t="s">
        <v>70</v>
      </c>
      <c r="E719" s="3" t="n">
        <v>46275</v>
      </c>
      <c r="F719" s="4" t="s">
        <v>2930</v>
      </c>
      <c r="G719" s="5" t="n">
        <v>0.543194444444444</v>
      </c>
      <c r="H719" s="5" t="n">
        <v>0</v>
      </c>
      <c r="I719" s="5" t="n">
        <v>0.000520833333333333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5" t="n">
        <v>0</v>
      </c>
      <c r="P719" s="5" t="n">
        <v>0</v>
      </c>
      <c r="Q719" s="4" t="s">
        <v>2931</v>
      </c>
      <c r="R719" s="4" t="s">
        <v>1061</v>
      </c>
      <c r="S719" s="5" t="n">
        <v>0.000347222222222222</v>
      </c>
      <c r="T719" s="5" t="n">
        <v>0.174884259259259</v>
      </c>
      <c r="U719" s="5" t="n">
        <v>0.244444444444444</v>
      </c>
      <c r="V719" s="5" t="n">
        <v>0.0119212962962963</v>
      </c>
      <c r="W719" s="5" t="n">
        <v>0</v>
      </c>
      <c r="X719" s="5" t="n">
        <v>0</v>
      </c>
      <c r="Y719" s="5" t="n">
        <v>0</v>
      </c>
      <c r="Z719" s="0" t="n">
        <v>0</v>
      </c>
      <c r="AA719" s="0" t="n">
        <v>0</v>
      </c>
      <c r="AB719" s="0" t="n">
        <v>0</v>
      </c>
      <c r="AC719" s="4" t="s">
        <v>421</v>
      </c>
      <c r="AD719" s="4" t="s">
        <v>432</v>
      </c>
      <c r="AE719" s="4" t="s">
        <v>2929</v>
      </c>
      <c r="AF719" s="4" t="s">
        <v>2932</v>
      </c>
      <c r="AG719" s="5" t="n">
        <v>0.376377314814815</v>
      </c>
      <c r="AH719" s="5" t="n">
        <v>0.240127314814815</v>
      </c>
      <c r="AI719" s="5" t="n">
        <v>0</v>
      </c>
      <c r="AJ719" s="5" t="n">
        <v>0</v>
      </c>
      <c r="AK719" s="5" t="n">
        <v>0</v>
      </c>
      <c r="AL719" s="5" t="n">
        <v>0</v>
      </c>
      <c r="AM719" s="4" t="s">
        <v>78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  <c r="BA719" s="0" t="n">
        <v>0</v>
      </c>
      <c r="BB719" s="0" t="n">
        <v>4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0</v>
      </c>
      <c r="BH719" s="0" t="n">
        <v>0</v>
      </c>
      <c r="BI719" s="0" t="n">
        <v>0</v>
      </c>
      <c r="BJ719" s="0" t="n">
        <v>0</v>
      </c>
      <c r="BK719" s="0" t="n">
        <v>0</v>
      </c>
      <c r="BM719" s="6" t="n">
        <f aca="false">IFERROR(VALUE(F719),"")</f>
        <v>408.92</v>
      </c>
      <c r="BN719" s="6" t="n">
        <f aca="false">IF(R719="-","",IFERROR(VALUE(LEFT(Q719,LEN(Q719)-2)),""))</f>
        <v>134.5</v>
      </c>
      <c r="BO719" s="6" t="n">
        <f aca="false">IF(R719="-","",IFERROR(VALUE(LEFT(R719,LEN(R719)-5)),""))</f>
        <v>3.04</v>
      </c>
      <c r="BP719" s="6" t="n">
        <f aca="false">IF(R719="-","",IFERROR(VALUE(F719),""))</f>
        <v>408.92</v>
      </c>
      <c r="BQ719" s="4" t="n">
        <f aca="false">IF(R719="-",1,0)</f>
        <v>0</v>
      </c>
    </row>
    <row r="720" customFormat="false" ht="15" hidden="false" customHeight="false" outlineLevel="0" collapsed="false">
      <c r="A720" s="0" t="s">
        <v>2924</v>
      </c>
      <c r="B720" s="0" t="s">
        <v>2925</v>
      </c>
      <c r="C720" s="0" t="s">
        <v>70</v>
      </c>
      <c r="E720" s="3" t="n">
        <v>46276</v>
      </c>
      <c r="F720" s="4" t="s">
        <v>2933</v>
      </c>
      <c r="G720" s="5" t="n">
        <v>0.536354166666667</v>
      </c>
      <c r="H720" s="5" t="n">
        <v>0</v>
      </c>
      <c r="I720" s="5" t="n">
        <v>0.000694444444444445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5" t="n">
        <v>0</v>
      </c>
      <c r="P720" s="5" t="n">
        <v>0</v>
      </c>
      <c r="Q720" s="4" t="s">
        <v>2934</v>
      </c>
      <c r="R720" s="4" t="s">
        <v>2935</v>
      </c>
      <c r="S720" s="5" t="n">
        <v>0.000925925925925926</v>
      </c>
      <c r="T720" s="5" t="n">
        <v>0.179166666666667</v>
      </c>
      <c r="U720" s="5" t="n">
        <v>0.299074074074074</v>
      </c>
      <c r="V720" s="5" t="n">
        <v>0.0231481481481482</v>
      </c>
      <c r="W720" s="5" t="n">
        <v>0</v>
      </c>
      <c r="X720" s="5" t="n">
        <v>0</v>
      </c>
      <c r="Y720" s="5" t="n">
        <v>0</v>
      </c>
      <c r="Z720" s="0" t="n">
        <v>0</v>
      </c>
      <c r="AA720" s="0" t="n">
        <v>0</v>
      </c>
      <c r="AB720" s="0" t="n">
        <v>0</v>
      </c>
      <c r="AC720" s="4" t="s">
        <v>432</v>
      </c>
      <c r="AD720" s="4" t="s">
        <v>158</v>
      </c>
      <c r="AE720" s="4" t="s">
        <v>2932</v>
      </c>
      <c r="AF720" s="4" t="s">
        <v>2936</v>
      </c>
      <c r="AG720" s="5" t="n">
        <v>0.42974537037037</v>
      </c>
      <c r="AH720" s="5" t="n">
        <v>0.169513888888889</v>
      </c>
      <c r="AI720" s="5" t="n">
        <v>0</v>
      </c>
      <c r="AJ720" s="5" t="n">
        <v>0</v>
      </c>
      <c r="AK720" s="5" t="n">
        <v>0</v>
      </c>
      <c r="AL720" s="5" t="n">
        <v>0</v>
      </c>
      <c r="AM720" s="4" t="s">
        <v>78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  <c r="AV720" s="0" t="n">
        <v>0</v>
      </c>
      <c r="AW720" s="0" t="n">
        <v>0</v>
      </c>
      <c r="AX720" s="0" t="n">
        <v>0</v>
      </c>
      <c r="AY720" s="0" t="n">
        <v>0</v>
      </c>
      <c r="AZ720" s="0" t="n">
        <v>0</v>
      </c>
      <c r="BA720" s="0" t="n">
        <v>0</v>
      </c>
      <c r="BB720" s="0" t="n">
        <v>1</v>
      </c>
      <c r="BC720" s="0" t="n">
        <v>0</v>
      </c>
      <c r="BD720" s="0" t="n">
        <v>0</v>
      </c>
      <c r="BE720" s="0" t="n">
        <v>0</v>
      </c>
      <c r="BF720" s="0" t="n">
        <v>0</v>
      </c>
      <c r="BG720" s="0" t="n">
        <v>0</v>
      </c>
      <c r="BH720" s="0" t="n">
        <v>0</v>
      </c>
      <c r="BI720" s="0" t="n">
        <v>0</v>
      </c>
      <c r="BJ720" s="0" t="n">
        <v>0</v>
      </c>
      <c r="BK720" s="0" t="n">
        <v>0</v>
      </c>
      <c r="BM720" s="6" t="n">
        <f aca="false">IFERROR(VALUE(F720),"")</f>
        <v>554.81</v>
      </c>
      <c r="BN720" s="6" t="n">
        <f aca="false">IF(R720="-","",IFERROR(VALUE(LEFT(Q720,LEN(Q720)-2)),""))</f>
        <v>191.52</v>
      </c>
      <c r="BO720" s="6" t="n">
        <f aca="false">IF(R720="-","",IFERROR(VALUE(LEFT(R720,LEN(R720)-5)),""))</f>
        <v>2.9</v>
      </c>
      <c r="BP720" s="6" t="n">
        <f aca="false">IF(R720="-","",IFERROR(VALUE(F720),""))</f>
        <v>554.81</v>
      </c>
      <c r="BQ720" s="4" t="n">
        <f aca="false">IF(R720="-",1,0)</f>
        <v>0</v>
      </c>
    </row>
    <row r="721" customFormat="false" ht="15" hidden="false" customHeight="false" outlineLevel="0" collapsed="false">
      <c r="A721" s="0" t="s">
        <v>2924</v>
      </c>
      <c r="B721" s="0" t="s">
        <v>2925</v>
      </c>
      <c r="C721" s="0" t="s">
        <v>70</v>
      </c>
      <c r="E721" s="3" t="n">
        <v>46277</v>
      </c>
      <c r="F721" s="4" t="s">
        <v>95</v>
      </c>
      <c r="G721" s="5" t="n">
        <v>0.00755787037037037</v>
      </c>
      <c r="H721" s="5" t="n">
        <v>0</v>
      </c>
      <c r="I721" s="5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5" t="n">
        <v>0</v>
      </c>
      <c r="P721" s="5" t="n">
        <v>0.0075462962962963</v>
      </c>
      <c r="Q721" s="4" t="s">
        <v>1989</v>
      </c>
      <c r="R721" s="4" t="s">
        <v>454</v>
      </c>
      <c r="S721" s="5" t="n">
        <v>0</v>
      </c>
      <c r="T721" s="5" t="n">
        <v>0.00636574074074074</v>
      </c>
      <c r="U721" s="5" t="n">
        <v>0.00104166666666667</v>
      </c>
      <c r="V721" s="5" t="n">
        <v>0</v>
      </c>
      <c r="W721" s="5" t="n">
        <v>0</v>
      </c>
      <c r="X721" s="5" t="n">
        <v>0</v>
      </c>
      <c r="Y721" s="5" t="n">
        <v>0</v>
      </c>
      <c r="Z721" s="0" t="n">
        <v>0</v>
      </c>
      <c r="AA721" s="0" t="n">
        <v>0</v>
      </c>
      <c r="AB721" s="0" t="n">
        <v>0</v>
      </c>
      <c r="AC721" s="4" t="s">
        <v>152</v>
      </c>
      <c r="AD721" s="4" t="s">
        <v>158</v>
      </c>
      <c r="AE721" s="4" t="s">
        <v>2936</v>
      </c>
      <c r="AF721" s="4" t="s">
        <v>2936</v>
      </c>
      <c r="AG721" s="5" t="n">
        <v>0</v>
      </c>
      <c r="AH721" s="5" t="n">
        <v>0.00799768518518519</v>
      </c>
      <c r="AI721" s="5" t="n">
        <v>0</v>
      </c>
      <c r="AJ721" s="5" t="n">
        <v>0</v>
      </c>
      <c r="AK721" s="5" t="n">
        <v>0</v>
      </c>
      <c r="AL721" s="5" t="n">
        <v>0</v>
      </c>
      <c r="AM721" s="4" t="s">
        <v>78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  <c r="AU721" s="0" t="n">
        <v>0</v>
      </c>
      <c r="AV721" s="0" t="n">
        <v>0</v>
      </c>
      <c r="AW721" s="0" t="n">
        <v>0</v>
      </c>
      <c r="AX721" s="0" t="n">
        <v>0</v>
      </c>
      <c r="AY721" s="0" t="n">
        <v>0</v>
      </c>
      <c r="AZ721" s="0" t="n">
        <v>0</v>
      </c>
      <c r="BA721" s="0" t="n">
        <v>0</v>
      </c>
      <c r="BB721" s="0" t="n">
        <v>0</v>
      </c>
      <c r="BC721" s="0" t="n">
        <v>0</v>
      </c>
      <c r="BD721" s="0" t="n">
        <v>0</v>
      </c>
      <c r="BE721" s="0" t="n">
        <v>0</v>
      </c>
      <c r="BF721" s="0" t="n">
        <v>0</v>
      </c>
      <c r="BG721" s="0" t="n">
        <v>0</v>
      </c>
      <c r="BH721" s="0" t="n">
        <v>0</v>
      </c>
      <c r="BI721" s="0" t="n">
        <v>0</v>
      </c>
      <c r="BJ721" s="0" t="n">
        <v>0</v>
      </c>
      <c r="BK721" s="0" t="n">
        <v>0</v>
      </c>
      <c r="BM721" s="6" t="n">
        <f aca="false">IFERROR(VALUE(F721),"")</f>
        <v>0</v>
      </c>
      <c r="BN721" s="6" t="n">
        <f aca="false">IF(R721="-","",IFERROR(VALUE(LEFT(Q721,LEN(Q721)-2)),""))</f>
        <v>0.99</v>
      </c>
      <c r="BO721" s="6" t="n">
        <f aca="false">IF(R721="-","",IFERROR(VALUE(LEFT(R721,LEN(R721)-5)),""))</f>
        <v>0</v>
      </c>
      <c r="BP721" s="6" t="n">
        <f aca="false">IF(R721="-","",IFERROR(VALUE(F721),""))</f>
        <v>0</v>
      </c>
      <c r="BQ721" s="4" t="n">
        <f aca="false">IF(R721="-",1,0)</f>
        <v>0</v>
      </c>
    </row>
    <row r="722" customFormat="false" ht="15" hidden="false" customHeight="false" outlineLevel="0" collapsed="false">
      <c r="A722" s="0" t="s">
        <v>2924</v>
      </c>
      <c r="B722" s="0" t="s">
        <v>2925</v>
      </c>
      <c r="C722" s="0" t="s">
        <v>70</v>
      </c>
      <c r="E722" s="3" t="n">
        <v>46278</v>
      </c>
      <c r="F722" s="4" t="s">
        <v>2937</v>
      </c>
      <c r="G722" s="5" t="n">
        <v>0.202094907407407</v>
      </c>
      <c r="H722" s="5" t="n">
        <v>0</v>
      </c>
      <c r="I722" s="5" t="n">
        <v>0.0003125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5" t="n">
        <v>0</v>
      </c>
      <c r="P722" s="5" t="n">
        <v>0</v>
      </c>
      <c r="Q722" s="4" t="s">
        <v>2938</v>
      </c>
      <c r="R722" s="4" t="s">
        <v>1317</v>
      </c>
      <c r="S722" s="5" t="n">
        <v>0.000462962962962963</v>
      </c>
      <c r="T722" s="5" t="n">
        <v>0.0743055555555556</v>
      </c>
      <c r="U722" s="5" t="n">
        <v>0.0564814814814815</v>
      </c>
      <c r="V722" s="5" t="n">
        <v>0.00613425925925926</v>
      </c>
      <c r="W722" s="5" t="n">
        <v>0</v>
      </c>
      <c r="X722" s="5" t="n">
        <v>0</v>
      </c>
      <c r="Y722" s="5" t="n">
        <v>0</v>
      </c>
      <c r="Z722" s="0" t="n">
        <v>0</v>
      </c>
      <c r="AA722" s="0" t="n">
        <v>0</v>
      </c>
      <c r="AB722" s="0" t="n">
        <v>0</v>
      </c>
      <c r="AC722" s="4" t="s">
        <v>1286</v>
      </c>
      <c r="AD722" s="4" t="s">
        <v>852</v>
      </c>
      <c r="AE722" s="4" t="s">
        <v>2936</v>
      </c>
      <c r="AF722" s="4" t="s">
        <v>2939</v>
      </c>
      <c r="AG722" s="5" t="n">
        <v>0.0943287037037037</v>
      </c>
      <c r="AH722" s="5" t="n">
        <v>0.15806712962963</v>
      </c>
      <c r="AI722" s="5" t="n">
        <v>0</v>
      </c>
      <c r="AJ722" s="5" t="n">
        <v>0</v>
      </c>
      <c r="AK722" s="5" t="n">
        <v>0</v>
      </c>
      <c r="AL722" s="5" t="n">
        <v>0</v>
      </c>
      <c r="AM722" s="4" t="s">
        <v>78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  <c r="AU722" s="0" t="n">
        <v>0</v>
      </c>
      <c r="AV722" s="0" t="n">
        <v>0</v>
      </c>
      <c r="AW722" s="0" t="n">
        <v>0</v>
      </c>
      <c r="AX722" s="0" t="n">
        <v>0</v>
      </c>
      <c r="AY722" s="0" t="n">
        <v>0</v>
      </c>
      <c r="AZ722" s="0" t="n">
        <v>0</v>
      </c>
      <c r="BA722" s="0" t="n">
        <v>0</v>
      </c>
      <c r="BB722" s="0" t="n">
        <v>0</v>
      </c>
      <c r="BC722" s="0" t="n">
        <v>0</v>
      </c>
      <c r="BD722" s="0" t="n">
        <v>0</v>
      </c>
      <c r="BE722" s="0" t="n">
        <v>0</v>
      </c>
      <c r="BF722" s="0" t="n">
        <v>0</v>
      </c>
      <c r="BG722" s="0" t="n">
        <v>0</v>
      </c>
      <c r="BH722" s="0" t="n">
        <v>0</v>
      </c>
      <c r="BI722" s="0" t="n">
        <v>0</v>
      </c>
      <c r="BJ722" s="0" t="n">
        <v>0</v>
      </c>
      <c r="BK722" s="0" t="n">
        <v>0</v>
      </c>
      <c r="BM722" s="6" t="n">
        <f aca="false">IFERROR(VALUE(F722),"")</f>
        <v>99.72</v>
      </c>
      <c r="BN722" s="6" t="n">
        <f aca="false">IF(R722="-","",IFERROR(VALUE(LEFT(Q722,LEN(Q722)-2)),""))</f>
        <v>32.99</v>
      </c>
      <c r="BO722" s="6" t="n">
        <f aca="false">IF(R722="-","",IFERROR(VALUE(LEFT(R722,LEN(R722)-5)),""))</f>
        <v>3.02</v>
      </c>
      <c r="BP722" s="6" t="n">
        <f aca="false">IF(R722="-","",IFERROR(VALUE(F722),""))</f>
        <v>99.72</v>
      </c>
      <c r="BQ722" s="4" t="n">
        <f aca="false">IF(R722="-",1,0)</f>
        <v>0</v>
      </c>
    </row>
    <row r="723" customFormat="false" ht="15" hidden="false" customHeight="false" outlineLevel="0" collapsed="false">
      <c r="A723" s="0" t="s">
        <v>2924</v>
      </c>
      <c r="B723" s="0" t="s">
        <v>2925</v>
      </c>
      <c r="C723" s="0" t="s">
        <v>70</v>
      </c>
      <c r="E723" s="3" t="n">
        <v>46279</v>
      </c>
      <c r="F723" s="4" t="s">
        <v>2940</v>
      </c>
      <c r="G723" s="5" t="n">
        <v>0.487280092592593</v>
      </c>
      <c r="H723" s="5" t="n">
        <v>0</v>
      </c>
      <c r="I723" s="5" t="n">
        <v>0.00226851851851852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5" t="n">
        <v>0</v>
      </c>
      <c r="P723" s="5" t="n">
        <v>0</v>
      </c>
      <c r="Q723" s="4" t="s">
        <v>2941</v>
      </c>
      <c r="R723" s="4" t="s">
        <v>2942</v>
      </c>
      <c r="S723" s="5" t="n">
        <v>0.000231481481481482</v>
      </c>
      <c r="T723" s="5" t="n">
        <v>0.141087962962963</v>
      </c>
      <c r="U723" s="5" t="n">
        <v>0.23912037037037</v>
      </c>
      <c r="V723" s="5" t="n">
        <v>0.0181712962962963</v>
      </c>
      <c r="W723" s="5" t="n">
        <v>0</v>
      </c>
      <c r="X723" s="5" t="n">
        <v>0</v>
      </c>
      <c r="Y723" s="5" t="n">
        <v>0</v>
      </c>
      <c r="Z723" s="0" t="n">
        <v>0</v>
      </c>
      <c r="AA723" s="0" t="n">
        <v>0</v>
      </c>
      <c r="AB723" s="0" t="n">
        <v>0</v>
      </c>
      <c r="AC723" s="4" t="s">
        <v>852</v>
      </c>
      <c r="AD723" s="4" t="s">
        <v>864</v>
      </c>
      <c r="AE723" s="4" t="s">
        <v>2943</v>
      </c>
      <c r="AF723" s="4" t="s">
        <v>2944</v>
      </c>
      <c r="AG723" s="5" t="n">
        <v>0.361261574074074</v>
      </c>
      <c r="AH723" s="5" t="n">
        <v>0.225381944444445</v>
      </c>
      <c r="AI723" s="5" t="n">
        <v>0</v>
      </c>
      <c r="AJ723" s="5" t="n">
        <v>0</v>
      </c>
      <c r="AK723" s="5" t="n">
        <v>0</v>
      </c>
      <c r="AL723" s="5" t="n">
        <v>0</v>
      </c>
      <c r="AM723" s="4" t="s">
        <v>78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  <c r="AU723" s="0" t="n">
        <v>0</v>
      </c>
      <c r="AV723" s="0" t="n">
        <v>0</v>
      </c>
      <c r="AW723" s="0" t="n">
        <v>0</v>
      </c>
      <c r="AX723" s="0" t="n">
        <v>0</v>
      </c>
      <c r="AY723" s="0" t="n">
        <v>0</v>
      </c>
      <c r="AZ723" s="0" t="n">
        <v>0</v>
      </c>
      <c r="BA723" s="0" t="n">
        <v>0</v>
      </c>
      <c r="BB723" s="0" t="n">
        <v>3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0</v>
      </c>
      <c r="BH723" s="0" t="n">
        <v>0</v>
      </c>
      <c r="BI723" s="0" t="n">
        <v>0</v>
      </c>
      <c r="BJ723" s="0" t="n">
        <v>0</v>
      </c>
      <c r="BK723" s="0" t="n">
        <v>0</v>
      </c>
      <c r="BM723" s="6" t="n">
        <f aca="false">IFERROR(VALUE(F723),"")</f>
        <v>407.67</v>
      </c>
      <c r="BN723" s="6" t="n">
        <f aca="false">IF(R723="-","",IFERROR(VALUE(LEFT(Q723,LEN(Q723)-2)),""))</f>
        <v>116.51</v>
      </c>
      <c r="BO723" s="6" t="n">
        <f aca="false">IF(R723="-","",IFERROR(VALUE(LEFT(R723,LEN(R723)-5)),""))</f>
        <v>3.5</v>
      </c>
      <c r="BP723" s="6" t="n">
        <f aca="false">IF(R723="-","",IFERROR(VALUE(F723),""))</f>
        <v>407.67</v>
      </c>
      <c r="BQ723" s="4" t="n">
        <f aca="false">IF(R723="-",1,0)</f>
        <v>0</v>
      </c>
    </row>
    <row r="724" customFormat="false" ht="15" hidden="false" customHeight="false" outlineLevel="0" collapsed="false">
      <c r="A724" s="0" t="s">
        <v>2945</v>
      </c>
      <c r="B724" s="0" t="s">
        <v>2946</v>
      </c>
      <c r="C724" s="0" t="s">
        <v>70</v>
      </c>
      <c r="D724" s="0" t="s">
        <v>2947</v>
      </c>
      <c r="E724" s="3" t="n">
        <v>46273</v>
      </c>
      <c r="F724" s="4" t="s">
        <v>2948</v>
      </c>
      <c r="G724" s="5" t="n">
        <v>0.631481481481482</v>
      </c>
      <c r="H724" s="5" t="n">
        <v>0.599768518518519</v>
      </c>
      <c r="I724" s="5" t="n">
        <v>0.00108796296296296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5" t="n">
        <v>0</v>
      </c>
      <c r="P724" s="5" t="n">
        <v>0</v>
      </c>
      <c r="Q724" s="4" t="s">
        <v>2949</v>
      </c>
      <c r="R724" s="4" t="s">
        <v>2950</v>
      </c>
      <c r="S724" s="5" t="n">
        <v>0.000810185185185185</v>
      </c>
      <c r="T724" s="5" t="n">
        <v>0.154398148148148</v>
      </c>
      <c r="U724" s="5" t="n">
        <v>0.372453703703704</v>
      </c>
      <c r="V724" s="5" t="n">
        <v>0.012962962962963</v>
      </c>
      <c r="W724" s="5" t="n">
        <v>0</v>
      </c>
      <c r="X724" s="5" t="n">
        <v>0</v>
      </c>
      <c r="Y724" s="5" t="n">
        <v>0</v>
      </c>
      <c r="Z724" s="0" t="n">
        <v>0</v>
      </c>
      <c r="AA724" s="0" t="n">
        <v>0</v>
      </c>
      <c r="AB724" s="0" t="n">
        <v>0</v>
      </c>
      <c r="AC724" s="4" t="s">
        <v>994</v>
      </c>
      <c r="AD724" s="4" t="s">
        <v>994</v>
      </c>
      <c r="AE724" s="4" t="s">
        <v>2951</v>
      </c>
      <c r="AF724" s="4" t="s">
        <v>2952</v>
      </c>
      <c r="AG724" s="5" t="n">
        <v>0.473020833333333</v>
      </c>
      <c r="AH724" s="5" t="n">
        <v>0.224224537037037</v>
      </c>
      <c r="AI724" s="5" t="n">
        <v>0</v>
      </c>
      <c r="AJ724" s="5" t="n">
        <v>0</v>
      </c>
      <c r="AK724" s="5" t="n">
        <v>0</v>
      </c>
      <c r="AL724" s="5" t="n">
        <v>0</v>
      </c>
      <c r="AM724" s="4" t="s">
        <v>78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  <c r="AU724" s="0" t="n">
        <v>1</v>
      </c>
      <c r="AV724" s="0" t="n">
        <v>0</v>
      </c>
      <c r="AW724" s="0" t="n">
        <v>0</v>
      </c>
      <c r="AX724" s="0" t="n">
        <v>0</v>
      </c>
      <c r="AY724" s="0" t="n">
        <v>0</v>
      </c>
      <c r="AZ724" s="0" t="n">
        <v>0</v>
      </c>
      <c r="BA724" s="0" t="n">
        <v>0</v>
      </c>
      <c r="BB724" s="0" t="n">
        <v>0</v>
      </c>
      <c r="BC724" s="0" t="n">
        <v>0</v>
      </c>
      <c r="BD724" s="0" t="n">
        <v>0</v>
      </c>
      <c r="BE724" s="0" t="n">
        <v>0</v>
      </c>
      <c r="BF724" s="0" t="n">
        <v>0</v>
      </c>
      <c r="BG724" s="0" t="n">
        <v>0</v>
      </c>
      <c r="BH724" s="0" t="n">
        <v>0</v>
      </c>
      <c r="BI724" s="0" t="n">
        <v>0</v>
      </c>
      <c r="BJ724" s="0" t="n">
        <v>0</v>
      </c>
      <c r="BK724" s="0" t="n">
        <v>0</v>
      </c>
      <c r="BM724" s="6" t="n">
        <f aca="false">IFERROR(VALUE(F724),"")</f>
        <v>699.64</v>
      </c>
      <c r="BN724" s="6" t="n">
        <f aca="false">IF(R724="-","",IFERROR(VALUE(LEFT(Q724,LEN(Q724)-2)),""))</f>
        <v>189.47</v>
      </c>
      <c r="BO724" s="6" t="n">
        <f aca="false">IF(R724="-","",IFERROR(VALUE(LEFT(R724,LEN(R724)-5)),""))</f>
        <v>3.69</v>
      </c>
      <c r="BP724" s="6" t="n">
        <f aca="false">IF(R724="-","",IFERROR(VALUE(F724),""))</f>
        <v>699.64</v>
      </c>
      <c r="BQ724" s="4" t="n">
        <f aca="false">IF(R724="-",1,0)</f>
        <v>0</v>
      </c>
    </row>
    <row r="725" customFormat="false" ht="15" hidden="false" customHeight="false" outlineLevel="0" collapsed="false">
      <c r="A725" s="0" t="s">
        <v>2945</v>
      </c>
      <c r="B725" s="0" t="s">
        <v>2946</v>
      </c>
      <c r="C725" s="0" t="s">
        <v>70</v>
      </c>
      <c r="D725" s="0" t="s">
        <v>2953</v>
      </c>
      <c r="E725" s="3" t="n">
        <v>46274</v>
      </c>
      <c r="F725" s="4" t="s">
        <v>2954</v>
      </c>
      <c r="G725" s="5" t="n">
        <v>0.551909722222222</v>
      </c>
      <c r="H725" s="5" t="n">
        <v>0.299143518518519</v>
      </c>
      <c r="I725" s="5" t="n">
        <v>0.00247685185185185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1</v>
      </c>
      <c r="O725" s="5" t="n">
        <v>0</v>
      </c>
      <c r="P725" s="5" t="n">
        <v>0.0650347222222222</v>
      </c>
      <c r="Q725" s="4" t="s">
        <v>2955</v>
      </c>
      <c r="R725" s="4" t="s">
        <v>356</v>
      </c>
      <c r="S725" s="5" t="n">
        <v>0.000462962962962963</v>
      </c>
      <c r="T725" s="5" t="n">
        <v>0.136805555555556</v>
      </c>
      <c r="U725" s="5" t="n">
        <v>0.224537037037037</v>
      </c>
      <c r="V725" s="5" t="n">
        <v>0.0106481481481482</v>
      </c>
      <c r="W725" s="5" t="n">
        <v>0</v>
      </c>
      <c r="X725" s="5" t="n">
        <v>0</v>
      </c>
      <c r="Y725" s="5" t="n">
        <v>0</v>
      </c>
      <c r="Z725" s="0" t="n">
        <v>0</v>
      </c>
      <c r="AA725" s="0" t="n">
        <v>0</v>
      </c>
      <c r="AB725" s="0" t="n">
        <v>0</v>
      </c>
      <c r="AC725" s="4" t="s">
        <v>994</v>
      </c>
      <c r="AD725" s="4" t="s">
        <v>74</v>
      </c>
      <c r="AE725" s="4" t="s">
        <v>2956</v>
      </c>
      <c r="AF725" s="4" t="s">
        <v>2957</v>
      </c>
      <c r="AG725" s="5" t="n">
        <v>0.278368055555556</v>
      </c>
      <c r="AH725" s="5" t="n">
        <v>0.335416666666667</v>
      </c>
      <c r="AI725" s="5" t="n">
        <v>0</v>
      </c>
      <c r="AJ725" s="5" t="n">
        <v>0</v>
      </c>
      <c r="AK725" s="5" t="n">
        <v>0</v>
      </c>
      <c r="AL725" s="5" t="n">
        <v>0</v>
      </c>
      <c r="AM725" s="4" t="s">
        <v>78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2</v>
      </c>
      <c r="AV725" s="0" t="n">
        <v>0</v>
      </c>
      <c r="AW725" s="0" t="n">
        <v>1</v>
      </c>
      <c r="AX725" s="0" t="n">
        <v>0</v>
      </c>
      <c r="AY725" s="0" t="n">
        <v>0</v>
      </c>
      <c r="AZ725" s="0" t="n">
        <v>0</v>
      </c>
      <c r="BA725" s="0" t="n">
        <v>0</v>
      </c>
      <c r="BB725" s="0" t="n">
        <v>0</v>
      </c>
      <c r="BC725" s="0" t="n">
        <v>0</v>
      </c>
      <c r="BD725" s="0" t="n">
        <v>0</v>
      </c>
      <c r="BE725" s="0" t="n">
        <v>0</v>
      </c>
      <c r="BF725" s="0" t="n">
        <v>0</v>
      </c>
      <c r="BG725" s="0" t="n">
        <v>0</v>
      </c>
      <c r="BH725" s="0" t="n">
        <v>0</v>
      </c>
      <c r="BI725" s="0" t="n">
        <v>0</v>
      </c>
      <c r="BJ725" s="0" t="n">
        <v>0</v>
      </c>
      <c r="BK725" s="0" t="n">
        <v>0</v>
      </c>
      <c r="BM725" s="6" t="n">
        <f aca="false">IFERROR(VALUE(F725),"")</f>
        <v>442.11</v>
      </c>
      <c r="BN725" s="6" t="n">
        <f aca="false">IF(R725="-","",IFERROR(VALUE(LEFT(Q725,LEN(Q725)-2)),""))</f>
        <v>138.53</v>
      </c>
      <c r="BO725" s="6" t="n">
        <f aca="false">IF(R725="-","",IFERROR(VALUE(LEFT(R725,LEN(R725)-5)),""))</f>
        <v>3.19</v>
      </c>
      <c r="BP725" s="6" t="n">
        <f aca="false">IF(R725="-","",IFERROR(VALUE(F725),""))</f>
        <v>442.11</v>
      </c>
      <c r="BQ725" s="4" t="n">
        <f aca="false">IF(R725="-",1,0)</f>
        <v>0</v>
      </c>
    </row>
    <row r="726" customFormat="false" ht="15" hidden="false" customHeight="false" outlineLevel="0" collapsed="false">
      <c r="A726" s="0" t="s">
        <v>2945</v>
      </c>
      <c r="B726" s="0" t="s">
        <v>2946</v>
      </c>
      <c r="C726" s="0" t="s">
        <v>70</v>
      </c>
      <c r="D726" s="0" t="s">
        <v>2841</v>
      </c>
      <c r="E726" s="3" t="n">
        <v>46275</v>
      </c>
      <c r="F726" s="4" t="s">
        <v>2958</v>
      </c>
      <c r="G726" s="5" t="n">
        <v>0.324664351851852</v>
      </c>
      <c r="H726" s="5" t="n">
        <v>0.242800925925926</v>
      </c>
      <c r="I726" s="5" t="n">
        <v>0.000763888888888889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4</v>
      </c>
      <c r="O726" s="5" t="n">
        <v>0</v>
      </c>
      <c r="P726" s="5" t="n">
        <v>0</v>
      </c>
      <c r="Q726" s="4" t="s">
        <v>2959</v>
      </c>
      <c r="R726" s="4" t="s">
        <v>545</v>
      </c>
      <c r="S726" s="5" t="n">
        <v>0.000115740740740741</v>
      </c>
      <c r="T726" s="5" t="n">
        <v>0.0621527777777778</v>
      </c>
      <c r="U726" s="5" t="n">
        <v>0.161805555555556</v>
      </c>
      <c r="V726" s="5" t="n">
        <v>0.0149305555555556</v>
      </c>
      <c r="W726" s="5" t="n">
        <v>0</v>
      </c>
      <c r="X726" s="5" t="n">
        <v>0</v>
      </c>
      <c r="Y726" s="5" t="n">
        <v>0</v>
      </c>
      <c r="Z726" s="0" t="n">
        <v>0</v>
      </c>
      <c r="AA726" s="0" t="n">
        <v>0</v>
      </c>
      <c r="AB726" s="0" t="n">
        <v>0</v>
      </c>
      <c r="AC726" s="4" t="s">
        <v>74</v>
      </c>
      <c r="AD726" s="4" t="s">
        <v>432</v>
      </c>
      <c r="AE726" s="4" t="s">
        <v>2957</v>
      </c>
      <c r="AF726" s="4" t="s">
        <v>2960</v>
      </c>
      <c r="AG726" s="5" t="n">
        <v>0.22099537037037</v>
      </c>
      <c r="AH726" s="5" t="n">
        <v>0.150150462962963</v>
      </c>
      <c r="AI726" s="5" t="n">
        <v>0</v>
      </c>
      <c r="AJ726" s="5" t="n">
        <v>0</v>
      </c>
      <c r="AK726" s="5" t="n">
        <v>0</v>
      </c>
      <c r="AL726" s="5" t="n">
        <v>0</v>
      </c>
      <c r="AM726" s="4" t="s">
        <v>78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  <c r="AU726" s="0" t="n">
        <v>6</v>
      </c>
      <c r="AV726" s="0" t="n">
        <v>0</v>
      </c>
      <c r="AW726" s="0" t="n">
        <v>1</v>
      </c>
      <c r="AX726" s="0" t="n">
        <v>0</v>
      </c>
      <c r="AY726" s="0" t="n">
        <v>0</v>
      </c>
      <c r="AZ726" s="0" t="n">
        <v>0</v>
      </c>
      <c r="BA726" s="0" t="n">
        <v>0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  <c r="BH726" s="0" t="n">
        <v>0</v>
      </c>
      <c r="BI726" s="0" t="n">
        <v>0</v>
      </c>
      <c r="BJ726" s="0" t="n">
        <v>0</v>
      </c>
      <c r="BK726" s="0" t="n">
        <v>0</v>
      </c>
      <c r="BM726" s="6" t="n">
        <f aca="false">IFERROR(VALUE(F726),"")</f>
        <v>298.56</v>
      </c>
      <c r="BN726" s="6" t="n">
        <f aca="false">IF(R726="-","",IFERROR(VALUE(LEFT(Q726,LEN(Q726)-2)),""))</f>
        <v>98.02</v>
      </c>
      <c r="BO726" s="6" t="n">
        <f aca="false">IF(R726="-","",IFERROR(VALUE(LEFT(R726,LEN(R726)-5)),""))</f>
        <v>3.05</v>
      </c>
      <c r="BP726" s="6" t="n">
        <f aca="false">IF(R726="-","",IFERROR(VALUE(F726),""))</f>
        <v>298.56</v>
      </c>
      <c r="BQ726" s="4" t="n">
        <f aca="false">IF(R726="-",1,0)</f>
        <v>0</v>
      </c>
    </row>
    <row r="727" customFormat="false" ht="15" hidden="false" customHeight="false" outlineLevel="0" collapsed="false">
      <c r="A727" s="0" t="s">
        <v>2945</v>
      </c>
      <c r="B727" s="0" t="s">
        <v>2946</v>
      </c>
      <c r="C727" s="0" t="s">
        <v>70</v>
      </c>
      <c r="E727" s="3" t="n">
        <v>46276</v>
      </c>
      <c r="F727" s="4" t="s">
        <v>95</v>
      </c>
      <c r="G727" s="5" t="n">
        <v>0</v>
      </c>
      <c r="H727" s="5" t="n">
        <v>0</v>
      </c>
      <c r="I727" s="5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5" t="n">
        <v>0</v>
      </c>
      <c r="P727" s="5" t="n">
        <v>0</v>
      </c>
      <c r="Q727" s="4" t="s">
        <v>73</v>
      </c>
      <c r="R727" s="4" t="s">
        <v>73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0</v>
      </c>
      <c r="X727" s="5" t="n">
        <v>0</v>
      </c>
      <c r="Y727" s="5" t="n">
        <v>0</v>
      </c>
      <c r="Z727" s="0" t="n">
        <v>0</v>
      </c>
      <c r="AA727" s="0" t="n">
        <v>0</v>
      </c>
      <c r="AB727" s="0" t="n">
        <v>0</v>
      </c>
      <c r="AC727" s="4" t="s">
        <v>432</v>
      </c>
      <c r="AD727" s="4" t="s">
        <v>432</v>
      </c>
      <c r="AE727" s="4" t="s">
        <v>2960</v>
      </c>
      <c r="AF727" s="4" t="s">
        <v>2960</v>
      </c>
      <c r="AG727" s="5" t="n">
        <v>0</v>
      </c>
      <c r="AH727" s="5" t="n">
        <v>0.0186689814814815</v>
      </c>
      <c r="AI727" s="5" t="n">
        <v>0</v>
      </c>
      <c r="AJ727" s="5" t="n">
        <v>0</v>
      </c>
      <c r="AK727" s="5" t="n">
        <v>0</v>
      </c>
      <c r="AL727" s="5" t="n">
        <v>0</v>
      </c>
      <c r="AM727" s="4" t="s">
        <v>78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  <c r="AU727" s="0" t="n">
        <v>0</v>
      </c>
      <c r="AV727" s="0" t="n">
        <v>0</v>
      </c>
      <c r="AW727" s="0" t="n">
        <v>0</v>
      </c>
      <c r="AX727" s="0" t="n">
        <v>0</v>
      </c>
      <c r="AY727" s="0" t="n">
        <v>0</v>
      </c>
      <c r="AZ727" s="0" t="n">
        <v>0</v>
      </c>
      <c r="BA727" s="0" t="n">
        <v>0</v>
      </c>
      <c r="BB727" s="0" t="n">
        <v>0</v>
      </c>
      <c r="BC727" s="0" t="n">
        <v>0</v>
      </c>
      <c r="BD727" s="0" t="n">
        <v>0</v>
      </c>
      <c r="BE727" s="0" t="n">
        <v>0</v>
      </c>
      <c r="BF727" s="0" t="n">
        <v>0</v>
      </c>
      <c r="BG727" s="0" t="n">
        <v>0</v>
      </c>
      <c r="BH727" s="0" t="n">
        <v>0</v>
      </c>
      <c r="BI727" s="0" t="n">
        <v>0</v>
      </c>
      <c r="BJ727" s="0" t="n">
        <v>0</v>
      </c>
      <c r="BK727" s="0" t="n">
        <v>0</v>
      </c>
      <c r="BM727" s="6" t="n">
        <f aca="false">IFERROR(VALUE(F727),"")</f>
        <v>0</v>
      </c>
      <c r="BN727" s="6" t="str">
        <f aca="false">IF(R727="-","",IFERROR(VALUE(LEFT(Q727,LEN(Q727)-2)),""))</f>
        <v/>
      </c>
      <c r="BO727" s="6" t="str">
        <f aca="false">IF(R727="-","",IFERROR(VALUE(LEFT(R727,LEN(R727)-5)),""))</f>
        <v/>
      </c>
      <c r="BP727" s="6" t="str">
        <f aca="false">IF(R727="-","",IFERROR(VALUE(F727),""))</f>
        <v/>
      </c>
      <c r="BQ727" s="4" t="n">
        <f aca="false">IF(R727="-",1,0)</f>
        <v>1</v>
      </c>
    </row>
    <row r="728" customFormat="false" ht="15" hidden="false" customHeight="false" outlineLevel="0" collapsed="false">
      <c r="A728" s="0" t="s">
        <v>2945</v>
      </c>
      <c r="B728" s="0" t="s">
        <v>2946</v>
      </c>
      <c r="C728" s="0" t="s">
        <v>70</v>
      </c>
      <c r="D728" s="0" t="s">
        <v>2961</v>
      </c>
      <c r="E728" s="3" t="n">
        <v>46279</v>
      </c>
      <c r="F728" s="4" t="s">
        <v>2962</v>
      </c>
      <c r="G728" s="5" t="n">
        <v>0.296956018518519</v>
      </c>
      <c r="H728" s="5" t="n">
        <v>0.268125</v>
      </c>
      <c r="I728" s="5" t="n">
        <v>0.00121527777777778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5" t="n">
        <v>0</v>
      </c>
      <c r="P728" s="5" t="n">
        <v>0.0096412037037037</v>
      </c>
      <c r="Q728" s="4" t="s">
        <v>2963</v>
      </c>
      <c r="R728" s="4" t="s">
        <v>2964</v>
      </c>
      <c r="S728" s="5" t="n">
        <v>0.000578703703703704</v>
      </c>
      <c r="T728" s="5" t="n">
        <v>0.078125</v>
      </c>
      <c r="U728" s="5" t="n">
        <v>0.169097222222222</v>
      </c>
      <c r="V728" s="5" t="n">
        <v>0.00972222222222222</v>
      </c>
      <c r="W728" s="5" t="n">
        <v>0</v>
      </c>
      <c r="X728" s="5" t="n">
        <v>0</v>
      </c>
      <c r="Y728" s="5" t="n">
        <v>0</v>
      </c>
      <c r="Z728" s="0" t="n">
        <v>0</v>
      </c>
      <c r="AA728" s="0" t="n">
        <v>0</v>
      </c>
      <c r="AB728" s="0" t="n">
        <v>0</v>
      </c>
      <c r="AC728" s="4" t="s">
        <v>432</v>
      </c>
      <c r="AD728" s="4" t="s">
        <v>74</v>
      </c>
      <c r="AE728" s="4" t="s">
        <v>2960</v>
      </c>
      <c r="AF728" s="4" t="s">
        <v>2965</v>
      </c>
      <c r="AG728" s="5" t="n">
        <v>0.214143518518519</v>
      </c>
      <c r="AH728" s="5" t="n">
        <v>0.102986111111111</v>
      </c>
      <c r="AI728" s="5" t="n">
        <v>0</v>
      </c>
      <c r="AJ728" s="5" t="n">
        <v>0</v>
      </c>
      <c r="AK728" s="5" t="n">
        <v>0</v>
      </c>
      <c r="AL728" s="5" t="n">
        <v>0</v>
      </c>
      <c r="AM728" s="4" t="s">
        <v>78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  <c r="AU728" s="0" t="n">
        <v>1</v>
      </c>
      <c r="AV728" s="0" t="n">
        <v>0</v>
      </c>
      <c r="AW728" s="0" t="n">
        <v>0</v>
      </c>
      <c r="AX728" s="0" t="n">
        <v>0</v>
      </c>
      <c r="AY728" s="0" t="n">
        <v>0</v>
      </c>
      <c r="AZ728" s="0" t="n">
        <v>0</v>
      </c>
      <c r="BA728" s="0" t="n">
        <v>0</v>
      </c>
      <c r="BB728" s="0" t="n">
        <v>0</v>
      </c>
      <c r="BC728" s="0" t="n">
        <v>0</v>
      </c>
      <c r="BD728" s="0" t="n">
        <v>0</v>
      </c>
      <c r="BE728" s="0" t="n">
        <v>0</v>
      </c>
      <c r="BF728" s="0" t="n">
        <v>0</v>
      </c>
      <c r="BG728" s="0" t="n">
        <v>0</v>
      </c>
      <c r="BH728" s="0" t="n">
        <v>0</v>
      </c>
      <c r="BI728" s="0" t="n">
        <v>0</v>
      </c>
      <c r="BJ728" s="0" t="n">
        <v>0</v>
      </c>
      <c r="BK728" s="0" t="n">
        <v>0</v>
      </c>
      <c r="BM728" s="6" t="n">
        <f aca="false">IFERROR(VALUE(F728),"")</f>
        <v>294.14</v>
      </c>
      <c r="BN728" s="6" t="n">
        <f aca="false">IF(R728="-","",IFERROR(VALUE(LEFT(Q728,LEN(Q728)-2)),""))</f>
        <v>91.49</v>
      </c>
      <c r="BO728" s="6" t="n">
        <f aca="false">IF(R728="-","",IFERROR(VALUE(LEFT(R728,LEN(R728)-5)),""))</f>
        <v>3.22</v>
      </c>
      <c r="BP728" s="6" t="n">
        <f aca="false">IF(R728="-","",IFERROR(VALUE(F728),""))</f>
        <v>294.14</v>
      </c>
      <c r="BQ728" s="4" t="n">
        <f aca="false">IF(R728="-",1,0)</f>
        <v>0</v>
      </c>
    </row>
    <row r="729" customFormat="false" ht="15" hidden="false" customHeight="false" outlineLevel="0" collapsed="false">
      <c r="A729" s="0" t="s">
        <v>2966</v>
      </c>
      <c r="B729" s="0" t="s">
        <v>2967</v>
      </c>
      <c r="C729" s="0" t="s">
        <v>70</v>
      </c>
      <c r="D729" s="0" t="s">
        <v>2968</v>
      </c>
      <c r="E729" s="3" t="n">
        <v>46273</v>
      </c>
      <c r="F729" s="4" t="s">
        <v>2969</v>
      </c>
      <c r="G729" s="5" t="n">
        <v>0.481793981481482</v>
      </c>
      <c r="H729" s="5" t="n">
        <v>0.468599537037037</v>
      </c>
      <c r="I729" s="5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1</v>
      </c>
      <c r="O729" s="5" t="n">
        <v>0</v>
      </c>
      <c r="P729" s="5" t="n">
        <v>0</v>
      </c>
      <c r="Q729" s="4" t="s">
        <v>2970</v>
      </c>
      <c r="R729" s="4" t="s">
        <v>125</v>
      </c>
      <c r="S729" s="5" t="n">
        <v>0.00115740740740741</v>
      </c>
      <c r="T729" s="5" t="n">
        <v>0.229050925925926</v>
      </c>
      <c r="U729" s="5" t="n">
        <v>0.211921296296296</v>
      </c>
      <c r="V729" s="5" t="n">
        <v>0.0105324074074074</v>
      </c>
      <c r="W729" s="5" t="n">
        <v>0</v>
      </c>
      <c r="X729" s="5" t="n">
        <v>0</v>
      </c>
      <c r="Y729" s="5" t="n">
        <v>0</v>
      </c>
      <c r="Z729" s="0" t="n">
        <v>0</v>
      </c>
      <c r="AA729" s="0" t="n">
        <v>0</v>
      </c>
      <c r="AB729" s="0" t="n">
        <v>0</v>
      </c>
      <c r="AC729" s="4" t="s">
        <v>75</v>
      </c>
      <c r="AD729" s="4" t="s">
        <v>421</v>
      </c>
      <c r="AE729" s="4" t="s">
        <v>2971</v>
      </c>
      <c r="AF729" s="4" t="s">
        <v>2972</v>
      </c>
      <c r="AG729" s="5" t="n">
        <v>0.400717592592593</v>
      </c>
      <c r="AH729" s="5" t="n">
        <v>0.149027777777778</v>
      </c>
      <c r="AI729" s="5" t="n">
        <v>0</v>
      </c>
      <c r="AJ729" s="5" t="n">
        <v>0</v>
      </c>
      <c r="AK729" s="5" t="n">
        <v>0</v>
      </c>
      <c r="AL729" s="5" t="n">
        <v>0</v>
      </c>
      <c r="AM729" s="4" t="s">
        <v>78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  <c r="AU729" s="0" t="n">
        <v>5</v>
      </c>
      <c r="AV729" s="0" t="n">
        <v>0</v>
      </c>
      <c r="AW729" s="0" t="n">
        <v>0</v>
      </c>
      <c r="AX729" s="0" t="n">
        <v>0</v>
      </c>
      <c r="AY729" s="0" t="n">
        <v>0</v>
      </c>
      <c r="AZ729" s="0" t="n">
        <v>0</v>
      </c>
      <c r="BA729" s="0" t="n">
        <v>0</v>
      </c>
      <c r="BB729" s="0" t="n">
        <v>0</v>
      </c>
      <c r="BC729" s="0" t="n">
        <v>0</v>
      </c>
      <c r="BD729" s="0" t="n">
        <v>0</v>
      </c>
      <c r="BE729" s="0" t="n">
        <v>0</v>
      </c>
      <c r="BF729" s="0" t="n">
        <v>0</v>
      </c>
      <c r="BG729" s="0" t="n">
        <v>0</v>
      </c>
      <c r="BH729" s="0" t="n">
        <v>0</v>
      </c>
      <c r="BI729" s="0" t="n">
        <v>0</v>
      </c>
      <c r="BJ729" s="0" t="n">
        <v>0</v>
      </c>
      <c r="BK729" s="0" t="n">
        <v>0</v>
      </c>
      <c r="BM729" s="6" t="n">
        <f aca="false">IFERROR(VALUE(F729),"")</f>
        <v>305.57</v>
      </c>
      <c r="BN729" s="6" t="n">
        <f aca="false">IF(R729="-","",IFERROR(VALUE(LEFT(Q729,LEN(Q729)-2)),""))</f>
        <v>119.5</v>
      </c>
      <c r="BO729" s="6" t="n">
        <f aca="false">IF(R729="-","",IFERROR(VALUE(LEFT(R729,LEN(R729)-5)),""))</f>
        <v>2.56</v>
      </c>
      <c r="BP729" s="6" t="n">
        <f aca="false">IF(R729="-","",IFERROR(VALUE(F729),""))</f>
        <v>305.57</v>
      </c>
      <c r="BQ729" s="4" t="n">
        <f aca="false">IF(R729="-",1,0)</f>
        <v>0</v>
      </c>
    </row>
    <row r="730" customFormat="false" ht="15" hidden="false" customHeight="false" outlineLevel="0" collapsed="false">
      <c r="A730" s="0" t="s">
        <v>2966</v>
      </c>
      <c r="B730" s="0" t="s">
        <v>2967</v>
      </c>
      <c r="C730" s="0" t="s">
        <v>70</v>
      </c>
      <c r="D730" s="0" t="s">
        <v>2973</v>
      </c>
      <c r="E730" s="3" t="n">
        <v>46274</v>
      </c>
      <c r="F730" s="4" t="s">
        <v>2974</v>
      </c>
      <c r="G730" s="5" t="n">
        <v>0.416712962962963</v>
      </c>
      <c r="H730" s="5" t="n">
        <v>0.160196759259259</v>
      </c>
      <c r="I730" s="5" t="n">
        <v>0.000196759259259259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5" t="n">
        <v>0</v>
      </c>
      <c r="P730" s="5" t="n">
        <v>0.0147685185185185</v>
      </c>
      <c r="Q730" s="4" t="s">
        <v>2975</v>
      </c>
      <c r="R730" s="4" t="s">
        <v>2756</v>
      </c>
      <c r="S730" s="5" t="n">
        <v>0.000347222222222222</v>
      </c>
      <c r="T730" s="5" t="n">
        <v>0.133333333333333</v>
      </c>
      <c r="U730" s="5" t="n">
        <v>0.0777777777777778</v>
      </c>
      <c r="V730" s="5" t="n">
        <v>0.00625</v>
      </c>
      <c r="W730" s="5" t="n">
        <v>0</v>
      </c>
      <c r="X730" s="5" t="n">
        <v>0</v>
      </c>
      <c r="Y730" s="5" t="n">
        <v>0</v>
      </c>
      <c r="Z730" s="0" t="n">
        <v>0</v>
      </c>
      <c r="AA730" s="0" t="n">
        <v>0</v>
      </c>
      <c r="AB730" s="0" t="n">
        <v>0</v>
      </c>
      <c r="AC730" s="4" t="s">
        <v>421</v>
      </c>
      <c r="AD730" s="4" t="s">
        <v>74</v>
      </c>
      <c r="AE730" s="4" t="s">
        <v>2972</v>
      </c>
      <c r="AF730" s="4" t="s">
        <v>2976</v>
      </c>
      <c r="AG730" s="5" t="n">
        <v>0.14525462962963</v>
      </c>
      <c r="AH730" s="5" t="n">
        <v>0.324305555555556</v>
      </c>
      <c r="AI730" s="5" t="n">
        <v>0</v>
      </c>
      <c r="AJ730" s="5" t="n">
        <v>0</v>
      </c>
      <c r="AK730" s="5" t="n">
        <v>0</v>
      </c>
      <c r="AL730" s="5" t="n">
        <v>0</v>
      </c>
      <c r="AM730" s="4" t="s">
        <v>78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  <c r="AU730" s="0" t="n">
        <v>3</v>
      </c>
      <c r="AV730" s="0" t="n">
        <v>0</v>
      </c>
      <c r="AW730" s="0" t="n">
        <v>0</v>
      </c>
      <c r="AX730" s="0" t="n">
        <v>0</v>
      </c>
      <c r="AY730" s="0" t="n">
        <v>0</v>
      </c>
      <c r="AZ730" s="0" t="n">
        <v>0</v>
      </c>
      <c r="BA730" s="0" t="n">
        <v>0</v>
      </c>
      <c r="BB730" s="0" t="n">
        <v>0</v>
      </c>
      <c r="BC730" s="0" t="n">
        <v>0</v>
      </c>
      <c r="BD730" s="0" t="n">
        <v>0</v>
      </c>
      <c r="BE730" s="0" t="n">
        <v>0</v>
      </c>
      <c r="BF730" s="0" t="n">
        <v>0</v>
      </c>
      <c r="BG730" s="0" t="n">
        <v>0</v>
      </c>
      <c r="BH730" s="0" t="n">
        <v>0</v>
      </c>
      <c r="BI730" s="0" t="n">
        <v>0</v>
      </c>
      <c r="BJ730" s="0" t="n">
        <v>0</v>
      </c>
      <c r="BK730" s="0" t="n">
        <v>0</v>
      </c>
      <c r="BM730" s="6" t="n">
        <f aca="false">IFERROR(VALUE(F730),"")</f>
        <v>101.35</v>
      </c>
      <c r="BN730" s="6" t="n">
        <f aca="false">IF(R730="-","",IFERROR(VALUE(LEFT(Q730,LEN(Q730)-2)),""))</f>
        <v>45.5</v>
      </c>
      <c r="BO730" s="6" t="n">
        <f aca="false">IF(R730="-","",IFERROR(VALUE(LEFT(R730,LEN(R730)-5)),""))</f>
        <v>2.23</v>
      </c>
      <c r="BP730" s="6" t="n">
        <f aca="false">IF(R730="-","",IFERROR(VALUE(F730),""))</f>
        <v>101.35</v>
      </c>
      <c r="BQ730" s="4" t="n">
        <f aca="false">IF(R730="-",1,0)</f>
        <v>0</v>
      </c>
    </row>
    <row r="731" customFormat="false" ht="15" hidden="false" customHeight="false" outlineLevel="0" collapsed="false">
      <c r="A731" s="0" t="s">
        <v>2966</v>
      </c>
      <c r="B731" s="0" t="s">
        <v>2967</v>
      </c>
      <c r="C731" s="0" t="s">
        <v>70</v>
      </c>
      <c r="D731" s="0" t="s">
        <v>2977</v>
      </c>
      <c r="E731" s="3" t="n">
        <v>46275</v>
      </c>
      <c r="F731" s="4" t="s">
        <v>2978</v>
      </c>
      <c r="G731" s="5" t="n">
        <v>0.463958333333333</v>
      </c>
      <c r="H731" s="5" t="n">
        <v>0.151608796296296</v>
      </c>
      <c r="I731" s="5" t="n">
        <v>0.000127314814814815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1</v>
      </c>
      <c r="O731" s="5" t="n">
        <v>0</v>
      </c>
      <c r="P731" s="5" t="n">
        <v>0</v>
      </c>
      <c r="Q731" s="4" t="s">
        <v>2979</v>
      </c>
      <c r="R731" s="4" t="s">
        <v>1209</v>
      </c>
      <c r="S731" s="5" t="n">
        <v>0.000694444444444445</v>
      </c>
      <c r="T731" s="5" t="n">
        <v>0.188888888888889</v>
      </c>
      <c r="U731" s="5" t="n">
        <v>0.217361111111111</v>
      </c>
      <c r="V731" s="5" t="n">
        <v>0.0137731481481482</v>
      </c>
      <c r="W731" s="5" t="n">
        <v>0</v>
      </c>
      <c r="X731" s="5" t="n">
        <v>0</v>
      </c>
      <c r="Y731" s="5" t="n">
        <v>0</v>
      </c>
      <c r="Z731" s="0" t="n">
        <v>0</v>
      </c>
      <c r="AA731" s="0" t="n">
        <v>0</v>
      </c>
      <c r="AB731" s="0" t="n">
        <v>0</v>
      </c>
      <c r="AC731" s="4" t="s">
        <v>75</v>
      </c>
      <c r="AD731" s="4" t="s">
        <v>421</v>
      </c>
      <c r="AE731" s="4" t="s">
        <v>2976</v>
      </c>
      <c r="AF731" s="4" t="s">
        <v>2980</v>
      </c>
      <c r="AG731" s="5" t="n">
        <v>0.381979166666667</v>
      </c>
      <c r="AH731" s="5" t="n">
        <v>0.171574074074074</v>
      </c>
      <c r="AI731" s="5" t="n">
        <v>0</v>
      </c>
      <c r="AJ731" s="5" t="n">
        <v>0</v>
      </c>
      <c r="AK731" s="5" t="n">
        <v>0</v>
      </c>
      <c r="AL731" s="5" t="n">
        <v>0</v>
      </c>
      <c r="AM731" s="4" t="s">
        <v>78</v>
      </c>
      <c r="AN731" s="0" t="n">
        <v>0</v>
      </c>
      <c r="AO731" s="0" t="n">
        <v>0</v>
      </c>
      <c r="AP731" s="0" t="n">
        <v>0</v>
      </c>
      <c r="AQ731" s="0" t="n">
        <v>0</v>
      </c>
      <c r="AR731" s="0" t="n">
        <v>0</v>
      </c>
      <c r="AS731" s="0" t="n">
        <v>0</v>
      </c>
      <c r="AT731" s="0" t="n">
        <v>0</v>
      </c>
      <c r="AU731" s="0" t="n">
        <v>3</v>
      </c>
      <c r="AV731" s="0" t="n">
        <v>0</v>
      </c>
      <c r="AW731" s="0" t="n">
        <v>0</v>
      </c>
      <c r="AX731" s="0" t="n">
        <v>0</v>
      </c>
      <c r="AY731" s="0" t="n">
        <v>0</v>
      </c>
      <c r="AZ731" s="0" t="n">
        <v>0</v>
      </c>
      <c r="BA731" s="0" t="n">
        <v>0</v>
      </c>
      <c r="BB731" s="0" t="n">
        <v>0</v>
      </c>
      <c r="BC731" s="0" t="n">
        <v>0</v>
      </c>
      <c r="BD731" s="0" t="n">
        <v>0</v>
      </c>
      <c r="BE731" s="0" t="n">
        <v>0</v>
      </c>
      <c r="BF731" s="0" t="n">
        <v>0</v>
      </c>
      <c r="BG731" s="0" t="n">
        <v>0</v>
      </c>
      <c r="BH731" s="0" t="n">
        <v>0</v>
      </c>
      <c r="BI731" s="0" t="n">
        <v>0</v>
      </c>
      <c r="BJ731" s="0" t="n">
        <v>0</v>
      </c>
      <c r="BK731" s="0" t="n">
        <v>0</v>
      </c>
      <c r="BM731" s="6" t="n">
        <f aca="false">IFERROR(VALUE(F731),"")</f>
        <v>304.53</v>
      </c>
      <c r="BN731" s="6" t="n">
        <f aca="false">IF(R731="-","",IFERROR(VALUE(LEFT(Q731,LEN(Q731)-2)),""))</f>
        <v>109.49</v>
      </c>
      <c r="BO731" s="6" t="n">
        <f aca="false">IF(R731="-","",IFERROR(VALUE(LEFT(R731,LEN(R731)-5)),""))</f>
        <v>2.78</v>
      </c>
      <c r="BP731" s="6" t="n">
        <f aca="false">IF(R731="-","",IFERROR(VALUE(F731),""))</f>
        <v>304.53</v>
      </c>
      <c r="BQ731" s="4" t="n">
        <f aca="false">IF(R731="-",1,0)</f>
        <v>0</v>
      </c>
    </row>
    <row r="732" customFormat="false" ht="15" hidden="false" customHeight="false" outlineLevel="0" collapsed="false">
      <c r="A732" s="0" t="s">
        <v>2966</v>
      </c>
      <c r="B732" s="0" t="s">
        <v>2967</v>
      </c>
      <c r="C732" s="0" t="s">
        <v>70</v>
      </c>
      <c r="D732" s="0" t="s">
        <v>2981</v>
      </c>
      <c r="E732" s="3" t="n">
        <v>46276</v>
      </c>
      <c r="F732" s="4" t="s">
        <v>2982</v>
      </c>
      <c r="G732" s="5" t="n">
        <v>0.564502314814815</v>
      </c>
      <c r="H732" s="5" t="n">
        <v>0.557534722222222</v>
      </c>
      <c r="I732" s="5" t="n">
        <v>0.000138888888888889</v>
      </c>
      <c r="J732" s="0" t="n">
        <v>0</v>
      </c>
      <c r="K732" s="0" t="n">
        <v>1</v>
      </c>
      <c r="L732" s="0" t="n">
        <v>0</v>
      </c>
      <c r="M732" s="0" t="n">
        <v>0</v>
      </c>
      <c r="N732" s="0" t="n">
        <v>4</v>
      </c>
      <c r="O732" s="5" t="n">
        <v>0</v>
      </c>
      <c r="P732" s="5" t="n">
        <v>0</v>
      </c>
      <c r="Q732" s="4" t="s">
        <v>2983</v>
      </c>
      <c r="R732" s="4" t="s">
        <v>125</v>
      </c>
      <c r="S732" s="5" t="n">
        <v>0.00127314814814815</v>
      </c>
      <c r="T732" s="5" t="n">
        <v>0.264930555555556</v>
      </c>
      <c r="U732" s="5" t="n">
        <v>0.258680555555556</v>
      </c>
      <c r="V732" s="5" t="n">
        <v>0.0194444444444444</v>
      </c>
      <c r="W732" s="5" t="n">
        <v>0</v>
      </c>
      <c r="X732" s="5" t="n">
        <v>0</v>
      </c>
      <c r="Y732" s="5" t="n">
        <v>0</v>
      </c>
      <c r="Z732" s="0" t="n">
        <v>0</v>
      </c>
      <c r="AA732" s="0" t="n">
        <v>0</v>
      </c>
      <c r="AB732" s="0" t="n">
        <v>0</v>
      </c>
      <c r="AC732" s="4" t="s">
        <v>421</v>
      </c>
      <c r="AD732" s="4" t="s">
        <v>421</v>
      </c>
      <c r="AE732" s="4" t="s">
        <v>2980</v>
      </c>
      <c r="AF732" s="4" t="s">
        <v>2984</v>
      </c>
      <c r="AG732" s="5" t="n">
        <v>0.499560185185185</v>
      </c>
      <c r="AH732" s="5" t="n">
        <v>0.117060185185185</v>
      </c>
      <c r="AI732" s="5" t="n">
        <v>0</v>
      </c>
      <c r="AJ732" s="5" t="n">
        <v>0</v>
      </c>
      <c r="AK732" s="5" t="n">
        <v>0</v>
      </c>
      <c r="AL732" s="5" t="n">
        <v>0</v>
      </c>
      <c r="AM732" s="4" t="s">
        <v>78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  <c r="AU732" s="0" t="n">
        <v>3</v>
      </c>
      <c r="AV732" s="0" t="n">
        <v>0</v>
      </c>
      <c r="AW732" s="0" t="n">
        <v>0</v>
      </c>
      <c r="AX732" s="0" t="n">
        <v>0</v>
      </c>
      <c r="AY732" s="0" t="n">
        <v>0</v>
      </c>
      <c r="AZ732" s="0" t="n">
        <v>0</v>
      </c>
      <c r="BA732" s="0" t="n">
        <v>0</v>
      </c>
      <c r="BB732" s="0" t="n">
        <v>0</v>
      </c>
      <c r="BC732" s="0" t="n">
        <v>0</v>
      </c>
      <c r="BD732" s="0" t="n">
        <v>0</v>
      </c>
      <c r="BE732" s="0" t="n">
        <v>0</v>
      </c>
      <c r="BF732" s="0" t="n">
        <v>0</v>
      </c>
      <c r="BG732" s="0" t="n">
        <v>0</v>
      </c>
      <c r="BH732" s="0" t="n">
        <v>0</v>
      </c>
      <c r="BI732" s="0" t="n">
        <v>0</v>
      </c>
      <c r="BJ732" s="0" t="n">
        <v>0</v>
      </c>
      <c r="BK732" s="0" t="n">
        <v>0</v>
      </c>
      <c r="BM732" s="6" t="n">
        <f aca="false">IFERROR(VALUE(F732),"")</f>
        <v>400.39</v>
      </c>
      <c r="BN732" s="6" t="n">
        <f aca="false">IF(R732="-","",IFERROR(VALUE(LEFT(Q732,LEN(Q732)-2)),""))</f>
        <v>156.51</v>
      </c>
      <c r="BO732" s="6" t="n">
        <f aca="false">IF(R732="-","",IFERROR(VALUE(LEFT(R732,LEN(R732)-5)),""))</f>
        <v>2.56</v>
      </c>
      <c r="BP732" s="6" t="n">
        <f aca="false">IF(R732="-","",IFERROR(VALUE(F732),""))</f>
        <v>400.39</v>
      </c>
      <c r="BQ732" s="4" t="n">
        <f aca="false">IF(R732="-",1,0)</f>
        <v>0</v>
      </c>
    </row>
    <row r="733" customFormat="false" ht="15" hidden="false" customHeight="false" outlineLevel="0" collapsed="false">
      <c r="A733" s="0" t="s">
        <v>2966</v>
      </c>
      <c r="B733" s="0" t="s">
        <v>2967</v>
      </c>
      <c r="C733" s="0" t="s">
        <v>70</v>
      </c>
      <c r="D733" s="0" t="s">
        <v>2985</v>
      </c>
      <c r="E733" s="3" t="n">
        <v>46277</v>
      </c>
      <c r="F733" s="4" t="s">
        <v>2986</v>
      </c>
      <c r="G733" s="5" t="n">
        <v>0.246527777777778</v>
      </c>
      <c r="H733" s="5" t="n">
        <v>0.143344907407407</v>
      </c>
      <c r="I733" s="5" t="n">
        <v>0.000243055555555556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3</v>
      </c>
      <c r="O733" s="5" t="n">
        <v>0</v>
      </c>
      <c r="P733" s="5" t="n">
        <v>0.0338773148148148</v>
      </c>
      <c r="Q733" s="4" t="s">
        <v>2987</v>
      </c>
      <c r="R733" s="4" t="s">
        <v>978</v>
      </c>
      <c r="S733" s="5" t="n">
        <v>0.00104166666666667</v>
      </c>
      <c r="T733" s="5" t="n">
        <v>0.106157407407407</v>
      </c>
      <c r="U733" s="5" t="n">
        <v>0.0772106481481482</v>
      </c>
      <c r="V733" s="5" t="n">
        <v>0.0172569444444444</v>
      </c>
      <c r="W733" s="5" t="n">
        <v>0.000335648148148148</v>
      </c>
      <c r="X733" s="5" t="n">
        <v>0</v>
      </c>
      <c r="Y733" s="5" t="n">
        <v>0.000219907407407407</v>
      </c>
      <c r="Z733" s="0" t="n">
        <v>0</v>
      </c>
      <c r="AA733" s="0" t="n">
        <v>0</v>
      </c>
      <c r="AB733" s="0" t="n">
        <v>0</v>
      </c>
      <c r="AC733" s="4" t="s">
        <v>421</v>
      </c>
      <c r="AD733" s="4" t="s">
        <v>74</v>
      </c>
      <c r="AE733" s="4" t="s">
        <v>2984</v>
      </c>
      <c r="AF733" s="4" t="s">
        <v>2988</v>
      </c>
      <c r="AG733" s="5" t="n">
        <v>0.100300925925926</v>
      </c>
      <c r="AH733" s="5" t="n">
        <v>0.33099537037037</v>
      </c>
      <c r="AI733" s="5" t="n">
        <v>0</v>
      </c>
      <c r="AJ733" s="5" t="n">
        <v>0</v>
      </c>
      <c r="AK733" s="5" t="n">
        <v>0</v>
      </c>
      <c r="AL733" s="5" t="n">
        <v>0</v>
      </c>
      <c r="AM733" s="4" t="s">
        <v>78</v>
      </c>
      <c r="AN733" s="0" t="n">
        <v>0</v>
      </c>
      <c r="AO733" s="0" t="n">
        <v>3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0</v>
      </c>
      <c r="AU733" s="0" t="n">
        <v>1</v>
      </c>
      <c r="AV733" s="0" t="n">
        <v>0</v>
      </c>
      <c r="AW733" s="0" t="n">
        <v>0</v>
      </c>
      <c r="AX733" s="0" t="n">
        <v>0</v>
      </c>
      <c r="AY733" s="0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0</v>
      </c>
      <c r="BE733" s="0" t="n">
        <v>0</v>
      </c>
      <c r="BF733" s="0" t="n">
        <v>0</v>
      </c>
      <c r="BG733" s="0" t="n">
        <v>0</v>
      </c>
      <c r="BH733" s="0" t="n">
        <v>0</v>
      </c>
      <c r="BI733" s="0" t="n">
        <v>0</v>
      </c>
      <c r="BJ733" s="0" t="n">
        <v>0</v>
      </c>
      <c r="BK733" s="0" t="n">
        <v>0</v>
      </c>
      <c r="BM733" s="6" t="n">
        <f aca="false">IFERROR(VALUE(F733),"")</f>
        <v>100.78</v>
      </c>
      <c r="BN733" s="6" t="n">
        <f aca="false">IF(R733="-","",IFERROR(VALUE(LEFT(Q733,LEN(Q733)-2)),""))</f>
        <v>42</v>
      </c>
      <c r="BO733" s="6" t="n">
        <f aca="false">IF(R733="-","",IFERROR(VALUE(LEFT(R733,LEN(R733)-5)),""))</f>
        <v>2.4</v>
      </c>
      <c r="BP733" s="6" t="n">
        <f aca="false">IF(R733="-","",IFERROR(VALUE(F733),""))</f>
        <v>100.78</v>
      </c>
      <c r="BQ733" s="4" t="n">
        <f aca="false">IF(R733="-",1,0)</f>
        <v>0</v>
      </c>
    </row>
    <row r="734" customFormat="false" ht="15" hidden="false" customHeight="false" outlineLevel="0" collapsed="false">
      <c r="A734" s="0" t="s">
        <v>2966</v>
      </c>
      <c r="B734" s="0" t="s">
        <v>2967</v>
      </c>
      <c r="C734" s="0" t="s">
        <v>70</v>
      </c>
      <c r="D734" s="0" t="s">
        <v>860</v>
      </c>
      <c r="E734" s="3" t="n">
        <v>46278</v>
      </c>
      <c r="F734" s="4" t="s">
        <v>2989</v>
      </c>
      <c r="G734" s="5" t="n">
        <v>0.381064814814815</v>
      </c>
      <c r="H734" s="5" t="n">
        <v>0.371435185185185</v>
      </c>
      <c r="I734" s="5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5" t="n">
        <v>0</v>
      </c>
      <c r="P734" s="5" t="n">
        <v>0</v>
      </c>
      <c r="Q734" s="4" t="s">
        <v>2990</v>
      </c>
      <c r="R734" s="4" t="s">
        <v>283</v>
      </c>
      <c r="S734" s="5" t="n">
        <v>0.00115740740740741</v>
      </c>
      <c r="T734" s="5" t="n">
        <v>0.119097222222222</v>
      </c>
      <c r="U734" s="5" t="n">
        <v>0.167708333333333</v>
      </c>
      <c r="V734" s="5" t="n">
        <v>0.0221064814814815</v>
      </c>
      <c r="W734" s="5" t="n">
        <v>0</v>
      </c>
      <c r="X734" s="5" t="n">
        <v>0</v>
      </c>
      <c r="Y734" s="5" t="n">
        <v>0</v>
      </c>
      <c r="Z734" s="0" t="n">
        <v>0</v>
      </c>
      <c r="AA734" s="0" t="n">
        <v>0</v>
      </c>
      <c r="AB734" s="0" t="n">
        <v>0</v>
      </c>
      <c r="AC734" s="4" t="s">
        <v>74</v>
      </c>
      <c r="AD734" s="4" t="s">
        <v>81</v>
      </c>
      <c r="AE734" s="4" t="s">
        <v>2988</v>
      </c>
      <c r="AF734" s="4" t="s">
        <v>2991</v>
      </c>
      <c r="AG734" s="5" t="n">
        <v>0.252141203703704</v>
      </c>
      <c r="AH734" s="5" t="n">
        <v>0.167835648148148</v>
      </c>
      <c r="AI734" s="5" t="n">
        <v>0</v>
      </c>
      <c r="AJ734" s="5" t="n">
        <v>0</v>
      </c>
      <c r="AK734" s="5" t="n">
        <v>0</v>
      </c>
      <c r="AL734" s="5" t="n">
        <v>0</v>
      </c>
      <c r="AM734" s="4" t="s">
        <v>78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  <c r="AU734" s="0" t="n">
        <v>1</v>
      </c>
      <c r="AV734" s="0" t="n">
        <v>0</v>
      </c>
      <c r="AW734" s="0" t="n">
        <v>0</v>
      </c>
      <c r="AX734" s="0" t="n">
        <v>0</v>
      </c>
      <c r="AY734" s="0" t="n">
        <v>0</v>
      </c>
      <c r="AZ734" s="0" t="n">
        <v>0</v>
      </c>
      <c r="BA734" s="0" t="n">
        <v>0</v>
      </c>
      <c r="BB734" s="0" t="n">
        <v>0</v>
      </c>
      <c r="BC734" s="0" t="n">
        <v>0</v>
      </c>
      <c r="BD734" s="0" t="n">
        <v>0</v>
      </c>
      <c r="BE734" s="0" t="n">
        <v>0</v>
      </c>
      <c r="BF734" s="0" t="n">
        <v>0</v>
      </c>
      <c r="BG734" s="0" t="n">
        <v>0</v>
      </c>
      <c r="BH734" s="0" t="n">
        <v>0</v>
      </c>
      <c r="BI734" s="0" t="n">
        <v>0</v>
      </c>
      <c r="BJ734" s="0" t="n">
        <v>0</v>
      </c>
      <c r="BK734" s="0" t="n">
        <v>0</v>
      </c>
      <c r="BM734" s="6" t="n">
        <f aca="false">IFERROR(VALUE(F734),"")</f>
        <v>271.89</v>
      </c>
      <c r="BN734" s="6" t="n">
        <f aca="false">IF(R734="-","",IFERROR(VALUE(LEFT(Q734,LEN(Q734)-2)),""))</f>
        <v>110.99</v>
      </c>
      <c r="BO734" s="6" t="n">
        <f aca="false">IF(R734="-","",IFERROR(VALUE(LEFT(R734,LEN(R734)-5)),""))</f>
        <v>2.45</v>
      </c>
      <c r="BP734" s="6" t="n">
        <f aca="false">IF(R734="-","",IFERROR(VALUE(F734),""))</f>
        <v>271.89</v>
      </c>
      <c r="BQ734" s="4" t="n">
        <f aca="false">IF(R734="-",1,0)</f>
        <v>0</v>
      </c>
    </row>
    <row r="735" customFormat="false" ht="15" hidden="false" customHeight="false" outlineLevel="0" collapsed="false">
      <c r="A735" s="0" t="s">
        <v>2966</v>
      </c>
      <c r="B735" s="0" t="s">
        <v>2967</v>
      </c>
      <c r="C735" s="0" t="s">
        <v>70</v>
      </c>
      <c r="D735" s="0" t="s">
        <v>2992</v>
      </c>
      <c r="E735" s="3" t="n">
        <v>46279</v>
      </c>
      <c r="F735" s="4" t="s">
        <v>2993</v>
      </c>
      <c r="G735" s="5" t="n">
        <v>0.0437847222222222</v>
      </c>
      <c r="H735" s="5" t="n">
        <v>0.00354166666666667</v>
      </c>
      <c r="I735" s="5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5" t="n">
        <v>0</v>
      </c>
      <c r="P735" s="5" t="n">
        <v>0</v>
      </c>
      <c r="Q735" s="4" t="s">
        <v>2994</v>
      </c>
      <c r="R735" s="4" t="s">
        <v>2995</v>
      </c>
      <c r="S735" s="5" t="n">
        <v>0.000231481481481482</v>
      </c>
      <c r="T735" s="5" t="n">
        <v>0.0270833333333333</v>
      </c>
      <c r="U735" s="5" t="n">
        <v>0.00127314814814815</v>
      </c>
      <c r="V735" s="5" t="n">
        <v>0</v>
      </c>
      <c r="W735" s="5" t="n">
        <v>0</v>
      </c>
      <c r="X735" s="5" t="n">
        <v>0</v>
      </c>
      <c r="Y735" s="5" t="n">
        <v>0</v>
      </c>
      <c r="Z735" s="0" t="n">
        <v>0</v>
      </c>
      <c r="AA735" s="0" t="n">
        <v>0</v>
      </c>
      <c r="AB735" s="0" t="n">
        <v>0</v>
      </c>
      <c r="AC735" s="4" t="s">
        <v>81</v>
      </c>
      <c r="AD735" s="4" t="s">
        <v>74</v>
      </c>
      <c r="AE735" s="4" t="s">
        <v>2991</v>
      </c>
      <c r="AF735" s="4" t="s">
        <v>2996</v>
      </c>
      <c r="AG735" s="5" t="n">
        <v>0.0133564814814815</v>
      </c>
      <c r="AH735" s="5" t="n">
        <v>0.0561689814814815</v>
      </c>
      <c r="AI735" s="5" t="n">
        <v>0</v>
      </c>
      <c r="AJ735" s="5" t="n">
        <v>0</v>
      </c>
      <c r="AK735" s="5" t="n">
        <v>0</v>
      </c>
      <c r="AL735" s="5" t="n">
        <v>0</v>
      </c>
      <c r="AM735" s="4" t="s">
        <v>78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  <c r="AU735" s="0" t="n">
        <v>0</v>
      </c>
      <c r="AV735" s="0" t="n">
        <v>0</v>
      </c>
      <c r="AW735" s="0" t="n">
        <v>0</v>
      </c>
      <c r="AX735" s="0" t="n">
        <v>0</v>
      </c>
      <c r="AY735" s="0" t="n">
        <v>0</v>
      </c>
      <c r="AZ735" s="0" t="n">
        <v>0</v>
      </c>
      <c r="BA735" s="0" t="n">
        <v>0</v>
      </c>
      <c r="BB735" s="0" t="n">
        <v>0</v>
      </c>
      <c r="BC735" s="0" t="n">
        <v>0</v>
      </c>
      <c r="BD735" s="0" t="n">
        <v>0</v>
      </c>
      <c r="BE735" s="0" t="n">
        <v>0</v>
      </c>
      <c r="BF735" s="0" t="n">
        <v>0</v>
      </c>
      <c r="BG735" s="0" t="n">
        <v>0</v>
      </c>
      <c r="BH735" s="0" t="n">
        <v>0</v>
      </c>
      <c r="BI735" s="0" t="n">
        <v>0</v>
      </c>
      <c r="BJ735" s="0" t="n">
        <v>0</v>
      </c>
      <c r="BK735" s="0" t="n">
        <v>0</v>
      </c>
      <c r="BM735" s="6" t="n">
        <f aca="false">IFERROR(VALUE(F735),"")</f>
        <v>0.89</v>
      </c>
      <c r="BN735" s="6" t="n">
        <f aca="false">IF(R735="-","",IFERROR(VALUE(LEFT(Q735,LEN(Q735)-2)),""))</f>
        <v>3.01</v>
      </c>
      <c r="BO735" s="6" t="n">
        <f aca="false">IF(R735="-","",IFERROR(VALUE(LEFT(R735,LEN(R735)-5)),""))</f>
        <v>0.3</v>
      </c>
      <c r="BP735" s="6" t="n">
        <f aca="false">IF(R735="-","",IFERROR(VALUE(F735),""))</f>
        <v>0.89</v>
      </c>
      <c r="BQ735" s="4" t="n">
        <f aca="false">IF(R735="-",1,0)</f>
        <v>0</v>
      </c>
    </row>
    <row r="736" customFormat="false" ht="15" hidden="false" customHeight="false" outlineLevel="0" collapsed="false">
      <c r="A736" s="0" t="s">
        <v>2997</v>
      </c>
      <c r="B736" s="0" t="s">
        <v>2998</v>
      </c>
      <c r="C736" s="0" t="s">
        <v>70</v>
      </c>
      <c r="E736" s="3" t="n">
        <v>46273</v>
      </c>
      <c r="F736" s="4" t="s">
        <v>2999</v>
      </c>
      <c r="G736" s="5" t="n">
        <v>0.391261574074074</v>
      </c>
      <c r="H736" s="5" t="n">
        <v>0</v>
      </c>
      <c r="I736" s="5" t="n">
        <v>0.000115740740740741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5" t="n">
        <v>0</v>
      </c>
      <c r="P736" s="5" t="n">
        <v>0</v>
      </c>
      <c r="Q736" s="4" t="s">
        <v>2029</v>
      </c>
      <c r="R736" s="4" t="s">
        <v>289</v>
      </c>
      <c r="S736" s="5" t="n">
        <v>0</v>
      </c>
      <c r="T736" s="5" t="n">
        <v>0.0895833333333333</v>
      </c>
      <c r="U736" s="5" t="n">
        <v>0.0675925925925926</v>
      </c>
      <c r="V736" s="5" t="n">
        <v>0.00173611111111111</v>
      </c>
      <c r="W736" s="5" t="n">
        <v>0</v>
      </c>
      <c r="X736" s="5" t="n">
        <v>0</v>
      </c>
      <c r="Y736" s="5" t="n">
        <v>0</v>
      </c>
      <c r="Z736" s="0" t="n">
        <v>0</v>
      </c>
      <c r="AA736" s="0" t="n">
        <v>0</v>
      </c>
      <c r="AB736" s="0" t="n">
        <v>0</v>
      </c>
      <c r="AC736" s="4" t="s">
        <v>421</v>
      </c>
      <c r="AD736" s="4" t="s">
        <v>228</v>
      </c>
      <c r="AE736" s="4" t="s">
        <v>3000</v>
      </c>
      <c r="AF736" s="4" t="s">
        <v>3001</v>
      </c>
      <c r="AG736" s="5" t="n">
        <v>0.142523148148148</v>
      </c>
      <c r="AH736" s="5" t="n">
        <v>0.262534722222222</v>
      </c>
      <c r="AI736" s="5" t="n">
        <v>0</v>
      </c>
      <c r="AJ736" s="5" t="n">
        <v>0</v>
      </c>
      <c r="AK736" s="5" t="n">
        <v>0</v>
      </c>
      <c r="AL736" s="5" t="n">
        <v>0</v>
      </c>
      <c r="AM736" s="4" t="s">
        <v>78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  <c r="AU736" s="0" t="n">
        <v>0</v>
      </c>
      <c r="AV736" s="0" t="n">
        <v>0</v>
      </c>
      <c r="AW736" s="0" t="n">
        <v>0</v>
      </c>
      <c r="AX736" s="0" t="n">
        <v>0</v>
      </c>
      <c r="AY736" s="0" t="n">
        <v>0</v>
      </c>
      <c r="AZ736" s="0" t="n">
        <v>0</v>
      </c>
      <c r="BA736" s="0" t="n">
        <v>0</v>
      </c>
      <c r="BB736" s="0" t="n">
        <v>0</v>
      </c>
      <c r="BC736" s="0" t="n">
        <v>0</v>
      </c>
      <c r="BD736" s="0" t="n">
        <v>0</v>
      </c>
      <c r="BE736" s="0" t="n">
        <v>0</v>
      </c>
      <c r="BF736" s="0" t="n">
        <v>0</v>
      </c>
      <c r="BG736" s="0" t="n">
        <v>0</v>
      </c>
      <c r="BH736" s="0" t="n">
        <v>0</v>
      </c>
      <c r="BI736" s="0" t="n">
        <v>0</v>
      </c>
      <c r="BJ736" s="0" t="n">
        <v>0</v>
      </c>
      <c r="BK736" s="0" t="n">
        <v>0</v>
      </c>
      <c r="BM736" s="6" t="n">
        <f aca="false">IFERROR(VALUE(F736),"")</f>
        <v>102.54</v>
      </c>
      <c r="BN736" s="6" t="n">
        <f aca="false">IF(R736="-","",IFERROR(VALUE(LEFT(Q736,LEN(Q736)-2)),""))</f>
        <v>40.99</v>
      </c>
      <c r="BO736" s="6" t="n">
        <f aca="false">IF(R736="-","",IFERROR(VALUE(LEFT(R736,LEN(R736)-5)),""))</f>
        <v>2.5</v>
      </c>
      <c r="BP736" s="6" t="n">
        <f aca="false">IF(R736="-","",IFERROR(VALUE(F736),""))</f>
        <v>102.54</v>
      </c>
      <c r="BQ736" s="4" t="n">
        <f aca="false">IF(R736="-",1,0)</f>
        <v>0</v>
      </c>
    </row>
    <row r="737" customFormat="false" ht="15" hidden="false" customHeight="false" outlineLevel="0" collapsed="false">
      <c r="A737" s="0" t="s">
        <v>2997</v>
      </c>
      <c r="B737" s="0" t="s">
        <v>2998</v>
      </c>
      <c r="C737" s="0" t="s">
        <v>70</v>
      </c>
      <c r="E737" s="3" t="n">
        <v>46274</v>
      </c>
      <c r="F737" s="4" t="s">
        <v>1821</v>
      </c>
      <c r="G737" s="5" t="n">
        <v>0.00751157407407407</v>
      </c>
      <c r="H737" s="5" t="n">
        <v>0</v>
      </c>
      <c r="I737" s="5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5" t="n">
        <v>0</v>
      </c>
      <c r="P737" s="5" t="n">
        <v>0</v>
      </c>
      <c r="Q737" s="4" t="s">
        <v>971</v>
      </c>
      <c r="R737" s="4" t="s">
        <v>3002</v>
      </c>
      <c r="S737" s="5" t="n">
        <v>0</v>
      </c>
      <c r="T737" s="5" t="n">
        <v>0.00219907407407407</v>
      </c>
      <c r="U737" s="5" t="n">
        <v>0.000810185185185185</v>
      </c>
      <c r="V737" s="5" t="n">
        <v>0</v>
      </c>
      <c r="W737" s="5" t="n">
        <v>0</v>
      </c>
      <c r="X737" s="5" t="n">
        <v>0</v>
      </c>
      <c r="Y737" s="5" t="n">
        <v>0</v>
      </c>
      <c r="Z737" s="0" t="n">
        <v>0</v>
      </c>
      <c r="AA737" s="0" t="n">
        <v>0</v>
      </c>
      <c r="AB737" s="0" t="n">
        <v>0</v>
      </c>
      <c r="AC737" s="4" t="s">
        <v>228</v>
      </c>
      <c r="AD737" s="4" t="s">
        <v>75</v>
      </c>
      <c r="AE737" s="4" t="s">
        <v>3001</v>
      </c>
      <c r="AF737" s="4" t="s">
        <v>3003</v>
      </c>
      <c r="AG737" s="5" t="n">
        <v>0.000763888888888889</v>
      </c>
      <c r="AH737" s="5" t="n">
        <v>0.0510069444444445</v>
      </c>
      <c r="AI737" s="5" t="n">
        <v>0</v>
      </c>
      <c r="AJ737" s="5" t="n">
        <v>0</v>
      </c>
      <c r="AK737" s="5" t="n">
        <v>0</v>
      </c>
      <c r="AL737" s="5" t="n">
        <v>0</v>
      </c>
      <c r="AM737" s="4" t="s">
        <v>78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  <c r="AU737" s="0" t="n">
        <v>0</v>
      </c>
      <c r="AV737" s="0" t="n">
        <v>0</v>
      </c>
      <c r="AW737" s="0" t="n">
        <v>0</v>
      </c>
      <c r="AX737" s="0" t="n">
        <v>0</v>
      </c>
      <c r="AY737" s="0" t="n">
        <v>0</v>
      </c>
      <c r="AZ737" s="0" t="n">
        <v>0</v>
      </c>
      <c r="BA737" s="0" t="n">
        <v>0</v>
      </c>
      <c r="BB737" s="0" t="n">
        <v>0</v>
      </c>
      <c r="BC737" s="0" t="n">
        <v>0</v>
      </c>
      <c r="BD737" s="0" t="n">
        <v>0</v>
      </c>
      <c r="BE737" s="0" t="n">
        <v>0</v>
      </c>
      <c r="BF737" s="0" t="n">
        <v>0</v>
      </c>
      <c r="BG737" s="0" t="n">
        <v>0</v>
      </c>
      <c r="BH737" s="0" t="n">
        <v>0</v>
      </c>
      <c r="BI737" s="0" t="n">
        <v>0</v>
      </c>
      <c r="BJ737" s="0" t="n">
        <v>0</v>
      </c>
      <c r="BK737" s="0" t="n">
        <v>0</v>
      </c>
      <c r="BM737" s="6" t="n">
        <f aca="false">IFERROR(VALUE(F737),"")</f>
        <v>0.07</v>
      </c>
      <c r="BN737" s="6" t="n">
        <f aca="false">IF(R737="-","",IFERROR(VALUE(LEFT(Q737,LEN(Q737)-2)),""))</f>
        <v>0.5</v>
      </c>
      <c r="BO737" s="6" t="n">
        <f aca="false">IF(R737="-","",IFERROR(VALUE(LEFT(R737,LEN(R737)-5)),""))</f>
        <v>0.14</v>
      </c>
      <c r="BP737" s="6" t="n">
        <f aca="false">IF(R737="-","",IFERROR(VALUE(F737),""))</f>
        <v>0.07</v>
      </c>
      <c r="BQ737" s="4" t="n">
        <f aca="false">IF(R737="-",1,0)</f>
        <v>0</v>
      </c>
    </row>
    <row r="738" customFormat="false" ht="15" hidden="false" customHeight="false" outlineLevel="0" collapsed="false">
      <c r="A738" s="0" t="s">
        <v>2997</v>
      </c>
      <c r="B738" s="0" t="s">
        <v>2998</v>
      </c>
      <c r="C738" s="0" t="s">
        <v>70</v>
      </c>
      <c r="E738" s="3" t="n">
        <v>46275</v>
      </c>
      <c r="F738" s="4" t="s">
        <v>95</v>
      </c>
      <c r="G738" s="5" t="n">
        <v>0.121238425925926</v>
      </c>
      <c r="H738" s="5" t="n">
        <v>0</v>
      </c>
      <c r="I738" s="5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5" t="n">
        <v>0</v>
      </c>
      <c r="P738" s="5" t="n">
        <v>0</v>
      </c>
      <c r="Q738" s="4" t="s">
        <v>2358</v>
      </c>
      <c r="R738" s="4" t="s">
        <v>454</v>
      </c>
      <c r="S738" s="5" t="n">
        <v>0.000115740740740741</v>
      </c>
      <c r="T738" s="5" t="n">
        <v>0.00960648148148148</v>
      </c>
      <c r="U738" s="5" t="n">
        <v>0.00196759259259259</v>
      </c>
      <c r="V738" s="5" t="n">
        <v>0.000115740740740741</v>
      </c>
      <c r="W738" s="5" t="n">
        <v>0</v>
      </c>
      <c r="X738" s="5" t="n">
        <v>0</v>
      </c>
      <c r="Y738" s="5" t="n">
        <v>0</v>
      </c>
      <c r="Z738" s="0" t="n">
        <v>0</v>
      </c>
      <c r="AA738" s="0" t="n">
        <v>0</v>
      </c>
      <c r="AB738" s="0" t="n">
        <v>0</v>
      </c>
      <c r="AC738" s="4" t="s">
        <v>81</v>
      </c>
      <c r="AD738" s="4" t="s">
        <v>75</v>
      </c>
      <c r="AE738" s="4" t="s">
        <v>3003</v>
      </c>
      <c r="AF738" s="4" t="s">
        <v>3003</v>
      </c>
      <c r="AG738" s="5" t="n">
        <v>0</v>
      </c>
      <c r="AH738" s="5" t="n">
        <v>0.168472222222222</v>
      </c>
      <c r="AI738" s="5" t="n">
        <v>0</v>
      </c>
      <c r="AJ738" s="5" t="n">
        <v>0</v>
      </c>
      <c r="AK738" s="5" t="n">
        <v>0</v>
      </c>
      <c r="AL738" s="5" t="n">
        <v>0</v>
      </c>
      <c r="AM738" s="4" t="s">
        <v>78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  <c r="AU738" s="0" t="n">
        <v>0</v>
      </c>
      <c r="AV738" s="0" t="n">
        <v>0</v>
      </c>
      <c r="AW738" s="0" t="n">
        <v>0</v>
      </c>
      <c r="AX738" s="0" t="n">
        <v>0</v>
      </c>
      <c r="AY738" s="0" t="n">
        <v>0</v>
      </c>
      <c r="AZ738" s="0" t="n">
        <v>0</v>
      </c>
      <c r="BA738" s="0" t="n">
        <v>0</v>
      </c>
      <c r="BB738" s="0" t="n">
        <v>0</v>
      </c>
      <c r="BC738" s="0" t="n">
        <v>0</v>
      </c>
      <c r="BD738" s="0" t="n">
        <v>0</v>
      </c>
      <c r="BE738" s="0" t="n">
        <v>0</v>
      </c>
      <c r="BF738" s="0" t="n">
        <v>0</v>
      </c>
      <c r="BG738" s="0" t="n">
        <v>0</v>
      </c>
      <c r="BH738" s="0" t="n">
        <v>0</v>
      </c>
      <c r="BI738" s="0" t="n">
        <v>0</v>
      </c>
      <c r="BJ738" s="0" t="n">
        <v>0</v>
      </c>
      <c r="BK738" s="0" t="n">
        <v>0</v>
      </c>
      <c r="BM738" s="6" t="n">
        <f aca="false">IFERROR(VALUE(F738),"")</f>
        <v>0</v>
      </c>
      <c r="BN738" s="6" t="n">
        <f aca="false">IF(R738="-","",IFERROR(VALUE(LEFT(Q738,LEN(Q738)-2)),""))</f>
        <v>1.5</v>
      </c>
      <c r="BO738" s="6" t="n">
        <f aca="false">IF(R738="-","",IFERROR(VALUE(LEFT(R738,LEN(R738)-5)),""))</f>
        <v>0</v>
      </c>
      <c r="BP738" s="6" t="n">
        <f aca="false">IF(R738="-","",IFERROR(VALUE(F738),""))</f>
        <v>0</v>
      </c>
      <c r="BQ738" s="4" t="n">
        <f aca="false">IF(R738="-",1,0)</f>
        <v>0</v>
      </c>
    </row>
    <row r="739" customFormat="false" ht="15" hidden="false" customHeight="false" outlineLevel="0" collapsed="false">
      <c r="A739" s="0" t="s">
        <v>2997</v>
      </c>
      <c r="B739" s="0" t="s">
        <v>2998</v>
      </c>
      <c r="C739" s="0" t="s">
        <v>70</v>
      </c>
      <c r="E739" s="3" t="n">
        <v>46276</v>
      </c>
      <c r="F739" s="4" t="s">
        <v>3004</v>
      </c>
      <c r="G739" s="5" t="n">
        <v>0.221770833333333</v>
      </c>
      <c r="H739" s="5" t="n">
        <v>0</v>
      </c>
      <c r="I739" s="5" t="n">
        <v>4.62962962962963E-005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5" t="n">
        <v>0</v>
      </c>
      <c r="P739" s="5" t="n">
        <v>0</v>
      </c>
      <c r="Q739" s="4" t="s">
        <v>3005</v>
      </c>
      <c r="R739" s="4" t="s">
        <v>3006</v>
      </c>
      <c r="S739" s="5" t="n">
        <v>0.000694444444444445</v>
      </c>
      <c r="T739" s="5" t="n">
        <v>0.111342592592593</v>
      </c>
      <c r="U739" s="5" t="n">
        <v>0.0748842592592593</v>
      </c>
      <c r="V739" s="5" t="n">
        <v>0.00277777777777778</v>
      </c>
      <c r="W739" s="5" t="n">
        <v>0</v>
      </c>
      <c r="X739" s="5" t="n">
        <v>0</v>
      </c>
      <c r="Y739" s="5" t="n">
        <v>0</v>
      </c>
      <c r="Z739" s="0" t="n">
        <v>0</v>
      </c>
      <c r="AA739" s="0" t="n">
        <v>0</v>
      </c>
      <c r="AB739" s="0" t="n">
        <v>0</v>
      </c>
      <c r="AC739" s="4" t="s">
        <v>75</v>
      </c>
      <c r="AD739" s="4" t="s">
        <v>421</v>
      </c>
      <c r="AE739" s="4" t="s">
        <v>3003</v>
      </c>
      <c r="AF739" s="4" t="s">
        <v>3007</v>
      </c>
      <c r="AG739" s="5" t="n">
        <v>0.148634259259259</v>
      </c>
      <c r="AH739" s="5" t="n">
        <v>0.091712962962963</v>
      </c>
      <c r="AI739" s="5" t="n">
        <v>0</v>
      </c>
      <c r="AJ739" s="5" t="n">
        <v>0</v>
      </c>
      <c r="AK739" s="5" t="n">
        <v>0</v>
      </c>
      <c r="AL739" s="5" t="n">
        <v>0</v>
      </c>
      <c r="AM739" s="4" t="s">
        <v>78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0</v>
      </c>
      <c r="AZ739" s="0" t="n">
        <v>0</v>
      </c>
      <c r="BA739" s="0" t="n">
        <v>0</v>
      </c>
      <c r="BB739" s="0" t="n">
        <v>0</v>
      </c>
      <c r="BC739" s="0" t="n">
        <v>0</v>
      </c>
      <c r="BD739" s="0" t="n">
        <v>0</v>
      </c>
      <c r="BE739" s="0" t="n">
        <v>0</v>
      </c>
      <c r="BF739" s="0" t="n">
        <v>0</v>
      </c>
      <c r="BG739" s="0" t="n">
        <v>0</v>
      </c>
      <c r="BH739" s="0" t="n">
        <v>0</v>
      </c>
      <c r="BI739" s="0" t="n">
        <v>0</v>
      </c>
      <c r="BJ739" s="0" t="n">
        <v>0</v>
      </c>
      <c r="BK739" s="0" t="n">
        <v>0</v>
      </c>
      <c r="BM739" s="6" t="n">
        <f aca="false">IFERROR(VALUE(F739),"")</f>
        <v>104.43</v>
      </c>
      <c r="BN739" s="6" t="n">
        <f aca="false">IF(R739="-","",IFERROR(VALUE(LEFT(Q739,LEN(Q739)-2)),""))</f>
        <v>45.01</v>
      </c>
      <c r="BO739" s="6" t="n">
        <f aca="false">IF(R739="-","",IFERROR(VALUE(LEFT(R739,LEN(R739)-5)),""))</f>
        <v>2.32</v>
      </c>
      <c r="BP739" s="6" t="n">
        <f aca="false">IF(R739="-","",IFERROR(VALUE(F739),""))</f>
        <v>104.43</v>
      </c>
      <c r="BQ739" s="4" t="n">
        <f aca="false">IF(R739="-",1,0)</f>
        <v>0</v>
      </c>
    </row>
    <row r="740" customFormat="false" ht="15" hidden="false" customHeight="false" outlineLevel="0" collapsed="false">
      <c r="A740" s="0" t="s">
        <v>2997</v>
      </c>
      <c r="B740" s="0" t="s">
        <v>2998</v>
      </c>
      <c r="C740" s="0" t="s">
        <v>70</v>
      </c>
      <c r="E740" s="3" t="n">
        <v>46277</v>
      </c>
      <c r="F740" s="4" t="s">
        <v>3008</v>
      </c>
      <c r="G740" s="5" t="n">
        <v>0.517534722222222</v>
      </c>
      <c r="H740" s="5" t="n">
        <v>0</v>
      </c>
      <c r="I740" s="5" t="n">
        <v>0.00140046296296296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5" t="n">
        <v>0</v>
      </c>
      <c r="P740" s="5" t="n">
        <v>0</v>
      </c>
      <c r="Q740" s="4" t="s">
        <v>3009</v>
      </c>
      <c r="R740" s="4" t="s">
        <v>2606</v>
      </c>
      <c r="S740" s="5" t="n">
        <v>0.00150462962962963</v>
      </c>
      <c r="T740" s="5" t="n">
        <v>0.228819444444444</v>
      </c>
      <c r="U740" s="5" t="n">
        <v>0.253472222222222</v>
      </c>
      <c r="V740" s="5" t="n">
        <v>0.0126157407407407</v>
      </c>
      <c r="W740" s="5" t="n">
        <v>0</v>
      </c>
      <c r="X740" s="5" t="n">
        <v>0</v>
      </c>
      <c r="Y740" s="5" t="n">
        <v>0</v>
      </c>
      <c r="Z740" s="0" t="n">
        <v>0</v>
      </c>
      <c r="AA740" s="0" t="n">
        <v>0</v>
      </c>
      <c r="AB740" s="0" t="n">
        <v>0</v>
      </c>
      <c r="AC740" s="4" t="s">
        <v>421</v>
      </c>
      <c r="AD740" s="4" t="s">
        <v>421</v>
      </c>
      <c r="AE740" s="4" t="s">
        <v>3007</v>
      </c>
      <c r="AF740" s="4" t="s">
        <v>3010</v>
      </c>
      <c r="AG740" s="5" t="n">
        <v>0.461087962962963</v>
      </c>
      <c r="AH740" s="5" t="n">
        <v>0.104131944444444</v>
      </c>
      <c r="AI740" s="5" t="n">
        <v>0</v>
      </c>
      <c r="AJ740" s="5" t="n">
        <v>0</v>
      </c>
      <c r="AK740" s="5" t="n">
        <v>0</v>
      </c>
      <c r="AL740" s="5" t="n">
        <v>0</v>
      </c>
      <c r="AM740" s="4" t="s">
        <v>78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  <c r="AU740" s="0" t="n">
        <v>0</v>
      </c>
      <c r="AV740" s="0" t="n">
        <v>0</v>
      </c>
      <c r="AW740" s="0" t="n">
        <v>0</v>
      </c>
      <c r="AX740" s="0" t="n">
        <v>0</v>
      </c>
      <c r="AY740" s="0" t="n">
        <v>0</v>
      </c>
      <c r="AZ740" s="0" t="n">
        <v>0</v>
      </c>
      <c r="BA740" s="0" t="n">
        <v>0</v>
      </c>
      <c r="BB740" s="0" t="n">
        <v>0</v>
      </c>
      <c r="BC740" s="0" t="n">
        <v>0</v>
      </c>
      <c r="BD740" s="0" t="n">
        <v>1</v>
      </c>
      <c r="BE740" s="0" t="n">
        <v>0</v>
      </c>
      <c r="BF740" s="0" t="n">
        <v>0</v>
      </c>
      <c r="BG740" s="0" t="n">
        <v>0</v>
      </c>
      <c r="BH740" s="0" t="n">
        <v>0</v>
      </c>
      <c r="BI740" s="0" t="n">
        <v>0</v>
      </c>
      <c r="BJ740" s="0" t="n">
        <v>0</v>
      </c>
      <c r="BK740" s="0" t="n">
        <v>0</v>
      </c>
      <c r="BM740" s="6" t="n">
        <f aca="false">IFERROR(VALUE(F740),"")</f>
        <v>403.77</v>
      </c>
      <c r="BN740" s="6" t="n">
        <f aca="false">IF(R740="-","",IFERROR(VALUE(LEFT(Q740,LEN(Q740)-2)),""))</f>
        <v>154.99</v>
      </c>
      <c r="BO740" s="6" t="n">
        <f aca="false">IF(R740="-","",IFERROR(VALUE(LEFT(R740,LEN(R740)-5)),""))</f>
        <v>2.61</v>
      </c>
      <c r="BP740" s="6" t="n">
        <f aca="false">IF(R740="-","",IFERROR(VALUE(F740),""))</f>
        <v>403.77</v>
      </c>
      <c r="BQ740" s="4" t="n">
        <f aca="false">IF(R740="-",1,0)</f>
        <v>0</v>
      </c>
    </row>
    <row r="741" customFormat="false" ht="15" hidden="false" customHeight="false" outlineLevel="0" collapsed="false">
      <c r="A741" s="0" t="s">
        <v>2997</v>
      </c>
      <c r="B741" s="0" t="s">
        <v>2998</v>
      </c>
      <c r="C741" s="0" t="s">
        <v>70</v>
      </c>
      <c r="E741" s="3" t="n">
        <v>46278</v>
      </c>
      <c r="F741" s="4" t="s">
        <v>3011</v>
      </c>
      <c r="G741" s="5" t="n">
        <v>0.425590277777778</v>
      </c>
      <c r="H741" s="5" t="n">
        <v>0</v>
      </c>
      <c r="I741" s="5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5" t="n">
        <v>0</v>
      </c>
      <c r="P741" s="5" t="n">
        <v>0</v>
      </c>
      <c r="Q741" s="4" t="s">
        <v>3012</v>
      </c>
      <c r="R741" s="4" t="s">
        <v>325</v>
      </c>
      <c r="S741" s="5" t="n">
        <v>0.000925925925925926</v>
      </c>
      <c r="T741" s="5" t="n">
        <v>0.203819444444444</v>
      </c>
      <c r="U741" s="5" t="n">
        <v>0.182407407407407</v>
      </c>
      <c r="V741" s="5" t="n">
        <v>0.0056712962962963</v>
      </c>
      <c r="W741" s="5" t="n">
        <v>0</v>
      </c>
      <c r="X741" s="5" t="n">
        <v>0</v>
      </c>
      <c r="Y741" s="5" t="n">
        <v>0</v>
      </c>
      <c r="Z741" s="0" t="n">
        <v>0</v>
      </c>
      <c r="AA741" s="0" t="n">
        <v>0</v>
      </c>
      <c r="AB741" s="0" t="n">
        <v>0</v>
      </c>
      <c r="AC741" s="4" t="s">
        <v>421</v>
      </c>
      <c r="AD741" s="4" t="s">
        <v>74</v>
      </c>
      <c r="AE741" s="4" t="s">
        <v>3010</v>
      </c>
      <c r="AF741" s="4" t="s">
        <v>3013</v>
      </c>
      <c r="AG741" s="5" t="n">
        <v>0.360486111111111</v>
      </c>
      <c r="AH741" s="5" t="n">
        <v>0.134247685185185</v>
      </c>
      <c r="AI741" s="5" t="n">
        <v>0</v>
      </c>
      <c r="AJ741" s="5" t="n">
        <v>0</v>
      </c>
      <c r="AK741" s="5" t="n">
        <v>0</v>
      </c>
      <c r="AL741" s="5" t="n">
        <v>0</v>
      </c>
      <c r="AM741" s="4" t="s">
        <v>78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  <c r="AU741" s="0" t="n">
        <v>0</v>
      </c>
      <c r="AV741" s="0" t="n">
        <v>0</v>
      </c>
      <c r="AW741" s="0" t="n">
        <v>0</v>
      </c>
      <c r="AX741" s="0" t="n">
        <v>0</v>
      </c>
      <c r="AY741" s="0" t="n">
        <v>0</v>
      </c>
      <c r="AZ741" s="0" t="n">
        <v>0</v>
      </c>
      <c r="BA741" s="0" t="n">
        <v>0</v>
      </c>
      <c r="BB741" s="0" t="n">
        <v>0</v>
      </c>
      <c r="BC741" s="0" t="n">
        <v>0</v>
      </c>
      <c r="BD741" s="0" t="n">
        <v>0</v>
      </c>
      <c r="BE741" s="0" t="n">
        <v>0</v>
      </c>
      <c r="BF741" s="0" t="n">
        <v>0</v>
      </c>
      <c r="BG741" s="0" t="n">
        <v>0</v>
      </c>
      <c r="BH741" s="0" t="n">
        <v>0</v>
      </c>
      <c r="BI741" s="0" t="n">
        <v>0</v>
      </c>
      <c r="BJ741" s="0" t="n">
        <v>0</v>
      </c>
      <c r="BK741" s="0" t="n">
        <v>0</v>
      </c>
      <c r="BM741" s="6" t="n">
        <f aca="false">IFERROR(VALUE(F741),"")</f>
        <v>303.72</v>
      </c>
      <c r="BN741" s="6" t="n">
        <f aca="false">IF(R741="-","",IFERROR(VALUE(LEFT(Q741,LEN(Q741)-2)),""))</f>
        <v>106</v>
      </c>
      <c r="BO741" s="6" t="n">
        <f aca="false">IF(R741="-","",IFERROR(VALUE(LEFT(R741,LEN(R741)-5)),""))</f>
        <v>2.87</v>
      </c>
      <c r="BP741" s="6" t="n">
        <f aca="false">IF(R741="-","",IFERROR(VALUE(F741),""))</f>
        <v>303.72</v>
      </c>
      <c r="BQ741" s="4" t="n">
        <f aca="false">IF(R741="-",1,0)</f>
        <v>0</v>
      </c>
    </row>
    <row r="742" customFormat="false" ht="15" hidden="false" customHeight="false" outlineLevel="0" collapsed="false">
      <c r="A742" s="0" t="s">
        <v>2997</v>
      </c>
      <c r="B742" s="0" t="s">
        <v>2998</v>
      </c>
      <c r="C742" s="0" t="s">
        <v>70</v>
      </c>
      <c r="E742" s="3" t="n">
        <v>46279</v>
      </c>
      <c r="F742" s="4" t="s">
        <v>3014</v>
      </c>
      <c r="G742" s="5" t="n">
        <v>0.555208333333333</v>
      </c>
      <c r="H742" s="5" t="n">
        <v>0</v>
      </c>
      <c r="I742" s="5" t="n">
        <v>0.00221064814814815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5" t="n">
        <v>0</v>
      </c>
      <c r="P742" s="5" t="n">
        <v>0</v>
      </c>
      <c r="Q742" s="4" t="s">
        <v>3015</v>
      </c>
      <c r="R742" s="4" t="s">
        <v>2220</v>
      </c>
      <c r="S742" s="5" t="n">
        <v>0.000810185185185185</v>
      </c>
      <c r="T742" s="5" t="n">
        <v>0.233449074074074</v>
      </c>
      <c r="U742" s="5" t="n">
        <v>0.247222222222222</v>
      </c>
      <c r="V742" s="5" t="n">
        <v>0.0390509259259259</v>
      </c>
      <c r="W742" s="5" t="n">
        <v>0.000717592592592593</v>
      </c>
      <c r="X742" s="5" t="n">
        <v>0</v>
      </c>
      <c r="Y742" s="5" t="n">
        <v>0</v>
      </c>
      <c r="Z742" s="0" t="n">
        <v>0</v>
      </c>
      <c r="AA742" s="0" t="n">
        <v>0</v>
      </c>
      <c r="AB742" s="0" t="n">
        <v>0</v>
      </c>
      <c r="AC742" s="4" t="s">
        <v>228</v>
      </c>
      <c r="AD742" s="4" t="s">
        <v>74</v>
      </c>
      <c r="AE742" s="4" t="s">
        <v>3013</v>
      </c>
      <c r="AF742" s="4" t="s">
        <v>3016</v>
      </c>
      <c r="AG742" s="5" t="n">
        <v>0.469143518518519</v>
      </c>
      <c r="AH742" s="5" t="n">
        <v>0.167951388888889</v>
      </c>
      <c r="AI742" s="5" t="n">
        <v>0</v>
      </c>
      <c r="AJ742" s="5" t="n">
        <v>0</v>
      </c>
      <c r="AK742" s="5" t="n">
        <v>0</v>
      </c>
      <c r="AL742" s="5" t="n">
        <v>0</v>
      </c>
      <c r="AM742" s="4" t="s">
        <v>78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  <c r="AU742" s="0" t="n">
        <v>0</v>
      </c>
      <c r="AV742" s="0" t="n">
        <v>0</v>
      </c>
      <c r="AW742" s="0" t="n">
        <v>0</v>
      </c>
      <c r="AX742" s="0" t="n">
        <v>0</v>
      </c>
      <c r="AY742" s="0" t="n">
        <v>0</v>
      </c>
      <c r="AZ742" s="0" t="n">
        <v>0</v>
      </c>
      <c r="BA742" s="0" t="n">
        <v>0</v>
      </c>
      <c r="BB742" s="0" t="n">
        <v>0</v>
      </c>
      <c r="BC742" s="0" t="n">
        <v>0</v>
      </c>
      <c r="BD742" s="0" t="n">
        <v>0</v>
      </c>
      <c r="BE742" s="0" t="n">
        <v>0</v>
      </c>
      <c r="BF742" s="0" t="n">
        <v>0</v>
      </c>
      <c r="BG742" s="0" t="n">
        <v>0</v>
      </c>
      <c r="BH742" s="0" t="n">
        <v>0</v>
      </c>
      <c r="BI742" s="0" t="n">
        <v>0</v>
      </c>
      <c r="BJ742" s="0" t="n">
        <v>0</v>
      </c>
      <c r="BK742" s="0" t="n">
        <v>0</v>
      </c>
      <c r="BM742" s="6" t="n">
        <f aca="false">IFERROR(VALUE(F742),"")</f>
        <v>404.94</v>
      </c>
      <c r="BN742" s="6" t="n">
        <f aca="false">IF(R742="-","",IFERROR(VALUE(LEFT(Q742,LEN(Q742)-2)),""))</f>
        <v>166</v>
      </c>
      <c r="BO742" s="6" t="n">
        <f aca="false">IF(R742="-","",IFERROR(VALUE(LEFT(R742,LEN(R742)-5)),""))</f>
        <v>2.44</v>
      </c>
      <c r="BP742" s="6" t="n">
        <f aca="false">IF(R742="-","",IFERROR(VALUE(F742),""))</f>
        <v>404.94</v>
      </c>
      <c r="BQ742" s="4" t="n">
        <f aca="false">IF(R742="-",1,0)</f>
        <v>0</v>
      </c>
    </row>
    <row r="743" customFormat="false" ht="15" hidden="false" customHeight="false" outlineLevel="0" collapsed="false">
      <c r="A743" s="0" t="s">
        <v>3017</v>
      </c>
      <c r="B743" s="0" t="s">
        <v>3018</v>
      </c>
      <c r="C743" s="0" t="s">
        <v>70</v>
      </c>
      <c r="D743" s="0" t="s">
        <v>3019</v>
      </c>
      <c r="E743" s="3" t="n">
        <v>46273</v>
      </c>
      <c r="F743" s="4" t="s">
        <v>3020</v>
      </c>
      <c r="G743" s="5" t="n">
        <v>0.667106481481481</v>
      </c>
      <c r="H743" s="5" t="n">
        <v>0.573634259259259</v>
      </c>
      <c r="I743" s="5" t="n">
        <v>0.000659722222222222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1</v>
      </c>
      <c r="O743" s="5" t="n">
        <v>0</v>
      </c>
      <c r="P743" s="5" t="n">
        <v>0</v>
      </c>
      <c r="Q743" s="4" t="s">
        <v>3021</v>
      </c>
      <c r="R743" s="4" t="s">
        <v>448</v>
      </c>
      <c r="S743" s="5" t="n">
        <v>0.00115740740740741</v>
      </c>
      <c r="T743" s="5" t="n">
        <v>0.303935185185185</v>
      </c>
      <c r="U743" s="5" t="n">
        <v>0.27025462962963</v>
      </c>
      <c r="V743" s="5" t="n">
        <v>0.00578703703703704</v>
      </c>
      <c r="W743" s="5" t="n">
        <v>0</v>
      </c>
      <c r="X743" s="5" t="n">
        <v>0</v>
      </c>
      <c r="Y743" s="5" t="n">
        <v>0</v>
      </c>
      <c r="Z743" s="0" t="n">
        <v>0</v>
      </c>
      <c r="AA743" s="0" t="n">
        <v>0</v>
      </c>
      <c r="AB743" s="0" t="n">
        <v>0</v>
      </c>
      <c r="AC743" s="4" t="s">
        <v>81</v>
      </c>
      <c r="AD743" s="4" t="s">
        <v>74</v>
      </c>
      <c r="AE743" s="4" t="s">
        <v>3022</v>
      </c>
      <c r="AF743" s="4" t="s">
        <v>3023</v>
      </c>
      <c r="AG743" s="5" t="n">
        <v>0.516516203703704</v>
      </c>
      <c r="AH743" s="5" t="n">
        <v>0.266168981481482</v>
      </c>
      <c r="AI743" s="5" t="n">
        <v>0</v>
      </c>
      <c r="AJ743" s="5" t="n">
        <v>0</v>
      </c>
      <c r="AK743" s="5" t="n">
        <v>0</v>
      </c>
      <c r="AL743" s="5" t="n">
        <v>0</v>
      </c>
      <c r="AM743" s="4" t="s">
        <v>78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  <c r="AU743" s="0" t="n">
        <v>1</v>
      </c>
      <c r="AV743" s="0" t="n">
        <v>0</v>
      </c>
      <c r="AW743" s="0" t="n">
        <v>0</v>
      </c>
      <c r="AX743" s="0" t="n">
        <v>0</v>
      </c>
      <c r="AY743" s="0" t="n">
        <v>0</v>
      </c>
      <c r="AZ743" s="0" t="n">
        <v>0</v>
      </c>
      <c r="BA743" s="0" t="n">
        <v>0</v>
      </c>
      <c r="BB743" s="0" t="n">
        <v>0</v>
      </c>
      <c r="BC743" s="0" t="n">
        <v>0</v>
      </c>
      <c r="BD743" s="0" t="n">
        <v>0</v>
      </c>
      <c r="BE743" s="0" t="n">
        <v>0</v>
      </c>
      <c r="BF743" s="0" t="n">
        <v>0</v>
      </c>
      <c r="BG743" s="0" t="n">
        <v>0</v>
      </c>
      <c r="BH743" s="0" t="n">
        <v>0</v>
      </c>
      <c r="BI743" s="0" t="n">
        <v>0</v>
      </c>
      <c r="BJ743" s="0" t="n">
        <v>0</v>
      </c>
      <c r="BK743" s="0" t="n">
        <v>0</v>
      </c>
      <c r="BM743" s="6" t="n">
        <f aca="false">IFERROR(VALUE(F743),"")</f>
        <v>411.59</v>
      </c>
      <c r="BN743" s="6" t="n">
        <f aca="false">IF(R743="-","",IFERROR(VALUE(LEFT(Q743,LEN(Q743)-2)),""))</f>
        <v>155.5</v>
      </c>
      <c r="BO743" s="6" t="n">
        <f aca="false">IF(R743="-","",IFERROR(VALUE(LEFT(R743,LEN(R743)-5)),""))</f>
        <v>2.65</v>
      </c>
      <c r="BP743" s="6" t="n">
        <f aca="false">IF(R743="-","",IFERROR(VALUE(F743),""))</f>
        <v>411.59</v>
      </c>
      <c r="BQ743" s="4" t="n">
        <f aca="false">IF(R743="-",1,0)</f>
        <v>0</v>
      </c>
    </row>
    <row r="744" customFormat="false" ht="15" hidden="false" customHeight="false" outlineLevel="0" collapsed="false">
      <c r="A744" s="0" t="s">
        <v>3017</v>
      </c>
      <c r="B744" s="0" t="s">
        <v>3018</v>
      </c>
      <c r="C744" s="0" t="s">
        <v>70</v>
      </c>
      <c r="D744" s="0" t="s">
        <v>3024</v>
      </c>
      <c r="E744" s="3" t="n">
        <v>46274</v>
      </c>
      <c r="F744" s="4" t="s">
        <v>3025</v>
      </c>
      <c r="G744" s="5" t="n">
        <v>0.597534722222222</v>
      </c>
      <c r="H744" s="5" t="n">
        <v>0.579849537037037</v>
      </c>
      <c r="I744" s="5" t="n">
        <v>0.000115740740740741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5" t="n">
        <v>0</v>
      </c>
      <c r="P744" s="5" t="n">
        <v>0</v>
      </c>
      <c r="Q744" s="4" t="s">
        <v>3026</v>
      </c>
      <c r="R744" s="4" t="s">
        <v>1944</v>
      </c>
      <c r="S744" s="5" t="n">
        <v>0.000925925925925926</v>
      </c>
      <c r="T744" s="5" t="n">
        <v>0.251157407407407</v>
      </c>
      <c r="U744" s="5" t="n">
        <v>0.278009259259259</v>
      </c>
      <c r="V744" s="5" t="n">
        <v>0.00381944444444444</v>
      </c>
      <c r="W744" s="5" t="n">
        <v>0</v>
      </c>
      <c r="X744" s="5" t="n">
        <v>0</v>
      </c>
      <c r="Y744" s="5" t="n">
        <v>0</v>
      </c>
      <c r="Z744" s="0" t="n">
        <v>0</v>
      </c>
      <c r="AA744" s="0" t="n">
        <v>0</v>
      </c>
      <c r="AB744" s="0" t="n">
        <v>0</v>
      </c>
      <c r="AC744" s="4" t="s">
        <v>228</v>
      </c>
      <c r="AD744" s="4" t="s">
        <v>75</v>
      </c>
      <c r="AE744" s="4" t="s">
        <v>3023</v>
      </c>
      <c r="AF744" s="4" t="s">
        <v>3027</v>
      </c>
      <c r="AG744" s="5" t="n">
        <v>0.494976851851852</v>
      </c>
      <c r="AH744" s="5" t="n">
        <v>0.124490740740741</v>
      </c>
      <c r="AI744" s="5" t="n">
        <v>0</v>
      </c>
      <c r="AJ744" s="5" t="n">
        <v>0</v>
      </c>
      <c r="AK744" s="5" t="n">
        <v>0</v>
      </c>
      <c r="AL744" s="5" t="n">
        <v>0</v>
      </c>
      <c r="AM744" s="4" t="s">
        <v>78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  <c r="AU744" s="0" t="n">
        <v>3</v>
      </c>
      <c r="AV744" s="0" t="n">
        <v>0</v>
      </c>
      <c r="AW744" s="0" t="n">
        <v>0</v>
      </c>
      <c r="AX744" s="0" t="n">
        <v>0</v>
      </c>
      <c r="AY744" s="0" t="n">
        <v>0</v>
      </c>
      <c r="AZ744" s="0" t="n">
        <v>0</v>
      </c>
      <c r="BA744" s="0" t="n">
        <v>0</v>
      </c>
      <c r="BB744" s="0" t="n">
        <v>0</v>
      </c>
      <c r="BC744" s="0" t="n">
        <v>0</v>
      </c>
      <c r="BD744" s="0" t="n">
        <v>0</v>
      </c>
      <c r="BE744" s="0" t="n">
        <v>0</v>
      </c>
      <c r="BF744" s="0" t="n">
        <v>0</v>
      </c>
      <c r="BG744" s="0" t="n">
        <v>0</v>
      </c>
      <c r="BH744" s="0" t="n">
        <v>0</v>
      </c>
      <c r="BI744" s="0" t="n">
        <v>0</v>
      </c>
      <c r="BJ744" s="0" t="n">
        <v>0</v>
      </c>
      <c r="BK744" s="0" t="n">
        <v>0</v>
      </c>
      <c r="BM744" s="6" t="n">
        <f aca="false">IFERROR(VALUE(F744),"")</f>
        <v>412.91</v>
      </c>
      <c r="BN744" s="6" t="n">
        <f aca="false">IF(R744="-","",IFERROR(VALUE(LEFT(Q744,LEN(Q744)-2)),""))</f>
        <v>150.51</v>
      </c>
      <c r="BO744" s="6" t="n">
        <f aca="false">IF(R744="-","",IFERROR(VALUE(LEFT(R744,LEN(R744)-5)),""))</f>
        <v>2.74</v>
      </c>
      <c r="BP744" s="6" t="n">
        <f aca="false">IF(R744="-","",IFERROR(VALUE(F744),""))</f>
        <v>412.91</v>
      </c>
      <c r="BQ744" s="4" t="n">
        <f aca="false">IF(R744="-",1,0)</f>
        <v>0</v>
      </c>
    </row>
    <row r="745" customFormat="false" ht="15" hidden="false" customHeight="false" outlineLevel="0" collapsed="false">
      <c r="A745" s="0" t="s">
        <v>3017</v>
      </c>
      <c r="B745" s="0" t="s">
        <v>3018</v>
      </c>
      <c r="C745" s="0" t="s">
        <v>70</v>
      </c>
      <c r="D745" s="0" t="s">
        <v>3028</v>
      </c>
      <c r="E745" s="3" t="n">
        <v>46275</v>
      </c>
      <c r="F745" s="4" t="s">
        <v>3029</v>
      </c>
      <c r="G745" s="5" t="n">
        <v>0.603668981481482</v>
      </c>
      <c r="H745" s="5" t="n">
        <v>0.575798611111111</v>
      </c>
      <c r="I745" s="5" t="n">
        <v>0.00037037037037037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5" t="n">
        <v>0</v>
      </c>
      <c r="P745" s="5" t="n">
        <v>0</v>
      </c>
      <c r="Q745" s="4" t="s">
        <v>3030</v>
      </c>
      <c r="R745" s="4" t="s">
        <v>473</v>
      </c>
      <c r="S745" s="5" t="n">
        <v>0.00104166666666667</v>
      </c>
      <c r="T745" s="5" t="n">
        <v>0.264930555555556</v>
      </c>
      <c r="U745" s="5" t="n">
        <v>0.272569444444444</v>
      </c>
      <c r="V745" s="5" t="n">
        <v>0.00902777777777778</v>
      </c>
      <c r="W745" s="5" t="n">
        <v>0</v>
      </c>
      <c r="X745" s="5" t="n">
        <v>0</v>
      </c>
      <c r="Y745" s="5" t="n">
        <v>0</v>
      </c>
      <c r="Z745" s="0" t="n">
        <v>0</v>
      </c>
      <c r="AA745" s="0" t="n">
        <v>0</v>
      </c>
      <c r="AB745" s="0" t="n">
        <v>0</v>
      </c>
      <c r="AC745" s="4" t="s">
        <v>228</v>
      </c>
      <c r="AD745" s="4" t="s">
        <v>74</v>
      </c>
      <c r="AE745" s="4" t="s">
        <v>3027</v>
      </c>
      <c r="AF745" s="4" t="s">
        <v>3031</v>
      </c>
      <c r="AG745" s="5" t="n">
        <v>0.499803240740741</v>
      </c>
      <c r="AH745" s="5" t="n">
        <v>0.177430555555556</v>
      </c>
      <c r="AI745" s="5" t="n">
        <v>0</v>
      </c>
      <c r="AJ745" s="5" t="n">
        <v>0</v>
      </c>
      <c r="AK745" s="5" t="n">
        <v>0</v>
      </c>
      <c r="AL745" s="5" t="n">
        <v>0</v>
      </c>
      <c r="AM745" s="4" t="s">
        <v>78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  <c r="AU745" s="0" t="n">
        <v>4</v>
      </c>
      <c r="AV745" s="0" t="n">
        <v>0</v>
      </c>
      <c r="AW745" s="0" t="n">
        <v>0</v>
      </c>
      <c r="AX745" s="0" t="n">
        <v>0</v>
      </c>
      <c r="AY745" s="0" t="n">
        <v>0</v>
      </c>
      <c r="AZ745" s="0" t="n">
        <v>0</v>
      </c>
      <c r="BA745" s="0" t="n">
        <v>0</v>
      </c>
      <c r="BB745" s="0" t="n">
        <v>0</v>
      </c>
      <c r="BC745" s="0" t="n">
        <v>0</v>
      </c>
      <c r="BD745" s="0" t="n">
        <v>0</v>
      </c>
      <c r="BE745" s="0" t="n">
        <v>0</v>
      </c>
      <c r="BF745" s="0" t="n">
        <v>0</v>
      </c>
      <c r="BG745" s="0" t="n">
        <v>0</v>
      </c>
      <c r="BH745" s="0" t="n">
        <v>0</v>
      </c>
      <c r="BI745" s="0" t="n">
        <v>0</v>
      </c>
      <c r="BJ745" s="0" t="n">
        <v>0</v>
      </c>
      <c r="BK745" s="0" t="n">
        <v>0</v>
      </c>
      <c r="BM745" s="6" t="n">
        <f aca="false">IFERROR(VALUE(F745),"")</f>
        <v>412.4</v>
      </c>
      <c r="BN745" s="6" t="n">
        <f aca="false">IF(R745="-","",IFERROR(VALUE(LEFT(Q745,LEN(Q745)-2)),""))</f>
        <v>148.99</v>
      </c>
      <c r="BO745" s="6" t="n">
        <f aca="false">IF(R745="-","",IFERROR(VALUE(LEFT(R745,LEN(R745)-5)),""))</f>
        <v>2.77</v>
      </c>
      <c r="BP745" s="6" t="n">
        <f aca="false">IF(R745="-","",IFERROR(VALUE(F745),""))</f>
        <v>412.4</v>
      </c>
      <c r="BQ745" s="4" t="n">
        <f aca="false">IF(R745="-",1,0)</f>
        <v>0</v>
      </c>
    </row>
    <row r="746" customFormat="false" ht="15" hidden="false" customHeight="false" outlineLevel="0" collapsed="false">
      <c r="A746" s="0" t="s">
        <v>3017</v>
      </c>
      <c r="B746" s="0" t="s">
        <v>3018</v>
      </c>
      <c r="C746" s="0" t="s">
        <v>70</v>
      </c>
      <c r="D746" s="0" t="s">
        <v>3032</v>
      </c>
      <c r="E746" s="3" t="n">
        <v>46276</v>
      </c>
      <c r="F746" s="4" t="s">
        <v>3033</v>
      </c>
      <c r="G746" s="5" t="n">
        <v>0.563414351851852</v>
      </c>
      <c r="H746" s="5" t="n">
        <v>0.546157407407407</v>
      </c>
      <c r="I746" s="5" t="n">
        <v>2.31481481481482E-005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3</v>
      </c>
      <c r="O746" s="5" t="n">
        <v>0</v>
      </c>
      <c r="P746" s="5" t="n">
        <v>0</v>
      </c>
      <c r="Q746" s="4" t="s">
        <v>3034</v>
      </c>
      <c r="R746" s="4" t="s">
        <v>426</v>
      </c>
      <c r="S746" s="5" t="n">
        <v>0.000694444444444445</v>
      </c>
      <c r="T746" s="5" t="n">
        <v>0.25162037037037</v>
      </c>
      <c r="U746" s="5" t="n">
        <v>0.269328703703704</v>
      </c>
      <c r="V746" s="5" t="n">
        <v>0.00949074074074074</v>
      </c>
      <c r="W746" s="5" t="n">
        <v>0</v>
      </c>
      <c r="X746" s="5" t="n">
        <v>0</v>
      </c>
      <c r="Y746" s="5" t="n">
        <v>0</v>
      </c>
      <c r="Z746" s="0" t="n">
        <v>0</v>
      </c>
      <c r="AA746" s="0" t="n">
        <v>0</v>
      </c>
      <c r="AB746" s="0" t="n">
        <v>0</v>
      </c>
      <c r="AC746" s="4" t="s">
        <v>81</v>
      </c>
      <c r="AD746" s="4" t="s">
        <v>75</v>
      </c>
      <c r="AE746" s="4" t="s">
        <v>3031</v>
      </c>
      <c r="AF746" s="4" t="s">
        <v>3035</v>
      </c>
      <c r="AG746" s="5" t="n">
        <v>0.48275462962963</v>
      </c>
      <c r="AH746" s="5" t="n">
        <v>0.148564814814815</v>
      </c>
      <c r="AI746" s="5" t="n">
        <v>0</v>
      </c>
      <c r="AJ746" s="5" t="n">
        <v>0</v>
      </c>
      <c r="AK746" s="5" t="n">
        <v>0</v>
      </c>
      <c r="AL746" s="5" t="n">
        <v>0</v>
      </c>
      <c r="AM746" s="4" t="s">
        <v>78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  <c r="AU746" s="0" t="n">
        <v>6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  <c r="BA746" s="0" t="n">
        <v>0</v>
      </c>
      <c r="BB746" s="0" t="n">
        <v>0</v>
      </c>
      <c r="BC746" s="0" t="n">
        <v>0</v>
      </c>
      <c r="BD746" s="0" t="n">
        <v>0</v>
      </c>
      <c r="BE746" s="0" t="n">
        <v>0</v>
      </c>
      <c r="BF746" s="0" t="n">
        <v>0</v>
      </c>
      <c r="BG746" s="0" t="n">
        <v>0</v>
      </c>
      <c r="BH746" s="0" t="n">
        <v>0</v>
      </c>
      <c r="BI746" s="0" t="n">
        <v>0</v>
      </c>
      <c r="BJ746" s="0" t="n">
        <v>0</v>
      </c>
      <c r="BK746" s="0" t="n">
        <v>0</v>
      </c>
      <c r="BM746" s="6" t="n">
        <f aca="false">IFERROR(VALUE(F746),"")</f>
        <v>413.28</v>
      </c>
      <c r="BN746" s="6" t="n">
        <f aca="false">IF(R746="-","",IFERROR(VALUE(LEFT(Q746,LEN(Q746)-2)),""))</f>
        <v>147.01</v>
      </c>
      <c r="BO746" s="6" t="n">
        <f aca="false">IF(R746="-","",IFERROR(VALUE(LEFT(R746,LEN(R746)-5)),""))</f>
        <v>2.81</v>
      </c>
      <c r="BP746" s="6" t="n">
        <f aca="false">IF(R746="-","",IFERROR(VALUE(F746),""))</f>
        <v>413.28</v>
      </c>
      <c r="BQ746" s="4" t="n">
        <f aca="false">IF(R746="-",1,0)</f>
        <v>0</v>
      </c>
    </row>
    <row r="747" customFormat="false" ht="15" hidden="false" customHeight="false" outlineLevel="0" collapsed="false">
      <c r="A747" s="0" t="s">
        <v>3017</v>
      </c>
      <c r="B747" s="0" t="s">
        <v>3018</v>
      </c>
      <c r="C747" s="0" t="s">
        <v>70</v>
      </c>
      <c r="D747" s="0" t="s">
        <v>3036</v>
      </c>
      <c r="E747" s="3" t="n">
        <v>46277</v>
      </c>
      <c r="F747" s="4" t="s">
        <v>3037</v>
      </c>
      <c r="G747" s="5" t="n">
        <v>0.537071759259259</v>
      </c>
      <c r="H747" s="5" t="n">
        <v>0.514652777777778</v>
      </c>
      <c r="I747" s="5" t="n">
        <v>0.000462962962962963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3</v>
      </c>
      <c r="O747" s="5" t="n">
        <v>0</v>
      </c>
      <c r="P747" s="5" t="n">
        <v>0</v>
      </c>
      <c r="Q747" s="4" t="s">
        <v>3038</v>
      </c>
      <c r="R747" s="4" t="s">
        <v>515</v>
      </c>
      <c r="S747" s="5" t="n">
        <v>0.000694444444444445</v>
      </c>
      <c r="T747" s="5" t="n">
        <v>0.239583333333333</v>
      </c>
      <c r="U747" s="5" t="n">
        <v>0.256597222222222</v>
      </c>
      <c r="V747" s="5" t="n">
        <v>0.0128472222222222</v>
      </c>
      <c r="W747" s="5" t="n">
        <v>0</v>
      </c>
      <c r="X747" s="5" t="n">
        <v>0</v>
      </c>
      <c r="Y747" s="5" t="n">
        <v>0</v>
      </c>
      <c r="Z747" s="0" t="n">
        <v>0</v>
      </c>
      <c r="AA747" s="0" t="n">
        <v>0</v>
      </c>
      <c r="AB747" s="0" t="n">
        <v>0</v>
      </c>
      <c r="AC747" s="4" t="s">
        <v>74</v>
      </c>
      <c r="AD747" s="4" t="s">
        <v>81</v>
      </c>
      <c r="AE747" s="4" t="s">
        <v>3035</v>
      </c>
      <c r="AF747" s="4" t="s">
        <v>3039</v>
      </c>
      <c r="AG747" s="5" t="n">
        <v>0.457881944444445</v>
      </c>
      <c r="AH747" s="5" t="n">
        <v>0.141898148148148</v>
      </c>
      <c r="AI747" s="5" t="n">
        <v>0</v>
      </c>
      <c r="AJ747" s="5" t="n">
        <v>0</v>
      </c>
      <c r="AK747" s="5" t="n">
        <v>0</v>
      </c>
      <c r="AL747" s="5" t="n">
        <v>0</v>
      </c>
      <c r="AM747" s="4" t="s">
        <v>78</v>
      </c>
      <c r="AN747" s="0" t="n">
        <v>0</v>
      </c>
      <c r="AO747" s="0" t="n">
        <v>1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  <c r="AU747" s="0" t="n">
        <v>6</v>
      </c>
      <c r="AV747" s="0" t="n">
        <v>0</v>
      </c>
      <c r="AW747" s="0" t="n">
        <v>0</v>
      </c>
      <c r="AX747" s="0" t="n">
        <v>0</v>
      </c>
      <c r="AY747" s="0" t="n">
        <v>0</v>
      </c>
      <c r="AZ747" s="0" t="n">
        <v>0</v>
      </c>
      <c r="BA747" s="0" t="n">
        <v>0</v>
      </c>
      <c r="BB747" s="0" t="n">
        <v>0</v>
      </c>
      <c r="BC747" s="0" t="n">
        <v>0</v>
      </c>
      <c r="BD747" s="0" t="n">
        <v>0</v>
      </c>
      <c r="BE747" s="0" t="n">
        <v>0</v>
      </c>
      <c r="BF747" s="0" t="n">
        <v>0</v>
      </c>
      <c r="BG747" s="0" t="n">
        <v>0</v>
      </c>
      <c r="BH747" s="0" t="n">
        <v>0</v>
      </c>
      <c r="BI747" s="0" t="n">
        <v>0</v>
      </c>
      <c r="BJ747" s="0" t="n">
        <v>0</v>
      </c>
      <c r="BK747" s="0" t="n">
        <v>0</v>
      </c>
      <c r="BM747" s="6" t="n">
        <f aca="false">IFERROR(VALUE(F747),"")</f>
        <v>413.16</v>
      </c>
      <c r="BN747" s="6" t="n">
        <f aca="false">IF(R747="-","",IFERROR(VALUE(LEFT(Q747,LEN(Q747)-2)),""))</f>
        <v>152.99</v>
      </c>
      <c r="BO747" s="6" t="n">
        <f aca="false">IF(R747="-","",IFERROR(VALUE(LEFT(R747,LEN(R747)-5)),""))</f>
        <v>2.7</v>
      </c>
      <c r="BP747" s="6" t="n">
        <f aca="false">IF(R747="-","",IFERROR(VALUE(F747),""))</f>
        <v>413.16</v>
      </c>
      <c r="BQ747" s="4" t="n">
        <f aca="false">IF(R747="-",1,0)</f>
        <v>0</v>
      </c>
    </row>
    <row r="748" customFormat="false" ht="15" hidden="false" customHeight="false" outlineLevel="0" collapsed="false">
      <c r="A748" s="0" t="s">
        <v>3017</v>
      </c>
      <c r="B748" s="0" t="s">
        <v>3018</v>
      </c>
      <c r="C748" s="0" t="s">
        <v>70</v>
      </c>
      <c r="D748" s="0" t="s">
        <v>3040</v>
      </c>
      <c r="E748" s="3" t="n">
        <v>46278</v>
      </c>
      <c r="F748" s="4" t="s">
        <v>3041</v>
      </c>
      <c r="G748" s="5" t="n">
        <v>0.550115740740741</v>
      </c>
      <c r="H748" s="5" t="n">
        <v>0.507430555555556</v>
      </c>
      <c r="I748" s="5" t="n">
        <v>0.00175925925925926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2</v>
      </c>
      <c r="O748" s="5" t="n">
        <v>0</v>
      </c>
      <c r="P748" s="5" t="n">
        <v>0</v>
      </c>
      <c r="Q748" s="4" t="s">
        <v>3042</v>
      </c>
      <c r="R748" s="4" t="s">
        <v>1375</v>
      </c>
      <c r="S748" s="5" t="n">
        <v>0.00104166666666667</v>
      </c>
      <c r="T748" s="5" t="n">
        <v>0.232060185185185</v>
      </c>
      <c r="U748" s="5" t="n">
        <v>0.268402777777778</v>
      </c>
      <c r="V748" s="5" t="n">
        <v>0.00729166666666667</v>
      </c>
      <c r="W748" s="5" t="n">
        <v>0</v>
      </c>
      <c r="X748" s="5" t="n">
        <v>0</v>
      </c>
      <c r="Y748" s="5" t="n">
        <v>0</v>
      </c>
      <c r="Z748" s="0" t="n">
        <v>0</v>
      </c>
      <c r="AA748" s="0" t="n">
        <v>0</v>
      </c>
      <c r="AB748" s="0" t="n">
        <v>0</v>
      </c>
      <c r="AC748" s="4" t="s">
        <v>228</v>
      </c>
      <c r="AD748" s="4" t="s">
        <v>74</v>
      </c>
      <c r="AE748" s="4" t="s">
        <v>3039</v>
      </c>
      <c r="AF748" s="4" t="s">
        <v>3043</v>
      </c>
      <c r="AG748" s="5" t="n">
        <v>0.459456018518519</v>
      </c>
      <c r="AH748" s="5" t="n">
        <v>0.218946759259259</v>
      </c>
      <c r="AI748" s="5" t="n">
        <v>0</v>
      </c>
      <c r="AJ748" s="5" t="n">
        <v>0</v>
      </c>
      <c r="AK748" s="5" t="n">
        <v>0</v>
      </c>
      <c r="AL748" s="5" t="n">
        <v>0</v>
      </c>
      <c r="AM748" s="4" t="s">
        <v>78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  <c r="AU748" s="0" t="n">
        <v>3</v>
      </c>
      <c r="AV748" s="0" t="n">
        <v>0</v>
      </c>
      <c r="AW748" s="0" t="n">
        <v>0</v>
      </c>
      <c r="AX748" s="0" t="n">
        <v>0</v>
      </c>
      <c r="AY748" s="0" t="n">
        <v>0</v>
      </c>
      <c r="AZ748" s="0" t="n">
        <v>0</v>
      </c>
      <c r="BA748" s="0" t="n">
        <v>0</v>
      </c>
      <c r="BB748" s="0" t="n">
        <v>0</v>
      </c>
      <c r="BC748" s="0" t="n">
        <v>0</v>
      </c>
      <c r="BD748" s="0" t="n">
        <v>0</v>
      </c>
      <c r="BE748" s="0" t="n">
        <v>0</v>
      </c>
      <c r="BF748" s="0" t="n">
        <v>0</v>
      </c>
      <c r="BG748" s="0" t="n">
        <v>0</v>
      </c>
      <c r="BH748" s="0" t="n">
        <v>0</v>
      </c>
      <c r="BI748" s="0" t="n">
        <v>0</v>
      </c>
      <c r="BJ748" s="0" t="n">
        <v>0</v>
      </c>
      <c r="BK748" s="0" t="n">
        <v>0</v>
      </c>
      <c r="BM748" s="6" t="n">
        <f aca="false">IFERROR(VALUE(F748),"")</f>
        <v>414.55</v>
      </c>
      <c r="BN748" s="6" t="n">
        <f aca="false">IF(R748="-","",IFERROR(VALUE(LEFT(Q748,LEN(Q748)-2)),""))</f>
        <v>150</v>
      </c>
      <c r="BO748" s="6" t="n">
        <f aca="false">IF(R748="-","",IFERROR(VALUE(LEFT(R748,LEN(R748)-5)),""))</f>
        <v>2.76</v>
      </c>
      <c r="BP748" s="6" t="n">
        <f aca="false">IF(R748="-","",IFERROR(VALUE(F748),""))</f>
        <v>414.55</v>
      </c>
      <c r="BQ748" s="4" t="n">
        <f aca="false">IF(R748="-",1,0)</f>
        <v>0</v>
      </c>
    </row>
    <row r="749" customFormat="false" ht="15" hidden="false" customHeight="false" outlineLevel="0" collapsed="false">
      <c r="A749" s="0" t="s">
        <v>3017</v>
      </c>
      <c r="B749" s="0" t="s">
        <v>3018</v>
      </c>
      <c r="C749" s="0" t="s">
        <v>70</v>
      </c>
      <c r="D749" s="0" t="s">
        <v>3044</v>
      </c>
      <c r="E749" s="3" t="n">
        <v>46279</v>
      </c>
      <c r="F749" s="4" t="s">
        <v>3045</v>
      </c>
      <c r="G749" s="5" t="n">
        <v>0.320775462962963</v>
      </c>
      <c r="H749" s="5" t="n">
        <v>0.261516203703704</v>
      </c>
      <c r="I749" s="5" t="n">
        <v>0.000868055555555556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3</v>
      </c>
      <c r="O749" s="5" t="n">
        <v>0</v>
      </c>
      <c r="P749" s="5" t="n">
        <v>0</v>
      </c>
      <c r="Q749" s="4" t="s">
        <v>2586</v>
      </c>
      <c r="R749" s="4" t="s">
        <v>1362</v>
      </c>
      <c r="S749" s="5" t="n">
        <v>0.000462962962962963</v>
      </c>
      <c r="T749" s="5" t="n">
        <v>0.154282407407407</v>
      </c>
      <c r="U749" s="5" t="n">
        <v>0.125</v>
      </c>
      <c r="V749" s="5" t="n">
        <v>0.00578703703703704</v>
      </c>
      <c r="W749" s="5" t="n">
        <v>0</v>
      </c>
      <c r="X749" s="5" t="n">
        <v>0</v>
      </c>
      <c r="Y749" s="5" t="n">
        <v>0</v>
      </c>
      <c r="Z749" s="0" t="n">
        <v>0</v>
      </c>
      <c r="AA749" s="0" t="n">
        <v>0</v>
      </c>
      <c r="AB749" s="0" t="n">
        <v>0</v>
      </c>
      <c r="AC749" s="4" t="s">
        <v>81</v>
      </c>
      <c r="AD749" s="4" t="s">
        <v>74</v>
      </c>
      <c r="AE749" s="4" t="s">
        <v>3043</v>
      </c>
      <c r="AF749" s="4" t="s">
        <v>3046</v>
      </c>
      <c r="AG749" s="5" t="n">
        <v>0.247916666666667</v>
      </c>
      <c r="AH749" s="5" t="n">
        <v>0.246134259259259</v>
      </c>
      <c r="AI749" s="5" t="n">
        <v>0</v>
      </c>
      <c r="AJ749" s="5" t="n">
        <v>0</v>
      </c>
      <c r="AK749" s="5" t="n">
        <v>0</v>
      </c>
      <c r="AL749" s="5" t="n">
        <v>0</v>
      </c>
      <c r="AM749" s="4" t="s">
        <v>78</v>
      </c>
      <c r="AN749" s="0" t="n">
        <v>0</v>
      </c>
      <c r="AO749" s="0" t="n">
        <v>1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  <c r="BA749" s="0" t="n">
        <v>0</v>
      </c>
      <c r="BB749" s="0" t="n">
        <v>0</v>
      </c>
      <c r="BC749" s="0" t="n">
        <v>0</v>
      </c>
      <c r="BD749" s="0" t="n">
        <v>0</v>
      </c>
      <c r="BE749" s="0" t="n">
        <v>0</v>
      </c>
      <c r="BF749" s="0" t="n">
        <v>0</v>
      </c>
      <c r="BG749" s="0" t="n">
        <v>0</v>
      </c>
      <c r="BH749" s="0" t="n">
        <v>0</v>
      </c>
      <c r="BI749" s="0" t="n">
        <v>0</v>
      </c>
      <c r="BJ749" s="0" t="n">
        <v>0</v>
      </c>
      <c r="BK749" s="0" t="n">
        <v>0</v>
      </c>
      <c r="BM749" s="6" t="n">
        <f aca="false">IFERROR(VALUE(F749),"")</f>
        <v>208.81</v>
      </c>
      <c r="BN749" s="6" t="n">
        <f aca="false">IF(R749="-","",IFERROR(VALUE(LEFT(Q749,LEN(Q749)-2)),""))</f>
        <v>84</v>
      </c>
      <c r="BO749" s="6" t="n">
        <f aca="false">IF(R749="-","",IFERROR(VALUE(LEFT(R749,LEN(R749)-5)),""))</f>
        <v>2.49</v>
      </c>
      <c r="BP749" s="6" t="n">
        <f aca="false">IF(R749="-","",IFERROR(VALUE(F749),""))</f>
        <v>208.81</v>
      </c>
      <c r="BQ749" s="4" t="n">
        <f aca="false">IF(R749="-",1,0)</f>
        <v>0</v>
      </c>
    </row>
    <row r="750" customFormat="false" ht="15" hidden="false" customHeight="false" outlineLevel="0" collapsed="false">
      <c r="A750" s="0" t="s">
        <v>3047</v>
      </c>
      <c r="B750" s="0" t="s">
        <v>3048</v>
      </c>
      <c r="C750" s="0" t="s">
        <v>70</v>
      </c>
      <c r="D750" s="0" t="s">
        <v>3049</v>
      </c>
      <c r="E750" s="3" t="n">
        <v>46273</v>
      </c>
      <c r="F750" s="4" t="s">
        <v>95</v>
      </c>
      <c r="G750" s="5" t="n">
        <v>0.43150462962963</v>
      </c>
      <c r="H750" s="5" t="n">
        <v>0.391458333333333</v>
      </c>
      <c r="I750" s="5" t="n">
        <v>0.00037037037037037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6</v>
      </c>
      <c r="O750" s="5" t="n">
        <v>0</v>
      </c>
      <c r="P750" s="5" t="n">
        <v>0</v>
      </c>
      <c r="Q750" s="4" t="s">
        <v>73</v>
      </c>
      <c r="R750" s="4" t="s">
        <v>73</v>
      </c>
      <c r="S750" s="5" t="n">
        <v>0.000347222222222222</v>
      </c>
      <c r="T750" s="5" t="n">
        <v>0.185185185185185</v>
      </c>
      <c r="U750" s="5" t="n">
        <v>0.190046296296296</v>
      </c>
      <c r="V750" s="5" t="n">
        <v>0.0274305555555556</v>
      </c>
      <c r="W750" s="5" t="n">
        <v>0</v>
      </c>
      <c r="X750" s="5" t="n">
        <v>0</v>
      </c>
      <c r="Y750" s="5" t="n">
        <v>0</v>
      </c>
      <c r="Z750" s="0" t="n">
        <v>0</v>
      </c>
      <c r="AA750" s="0" t="n">
        <v>0</v>
      </c>
      <c r="AB750" s="0" t="n">
        <v>0</v>
      </c>
      <c r="AC750" s="4" t="s">
        <v>421</v>
      </c>
      <c r="AD750" s="4" t="s">
        <v>228</v>
      </c>
      <c r="AE750" s="4" t="s">
        <v>3050</v>
      </c>
      <c r="AF750" s="4" t="s">
        <v>3050</v>
      </c>
      <c r="AG750" s="5" t="n">
        <v>0.362581018518519</v>
      </c>
      <c r="AH750" s="5" t="n">
        <v>0.114189814814815</v>
      </c>
      <c r="AI750" s="5" t="n">
        <v>0</v>
      </c>
      <c r="AJ750" s="5" t="n">
        <v>0</v>
      </c>
      <c r="AK750" s="5" t="n">
        <v>0</v>
      </c>
      <c r="AL750" s="5" t="n">
        <v>0</v>
      </c>
      <c r="AM750" s="4" t="s">
        <v>78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  <c r="AU750" s="0" t="n">
        <v>6</v>
      </c>
      <c r="AV750" s="0" t="n">
        <v>0</v>
      </c>
      <c r="AW750" s="0" t="n">
        <v>0</v>
      </c>
      <c r="AX750" s="0" t="n">
        <v>0</v>
      </c>
      <c r="AY750" s="0" t="n">
        <v>0</v>
      </c>
      <c r="AZ750" s="0" t="n">
        <v>0</v>
      </c>
      <c r="BA750" s="0" t="n">
        <v>0</v>
      </c>
      <c r="BB750" s="0" t="n">
        <v>0</v>
      </c>
      <c r="BC750" s="0" t="n">
        <v>0</v>
      </c>
      <c r="BD750" s="0" t="n">
        <v>0</v>
      </c>
      <c r="BE750" s="0" t="n">
        <v>0</v>
      </c>
      <c r="BF750" s="0" t="n">
        <v>0</v>
      </c>
      <c r="BG750" s="0" t="n">
        <v>0</v>
      </c>
      <c r="BH750" s="0" t="n">
        <v>0</v>
      </c>
      <c r="BI750" s="0" t="n">
        <v>0</v>
      </c>
      <c r="BJ750" s="0" t="n">
        <v>0</v>
      </c>
      <c r="BK750" s="0" t="n">
        <v>0</v>
      </c>
      <c r="BM750" s="6" t="n">
        <f aca="false">IFERROR(VALUE(F750),"")</f>
        <v>0</v>
      </c>
      <c r="BN750" s="6" t="str">
        <f aca="false">IF(R750="-","",IFERROR(VALUE(LEFT(Q750,LEN(Q750)-2)),""))</f>
        <v/>
      </c>
      <c r="BO750" s="6" t="str">
        <f aca="false">IF(R750="-","",IFERROR(VALUE(LEFT(R750,LEN(R750)-5)),""))</f>
        <v/>
      </c>
      <c r="BP750" s="6" t="str">
        <f aca="false">IF(R750="-","",IFERROR(VALUE(F750),""))</f>
        <v/>
      </c>
      <c r="BQ750" s="4" t="n">
        <f aca="false">IF(R750="-",1,0)</f>
        <v>1</v>
      </c>
    </row>
    <row r="751" customFormat="false" ht="15" hidden="false" customHeight="false" outlineLevel="0" collapsed="false">
      <c r="A751" s="0" t="s">
        <v>3047</v>
      </c>
      <c r="B751" s="0" t="s">
        <v>3048</v>
      </c>
      <c r="C751" s="0" t="s">
        <v>70</v>
      </c>
      <c r="D751" s="0" t="s">
        <v>3051</v>
      </c>
      <c r="E751" s="3" t="n">
        <v>46274</v>
      </c>
      <c r="F751" s="4" t="s">
        <v>95</v>
      </c>
      <c r="G751" s="5" t="n">
        <v>0.44931712962963</v>
      </c>
      <c r="H751" s="5" t="n">
        <v>0.447268518518519</v>
      </c>
      <c r="I751" s="5" t="n">
        <v>0.000104166666666667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5" t="n">
        <v>0</v>
      </c>
      <c r="P751" s="5" t="n">
        <v>0</v>
      </c>
      <c r="Q751" s="4" t="s">
        <v>73</v>
      </c>
      <c r="R751" s="4" t="s">
        <v>73</v>
      </c>
      <c r="S751" s="5" t="n">
        <v>0.000115740740740741</v>
      </c>
      <c r="T751" s="5" t="n">
        <v>0.198842592592593</v>
      </c>
      <c r="U751" s="5" t="n">
        <v>0.211111111111111</v>
      </c>
      <c r="V751" s="5" t="n">
        <v>0.0179398148148148</v>
      </c>
      <c r="W751" s="5" t="n">
        <v>0</v>
      </c>
      <c r="X751" s="5" t="n">
        <v>0</v>
      </c>
      <c r="Y751" s="5" t="n">
        <v>0</v>
      </c>
      <c r="Z751" s="0" t="n">
        <v>0</v>
      </c>
      <c r="AA751" s="0" t="n">
        <v>0</v>
      </c>
      <c r="AB751" s="0" t="n">
        <v>0</v>
      </c>
      <c r="AC751" s="4" t="s">
        <v>75</v>
      </c>
      <c r="AD751" s="4" t="s">
        <v>421</v>
      </c>
      <c r="AE751" s="4" t="s">
        <v>3050</v>
      </c>
      <c r="AF751" s="4" t="s">
        <v>3050</v>
      </c>
      <c r="AG751" s="5" t="n">
        <v>0.388854166666667</v>
      </c>
      <c r="AH751" s="5" t="n">
        <v>0.121944444444444</v>
      </c>
      <c r="AI751" s="5" t="n">
        <v>0</v>
      </c>
      <c r="AJ751" s="5" t="n">
        <v>0</v>
      </c>
      <c r="AK751" s="5" t="n">
        <v>0</v>
      </c>
      <c r="AL751" s="5" t="n">
        <v>0</v>
      </c>
      <c r="AM751" s="4" t="s">
        <v>78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  <c r="AU751" s="0" t="n">
        <v>0</v>
      </c>
      <c r="AV751" s="0" t="n">
        <v>0</v>
      </c>
      <c r="AW751" s="0" t="n">
        <v>0</v>
      </c>
      <c r="AX751" s="0" t="n">
        <v>0</v>
      </c>
      <c r="AY751" s="0" t="n">
        <v>0</v>
      </c>
      <c r="AZ751" s="0" t="n">
        <v>0</v>
      </c>
      <c r="BA751" s="0" t="n">
        <v>0</v>
      </c>
      <c r="BB751" s="0" t="n">
        <v>0</v>
      </c>
      <c r="BC751" s="0" t="n">
        <v>0</v>
      </c>
      <c r="BD751" s="0" t="n">
        <v>0</v>
      </c>
      <c r="BE751" s="0" t="n">
        <v>0</v>
      </c>
      <c r="BF751" s="0" t="n">
        <v>0</v>
      </c>
      <c r="BG751" s="0" t="n">
        <v>0</v>
      </c>
      <c r="BH751" s="0" t="n">
        <v>0</v>
      </c>
      <c r="BI751" s="0" t="n">
        <v>0</v>
      </c>
      <c r="BJ751" s="0" t="n">
        <v>0</v>
      </c>
      <c r="BK751" s="0" t="n">
        <v>0</v>
      </c>
      <c r="BM751" s="6" t="n">
        <f aca="false">IFERROR(VALUE(F751),"")</f>
        <v>0</v>
      </c>
      <c r="BN751" s="6" t="str">
        <f aca="false">IF(R751="-","",IFERROR(VALUE(LEFT(Q751,LEN(Q751)-2)),""))</f>
        <v/>
      </c>
      <c r="BO751" s="6" t="str">
        <f aca="false">IF(R751="-","",IFERROR(VALUE(LEFT(R751,LEN(R751)-5)),""))</f>
        <v/>
      </c>
      <c r="BP751" s="6" t="str">
        <f aca="false">IF(R751="-","",IFERROR(VALUE(F751),""))</f>
        <v/>
      </c>
      <c r="BQ751" s="4" t="n">
        <f aca="false">IF(R751="-",1,0)</f>
        <v>1</v>
      </c>
    </row>
    <row r="752" customFormat="false" ht="15" hidden="false" customHeight="false" outlineLevel="0" collapsed="false">
      <c r="A752" s="0" t="s">
        <v>3047</v>
      </c>
      <c r="B752" s="0" t="s">
        <v>3048</v>
      </c>
      <c r="C752" s="0" t="s">
        <v>70</v>
      </c>
      <c r="D752" s="0" t="s">
        <v>3052</v>
      </c>
      <c r="E752" s="3" t="n">
        <v>46275</v>
      </c>
      <c r="F752" s="4" t="s">
        <v>95</v>
      </c>
      <c r="G752" s="5" t="n">
        <v>0.485439814814815</v>
      </c>
      <c r="H752" s="5" t="n">
        <v>0.573530092592593</v>
      </c>
      <c r="I752" s="5" t="n">
        <v>0.000497685185185185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2</v>
      </c>
      <c r="O752" s="5" t="n">
        <v>0</v>
      </c>
      <c r="P752" s="5" t="n">
        <v>0</v>
      </c>
      <c r="Q752" s="4" t="s">
        <v>73</v>
      </c>
      <c r="R752" s="4" t="s">
        <v>73</v>
      </c>
      <c r="S752" s="5" t="n">
        <v>0.000462962962962963</v>
      </c>
      <c r="T752" s="5" t="n">
        <v>0.258680555555556</v>
      </c>
      <c r="U752" s="5" t="n">
        <v>0.275810185185185</v>
      </c>
      <c r="V752" s="5" t="n">
        <v>0.0113425925925926</v>
      </c>
      <c r="W752" s="5" t="n">
        <v>0</v>
      </c>
      <c r="X752" s="5" t="n">
        <v>0</v>
      </c>
      <c r="Y752" s="5" t="n">
        <v>0</v>
      </c>
      <c r="Z752" s="0" t="n">
        <v>0</v>
      </c>
      <c r="AA752" s="0" t="n">
        <v>0</v>
      </c>
      <c r="AB752" s="0" t="n">
        <v>0</v>
      </c>
      <c r="AC752" s="4" t="s">
        <v>421</v>
      </c>
      <c r="AD752" s="4" t="s">
        <v>421</v>
      </c>
      <c r="AE752" s="4" t="s">
        <v>3050</v>
      </c>
      <c r="AF752" s="4" t="s">
        <v>3050</v>
      </c>
      <c r="AG752" s="5" t="n">
        <v>0.497002314814815</v>
      </c>
      <c r="AH752" s="5" t="n">
        <v>0.138946759259259</v>
      </c>
      <c r="AI752" s="5" t="n">
        <v>0</v>
      </c>
      <c r="AJ752" s="5" t="n">
        <v>0</v>
      </c>
      <c r="AK752" s="5" t="n">
        <v>0</v>
      </c>
      <c r="AL752" s="5" t="n">
        <v>0</v>
      </c>
      <c r="AM752" s="4" t="s">
        <v>78</v>
      </c>
      <c r="AN752" s="0" t="n">
        <v>0</v>
      </c>
      <c r="AO752" s="0" t="n">
        <v>0</v>
      </c>
      <c r="AP752" s="0" t="n">
        <v>0</v>
      </c>
      <c r="AQ752" s="0" t="n">
        <v>0</v>
      </c>
      <c r="AR752" s="0" t="n">
        <v>0</v>
      </c>
      <c r="AS752" s="0" t="n">
        <v>0</v>
      </c>
      <c r="AT752" s="0" t="n">
        <v>0</v>
      </c>
      <c r="AU752" s="0" t="n">
        <v>2</v>
      </c>
      <c r="AV752" s="0" t="n">
        <v>0</v>
      </c>
      <c r="AW752" s="0" t="n">
        <v>0</v>
      </c>
      <c r="AX752" s="0" t="n">
        <v>0</v>
      </c>
      <c r="AY752" s="0" t="n">
        <v>0</v>
      </c>
      <c r="AZ752" s="0" t="n">
        <v>0</v>
      </c>
      <c r="BA752" s="0" t="n">
        <v>0</v>
      </c>
      <c r="BB752" s="0" t="n">
        <v>0</v>
      </c>
      <c r="BC752" s="0" t="n">
        <v>0</v>
      </c>
      <c r="BD752" s="0" t="n">
        <v>0</v>
      </c>
      <c r="BE752" s="0" t="n">
        <v>0</v>
      </c>
      <c r="BF752" s="0" t="n">
        <v>0</v>
      </c>
      <c r="BG752" s="0" t="n">
        <v>0</v>
      </c>
      <c r="BH752" s="0" t="n">
        <v>0</v>
      </c>
      <c r="BI752" s="0" t="n">
        <v>0</v>
      </c>
      <c r="BJ752" s="0" t="n">
        <v>0</v>
      </c>
      <c r="BK752" s="0" t="n">
        <v>0</v>
      </c>
      <c r="BM752" s="6" t="n">
        <f aca="false">IFERROR(VALUE(F752),"")</f>
        <v>0</v>
      </c>
      <c r="BN752" s="6" t="str">
        <f aca="false">IF(R752="-","",IFERROR(VALUE(LEFT(Q752,LEN(Q752)-2)),""))</f>
        <v/>
      </c>
      <c r="BO752" s="6" t="str">
        <f aca="false">IF(R752="-","",IFERROR(VALUE(LEFT(R752,LEN(R752)-5)),""))</f>
        <v/>
      </c>
      <c r="BP752" s="6" t="str">
        <f aca="false">IF(R752="-","",IFERROR(VALUE(F752),""))</f>
        <v/>
      </c>
      <c r="BQ752" s="4" t="n">
        <f aca="false">IF(R752="-",1,0)</f>
        <v>1</v>
      </c>
    </row>
    <row r="753" customFormat="false" ht="15" hidden="false" customHeight="false" outlineLevel="0" collapsed="false">
      <c r="A753" s="0" t="s">
        <v>3047</v>
      </c>
      <c r="B753" s="0" t="s">
        <v>3048</v>
      </c>
      <c r="C753" s="0" t="s">
        <v>70</v>
      </c>
      <c r="D753" s="0" t="s">
        <v>3053</v>
      </c>
      <c r="E753" s="3" t="n">
        <v>46276</v>
      </c>
      <c r="F753" s="4" t="s">
        <v>95</v>
      </c>
      <c r="G753" s="5" t="n">
        <v>0.441909722222222</v>
      </c>
      <c r="H753" s="5" t="n">
        <v>0.124861111111111</v>
      </c>
      <c r="I753" s="5" t="n">
        <v>0.00150462962962963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1</v>
      </c>
      <c r="O753" s="5" t="n">
        <v>0</v>
      </c>
      <c r="P753" s="5" t="n">
        <v>0</v>
      </c>
      <c r="Q753" s="4" t="s">
        <v>73</v>
      </c>
      <c r="R753" s="4" t="s">
        <v>73</v>
      </c>
      <c r="S753" s="5" t="n">
        <v>0.000115740740740741</v>
      </c>
      <c r="T753" s="5" t="n">
        <v>0.189814814814815</v>
      </c>
      <c r="U753" s="5" t="n">
        <v>0.17787037037037</v>
      </c>
      <c r="V753" s="5" t="n">
        <v>0.0428472222222222</v>
      </c>
      <c r="W753" s="5" t="n">
        <v>0.00109953703703704</v>
      </c>
      <c r="X753" s="5" t="n">
        <v>0</v>
      </c>
      <c r="Y753" s="5" t="n">
        <v>0.000636574074074074</v>
      </c>
      <c r="Z753" s="0" t="n">
        <v>0</v>
      </c>
      <c r="AA753" s="0" t="n">
        <v>0</v>
      </c>
      <c r="AB753" s="0" t="n">
        <v>0</v>
      </c>
      <c r="AC753" s="4" t="s">
        <v>421</v>
      </c>
      <c r="AD753" s="4" t="s">
        <v>75</v>
      </c>
      <c r="AE753" s="4" t="s">
        <v>3050</v>
      </c>
      <c r="AF753" s="4" t="s">
        <v>3050</v>
      </c>
      <c r="AG753" s="5" t="n">
        <v>0.365914351851852</v>
      </c>
      <c r="AH753" s="5" t="n">
        <v>0.118784722222222</v>
      </c>
      <c r="AI753" s="5" t="n">
        <v>0</v>
      </c>
      <c r="AJ753" s="5" t="n">
        <v>0</v>
      </c>
      <c r="AK753" s="5" t="n">
        <v>0</v>
      </c>
      <c r="AL753" s="5" t="n">
        <v>0</v>
      </c>
      <c r="AM753" s="4" t="s">
        <v>78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  <c r="AU753" s="0" t="n">
        <v>10</v>
      </c>
      <c r="AV753" s="0" t="n">
        <v>0</v>
      </c>
      <c r="AW753" s="0" t="n">
        <v>0</v>
      </c>
      <c r="AX753" s="0" t="n">
        <v>0</v>
      </c>
      <c r="AY753" s="0" t="n">
        <v>0</v>
      </c>
      <c r="AZ753" s="0" t="n">
        <v>0</v>
      </c>
      <c r="BA753" s="0" t="n">
        <v>0</v>
      </c>
      <c r="BB753" s="0" t="n">
        <v>0</v>
      </c>
      <c r="BC753" s="0" t="n">
        <v>0</v>
      </c>
      <c r="BD753" s="0" t="n">
        <v>0</v>
      </c>
      <c r="BE753" s="0" t="n">
        <v>0</v>
      </c>
      <c r="BF753" s="0" t="n">
        <v>0</v>
      </c>
      <c r="BG753" s="0" t="n">
        <v>0</v>
      </c>
      <c r="BH753" s="0" t="n">
        <v>0</v>
      </c>
      <c r="BI753" s="0" t="n">
        <v>0</v>
      </c>
      <c r="BJ753" s="0" t="n">
        <v>0</v>
      </c>
      <c r="BK753" s="0" t="n">
        <v>0</v>
      </c>
      <c r="BM753" s="6" t="n">
        <f aca="false">IFERROR(VALUE(F753),"")</f>
        <v>0</v>
      </c>
      <c r="BN753" s="6" t="str">
        <f aca="false">IF(R753="-","",IFERROR(VALUE(LEFT(Q753,LEN(Q753)-2)),""))</f>
        <v/>
      </c>
      <c r="BO753" s="6" t="str">
        <f aca="false">IF(R753="-","",IFERROR(VALUE(LEFT(R753,LEN(R753)-5)),""))</f>
        <v/>
      </c>
      <c r="BP753" s="6" t="str">
        <f aca="false">IF(R753="-","",IFERROR(VALUE(F753),""))</f>
        <v/>
      </c>
      <c r="BQ753" s="4" t="n">
        <f aca="false">IF(R753="-",1,0)</f>
        <v>1</v>
      </c>
    </row>
    <row r="754" customFormat="false" ht="15" hidden="false" customHeight="false" outlineLevel="0" collapsed="false">
      <c r="A754" s="0" t="s">
        <v>3047</v>
      </c>
      <c r="B754" s="0" t="s">
        <v>3048</v>
      </c>
      <c r="C754" s="0" t="s">
        <v>70</v>
      </c>
      <c r="D754" s="0" t="s">
        <v>3054</v>
      </c>
      <c r="E754" s="3" t="n">
        <v>46277</v>
      </c>
      <c r="F754" s="4" t="s">
        <v>95</v>
      </c>
      <c r="G754" s="5" t="n">
        <v>0.442685185185185</v>
      </c>
      <c r="H754" s="5" t="n">
        <v>0.432789351851852</v>
      </c>
      <c r="I754" s="5" t="n">
        <v>0.000393518518518519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5" t="n">
        <v>0</v>
      </c>
      <c r="P754" s="5" t="n">
        <v>0</v>
      </c>
      <c r="Q754" s="4" t="s">
        <v>73</v>
      </c>
      <c r="R754" s="4" t="s">
        <v>73</v>
      </c>
      <c r="S754" s="5" t="n">
        <v>0.000810185185185185</v>
      </c>
      <c r="T754" s="5" t="n">
        <v>0.201967592592593</v>
      </c>
      <c r="U754" s="5" t="n">
        <v>0.215277777777778</v>
      </c>
      <c r="V754" s="5" t="n">
        <v>0.0141203703703704</v>
      </c>
      <c r="W754" s="5" t="n">
        <v>0</v>
      </c>
      <c r="X754" s="5" t="n">
        <v>0</v>
      </c>
      <c r="Y754" s="5" t="n">
        <v>0</v>
      </c>
      <c r="Z754" s="0" t="n">
        <v>0</v>
      </c>
      <c r="AA754" s="0" t="n">
        <v>0</v>
      </c>
      <c r="AB754" s="0" t="n">
        <v>0</v>
      </c>
      <c r="AC754" s="4" t="s">
        <v>75</v>
      </c>
      <c r="AD754" s="4" t="s">
        <v>421</v>
      </c>
      <c r="AE754" s="4" t="s">
        <v>3050</v>
      </c>
      <c r="AF754" s="4" t="s">
        <v>3050</v>
      </c>
      <c r="AG754" s="5" t="n">
        <v>0.380266203703704</v>
      </c>
      <c r="AH754" s="5" t="n">
        <v>0.148530092592593</v>
      </c>
      <c r="AI754" s="5" t="n">
        <v>0</v>
      </c>
      <c r="AJ754" s="5" t="n">
        <v>0</v>
      </c>
      <c r="AK754" s="5" t="n">
        <v>0</v>
      </c>
      <c r="AL754" s="5" t="n">
        <v>0</v>
      </c>
      <c r="AM754" s="4" t="s">
        <v>78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  <c r="AU754" s="0" t="n">
        <v>7</v>
      </c>
      <c r="AV754" s="0" t="n">
        <v>0</v>
      </c>
      <c r="AW754" s="0" t="n">
        <v>0</v>
      </c>
      <c r="AX754" s="0" t="n">
        <v>0</v>
      </c>
      <c r="AY754" s="0" t="n">
        <v>0</v>
      </c>
      <c r="AZ754" s="0" t="n">
        <v>0</v>
      </c>
      <c r="BA754" s="0" t="n">
        <v>0</v>
      </c>
      <c r="BB754" s="0" t="n">
        <v>0</v>
      </c>
      <c r="BC754" s="0" t="n">
        <v>0</v>
      </c>
      <c r="BD754" s="0" t="n">
        <v>0</v>
      </c>
      <c r="BE754" s="0" t="n">
        <v>0</v>
      </c>
      <c r="BF754" s="0" t="n">
        <v>0</v>
      </c>
      <c r="BG754" s="0" t="n">
        <v>0</v>
      </c>
      <c r="BH754" s="0" t="n">
        <v>0</v>
      </c>
      <c r="BI754" s="0" t="n">
        <v>0</v>
      </c>
      <c r="BJ754" s="0" t="n">
        <v>0</v>
      </c>
      <c r="BK754" s="0" t="n">
        <v>0</v>
      </c>
      <c r="BM754" s="6" t="n">
        <f aca="false">IFERROR(VALUE(F754),"")</f>
        <v>0</v>
      </c>
      <c r="BN754" s="6" t="str">
        <f aca="false">IF(R754="-","",IFERROR(VALUE(LEFT(Q754,LEN(Q754)-2)),""))</f>
        <v/>
      </c>
      <c r="BO754" s="6" t="str">
        <f aca="false">IF(R754="-","",IFERROR(VALUE(LEFT(R754,LEN(R754)-5)),""))</f>
        <v/>
      </c>
      <c r="BP754" s="6" t="str">
        <f aca="false">IF(R754="-","",IFERROR(VALUE(F754),""))</f>
        <v/>
      </c>
      <c r="BQ754" s="4" t="n">
        <f aca="false">IF(R754="-",1,0)</f>
        <v>1</v>
      </c>
    </row>
    <row r="755" customFormat="false" ht="15" hidden="false" customHeight="false" outlineLevel="0" collapsed="false">
      <c r="A755" s="0" t="s">
        <v>3047</v>
      </c>
      <c r="B755" s="0" t="s">
        <v>3048</v>
      </c>
      <c r="C755" s="0" t="s">
        <v>70</v>
      </c>
      <c r="E755" s="3" t="n">
        <v>46278</v>
      </c>
      <c r="F755" s="4" t="s">
        <v>95</v>
      </c>
      <c r="G755" s="5" t="n">
        <v>0.0261805555555556</v>
      </c>
      <c r="H755" s="5" t="n">
        <v>0</v>
      </c>
      <c r="I755" s="5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5" t="n">
        <v>0</v>
      </c>
      <c r="P755" s="5" t="n">
        <v>0</v>
      </c>
      <c r="Q755" s="4" t="s">
        <v>73</v>
      </c>
      <c r="R755" s="4" t="s">
        <v>73</v>
      </c>
      <c r="S755" s="5" t="n">
        <v>0.000115740740740741</v>
      </c>
      <c r="T755" s="5" t="n">
        <v>0.0123842592592593</v>
      </c>
      <c r="U755" s="5" t="n">
        <v>0.000231481481481482</v>
      </c>
      <c r="V755" s="5" t="n">
        <v>0</v>
      </c>
      <c r="W755" s="5" t="n">
        <v>0</v>
      </c>
      <c r="X755" s="5" t="n">
        <v>0</v>
      </c>
      <c r="Y755" s="5" t="n">
        <v>0</v>
      </c>
      <c r="Z755" s="0" t="n">
        <v>0</v>
      </c>
      <c r="AA755" s="0" t="n">
        <v>0</v>
      </c>
      <c r="AB755" s="0" t="n">
        <v>0</v>
      </c>
      <c r="AC755" s="4" t="s">
        <v>421</v>
      </c>
      <c r="AD755" s="4" t="s">
        <v>421</v>
      </c>
      <c r="AE755" s="4" t="s">
        <v>3050</v>
      </c>
      <c r="AF755" s="4" t="s">
        <v>3050</v>
      </c>
      <c r="AG755" s="5" t="n">
        <v>0.00443287037037037</v>
      </c>
      <c r="AH755" s="5" t="n">
        <v>0.0711226851851852</v>
      </c>
      <c r="AI755" s="5" t="n">
        <v>0</v>
      </c>
      <c r="AJ755" s="5" t="n">
        <v>0</v>
      </c>
      <c r="AK755" s="5" t="n">
        <v>0</v>
      </c>
      <c r="AL755" s="5" t="n">
        <v>0</v>
      </c>
      <c r="AM755" s="4" t="s">
        <v>78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  <c r="AU755" s="0" t="n">
        <v>0</v>
      </c>
      <c r="AV755" s="0" t="n">
        <v>0</v>
      </c>
      <c r="AW755" s="0" t="n">
        <v>0</v>
      </c>
      <c r="AX755" s="0" t="n">
        <v>0</v>
      </c>
      <c r="AY755" s="0" t="n">
        <v>0</v>
      </c>
      <c r="AZ755" s="0" t="n">
        <v>0</v>
      </c>
      <c r="BA755" s="0" t="n">
        <v>0</v>
      </c>
      <c r="BB755" s="0" t="n">
        <v>0</v>
      </c>
      <c r="BC755" s="0" t="n">
        <v>0</v>
      </c>
      <c r="BD755" s="0" t="n">
        <v>0</v>
      </c>
      <c r="BE755" s="0" t="n">
        <v>0</v>
      </c>
      <c r="BF755" s="0" t="n">
        <v>0</v>
      </c>
      <c r="BG755" s="0" t="n">
        <v>0</v>
      </c>
      <c r="BH755" s="0" t="n">
        <v>0</v>
      </c>
      <c r="BI755" s="0" t="n">
        <v>0</v>
      </c>
      <c r="BJ755" s="0" t="n">
        <v>0</v>
      </c>
      <c r="BK755" s="0" t="n">
        <v>0</v>
      </c>
      <c r="BM755" s="6" t="n">
        <f aca="false">IFERROR(VALUE(F755),"")</f>
        <v>0</v>
      </c>
      <c r="BN755" s="6" t="str">
        <f aca="false">IF(R755="-","",IFERROR(VALUE(LEFT(Q755,LEN(Q755)-2)),""))</f>
        <v/>
      </c>
      <c r="BO755" s="6" t="str">
        <f aca="false">IF(R755="-","",IFERROR(VALUE(LEFT(R755,LEN(R755)-5)),""))</f>
        <v/>
      </c>
      <c r="BP755" s="6" t="str">
        <f aca="false">IF(R755="-","",IFERROR(VALUE(F755),""))</f>
        <v/>
      </c>
      <c r="BQ755" s="4" t="n">
        <f aca="false">IF(R755="-",1,0)</f>
        <v>1</v>
      </c>
    </row>
    <row r="756" customFormat="false" ht="15" hidden="false" customHeight="false" outlineLevel="0" collapsed="false">
      <c r="A756" s="0" t="s">
        <v>3047</v>
      </c>
      <c r="B756" s="0" t="s">
        <v>3048</v>
      </c>
      <c r="C756" s="0" t="s">
        <v>70</v>
      </c>
      <c r="D756" s="0" t="s">
        <v>3055</v>
      </c>
      <c r="E756" s="3" t="n">
        <v>46279</v>
      </c>
      <c r="F756" s="4" t="s">
        <v>95</v>
      </c>
      <c r="G756" s="5" t="n">
        <v>0.165</v>
      </c>
      <c r="H756" s="5" t="n">
        <v>0.145717592592593</v>
      </c>
      <c r="I756" s="5" t="n">
        <v>0.0003125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5" t="n">
        <v>0</v>
      </c>
      <c r="P756" s="5" t="n">
        <v>0</v>
      </c>
      <c r="Q756" s="4" t="s">
        <v>73</v>
      </c>
      <c r="R756" s="4" t="s">
        <v>73</v>
      </c>
      <c r="S756" s="5" t="n">
        <v>0</v>
      </c>
      <c r="T756" s="5" t="n">
        <v>0.0634259259259259</v>
      </c>
      <c r="U756" s="5" t="n">
        <v>0.0681712962962963</v>
      </c>
      <c r="V756" s="5" t="n">
        <v>0.00532407407407407</v>
      </c>
      <c r="W756" s="5" t="n">
        <v>0</v>
      </c>
      <c r="X756" s="5" t="n">
        <v>0</v>
      </c>
      <c r="Y756" s="5" t="n">
        <v>0</v>
      </c>
      <c r="Z756" s="0" t="n">
        <v>0</v>
      </c>
      <c r="AA756" s="0" t="n">
        <v>0</v>
      </c>
      <c r="AB756" s="0" t="n">
        <v>0</v>
      </c>
      <c r="AC756" s="4" t="s">
        <v>421</v>
      </c>
      <c r="AD756" s="4" t="s">
        <v>228</v>
      </c>
      <c r="AE756" s="4" t="s">
        <v>3050</v>
      </c>
      <c r="AF756" s="4" t="s">
        <v>3050</v>
      </c>
      <c r="AG756" s="5" t="n">
        <v>0.120636574074074</v>
      </c>
      <c r="AH756" s="5" t="n">
        <v>0.0995949074074074</v>
      </c>
      <c r="AI756" s="5" t="n">
        <v>0</v>
      </c>
      <c r="AJ756" s="5" t="n">
        <v>0</v>
      </c>
      <c r="AK756" s="5" t="n">
        <v>0</v>
      </c>
      <c r="AL756" s="5" t="n">
        <v>0</v>
      </c>
      <c r="AM756" s="4" t="s">
        <v>78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0</v>
      </c>
      <c r="AT756" s="0" t="n">
        <v>0</v>
      </c>
      <c r="AU756" s="0" t="n">
        <v>1</v>
      </c>
      <c r="AV756" s="0" t="n">
        <v>0</v>
      </c>
      <c r="AW756" s="0" t="n">
        <v>0</v>
      </c>
      <c r="AX756" s="0" t="n">
        <v>0</v>
      </c>
      <c r="AY756" s="0" t="n">
        <v>0</v>
      </c>
      <c r="AZ756" s="0" t="n">
        <v>0</v>
      </c>
      <c r="BA756" s="0" t="n">
        <v>0</v>
      </c>
      <c r="BB756" s="0" t="n">
        <v>0</v>
      </c>
      <c r="BC756" s="0" t="n">
        <v>0</v>
      </c>
      <c r="BD756" s="0" t="n">
        <v>0</v>
      </c>
      <c r="BE756" s="0" t="n">
        <v>0</v>
      </c>
      <c r="BF756" s="0" t="n">
        <v>0</v>
      </c>
      <c r="BG756" s="0" t="n">
        <v>0</v>
      </c>
      <c r="BH756" s="0" t="n">
        <v>0</v>
      </c>
      <c r="BI756" s="0" t="n">
        <v>0</v>
      </c>
      <c r="BJ756" s="0" t="n">
        <v>0</v>
      </c>
      <c r="BK756" s="0" t="n">
        <v>0</v>
      </c>
      <c r="BM756" s="6" t="n">
        <f aca="false">IFERROR(VALUE(F756),"")</f>
        <v>0</v>
      </c>
      <c r="BN756" s="6" t="str">
        <f aca="false">IF(R756="-","",IFERROR(VALUE(LEFT(Q756,LEN(Q756)-2)),""))</f>
        <v/>
      </c>
      <c r="BO756" s="6" t="str">
        <f aca="false">IF(R756="-","",IFERROR(VALUE(LEFT(R756,LEN(R756)-5)),""))</f>
        <v/>
      </c>
      <c r="BP756" s="6" t="str">
        <f aca="false">IF(R756="-","",IFERROR(VALUE(F756),""))</f>
        <v/>
      </c>
      <c r="BQ756" s="4" t="n">
        <f aca="false">IF(R756="-",1,0)</f>
        <v>1</v>
      </c>
    </row>
    <row r="757" customFormat="false" ht="15" hidden="false" customHeight="false" outlineLevel="0" collapsed="false">
      <c r="A757" s="0" t="s">
        <v>3056</v>
      </c>
      <c r="B757" s="0" t="s">
        <v>3057</v>
      </c>
      <c r="C757" s="0" t="s">
        <v>70</v>
      </c>
      <c r="D757" s="0" t="s">
        <v>3058</v>
      </c>
      <c r="E757" s="3" t="n">
        <v>46273</v>
      </c>
      <c r="F757" s="4" t="s">
        <v>3059</v>
      </c>
      <c r="G757" s="5" t="n">
        <v>0.559872685185185</v>
      </c>
      <c r="H757" s="5" t="n">
        <v>0.280358796296296</v>
      </c>
      <c r="I757" s="5" t="n">
        <v>0.00144675925925926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2</v>
      </c>
      <c r="O757" s="5" t="n">
        <v>0</v>
      </c>
      <c r="P757" s="5" t="n">
        <v>0</v>
      </c>
      <c r="Q757" s="4" t="s">
        <v>3060</v>
      </c>
      <c r="R757" s="4" t="s">
        <v>1421</v>
      </c>
      <c r="S757" s="5" t="n">
        <v>0.000462962962962963</v>
      </c>
      <c r="T757" s="5" t="n">
        <v>0.256018518518519</v>
      </c>
      <c r="U757" s="5" t="n">
        <v>0.252314814814815</v>
      </c>
      <c r="V757" s="5" t="n">
        <v>0.0280092592592593</v>
      </c>
      <c r="W757" s="5" t="n">
        <v>0.000115740740740741</v>
      </c>
      <c r="X757" s="5" t="n">
        <v>0</v>
      </c>
      <c r="Y757" s="5" t="n">
        <v>0</v>
      </c>
      <c r="Z757" s="0" t="n">
        <v>0</v>
      </c>
      <c r="AA757" s="0" t="n">
        <v>0</v>
      </c>
      <c r="AB757" s="0" t="n">
        <v>0</v>
      </c>
      <c r="AC757" s="4" t="s">
        <v>228</v>
      </c>
      <c r="AD757" s="4" t="s">
        <v>74</v>
      </c>
      <c r="AE757" s="4" t="s">
        <v>3061</v>
      </c>
      <c r="AF757" s="4" t="s">
        <v>3062</v>
      </c>
      <c r="AG757" s="5" t="n">
        <v>0.484594907407407</v>
      </c>
      <c r="AH757" s="5" t="n">
        <v>0.189479166666667</v>
      </c>
      <c r="AI757" s="5" t="n">
        <v>0</v>
      </c>
      <c r="AJ757" s="5" t="n">
        <v>0</v>
      </c>
      <c r="AK757" s="5" t="n">
        <v>0</v>
      </c>
      <c r="AL757" s="5" t="n">
        <v>0</v>
      </c>
      <c r="AM757" s="4" t="s">
        <v>78</v>
      </c>
      <c r="AN757" s="0" t="n">
        <v>0</v>
      </c>
      <c r="AO757" s="0" t="n">
        <v>0</v>
      </c>
      <c r="AP757" s="0" t="n">
        <v>0</v>
      </c>
      <c r="AQ757" s="0" t="n">
        <v>0</v>
      </c>
      <c r="AR757" s="0" t="n">
        <v>0</v>
      </c>
      <c r="AS757" s="0" t="n">
        <v>0</v>
      </c>
      <c r="AT757" s="0" t="n">
        <v>0</v>
      </c>
      <c r="AU757" s="0" t="n">
        <v>12</v>
      </c>
      <c r="AV757" s="0" t="n">
        <v>0</v>
      </c>
      <c r="AW757" s="0" t="n">
        <v>0</v>
      </c>
      <c r="AX757" s="0" t="n">
        <v>0</v>
      </c>
      <c r="AY757" s="0" t="n">
        <v>0</v>
      </c>
      <c r="AZ757" s="0" t="n">
        <v>0</v>
      </c>
      <c r="BA757" s="0" t="n">
        <v>0</v>
      </c>
      <c r="BB757" s="0" t="n">
        <v>0</v>
      </c>
      <c r="BC757" s="0" t="n">
        <v>0</v>
      </c>
      <c r="BD757" s="0" t="n">
        <v>0</v>
      </c>
      <c r="BE757" s="0" t="n">
        <v>0</v>
      </c>
      <c r="BF757" s="0" t="n">
        <v>0</v>
      </c>
      <c r="BG757" s="0" t="n">
        <v>0</v>
      </c>
      <c r="BH757" s="0" t="n">
        <v>0</v>
      </c>
      <c r="BI757" s="0" t="n">
        <v>0</v>
      </c>
      <c r="BJ757" s="0" t="n">
        <v>0</v>
      </c>
      <c r="BK757" s="0" t="n">
        <v>0</v>
      </c>
      <c r="BM757" s="6" t="n">
        <f aca="false">IFERROR(VALUE(F757),"")</f>
        <v>417.56</v>
      </c>
      <c r="BN757" s="6" t="n">
        <f aca="false">IF(R757="-","",IFERROR(VALUE(LEFT(Q757,LEN(Q757)-2)),""))</f>
        <v>157.01</v>
      </c>
      <c r="BO757" s="6" t="n">
        <f aca="false">IF(R757="-","",IFERROR(VALUE(LEFT(R757,LEN(R757)-5)),""))</f>
        <v>2.66</v>
      </c>
      <c r="BP757" s="6" t="n">
        <f aca="false">IF(R757="-","",IFERROR(VALUE(F757),""))</f>
        <v>417.56</v>
      </c>
      <c r="BQ757" s="4" t="n">
        <f aca="false">IF(R757="-",1,0)</f>
        <v>0</v>
      </c>
    </row>
    <row r="758" customFormat="false" ht="15" hidden="false" customHeight="false" outlineLevel="0" collapsed="false">
      <c r="A758" s="0" t="s">
        <v>3056</v>
      </c>
      <c r="B758" s="0" t="s">
        <v>3057</v>
      </c>
      <c r="C758" s="0" t="s">
        <v>70</v>
      </c>
      <c r="D758" s="0" t="s">
        <v>3063</v>
      </c>
      <c r="E758" s="3" t="n">
        <v>46274</v>
      </c>
      <c r="F758" s="4" t="s">
        <v>3064</v>
      </c>
      <c r="G758" s="5" t="n">
        <v>0.586296296296296</v>
      </c>
      <c r="H758" s="5" t="n">
        <v>0.536550925925926</v>
      </c>
      <c r="I758" s="5" t="n">
        <v>0.000289351851851852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3</v>
      </c>
      <c r="O758" s="5" t="n">
        <v>0</v>
      </c>
      <c r="P758" s="5" t="n">
        <v>0</v>
      </c>
      <c r="Q758" s="4" t="s">
        <v>3065</v>
      </c>
      <c r="R758" s="4" t="s">
        <v>340</v>
      </c>
      <c r="S758" s="5" t="n">
        <v>0.000810185185185185</v>
      </c>
      <c r="T758" s="5" t="n">
        <v>0.251967592592593</v>
      </c>
      <c r="U758" s="5" t="n">
        <v>0.274074074074074</v>
      </c>
      <c r="V758" s="5" t="n">
        <v>0.0122685185185185</v>
      </c>
      <c r="W758" s="5" t="n">
        <v>0</v>
      </c>
      <c r="X758" s="5" t="n">
        <v>0</v>
      </c>
      <c r="Y758" s="5" t="n">
        <v>0</v>
      </c>
      <c r="Z758" s="0" t="n">
        <v>0</v>
      </c>
      <c r="AA758" s="0" t="n">
        <v>0</v>
      </c>
      <c r="AB758" s="0" t="n">
        <v>0</v>
      </c>
      <c r="AC758" s="4" t="s">
        <v>81</v>
      </c>
      <c r="AD758" s="4" t="s">
        <v>228</v>
      </c>
      <c r="AE758" s="4" t="s">
        <v>3062</v>
      </c>
      <c r="AF758" s="4" t="s">
        <v>3066</v>
      </c>
      <c r="AG758" s="5" t="n">
        <v>0.491736111111111</v>
      </c>
      <c r="AH758" s="5" t="n">
        <v>0.201365740740741</v>
      </c>
      <c r="AI758" s="5" t="n">
        <v>0</v>
      </c>
      <c r="AJ758" s="5" t="n">
        <v>0</v>
      </c>
      <c r="AK758" s="5" t="n">
        <v>0</v>
      </c>
      <c r="AL758" s="5" t="n">
        <v>0</v>
      </c>
      <c r="AM758" s="4" t="s">
        <v>78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  <c r="AU758" s="0" t="n">
        <v>5</v>
      </c>
      <c r="AV758" s="0" t="n">
        <v>0</v>
      </c>
      <c r="AW758" s="0" t="n">
        <v>0</v>
      </c>
      <c r="AX758" s="0" t="n">
        <v>0</v>
      </c>
      <c r="AY758" s="0" t="n">
        <v>0</v>
      </c>
      <c r="AZ758" s="0" t="n">
        <v>0</v>
      </c>
      <c r="BA758" s="0" t="n">
        <v>0</v>
      </c>
      <c r="BB758" s="0" t="n">
        <v>0</v>
      </c>
      <c r="BC758" s="0" t="n">
        <v>0</v>
      </c>
      <c r="BD758" s="0" t="n">
        <v>0</v>
      </c>
      <c r="BE758" s="0" t="n">
        <v>0</v>
      </c>
      <c r="BF758" s="0" t="n">
        <v>0</v>
      </c>
      <c r="BG758" s="0" t="n">
        <v>0</v>
      </c>
      <c r="BH758" s="0" t="n">
        <v>0</v>
      </c>
      <c r="BI758" s="0" t="n">
        <v>0</v>
      </c>
      <c r="BJ758" s="0" t="n">
        <v>0</v>
      </c>
      <c r="BK758" s="0" t="n">
        <v>0</v>
      </c>
      <c r="BM758" s="6" t="n">
        <f aca="false">IFERROR(VALUE(F758),"")</f>
        <v>419.25</v>
      </c>
      <c r="BN758" s="6" t="n">
        <f aca="false">IF(R758="-","",IFERROR(VALUE(LEFT(Q758,LEN(Q758)-2)),""))</f>
        <v>145.49</v>
      </c>
      <c r="BO758" s="6" t="n">
        <f aca="false">IF(R758="-","",IFERROR(VALUE(LEFT(R758,LEN(R758)-5)),""))</f>
        <v>2.88</v>
      </c>
      <c r="BP758" s="6" t="n">
        <f aca="false">IF(R758="-","",IFERROR(VALUE(F758),""))</f>
        <v>419.25</v>
      </c>
      <c r="BQ758" s="4" t="n">
        <f aca="false">IF(R758="-",1,0)</f>
        <v>0</v>
      </c>
    </row>
    <row r="759" customFormat="false" ht="15" hidden="false" customHeight="false" outlineLevel="0" collapsed="false">
      <c r="A759" s="0" t="s">
        <v>3056</v>
      </c>
      <c r="B759" s="0" t="s">
        <v>3057</v>
      </c>
      <c r="C759" s="0" t="s">
        <v>70</v>
      </c>
      <c r="D759" s="0" t="s">
        <v>3067</v>
      </c>
      <c r="E759" s="3" t="n">
        <v>46275</v>
      </c>
      <c r="F759" s="4" t="s">
        <v>3068</v>
      </c>
      <c r="G759" s="5" t="n">
        <v>0.554479166666667</v>
      </c>
      <c r="H759" s="5" t="n">
        <v>0.524710648148148</v>
      </c>
      <c r="I759" s="5" t="n">
        <v>0.000231481481481482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5" t="n">
        <v>0</v>
      </c>
      <c r="P759" s="5" t="n">
        <v>0</v>
      </c>
      <c r="Q759" s="4" t="s">
        <v>3069</v>
      </c>
      <c r="R759" s="4" t="s">
        <v>395</v>
      </c>
      <c r="S759" s="5" t="n">
        <v>0.00138888888888889</v>
      </c>
      <c r="T759" s="5" t="n">
        <v>0.237615740740741</v>
      </c>
      <c r="U759" s="5" t="n">
        <v>0.269907407407407</v>
      </c>
      <c r="V759" s="5" t="n">
        <v>0.0106481481481482</v>
      </c>
      <c r="W759" s="5" t="n">
        <v>0</v>
      </c>
      <c r="X759" s="5" t="n">
        <v>0</v>
      </c>
      <c r="Y759" s="5" t="n">
        <v>0</v>
      </c>
      <c r="Z759" s="0" t="n">
        <v>0</v>
      </c>
      <c r="AA759" s="0" t="n">
        <v>0</v>
      </c>
      <c r="AB759" s="0" t="n">
        <v>0</v>
      </c>
      <c r="AC759" s="4" t="s">
        <v>228</v>
      </c>
      <c r="AD759" s="4" t="s">
        <v>74</v>
      </c>
      <c r="AE759" s="4" t="s">
        <v>3066</v>
      </c>
      <c r="AF759" s="4" t="s">
        <v>3070</v>
      </c>
      <c r="AG759" s="5" t="n">
        <v>0.480381944444444</v>
      </c>
      <c r="AH759" s="5" t="n">
        <v>0.222835648148148</v>
      </c>
      <c r="AI759" s="5" t="n">
        <v>0</v>
      </c>
      <c r="AJ759" s="5" t="n">
        <v>0</v>
      </c>
      <c r="AK759" s="5" t="n">
        <v>0</v>
      </c>
      <c r="AL759" s="5" t="n">
        <v>0</v>
      </c>
      <c r="AM759" s="4" t="s">
        <v>78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  <c r="AU759" s="0" t="n">
        <v>2</v>
      </c>
      <c r="AV759" s="0" t="n">
        <v>0</v>
      </c>
      <c r="AW759" s="0" t="n">
        <v>0</v>
      </c>
      <c r="AX759" s="0" t="n">
        <v>0</v>
      </c>
      <c r="AY759" s="0" t="n">
        <v>0</v>
      </c>
      <c r="AZ759" s="0" t="n">
        <v>0</v>
      </c>
      <c r="BA759" s="0" t="n">
        <v>0</v>
      </c>
      <c r="BB759" s="0" t="n">
        <v>0</v>
      </c>
      <c r="BC759" s="0" t="n">
        <v>0</v>
      </c>
      <c r="BD759" s="0" t="n">
        <v>0</v>
      </c>
      <c r="BE759" s="0" t="n">
        <v>0</v>
      </c>
      <c r="BF759" s="0" t="n">
        <v>0</v>
      </c>
      <c r="BG759" s="0" t="n">
        <v>0</v>
      </c>
      <c r="BH759" s="0" t="n">
        <v>0</v>
      </c>
      <c r="BI759" s="0" t="n">
        <v>0</v>
      </c>
      <c r="BJ759" s="0" t="n">
        <v>0</v>
      </c>
      <c r="BK759" s="0" t="n">
        <v>0</v>
      </c>
      <c r="BM759" s="6" t="n">
        <f aca="false">IFERROR(VALUE(F759),"")</f>
        <v>418.88</v>
      </c>
      <c r="BN759" s="6" t="n">
        <f aca="false">IF(R759="-","",IFERROR(VALUE(LEFT(Q759,LEN(Q759)-2)),""))</f>
        <v>142.51</v>
      </c>
      <c r="BO759" s="6" t="n">
        <f aca="false">IF(R759="-","",IFERROR(VALUE(LEFT(R759,LEN(R759)-5)),""))</f>
        <v>2.94</v>
      </c>
      <c r="BP759" s="6" t="n">
        <f aca="false">IF(R759="-","",IFERROR(VALUE(F759),""))</f>
        <v>418.88</v>
      </c>
      <c r="BQ759" s="4" t="n">
        <f aca="false">IF(R759="-",1,0)</f>
        <v>0</v>
      </c>
    </row>
    <row r="760" customFormat="false" ht="15" hidden="false" customHeight="false" outlineLevel="0" collapsed="false">
      <c r="A760" s="0" t="s">
        <v>3056</v>
      </c>
      <c r="B760" s="0" t="s">
        <v>3057</v>
      </c>
      <c r="C760" s="0" t="s">
        <v>70</v>
      </c>
      <c r="D760" s="0" t="s">
        <v>3071</v>
      </c>
      <c r="E760" s="3" t="n">
        <v>46276</v>
      </c>
      <c r="F760" s="4" t="s">
        <v>3072</v>
      </c>
      <c r="G760" s="5" t="n">
        <v>0.572824074074074</v>
      </c>
      <c r="H760" s="5" t="n">
        <v>0.517766203703704</v>
      </c>
      <c r="I760" s="5" t="n">
        <v>0.00119212962962963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1</v>
      </c>
      <c r="O760" s="5" t="n">
        <v>0</v>
      </c>
      <c r="P760" s="5" t="n">
        <v>0.0146180555555556</v>
      </c>
      <c r="Q760" s="4" t="s">
        <v>3073</v>
      </c>
      <c r="R760" s="4" t="s">
        <v>443</v>
      </c>
      <c r="S760" s="5" t="n">
        <v>0.000231481481481482</v>
      </c>
      <c r="T760" s="5" t="n">
        <v>0.239699074074074</v>
      </c>
      <c r="U760" s="5" t="n">
        <v>0.271412037037037</v>
      </c>
      <c r="V760" s="5" t="n">
        <v>0.0177083333333333</v>
      </c>
      <c r="W760" s="5" t="n">
        <v>0</v>
      </c>
      <c r="X760" s="5" t="n">
        <v>0</v>
      </c>
      <c r="Y760" s="5" t="n">
        <v>0</v>
      </c>
      <c r="Z760" s="0" t="n">
        <v>0</v>
      </c>
      <c r="AA760" s="0" t="n">
        <v>0</v>
      </c>
      <c r="AB760" s="0" t="n">
        <v>0</v>
      </c>
      <c r="AC760" s="4" t="s">
        <v>75</v>
      </c>
      <c r="AD760" s="4" t="s">
        <v>74</v>
      </c>
      <c r="AE760" s="4" t="s">
        <v>3070</v>
      </c>
      <c r="AF760" s="4" t="s">
        <v>3074</v>
      </c>
      <c r="AG760" s="5" t="n">
        <v>0.469236111111111</v>
      </c>
      <c r="AH760" s="5" t="n">
        <v>0.239907407407407</v>
      </c>
      <c r="AI760" s="5" t="n">
        <v>0</v>
      </c>
      <c r="AJ760" s="5" t="n">
        <v>0</v>
      </c>
      <c r="AK760" s="5" t="n">
        <v>0</v>
      </c>
      <c r="AL760" s="5" t="n">
        <v>0</v>
      </c>
      <c r="AM760" s="4" t="s">
        <v>78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  <c r="AU760" s="0" t="n">
        <v>3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0" t="n">
        <v>0</v>
      </c>
      <c r="BE760" s="0" t="n">
        <v>0</v>
      </c>
      <c r="BF760" s="0" t="n">
        <v>0</v>
      </c>
      <c r="BG760" s="0" t="n">
        <v>0</v>
      </c>
      <c r="BH760" s="0" t="n">
        <v>0</v>
      </c>
      <c r="BI760" s="0" t="n">
        <v>0</v>
      </c>
      <c r="BJ760" s="0" t="n">
        <v>0</v>
      </c>
      <c r="BK760" s="0" t="n">
        <v>0</v>
      </c>
      <c r="BM760" s="6" t="n">
        <f aca="false">IFERROR(VALUE(F760),"")</f>
        <v>419</v>
      </c>
      <c r="BN760" s="6" t="n">
        <f aca="false">IF(R760="-","",IFERROR(VALUE(LEFT(Q760,LEN(Q760)-2)),""))</f>
        <v>152.5</v>
      </c>
      <c r="BO760" s="6" t="n">
        <f aca="false">IF(R760="-","",IFERROR(VALUE(LEFT(R760,LEN(R760)-5)),""))</f>
        <v>2.75</v>
      </c>
      <c r="BP760" s="6" t="n">
        <f aca="false">IF(R760="-","",IFERROR(VALUE(F760),""))</f>
        <v>419</v>
      </c>
      <c r="BQ760" s="4" t="n">
        <f aca="false">IF(R760="-",1,0)</f>
        <v>0</v>
      </c>
    </row>
    <row r="761" customFormat="false" ht="15" hidden="false" customHeight="false" outlineLevel="0" collapsed="false">
      <c r="A761" s="0" t="s">
        <v>3056</v>
      </c>
      <c r="B761" s="0" t="s">
        <v>3057</v>
      </c>
      <c r="C761" s="0" t="s">
        <v>70</v>
      </c>
      <c r="D761" s="0" t="s">
        <v>1054</v>
      </c>
      <c r="E761" s="3" t="n">
        <v>46277</v>
      </c>
      <c r="F761" s="4" t="s">
        <v>3075</v>
      </c>
      <c r="G761" s="5" t="n">
        <v>0.571921296296296</v>
      </c>
      <c r="H761" s="5" t="n">
        <v>0.255763888888889</v>
      </c>
      <c r="I761" s="5" t="n">
        <v>0.00310185185185185</v>
      </c>
      <c r="J761" s="0" t="n">
        <v>0</v>
      </c>
      <c r="K761" s="0" t="n">
        <v>1</v>
      </c>
      <c r="L761" s="0" t="n">
        <v>0</v>
      </c>
      <c r="M761" s="0" t="n">
        <v>0</v>
      </c>
      <c r="N761" s="0" t="n">
        <v>2</v>
      </c>
      <c r="O761" s="5" t="n">
        <v>0</v>
      </c>
      <c r="P761" s="5" t="n">
        <v>0</v>
      </c>
      <c r="Q761" s="4" t="s">
        <v>3076</v>
      </c>
      <c r="R761" s="4" t="s">
        <v>2606</v>
      </c>
      <c r="S761" s="5" t="n">
        <v>0.000462962962962963</v>
      </c>
      <c r="T761" s="5" t="n">
        <v>0.230787037037037</v>
      </c>
      <c r="U761" s="5" t="n">
        <v>0.27025462962963</v>
      </c>
      <c r="V761" s="5" t="n">
        <v>0.0403240740740741</v>
      </c>
      <c r="W761" s="5" t="n">
        <v>0.000173611111111111</v>
      </c>
      <c r="X761" s="5" t="n">
        <v>0</v>
      </c>
      <c r="Y761" s="5" t="n">
        <v>0</v>
      </c>
      <c r="Z761" s="0" t="n">
        <v>0</v>
      </c>
      <c r="AA761" s="0" t="n">
        <v>0</v>
      </c>
      <c r="AB761" s="0" t="n">
        <v>0</v>
      </c>
      <c r="AC761" s="4" t="s">
        <v>228</v>
      </c>
      <c r="AD761" s="4" t="s">
        <v>74</v>
      </c>
      <c r="AE761" s="4" t="s">
        <v>3074</v>
      </c>
      <c r="AF761" s="4" t="s">
        <v>3077</v>
      </c>
      <c r="AG761" s="5" t="n">
        <v>0.483668981481482</v>
      </c>
      <c r="AH761" s="5" t="n">
        <v>0.152685185185185</v>
      </c>
      <c r="AI761" s="5" t="n">
        <v>0</v>
      </c>
      <c r="AJ761" s="5" t="n">
        <v>0</v>
      </c>
      <c r="AK761" s="5" t="n">
        <v>0</v>
      </c>
      <c r="AL761" s="5" t="n">
        <v>0</v>
      </c>
      <c r="AM761" s="4" t="s">
        <v>78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  <c r="AU761" s="0" t="n">
        <v>14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0</v>
      </c>
      <c r="BB761" s="0" t="n">
        <v>0</v>
      </c>
      <c r="BC761" s="0" t="n">
        <v>0</v>
      </c>
      <c r="BD761" s="0" t="n">
        <v>0</v>
      </c>
      <c r="BE761" s="0" t="n">
        <v>0</v>
      </c>
      <c r="BF761" s="0" t="n">
        <v>0</v>
      </c>
      <c r="BG761" s="0" t="n">
        <v>0</v>
      </c>
      <c r="BH761" s="0" t="n">
        <v>0</v>
      </c>
      <c r="BI761" s="0" t="n">
        <v>0</v>
      </c>
      <c r="BJ761" s="0" t="n">
        <v>0</v>
      </c>
      <c r="BK761" s="0" t="n">
        <v>0</v>
      </c>
      <c r="BM761" s="6" t="n">
        <f aca="false">IFERROR(VALUE(F761),"")</f>
        <v>418.26</v>
      </c>
      <c r="BN761" s="6" t="n">
        <f aca="false">IF(R761="-","",IFERROR(VALUE(LEFT(Q761,LEN(Q761)-2)),""))</f>
        <v>160</v>
      </c>
      <c r="BO761" s="6" t="n">
        <f aca="false">IF(R761="-","",IFERROR(VALUE(LEFT(R761,LEN(R761)-5)),""))</f>
        <v>2.61</v>
      </c>
      <c r="BP761" s="6" t="n">
        <f aca="false">IF(R761="-","",IFERROR(VALUE(F761),""))</f>
        <v>418.26</v>
      </c>
      <c r="BQ761" s="4" t="n">
        <f aca="false">IF(R761="-",1,0)</f>
        <v>0</v>
      </c>
    </row>
    <row r="762" customFormat="false" ht="15" hidden="false" customHeight="false" outlineLevel="0" collapsed="false">
      <c r="A762" s="0" t="s">
        <v>3056</v>
      </c>
      <c r="B762" s="0" t="s">
        <v>3057</v>
      </c>
      <c r="C762" s="0" t="s">
        <v>70</v>
      </c>
      <c r="D762" s="0" t="s">
        <v>3078</v>
      </c>
      <c r="E762" s="3" t="n">
        <v>46278</v>
      </c>
      <c r="F762" s="4" t="s">
        <v>3079</v>
      </c>
      <c r="G762" s="5" t="n">
        <v>0.582094907407407</v>
      </c>
      <c r="H762" s="5" t="n">
        <v>0.491064814814815</v>
      </c>
      <c r="I762" s="5" t="n">
        <v>0.00113425925925926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6</v>
      </c>
      <c r="O762" s="5" t="n">
        <v>0</v>
      </c>
      <c r="P762" s="5" t="n">
        <v>0</v>
      </c>
      <c r="Q762" s="4" t="s">
        <v>3080</v>
      </c>
      <c r="R762" s="4" t="s">
        <v>1692</v>
      </c>
      <c r="S762" s="5" t="n">
        <v>0.000694444444444445</v>
      </c>
      <c r="T762" s="5" t="n">
        <v>0.198263888888889</v>
      </c>
      <c r="U762" s="5" t="n">
        <v>0.203125</v>
      </c>
      <c r="V762" s="5" t="n">
        <v>0.0113425925925926</v>
      </c>
      <c r="W762" s="5" t="n">
        <v>0</v>
      </c>
      <c r="X762" s="5" t="n">
        <v>0</v>
      </c>
      <c r="Y762" s="5" t="n">
        <v>0</v>
      </c>
      <c r="Z762" s="0" t="n">
        <v>0</v>
      </c>
      <c r="AA762" s="0" t="n">
        <v>0</v>
      </c>
      <c r="AB762" s="0" t="n">
        <v>0</v>
      </c>
      <c r="AC762" s="4" t="s">
        <v>75</v>
      </c>
      <c r="AD762" s="4" t="s">
        <v>421</v>
      </c>
      <c r="AE762" s="4" t="s">
        <v>3077</v>
      </c>
      <c r="AF762" s="4" t="s">
        <v>3081</v>
      </c>
      <c r="AG762" s="5" t="n">
        <v>0.361041666666667</v>
      </c>
      <c r="AH762" s="5" t="n">
        <v>0.302511574074074</v>
      </c>
      <c r="AI762" s="5" t="n">
        <v>0</v>
      </c>
      <c r="AJ762" s="5" t="n">
        <v>0</v>
      </c>
      <c r="AK762" s="5" t="n">
        <v>0</v>
      </c>
      <c r="AL762" s="5" t="n">
        <v>0</v>
      </c>
      <c r="AM762" s="4" t="s">
        <v>78</v>
      </c>
      <c r="AN762" s="0" t="n">
        <v>0</v>
      </c>
      <c r="AO762" s="0" t="n">
        <v>2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  <c r="AU762" s="0" t="n">
        <v>1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0</v>
      </c>
      <c r="BH762" s="0" t="n">
        <v>0</v>
      </c>
      <c r="BI762" s="0" t="n">
        <v>0</v>
      </c>
      <c r="BJ762" s="0" t="n">
        <v>0</v>
      </c>
      <c r="BK762" s="0" t="n">
        <v>0</v>
      </c>
      <c r="BM762" s="6" t="n">
        <f aca="false">IFERROR(VALUE(F762),"")</f>
        <v>316.9</v>
      </c>
      <c r="BN762" s="6" t="n">
        <f aca="false">IF(R762="-","",IFERROR(VALUE(LEFT(Q762,LEN(Q762)-2)),""))</f>
        <v>118</v>
      </c>
      <c r="BO762" s="6" t="n">
        <f aca="false">IF(R762="-","",IFERROR(VALUE(LEFT(R762,LEN(R762)-5)),""))</f>
        <v>2.69</v>
      </c>
      <c r="BP762" s="6" t="n">
        <f aca="false">IF(R762="-","",IFERROR(VALUE(F762),""))</f>
        <v>316.9</v>
      </c>
      <c r="BQ762" s="4" t="n">
        <f aca="false">IF(R762="-",1,0)</f>
        <v>0</v>
      </c>
    </row>
    <row r="763" customFormat="false" ht="15" hidden="false" customHeight="false" outlineLevel="0" collapsed="false">
      <c r="A763" s="0" t="s">
        <v>3056</v>
      </c>
      <c r="B763" s="0" t="s">
        <v>3057</v>
      </c>
      <c r="C763" s="0" t="s">
        <v>70</v>
      </c>
      <c r="D763" s="0" t="s">
        <v>3082</v>
      </c>
      <c r="E763" s="3" t="n">
        <v>46279</v>
      </c>
      <c r="F763" s="4" t="s">
        <v>3083</v>
      </c>
      <c r="G763" s="5" t="n">
        <v>0.806261574074074</v>
      </c>
      <c r="H763" s="5" t="n">
        <v>0.552488425925926</v>
      </c>
      <c r="I763" s="5" t="n">
        <v>0.00099537037037037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8</v>
      </c>
      <c r="O763" s="5" t="n">
        <v>0</v>
      </c>
      <c r="P763" s="5" t="n">
        <v>0.0077662037037037</v>
      </c>
      <c r="Q763" s="4" t="s">
        <v>3084</v>
      </c>
      <c r="R763" s="4" t="s">
        <v>426</v>
      </c>
      <c r="S763" s="5" t="n">
        <v>0.000810185185185185</v>
      </c>
      <c r="T763" s="5" t="n">
        <v>0.242361111111111</v>
      </c>
      <c r="U763" s="5" t="n">
        <v>0.260763888888889</v>
      </c>
      <c r="V763" s="5" t="n">
        <v>0.015625</v>
      </c>
      <c r="W763" s="5" t="n">
        <v>0</v>
      </c>
      <c r="X763" s="5" t="n">
        <v>0</v>
      </c>
      <c r="Y763" s="5" t="n">
        <v>0</v>
      </c>
      <c r="Z763" s="0" t="n">
        <v>0</v>
      </c>
      <c r="AA763" s="0" t="n">
        <v>0</v>
      </c>
      <c r="AB763" s="0" t="n">
        <v>0</v>
      </c>
      <c r="AC763" s="4" t="s">
        <v>421</v>
      </c>
      <c r="AD763" s="4" t="s">
        <v>421</v>
      </c>
      <c r="AE763" s="4" t="s">
        <v>3081</v>
      </c>
      <c r="AF763" s="4" t="s">
        <v>3085</v>
      </c>
      <c r="AG763" s="5" t="n">
        <v>0.467997685185185</v>
      </c>
      <c r="AH763" s="5" t="n">
        <v>0.416342592592593</v>
      </c>
      <c r="AI763" s="5" t="n">
        <v>0</v>
      </c>
      <c r="AJ763" s="5" t="n">
        <v>0</v>
      </c>
      <c r="AK763" s="5" t="n">
        <v>0</v>
      </c>
      <c r="AL763" s="5" t="n">
        <v>0</v>
      </c>
      <c r="AM763" s="4" t="s">
        <v>78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  <c r="AU763" s="0" t="n">
        <v>4</v>
      </c>
      <c r="AV763" s="0" t="n">
        <v>0</v>
      </c>
      <c r="AW763" s="0" t="n">
        <v>1</v>
      </c>
      <c r="AX763" s="0" t="n">
        <v>0</v>
      </c>
      <c r="AY763" s="0" t="n">
        <v>0</v>
      </c>
      <c r="AZ763" s="0" t="n">
        <v>0</v>
      </c>
      <c r="BA763" s="0" t="n">
        <v>0</v>
      </c>
      <c r="BB763" s="0" t="n">
        <v>0</v>
      </c>
      <c r="BC763" s="0" t="n">
        <v>0</v>
      </c>
      <c r="BD763" s="0" t="n">
        <v>0</v>
      </c>
      <c r="BE763" s="0" t="n">
        <v>0</v>
      </c>
      <c r="BF763" s="0" t="n">
        <v>0</v>
      </c>
      <c r="BG763" s="0" t="n">
        <v>0</v>
      </c>
      <c r="BH763" s="0" t="n">
        <v>0</v>
      </c>
      <c r="BI763" s="0" t="n">
        <v>0</v>
      </c>
      <c r="BJ763" s="0" t="n">
        <v>0</v>
      </c>
      <c r="BK763" s="0" t="n">
        <v>0</v>
      </c>
      <c r="BM763" s="6" t="n">
        <f aca="false">IFERROR(VALUE(F763),"")</f>
        <v>420.81</v>
      </c>
      <c r="BN763" s="6" t="n">
        <f aca="false">IF(R763="-","",IFERROR(VALUE(LEFT(Q763,LEN(Q763)-2)),""))</f>
        <v>149.5</v>
      </c>
      <c r="BO763" s="6" t="n">
        <f aca="false">IF(R763="-","",IFERROR(VALUE(LEFT(R763,LEN(R763)-5)),""))</f>
        <v>2.81</v>
      </c>
      <c r="BP763" s="6" t="n">
        <f aca="false">IF(R763="-","",IFERROR(VALUE(F763),""))</f>
        <v>420.81</v>
      </c>
      <c r="BQ763" s="4" t="n">
        <f aca="false">IF(R763="-",1,0)</f>
        <v>0</v>
      </c>
    </row>
    <row r="764" customFormat="false" ht="15" hidden="false" customHeight="false" outlineLevel="0" collapsed="false">
      <c r="A764" s="0" t="s">
        <v>3086</v>
      </c>
      <c r="B764" s="0" t="s">
        <v>3087</v>
      </c>
      <c r="C764" s="0" t="s">
        <v>70</v>
      </c>
      <c r="D764" s="0" t="s">
        <v>1054</v>
      </c>
      <c r="E764" s="3" t="n">
        <v>46273</v>
      </c>
      <c r="F764" s="4" t="s">
        <v>3088</v>
      </c>
      <c r="G764" s="5" t="n">
        <v>0.226631944444445</v>
      </c>
      <c r="H764" s="5" t="n">
        <v>0.0333333333333333</v>
      </c>
      <c r="I764" s="5" t="n">
        <v>0.000393518518518519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5" t="n">
        <v>0</v>
      </c>
      <c r="P764" s="5" t="n">
        <v>0.0071412037037037</v>
      </c>
      <c r="Q764" s="4" t="s">
        <v>3089</v>
      </c>
      <c r="R764" s="4" t="s">
        <v>3090</v>
      </c>
      <c r="S764" s="5" t="n">
        <v>0.000115740740740741</v>
      </c>
      <c r="T764" s="5" t="n">
        <v>0.0575231481481482</v>
      </c>
      <c r="U764" s="5" t="n">
        <v>0.0221064814814815</v>
      </c>
      <c r="V764" s="5" t="n">
        <v>0.00266203703703704</v>
      </c>
      <c r="W764" s="5" t="n">
        <v>0</v>
      </c>
      <c r="X764" s="5" t="n">
        <v>0</v>
      </c>
      <c r="Y764" s="5" t="n">
        <v>0</v>
      </c>
      <c r="Z764" s="0" t="n">
        <v>0</v>
      </c>
      <c r="AA764" s="0" t="n">
        <v>0</v>
      </c>
      <c r="AB764" s="0" t="n">
        <v>0</v>
      </c>
      <c r="AC764" s="4" t="s">
        <v>614</v>
      </c>
      <c r="AD764" s="4" t="s">
        <v>159</v>
      </c>
      <c r="AE764" s="4" t="s">
        <v>3091</v>
      </c>
      <c r="AF764" s="4" t="s">
        <v>3092</v>
      </c>
      <c r="AG764" s="5" t="n">
        <v>0.0463541666666667</v>
      </c>
      <c r="AH764" s="5" t="n">
        <v>0.282615740740741</v>
      </c>
      <c r="AI764" s="5" t="n">
        <v>0</v>
      </c>
      <c r="AJ764" s="5" t="n">
        <v>0</v>
      </c>
      <c r="AK764" s="5" t="n">
        <v>0</v>
      </c>
      <c r="AL764" s="5" t="n">
        <v>0</v>
      </c>
      <c r="AM764" s="4" t="s">
        <v>78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0" t="n">
        <v>0</v>
      </c>
      <c r="BE764" s="0" t="n">
        <v>0</v>
      </c>
      <c r="BF764" s="0" t="n">
        <v>0</v>
      </c>
      <c r="BG764" s="0" t="n">
        <v>0</v>
      </c>
      <c r="BH764" s="0" t="n">
        <v>0</v>
      </c>
      <c r="BI764" s="0" t="n">
        <v>0</v>
      </c>
      <c r="BJ764" s="0" t="n">
        <v>0</v>
      </c>
      <c r="BK764" s="0" t="n">
        <v>0</v>
      </c>
      <c r="BM764" s="6" t="n">
        <f aca="false">IFERROR(VALUE(F764),"")</f>
        <v>28.2</v>
      </c>
      <c r="BN764" s="6" t="n">
        <f aca="false">IF(R764="-","",IFERROR(VALUE(LEFT(Q764,LEN(Q764)-2)),""))</f>
        <v>13.5</v>
      </c>
      <c r="BO764" s="6" t="n">
        <f aca="false">IF(R764="-","",IFERROR(VALUE(LEFT(R764,LEN(R764)-5)),""))</f>
        <v>2.09</v>
      </c>
      <c r="BP764" s="6" t="n">
        <f aca="false">IF(R764="-","",IFERROR(VALUE(F764),""))</f>
        <v>28.2</v>
      </c>
      <c r="BQ764" s="4" t="n">
        <f aca="false">IF(R764="-",1,0)</f>
        <v>0</v>
      </c>
    </row>
    <row r="765" customFormat="false" ht="15" hidden="false" customHeight="false" outlineLevel="0" collapsed="false">
      <c r="A765" s="0" t="s">
        <v>3086</v>
      </c>
      <c r="B765" s="0" t="s">
        <v>3087</v>
      </c>
      <c r="C765" s="0" t="s">
        <v>70</v>
      </c>
      <c r="D765" s="0" t="s">
        <v>3093</v>
      </c>
      <c r="E765" s="3" t="n">
        <v>46274</v>
      </c>
      <c r="F765" s="4" t="s">
        <v>3094</v>
      </c>
      <c r="G765" s="5" t="n">
        <v>0.194560185185185</v>
      </c>
      <c r="H765" s="5" t="n">
        <v>0.0827546296296296</v>
      </c>
      <c r="I765" s="5" t="n">
        <v>0.000578703703703704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5" t="n">
        <v>0</v>
      </c>
      <c r="P765" s="5" t="n">
        <v>0.0155208333333333</v>
      </c>
      <c r="Q765" s="4" t="s">
        <v>2007</v>
      </c>
      <c r="R765" s="4" t="s">
        <v>299</v>
      </c>
      <c r="S765" s="5" t="n">
        <v>0.000231481481481482</v>
      </c>
      <c r="T765" s="5" t="n">
        <v>0.0902777777777778</v>
      </c>
      <c r="U765" s="5" t="n">
        <v>0.078587962962963</v>
      </c>
      <c r="V765" s="5" t="n">
        <v>0.0165509259259259</v>
      </c>
      <c r="W765" s="5" t="n">
        <v>0</v>
      </c>
      <c r="X765" s="5" t="n">
        <v>0</v>
      </c>
      <c r="Y765" s="5" t="n">
        <v>0</v>
      </c>
      <c r="Z765" s="0" t="n">
        <v>0</v>
      </c>
      <c r="AA765" s="0" t="n">
        <v>0</v>
      </c>
      <c r="AB765" s="0" t="n">
        <v>0</v>
      </c>
      <c r="AC765" s="4" t="s">
        <v>3095</v>
      </c>
      <c r="AD765" s="4" t="s">
        <v>159</v>
      </c>
      <c r="AE765" s="4" t="s">
        <v>3092</v>
      </c>
      <c r="AF765" s="4" t="s">
        <v>3096</v>
      </c>
      <c r="AG765" s="5" t="n">
        <v>0.139895833333333</v>
      </c>
      <c r="AH765" s="5" t="n">
        <v>0.147337962962963</v>
      </c>
      <c r="AI765" s="5" t="n">
        <v>0</v>
      </c>
      <c r="AJ765" s="5" t="n">
        <v>0</v>
      </c>
      <c r="AK765" s="5" t="n">
        <v>0</v>
      </c>
      <c r="AL765" s="5" t="n">
        <v>0</v>
      </c>
      <c r="AM765" s="4" t="s">
        <v>78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  <c r="AV765" s="0" t="n">
        <v>0</v>
      </c>
      <c r="AW765" s="0" t="n">
        <v>0</v>
      </c>
      <c r="AX765" s="0" t="n">
        <v>0</v>
      </c>
      <c r="AY765" s="0" t="n">
        <v>0</v>
      </c>
      <c r="AZ765" s="0" t="n">
        <v>0</v>
      </c>
      <c r="BA765" s="0" t="n">
        <v>0</v>
      </c>
      <c r="BB765" s="0" t="n">
        <v>0</v>
      </c>
      <c r="BC765" s="0" t="n">
        <v>0</v>
      </c>
      <c r="BD765" s="0" t="n">
        <v>0</v>
      </c>
      <c r="BE765" s="0" t="n">
        <v>0</v>
      </c>
      <c r="BF765" s="0" t="n">
        <v>0</v>
      </c>
      <c r="BG765" s="0" t="n">
        <v>0</v>
      </c>
      <c r="BH765" s="0" t="n">
        <v>0</v>
      </c>
      <c r="BI765" s="0" t="n">
        <v>0</v>
      </c>
      <c r="BJ765" s="0" t="n">
        <v>0</v>
      </c>
      <c r="BK765" s="0" t="n">
        <v>0</v>
      </c>
      <c r="BM765" s="6" t="n">
        <f aca="false">IFERROR(VALUE(F765),"")</f>
        <v>139.08</v>
      </c>
      <c r="BN765" s="6" t="n">
        <f aca="false">IF(R765="-","",IFERROR(VALUE(LEFT(Q765,LEN(Q765)-2)),""))</f>
        <v>46.5</v>
      </c>
      <c r="BO765" s="6" t="n">
        <f aca="false">IF(R765="-","",IFERROR(VALUE(LEFT(R765,LEN(R765)-5)),""))</f>
        <v>2.99</v>
      </c>
      <c r="BP765" s="6" t="n">
        <f aca="false">IF(R765="-","",IFERROR(VALUE(F765),""))</f>
        <v>139.08</v>
      </c>
      <c r="BQ765" s="4" t="n">
        <f aca="false">IF(R765="-",1,0)</f>
        <v>0</v>
      </c>
    </row>
    <row r="766" customFormat="false" ht="15" hidden="false" customHeight="false" outlineLevel="0" collapsed="false">
      <c r="A766" s="0" t="s">
        <v>3086</v>
      </c>
      <c r="B766" s="0" t="s">
        <v>3087</v>
      </c>
      <c r="C766" s="0" t="s">
        <v>70</v>
      </c>
      <c r="D766" s="0" t="s">
        <v>3097</v>
      </c>
      <c r="E766" s="3" t="n">
        <v>46275</v>
      </c>
      <c r="F766" s="4" t="s">
        <v>3098</v>
      </c>
      <c r="G766" s="5" t="n">
        <v>0.238043981481482</v>
      </c>
      <c r="H766" s="5" t="n">
        <v>0.0887731481481481</v>
      </c>
      <c r="I766" s="5" t="n">
        <v>6.94444444444444E-005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5" t="n">
        <v>0</v>
      </c>
      <c r="P766" s="5" t="n">
        <v>0.0305671296296296</v>
      </c>
      <c r="Q766" s="4" t="s">
        <v>2094</v>
      </c>
      <c r="R766" s="4" t="s">
        <v>340</v>
      </c>
      <c r="S766" s="5" t="n">
        <v>0.000115740740740741</v>
      </c>
      <c r="T766" s="5" t="n">
        <v>0.110300925925926</v>
      </c>
      <c r="U766" s="5" t="n">
        <v>0.0768518518518519</v>
      </c>
      <c r="V766" s="5" t="n">
        <v>0.0258101851851852</v>
      </c>
      <c r="W766" s="5" t="n">
        <v>0</v>
      </c>
      <c r="X766" s="5" t="n">
        <v>0</v>
      </c>
      <c r="Y766" s="5" t="n">
        <v>0</v>
      </c>
      <c r="Z766" s="0" t="n">
        <v>0</v>
      </c>
      <c r="AA766" s="0" t="n">
        <v>0</v>
      </c>
      <c r="AB766" s="0" t="n">
        <v>0</v>
      </c>
      <c r="AC766" s="4" t="s">
        <v>864</v>
      </c>
      <c r="AD766" s="4" t="s">
        <v>614</v>
      </c>
      <c r="AE766" s="4" t="s">
        <v>3096</v>
      </c>
      <c r="AF766" s="4" t="s">
        <v>3099</v>
      </c>
      <c r="AG766" s="5" t="n">
        <v>0.142708333333333</v>
      </c>
      <c r="AH766" s="5" t="n">
        <v>0.17662037037037</v>
      </c>
      <c r="AI766" s="5" t="n">
        <v>0</v>
      </c>
      <c r="AJ766" s="5" t="n">
        <v>0</v>
      </c>
      <c r="AK766" s="5" t="n">
        <v>0</v>
      </c>
      <c r="AL766" s="5" t="n">
        <v>0</v>
      </c>
      <c r="AM766" s="4" t="s">
        <v>78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  <c r="AU766" s="0" t="n">
        <v>0</v>
      </c>
      <c r="AV766" s="0" t="n">
        <v>0</v>
      </c>
      <c r="AW766" s="0" t="n">
        <v>0</v>
      </c>
      <c r="AX766" s="0" t="n">
        <v>0</v>
      </c>
      <c r="AY766" s="0" t="n">
        <v>0</v>
      </c>
      <c r="AZ766" s="0" t="n">
        <v>0</v>
      </c>
      <c r="BA766" s="0" t="n">
        <v>0</v>
      </c>
      <c r="BB766" s="0" t="n">
        <v>0</v>
      </c>
      <c r="BC766" s="0" t="n">
        <v>0</v>
      </c>
      <c r="BD766" s="0" t="n">
        <v>0</v>
      </c>
      <c r="BE766" s="0" t="n">
        <v>0</v>
      </c>
      <c r="BF766" s="0" t="n">
        <v>0</v>
      </c>
      <c r="BG766" s="0" t="n">
        <v>0</v>
      </c>
      <c r="BH766" s="0" t="n">
        <v>0</v>
      </c>
      <c r="BI766" s="0" t="n">
        <v>0</v>
      </c>
      <c r="BJ766" s="0" t="n">
        <v>0</v>
      </c>
      <c r="BK766" s="0" t="n">
        <v>0</v>
      </c>
      <c r="BM766" s="6" t="n">
        <f aca="false">IFERROR(VALUE(F766),"")</f>
        <v>142.61</v>
      </c>
      <c r="BN766" s="6" t="n">
        <f aca="false">IF(R766="-","",IFERROR(VALUE(LEFT(Q766,LEN(Q766)-2)),""))</f>
        <v>49.5</v>
      </c>
      <c r="BO766" s="6" t="n">
        <f aca="false">IF(R766="-","",IFERROR(VALUE(LEFT(R766,LEN(R766)-5)),""))</f>
        <v>2.88</v>
      </c>
      <c r="BP766" s="6" t="n">
        <f aca="false">IF(R766="-","",IFERROR(VALUE(F766),""))</f>
        <v>142.61</v>
      </c>
      <c r="BQ766" s="4" t="n">
        <f aca="false">IF(R766="-",1,0)</f>
        <v>0</v>
      </c>
    </row>
    <row r="767" customFormat="false" ht="15" hidden="false" customHeight="false" outlineLevel="0" collapsed="false">
      <c r="A767" s="0" t="s">
        <v>3086</v>
      </c>
      <c r="B767" s="0" t="s">
        <v>3087</v>
      </c>
      <c r="C767" s="0" t="s">
        <v>70</v>
      </c>
      <c r="D767" s="0" t="s">
        <v>3100</v>
      </c>
      <c r="E767" s="3" t="n">
        <v>46276</v>
      </c>
      <c r="F767" s="4" t="s">
        <v>3101</v>
      </c>
      <c r="G767" s="5" t="n">
        <v>0.258877314814815</v>
      </c>
      <c r="H767" s="5" t="n">
        <v>0.235092592592593</v>
      </c>
      <c r="I767" s="5" t="n">
        <v>0.00215277777777778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5" t="n">
        <v>0</v>
      </c>
      <c r="P767" s="5" t="n">
        <v>0.0228125</v>
      </c>
      <c r="Q767" s="4" t="s">
        <v>2243</v>
      </c>
      <c r="R767" s="4" t="s">
        <v>1362</v>
      </c>
      <c r="S767" s="5" t="n">
        <v>0.000347222222222222</v>
      </c>
      <c r="T767" s="5" t="n">
        <v>0.127083333333333</v>
      </c>
      <c r="U767" s="5" t="n">
        <v>0.117708333333333</v>
      </c>
      <c r="V767" s="5" t="n">
        <v>0.009375</v>
      </c>
      <c r="W767" s="5" t="n">
        <v>0</v>
      </c>
      <c r="X767" s="5" t="n">
        <v>0</v>
      </c>
      <c r="Y767" s="5" t="n">
        <v>0</v>
      </c>
      <c r="Z767" s="0" t="n">
        <v>0</v>
      </c>
      <c r="AA767" s="0" t="n">
        <v>0</v>
      </c>
      <c r="AB767" s="0" t="n">
        <v>0</v>
      </c>
      <c r="AC767" s="4" t="s">
        <v>614</v>
      </c>
      <c r="AD767" s="4" t="s">
        <v>614</v>
      </c>
      <c r="AE767" s="4" t="s">
        <v>3099</v>
      </c>
      <c r="AF767" s="4" t="s">
        <v>3102</v>
      </c>
      <c r="AG767" s="5" t="n">
        <v>0.190891203703704</v>
      </c>
      <c r="AH767" s="5" t="n">
        <v>0.154282407407407</v>
      </c>
      <c r="AI767" s="5" t="n">
        <v>0</v>
      </c>
      <c r="AJ767" s="5" t="n">
        <v>0</v>
      </c>
      <c r="AK767" s="5" t="n">
        <v>0</v>
      </c>
      <c r="AL767" s="5" t="n">
        <v>0</v>
      </c>
      <c r="AM767" s="4" t="s">
        <v>78</v>
      </c>
      <c r="AN767" s="0" t="n">
        <v>0</v>
      </c>
      <c r="AO767" s="0" t="n">
        <v>1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  <c r="AU767" s="0" t="n">
        <v>0</v>
      </c>
      <c r="AV767" s="0" t="n">
        <v>0</v>
      </c>
      <c r="AW767" s="0" t="n">
        <v>0</v>
      </c>
      <c r="AX767" s="0" t="n">
        <v>0</v>
      </c>
      <c r="AY767" s="0" t="n">
        <v>0</v>
      </c>
      <c r="AZ767" s="0" t="n">
        <v>0</v>
      </c>
      <c r="BA767" s="0" t="n">
        <v>0</v>
      </c>
      <c r="BB767" s="0" t="n">
        <v>0</v>
      </c>
      <c r="BC767" s="0" t="n">
        <v>0</v>
      </c>
      <c r="BD767" s="0" t="n">
        <v>0</v>
      </c>
      <c r="BE767" s="0" t="n">
        <v>0</v>
      </c>
      <c r="BF767" s="0" t="n">
        <v>0</v>
      </c>
      <c r="BG767" s="0" t="n">
        <v>0</v>
      </c>
      <c r="BH767" s="0" t="n">
        <v>0</v>
      </c>
      <c r="BI767" s="0" t="n">
        <v>0</v>
      </c>
      <c r="BJ767" s="0" t="n">
        <v>0</v>
      </c>
      <c r="BK767" s="0" t="n">
        <v>0</v>
      </c>
      <c r="BM767" s="6" t="n">
        <f aca="false">IFERROR(VALUE(F767),"")</f>
        <v>190.62</v>
      </c>
      <c r="BN767" s="6" t="n">
        <f aca="false">IF(R767="-","",IFERROR(VALUE(LEFT(Q767,LEN(Q767)-2)),""))</f>
        <v>76.51</v>
      </c>
      <c r="BO767" s="6" t="n">
        <f aca="false">IF(R767="-","",IFERROR(VALUE(LEFT(R767,LEN(R767)-5)),""))</f>
        <v>2.49</v>
      </c>
      <c r="BP767" s="6" t="n">
        <f aca="false">IF(R767="-","",IFERROR(VALUE(F767),""))</f>
        <v>190.62</v>
      </c>
      <c r="BQ767" s="4" t="n">
        <f aca="false">IF(R767="-",1,0)</f>
        <v>0</v>
      </c>
    </row>
    <row r="768" customFormat="false" ht="15" hidden="false" customHeight="false" outlineLevel="0" collapsed="false">
      <c r="A768" s="0" t="s">
        <v>3086</v>
      </c>
      <c r="B768" s="0" t="s">
        <v>3087</v>
      </c>
      <c r="C768" s="0" t="s">
        <v>70</v>
      </c>
      <c r="D768" s="0" t="s">
        <v>641</v>
      </c>
      <c r="E768" s="3" t="n">
        <v>46277</v>
      </c>
      <c r="F768" s="4" t="s">
        <v>3103</v>
      </c>
      <c r="G768" s="5" t="n">
        <v>0.118101851851852</v>
      </c>
      <c r="H768" s="5" t="n">
        <v>0.0507986111111111</v>
      </c>
      <c r="I768" s="5" t="n">
        <v>0.00375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5" t="n">
        <v>0</v>
      </c>
      <c r="P768" s="5" t="n">
        <v>0.0127083333333333</v>
      </c>
      <c r="Q768" s="4" t="s">
        <v>3104</v>
      </c>
      <c r="R768" s="4" t="s">
        <v>1199</v>
      </c>
      <c r="S768" s="5" t="n">
        <v>0</v>
      </c>
      <c r="T768" s="5" t="n">
        <v>0.0447916666666667</v>
      </c>
      <c r="U768" s="5" t="n">
        <v>0.0645833333333333</v>
      </c>
      <c r="V768" s="5" t="n">
        <v>0.00659722222222222</v>
      </c>
      <c r="W768" s="5" t="n">
        <v>0</v>
      </c>
      <c r="X768" s="5" t="n">
        <v>0</v>
      </c>
      <c r="Y768" s="5" t="n">
        <v>0</v>
      </c>
      <c r="Z768" s="0" t="n">
        <v>0</v>
      </c>
      <c r="AA768" s="0" t="n">
        <v>0</v>
      </c>
      <c r="AB768" s="0" t="n">
        <v>0</v>
      </c>
      <c r="AC768" s="4" t="s">
        <v>614</v>
      </c>
      <c r="AD768" s="4" t="s">
        <v>152</v>
      </c>
      <c r="AE768" s="4" t="s">
        <v>3102</v>
      </c>
      <c r="AF768" s="4" t="s">
        <v>3105</v>
      </c>
      <c r="AG768" s="5" t="n">
        <v>0.0945138888888889</v>
      </c>
      <c r="AH768" s="5" t="n">
        <v>0.0718981481481481</v>
      </c>
      <c r="AI768" s="5" t="n">
        <v>0</v>
      </c>
      <c r="AJ768" s="5" t="n">
        <v>0</v>
      </c>
      <c r="AK768" s="5" t="n">
        <v>0</v>
      </c>
      <c r="AL768" s="5" t="n">
        <v>0</v>
      </c>
      <c r="AM768" s="4" t="s">
        <v>78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  <c r="AU768" s="0" t="n">
        <v>0</v>
      </c>
      <c r="AV768" s="0" t="n">
        <v>0</v>
      </c>
      <c r="AW768" s="0" t="n">
        <v>0</v>
      </c>
      <c r="AX768" s="0" t="n">
        <v>0</v>
      </c>
      <c r="AY768" s="0" t="n">
        <v>0</v>
      </c>
      <c r="AZ768" s="0" t="n">
        <v>0</v>
      </c>
      <c r="BA768" s="0" t="n">
        <v>0</v>
      </c>
      <c r="BB768" s="0" t="n">
        <v>0</v>
      </c>
      <c r="BC768" s="0" t="n">
        <v>0</v>
      </c>
      <c r="BD768" s="0" t="n">
        <v>0</v>
      </c>
      <c r="BE768" s="0" t="n">
        <v>0</v>
      </c>
      <c r="BF768" s="0" t="n">
        <v>0</v>
      </c>
      <c r="BG768" s="0" t="n">
        <v>0</v>
      </c>
      <c r="BH768" s="0" t="n">
        <v>0</v>
      </c>
      <c r="BI768" s="0" t="n">
        <v>0</v>
      </c>
      <c r="BJ768" s="0" t="n">
        <v>0</v>
      </c>
      <c r="BK768" s="0" t="n">
        <v>0</v>
      </c>
      <c r="BM768" s="6" t="n">
        <f aca="false">IFERROR(VALUE(F768),"")</f>
        <v>107.02</v>
      </c>
      <c r="BN768" s="6" t="n">
        <f aca="false">IF(R768="-","",IFERROR(VALUE(LEFT(Q768,LEN(Q768)-2)),""))</f>
        <v>36.99</v>
      </c>
      <c r="BO768" s="6" t="n">
        <f aca="false">IF(R768="-","",IFERROR(VALUE(LEFT(R768,LEN(R768)-5)),""))</f>
        <v>2.89</v>
      </c>
      <c r="BP768" s="6" t="n">
        <f aca="false">IF(R768="-","",IFERROR(VALUE(F768),""))</f>
        <v>107.02</v>
      </c>
      <c r="BQ768" s="4" t="n">
        <f aca="false">IF(R768="-",1,0)</f>
        <v>0</v>
      </c>
    </row>
    <row r="769" customFormat="false" ht="15" hidden="false" customHeight="false" outlineLevel="0" collapsed="false">
      <c r="A769" s="0" t="s">
        <v>3086</v>
      </c>
      <c r="B769" s="0" t="s">
        <v>3087</v>
      </c>
      <c r="C769" s="0" t="s">
        <v>70</v>
      </c>
      <c r="E769" s="3" t="n">
        <v>46278</v>
      </c>
      <c r="F769" s="4" t="s">
        <v>95</v>
      </c>
      <c r="G769" s="5" t="n">
        <v>0.00579861111111111</v>
      </c>
      <c r="H769" s="5" t="n">
        <v>0</v>
      </c>
      <c r="I769" s="5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5" t="n">
        <v>0</v>
      </c>
      <c r="P769" s="5" t="n">
        <v>0</v>
      </c>
      <c r="Q769" s="4" t="s">
        <v>2101</v>
      </c>
      <c r="R769" s="4" t="s">
        <v>454</v>
      </c>
      <c r="S769" s="5" t="n">
        <v>0</v>
      </c>
      <c r="T769" s="5" t="n">
        <v>0.0056712962962963</v>
      </c>
      <c r="U769" s="5" t="n">
        <v>0</v>
      </c>
      <c r="V769" s="5" t="n">
        <v>0</v>
      </c>
      <c r="W769" s="5" t="n">
        <v>0</v>
      </c>
      <c r="X769" s="5" t="n">
        <v>0</v>
      </c>
      <c r="Y769" s="5" t="n">
        <v>0</v>
      </c>
      <c r="Z769" s="0" t="n">
        <v>0</v>
      </c>
      <c r="AA769" s="0" t="n">
        <v>0</v>
      </c>
      <c r="AB769" s="0" t="n">
        <v>0</v>
      </c>
      <c r="AC769" s="4" t="s">
        <v>159</v>
      </c>
      <c r="AD769" s="4" t="s">
        <v>152</v>
      </c>
      <c r="AE769" s="4" t="s">
        <v>3105</v>
      </c>
      <c r="AF769" s="4" t="s">
        <v>3105</v>
      </c>
      <c r="AG769" s="5" t="n">
        <v>0</v>
      </c>
      <c r="AH769" s="5" t="n">
        <v>0.0403587962962963</v>
      </c>
      <c r="AI769" s="5" t="n">
        <v>0</v>
      </c>
      <c r="AJ769" s="5" t="n">
        <v>0</v>
      </c>
      <c r="AK769" s="5" t="n">
        <v>0</v>
      </c>
      <c r="AL769" s="5" t="n">
        <v>0</v>
      </c>
      <c r="AM769" s="4" t="s">
        <v>78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0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0" t="n">
        <v>0</v>
      </c>
      <c r="BE769" s="0" t="n">
        <v>0</v>
      </c>
      <c r="BF769" s="0" t="n">
        <v>0</v>
      </c>
      <c r="BG769" s="0" t="n">
        <v>0</v>
      </c>
      <c r="BH769" s="0" t="n">
        <v>0</v>
      </c>
      <c r="BI769" s="0" t="n">
        <v>0</v>
      </c>
      <c r="BJ769" s="0" t="n">
        <v>0</v>
      </c>
      <c r="BK769" s="0" t="n">
        <v>0</v>
      </c>
      <c r="BM769" s="6" t="n">
        <f aca="false">IFERROR(VALUE(F769),"")</f>
        <v>0</v>
      </c>
      <c r="BN769" s="6" t="n">
        <f aca="false">IF(R769="-","",IFERROR(VALUE(LEFT(Q769,LEN(Q769)-2)),""))</f>
        <v>0.51</v>
      </c>
      <c r="BO769" s="6" t="n">
        <f aca="false">IF(R769="-","",IFERROR(VALUE(LEFT(R769,LEN(R769)-5)),""))</f>
        <v>0</v>
      </c>
      <c r="BP769" s="6" t="n">
        <f aca="false">IF(R769="-","",IFERROR(VALUE(F769),""))</f>
        <v>0</v>
      </c>
      <c r="BQ769" s="4" t="n">
        <f aca="false">IF(R769="-",1,0)</f>
        <v>0</v>
      </c>
    </row>
    <row r="770" customFormat="false" ht="15" hidden="false" customHeight="false" outlineLevel="0" collapsed="false">
      <c r="A770" s="0" t="s">
        <v>3086</v>
      </c>
      <c r="B770" s="0" t="s">
        <v>3087</v>
      </c>
      <c r="C770" s="0" t="s">
        <v>70</v>
      </c>
      <c r="E770" s="3" t="n">
        <v>46279</v>
      </c>
      <c r="F770" s="4" t="s">
        <v>3106</v>
      </c>
      <c r="G770" s="5" t="n">
        <v>0.148935185185185</v>
      </c>
      <c r="H770" s="5" t="n">
        <v>0</v>
      </c>
      <c r="I770" s="5" t="n">
        <v>0.0090162037037037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5" t="n">
        <v>0</v>
      </c>
      <c r="P770" s="5" t="n">
        <v>0.021087962962963</v>
      </c>
      <c r="Q770" s="4" t="s">
        <v>2057</v>
      </c>
      <c r="R770" s="4" t="s">
        <v>1169</v>
      </c>
      <c r="S770" s="5" t="n">
        <v>0.000231481481481482</v>
      </c>
      <c r="T770" s="5" t="n">
        <v>0.0653935185185185</v>
      </c>
      <c r="U770" s="5" t="n">
        <v>0.06875</v>
      </c>
      <c r="V770" s="5" t="n">
        <v>0.0113425925925926</v>
      </c>
      <c r="W770" s="5" t="n">
        <v>0</v>
      </c>
      <c r="X770" s="5" t="n">
        <v>0</v>
      </c>
      <c r="Y770" s="5" t="n">
        <v>0</v>
      </c>
      <c r="Z770" s="0" t="n">
        <v>0</v>
      </c>
      <c r="AA770" s="0" t="n">
        <v>0</v>
      </c>
      <c r="AB770" s="0" t="n">
        <v>0</v>
      </c>
      <c r="AC770" s="4" t="s">
        <v>159</v>
      </c>
      <c r="AD770" s="4" t="s">
        <v>614</v>
      </c>
      <c r="AE770" s="4" t="s">
        <v>3105</v>
      </c>
      <c r="AF770" s="4" t="s">
        <v>3107</v>
      </c>
      <c r="AG770" s="5" t="n">
        <v>0.11431712962963</v>
      </c>
      <c r="AH770" s="5" t="n">
        <v>0.0653587962962963</v>
      </c>
      <c r="AI770" s="5" t="n">
        <v>0</v>
      </c>
      <c r="AJ770" s="5" t="n">
        <v>0</v>
      </c>
      <c r="AK770" s="5" t="n">
        <v>0</v>
      </c>
      <c r="AL770" s="5" t="n">
        <v>0</v>
      </c>
      <c r="AM770" s="4" t="s">
        <v>78</v>
      </c>
      <c r="AN770" s="0" t="n">
        <v>0</v>
      </c>
      <c r="AO770" s="0" t="n">
        <v>1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n">
        <v>0</v>
      </c>
      <c r="AW770" s="0" t="n">
        <v>0</v>
      </c>
      <c r="AX770" s="0" t="n">
        <v>0</v>
      </c>
      <c r="AY770" s="0" t="n">
        <v>0</v>
      </c>
      <c r="AZ770" s="0" t="n">
        <v>0</v>
      </c>
      <c r="BA770" s="0" t="n">
        <v>0</v>
      </c>
      <c r="BB770" s="0" t="n">
        <v>0</v>
      </c>
      <c r="BC770" s="0" t="n">
        <v>0</v>
      </c>
      <c r="BD770" s="0" t="n">
        <v>2</v>
      </c>
      <c r="BE770" s="0" t="n">
        <v>0</v>
      </c>
      <c r="BF770" s="0" t="n">
        <v>0</v>
      </c>
      <c r="BG770" s="0" t="n">
        <v>0</v>
      </c>
      <c r="BH770" s="0" t="n">
        <v>0</v>
      </c>
      <c r="BI770" s="0" t="n">
        <v>0</v>
      </c>
      <c r="BJ770" s="0" t="n">
        <v>0</v>
      </c>
      <c r="BK770" s="0" t="n">
        <v>0</v>
      </c>
      <c r="BM770" s="6" t="n">
        <f aca="false">IFERROR(VALUE(F770),"")</f>
        <v>118.38</v>
      </c>
      <c r="BN770" s="6" t="n">
        <f aca="false">IF(R770="-","",IFERROR(VALUE(LEFT(Q770,LEN(Q770)-2)),""))</f>
        <v>44.99</v>
      </c>
      <c r="BO770" s="6" t="n">
        <f aca="false">IF(R770="-","",IFERROR(VALUE(LEFT(R770,LEN(R770)-5)),""))</f>
        <v>2.63</v>
      </c>
      <c r="BP770" s="6" t="n">
        <f aca="false">IF(R770="-","",IFERROR(VALUE(F770),""))</f>
        <v>118.38</v>
      </c>
      <c r="BQ770" s="4" t="n">
        <f aca="false">IF(R770="-",1,0)</f>
        <v>0</v>
      </c>
    </row>
    <row r="771" customFormat="false" ht="15" hidden="false" customHeight="false" outlineLevel="0" collapsed="false">
      <c r="A771" s="0" t="s">
        <v>3108</v>
      </c>
      <c r="B771" s="0" t="s">
        <v>3109</v>
      </c>
      <c r="C771" s="0" t="s">
        <v>70</v>
      </c>
      <c r="D771" s="0" t="s">
        <v>2567</v>
      </c>
      <c r="E771" s="3" t="n">
        <v>46273</v>
      </c>
      <c r="F771" s="4" t="s">
        <v>3110</v>
      </c>
      <c r="G771" s="5" t="n">
        <v>0.165439814814815</v>
      </c>
      <c r="H771" s="5" t="n">
        <v>0.204490740740741</v>
      </c>
      <c r="I771" s="5" t="n">
        <v>0.00233796296296296</v>
      </c>
      <c r="J771" s="0" t="n">
        <v>0</v>
      </c>
      <c r="K771" s="0" t="n">
        <v>1</v>
      </c>
      <c r="L771" s="0" t="n">
        <v>0</v>
      </c>
      <c r="M771" s="0" t="n">
        <v>0</v>
      </c>
      <c r="N771" s="0" t="n">
        <v>4</v>
      </c>
      <c r="O771" s="5" t="n">
        <v>0</v>
      </c>
      <c r="P771" s="5" t="n">
        <v>0</v>
      </c>
      <c r="Q771" s="4" t="s">
        <v>3111</v>
      </c>
      <c r="R771" s="4" t="s">
        <v>1341</v>
      </c>
      <c r="S771" s="5" t="n">
        <v>0</v>
      </c>
      <c r="T771" s="5" t="n">
        <v>0.0722222222222222</v>
      </c>
      <c r="U771" s="5" t="n">
        <v>0.0791666666666667</v>
      </c>
      <c r="V771" s="5" t="n">
        <v>0.0461805555555556</v>
      </c>
      <c r="W771" s="5" t="n">
        <v>0</v>
      </c>
      <c r="X771" s="5" t="n">
        <v>0</v>
      </c>
      <c r="Y771" s="5" t="n">
        <v>0</v>
      </c>
      <c r="Z771" s="0" t="n">
        <v>0</v>
      </c>
      <c r="AA771" s="0" t="n">
        <v>0</v>
      </c>
      <c r="AB771" s="0" t="n">
        <v>0</v>
      </c>
      <c r="AC771" s="4" t="s">
        <v>75</v>
      </c>
      <c r="AD771" s="4" t="s">
        <v>228</v>
      </c>
      <c r="AE771" s="4" t="s">
        <v>3112</v>
      </c>
      <c r="AF771" s="4" t="s">
        <v>3113</v>
      </c>
      <c r="AG771" s="5" t="n">
        <v>0.187696759259259</v>
      </c>
      <c r="AH771" s="5" t="n">
        <v>0.100451388888889</v>
      </c>
      <c r="AI771" s="5" t="n">
        <v>0.00265046296296296</v>
      </c>
      <c r="AJ771" s="5" t="n">
        <v>0</v>
      </c>
      <c r="AK771" s="5" t="n">
        <v>0</v>
      </c>
      <c r="AL771" s="5" t="n">
        <v>0</v>
      </c>
      <c r="AM771" s="4" t="s">
        <v>78</v>
      </c>
      <c r="AN771" s="0" t="n">
        <v>0</v>
      </c>
      <c r="AO771" s="0" t="n">
        <v>1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0</v>
      </c>
      <c r="AU771" s="0" t="n">
        <v>1</v>
      </c>
      <c r="AV771" s="0" t="n">
        <v>0</v>
      </c>
      <c r="AW771" s="0" t="n">
        <v>0</v>
      </c>
      <c r="AX771" s="0" t="n">
        <v>0</v>
      </c>
      <c r="AY771" s="0" t="n">
        <v>0</v>
      </c>
      <c r="AZ771" s="0" t="n">
        <v>0</v>
      </c>
      <c r="BA771" s="0" t="n">
        <v>0</v>
      </c>
      <c r="BB771" s="0" t="n">
        <v>0</v>
      </c>
      <c r="BC771" s="0" t="n">
        <v>0</v>
      </c>
      <c r="BD771" s="0" t="n">
        <v>0</v>
      </c>
      <c r="BE771" s="0" t="n">
        <v>0</v>
      </c>
      <c r="BF771" s="0" t="n">
        <v>0</v>
      </c>
      <c r="BG771" s="0" t="n">
        <v>0</v>
      </c>
      <c r="BH771" s="0" t="n">
        <v>0</v>
      </c>
      <c r="BI771" s="0" t="n">
        <v>0</v>
      </c>
      <c r="BJ771" s="0" t="n">
        <v>0</v>
      </c>
      <c r="BK771" s="0" t="n">
        <v>0</v>
      </c>
      <c r="BM771" s="6" t="n">
        <f aca="false">IFERROR(VALUE(F771),"")</f>
        <v>95.89</v>
      </c>
      <c r="BN771" s="6" t="n">
        <f aca="false">IF(R771="-","",IFERROR(VALUE(LEFT(Q771,LEN(Q771)-2)),""))</f>
        <v>31.94</v>
      </c>
      <c r="BO771" s="6" t="n">
        <f aca="false">IF(R771="-","",IFERROR(VALUE(LEFT(R771,LEN(R771)-5)),""))</f>
        <v>3</v>
      </c>
      <c r="BP771" s="6" t="n">
        <f aca="false">IF(R771="-","",IFERROR(VALUE(F771),""))</f>
        <v>95.89</v>
      </c>
      <c r="BQ771" s="4" t="n">
        <f aca="false">IF(R771="-",1,0)</f>
        <v>0</v>
      </c>
    </row>
    <row r="772" customFormat="false" ht="15" hidden="false" customHeight="false" outlineLevel="0" collapsed="false">
      <c r="A772" s="0" t="s">
        <v>3108</v>
      </c>
      <c r="B772" s="0" t="s">
        <v>3109</v>
      </c>
      <c r="C772" s="0" t="s">
        <v>70</v>
      </c>
      <c r="D772" s="0" t="s">
        <v>3114</v>
      </c>
      <c r="E772" s="3" t="n">
        <v>46274</v>
      </c>
      <c r="F772" s="4" t="s">
        <v>3115</v>
      </c>
      <c r="G772" s="5" t="n">
        <v>0.216979166666667</v>
      </c>
      <c r="H772" s="5" t="n">
        <v>0.207673611111111</v>
      </c>
      <c r="I772" s="5" t="n">
        <v>0.0030787037037037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5</v>
      </c>
      <c r="O772" s="5" t="n">
        <v>0</v>
      </c>
      <c r="P772" s="5" t="n">
        <v>0</v>
      </c>
      <c r="Q772" s="4" t="s">
        <v>3116</v>
      </c>
      <c r="R772" s="4" t="s">
        <v>2606</v>
      </c>
      <c r="S772" s="5" t="n">
        <v>0</v>
      </c>
      <c r="T772" s="5" t="n">
        <v>0.077662037037037</v>
      </c>
      <c r="U772" s="5" t="n">
        <v>0.0744212962962963</v>
      </c>
      <c r="V772" s="5" t="n">
        <v>0.0530092592592593</v>
      </c>
      <c r="W772" s="5" t="n">
        <v>0</v>
      </c>
      <c r="X772" s="5" t="n">
        <v>0</v>
      </c>
      <c r="Y772" s="5" t="n">
        <v>0</v>
      </c>
      <c r="Z772" s="0" t="n">
        <v>0</v>
      </c>
      <c r="AA772" s="0" t="n">
        <v>0</v>
      </c>
      <c r="AB772" s="0" t="n">
        <v>0</v>
      </c>
      <c r="AC772" s="4" t="s">
        <v>75</v>
      </c>
      <c r="AD772" s="4" t="s">
        <v>75</v>
      </c>
      <c r="AE772" s="4" t="s">
        <v>3113</v>
      </c>
      <c r="AF772" s="4" t="s">
        <v>3117</v>
      </c>
      <c r="AG772" s="5" t="n">
        <v>0.192650462962963</v>
      </c>
      <c r="AH772" s="5" t="n">
        <v>0.0470023148148148</v>
      </c>
      <c r="AI772" s="5" t="n">
        <v>0.00109953703703704</v>
      </c>
      <c r="AJ772" s="5" t="n">
        <v>0</v>
      </c>
      <c r="AK772" s="5" t="n">
        <v>0</v>
      </c>
      <c r="AL772" s="5" t="n">
        <v>0</v>
      </c>
      <c r="AM772" s="4" t="s">
        <v>78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0</v>
      </c>
      <c r="AT772" s="0" t="n">
        <v>0</v>
      </c>
      <c r="AU772" s="0" t="n">
        <v>4</v>
      </c>
      <c r="AV772" s="0" t="n">
        <v>0</v>
      </c>
      <c r="AW772" s="0" t="n">
        <v>0</v>
      </c>
      <c r="AX772" s="0" t="n">
        <v>0</v>
      </c>
      <c r="AY772" s="0" t="n">
        <v>0</v>
      </c>
      <c r="AZ772" s="0" t="n">
        <v>0</v>
      </c>
      <c r="BA772" s="0" t="n">
        <v>0</v>
      </c>
      <c r="BB772" s="0" t="n">
        <v>0</v>
      </c>
      <c r="BC772" s="0" t="n">
        <v>0</v>
      </c>
      <c r="BD772" s="0" t="n">
        <v>0</v>
      </c>
      <c r="BE772" s="0" t="n">
        <v>0</v>
      </c>
      <c r="BF772" s="0" t="n">
        <v>0</v>
      </c>
      <c r="BG772" s="0" t="n">
        <v>0</v>
      </c>
      <c r="BH772" s="0" t="n">
        <v>0</v>
      </c>
      <c r="BI772" s="0" t="n">
        <v>0</v>
      </c>
      <c r="BJ772" s="0" t="n">
        <v>0</v>
      </c>
      <c r="BK772" s="0" t="n">
        <v>0</v>
      </c>
      <c r="BM772" s="6" t="n">
        <f aca="false">IFERROR(VALUE(F772),"")</f>
        <v>96.63</v>
      </c>
      <c r="BN772" s="6" t="n">
        <f aca="false">IF(R772="-","",IFERROR(VALUE(LEFT(Q772,LEN(Q772)-2)),""))</f>
        <v>37.06</v>
      </c>
      <c r="BO772" s="6" t="n">
        <f aca="false">IF(R772="-","",IFERROR(VALUE(LEFT(R772,LEN(R772)-5)),""))</f>
        <v>2.61</v>
      </c>
      <c r="BP772" s="6" t="n">
        <f aca="false">IF(R772="-","",IFERROR(VALUE(F772),""))</f>
        <v>96.63</v>
      </c>
      <c r="BQ772" s="4" t="n">
        <f aca="false">IF(R772="-",1,0)</f>
        <v>0</v>
      </c>
    </row>
    <row r="773" customFormat="false" ht="15" hidden="false" customHeight="false" outlineLevel="0" collapsed="false">
      <c r="A773" s="0" t="s">
        <v>3108</v>
      </c>
      <c r="B773" s="0" t="s">
        <v>3109</v>
      </c>
      <c r="C773" s="0" t="s">
        <v>70</v>
      </c>
      <c r="D773" s="0" t="s">
        <v>3118</v>
      </c>
      <c r="E773" s="3" t="n">
        <v>46275</v>
      </c>
      <c r="F773" s="4" t="s">
        <v>3119</v>
      </c>
      <c r="G773" s="5" t="n">
        <v>0.346516203703704</v>
      </c>
      <c r="H773" s="5" t="n">
        <v>0.0971180555555556</v>
      </c>
      <c r="I773" s="5" t="n">
        <v>0.00273148148148148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5</v>
      </c>
      <c r="O773" s="5" t="n">
        <v>0</v>
      </c>
      <c r="P773" s="5" t="n">
        <v>0</v>
      </c>
      <c r="Q773" s="4" t="s">
        <v>3120</v>
      </c>
      <c r="R773" s="4" t="s">
        <v>1944</v>
      </c>
      <c r="S773" s="5" t="n">
        <v>0</v>
      </c>
      <c r="T773" s="5" t="n">
        <v>0.0716435185185185</v>
      </c>
      <c r="U773" s="5" t="n">
        <v>0.065625</v>
      </c>
      <c r="V773" s="5" t="n">
        <v>0.0621527777777778</v>
      </c>
      <c r="W773" s="5" t="n">
        <v>0</v>
      </c>
      <c r="X773" s="5" t="n">
        <v>0</v>
      </c>
      <c r="Y773" s="5" t="n">
        <v>0</v>
      </c>
      <c r="Z773" s="0" t="n">
        <v>0</v>
      </c>
      <c r="AA773" s="0" t="n">
        <v>0</v>
      </c>
      <c r="AB773" s="0" t="n">
        <v>0</v>
      </c>
      <c r="AC773" s="4" t="s">
        <v>75</v>
      </c>
      <c r="AD773" s="4" t="s">
        <v>228</v>
      </c>
      <c r="AE773" s="4" t="s">
        <v>3117</v>
      </c>
      <c r="AF773" s="4" t="s">
        <v>3121</v>
      </c>
      <c r="AG773" s="5" t="n">
        <v>0.185509259259259</v>
      </c>
      <c r="AH773" s="5" t="n">
        <v>0.217893518518519</v>
      </c>
      <c r="AI773" s="5" t="n">
        <v>0.00145833333333333</v>
      </c>
      <c r="AJ773" s="5" t="n">
        <v>0</v>
      </c>
      <c r="AK773" s="5" t="n">
        <v>0</v>
      </c>
      <c r="AL773" s="5" t="n">
        <v>0</v>
      </c>
      <c r="AM773" s="4" t="s">
        <v>78</v>
      </c>
      <c r="AN773" s="0" t="n">
        <v>0</v>
      </c>
      <c r="AO773" s="0" t="n">
        <v>0</v>
      </c>
      <c r="AP773" s="0" t="n">
        <v>0</v>
      </c>
      <c r="AQ773" s="0" t="n">
        <v>0</v>
      </c>
      <c r="AR773" s="0" t="n">
        <v>0</v>
      </c>
      <c r="AS773" s="0" t="n">
        <v>0</v>
      </c>
      <c r="AT773" s="0" t="n">
        <v>0</v>
      </c>
      <c r="AU773" s="0" t="n">
        <v>5</v>
      </c>
      <c r="AV773" s="0" t="n">
        <v>0</v>
      </c>
      <c r="AW773" s="0" t="n">
        <v>0</v>
      </c>
      <c r="AX773" s="0" t="n">
        <v>0</v>
      </c>
      <c r="AY773" s="0" t="n">
        <v>0</v>
      </c>
      <c r="AZ773" s="0" t="n">
        <v>0</v>
      </c>
      <c r="BA773" s="0" t="n">
        <v>0</v>
      </c>
      <c r="BB773" s="0" t="n">
        <v>0</v>
      </c>
      <c r="BC773" s="0" t="n">
        <v>0</v>
      </c>
      <c r="BD773" s="0" t="n">
        <v>0</v>
      </c>
      <c r="BE773" s="0" t="n">
        <v>0</v>
      </c>
      <c r="BF773" s="0" t="n">
        <v>0</v>
      </c>
      <c r="BG773" s="0" t="n">
        <v>0</v>
      </c>
      <c r="BH773" s="0" t="n">
        <v>0</v>
      </c>
      <c r="BI773" s="0" t="n">
        <v>0</v>
      </c>
      <c r="BJ773" s="0" t="n">
        <v>0</v>
      </c>
      <c r="BK773" s="0" t="n">
        <v>0</v>
      </c>
      <c r="BM773" s="6" t="n">
        <f aca="false">IFERROR(VALUE(F773),"")</f>
        <v>94.14</v>
      </c>
      <c r="BN773" s="6" t="n">
        <f aca="false">IF(R773="-","",IFERROR(VALUE(LEFT(Q773,LEN(Q773)-2)),""))</f>
        <v>34.3</v>
      </c>
      <c r="BO773" s="6" t="n">
        <f aca="false">IF(R773="-","",IFERROR(VALUE(LEFT(R773,LEN(R773)-5)),""))</f>
        <v>2.74</v>
      </c>
      <c r="BP773" s="6" t="n">
        <f aca="false">IF(R773="-","",IFERROR(VALUE(F773),""))</f>
        <v>94.14</v>
      </c>
      <c r="BQ773" s="4" t="n">
        <f aca="false">IF(R773="-",1,0)</f>
        <v>0</v>
      </c>
    </row>
    <row r="774" customFormat="false" ht="15" hidden="false" customHeight="false" outlineLevel="0" collapsed="false">
      <c r="A774" s="0" t="s">
        <v>3108</v>
      </c>
      <c r="B774" s="0" t="s">
        <v>3109</v>
      </c>
      <c r="C774" s="0" t="s">
        <v>70</v>
      </c>
      <c r="D774" s="0" t="s">
        <v>3122</v>
      </c>
      <c r="E774" s="3" t="n">
        <v>46276</v>
      </c>
      <c r="F774" s="4" t="s">
        <v>3123</v>
      </c>
      <c r="G774" s="5" t="n">
        <v>0.292337962962963</v>
      </c>
      <c r="H774" s="5" t="n">
        <v>0.257291666666667</v>
      </c>
      <c r="I774" s="5" t="n">
        <v>0.000138888888888889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5" t="n">
        <v>0</v>
      </c>
      <c r="P774" s="5" t="n">
        <v>0.00988425925925926</v>
      </c>
      <c r="Q774" s="4" t="s">
        <v>3124</v>
      </c>
      <c r="R774" s="4" t="s">
        <v>3125</v>
      </c>
      <c r="S774" s="5" t="n">
        <v>0</v>
      </c>
      <c r="T774" s="5" t="n">
        <v>0.05</v>
      </c>
      <c r="U774" s="5" t="n">
        <v>0.0269675925925926</v>
      </c>
      <c r="V774" s="5" t="n">
        <v>0.184884259259259</v>
      </c>
      <c r="W774" s="5" t="n">
        <v>0.00112268518518519</v>
      </c>
      <c r="X774" s="5" t="n">
        <v>0</v>
      </c>
      <c r="Y774" s="5" t="n">
        <v>8.10185185185185E-005</v>
      </c>
      <c r="Z774" s="0" t="n">
        <v>0</v>
      </c>
      <c r="AA774" s="0" t="n">
        <v>0</v>
      </c>
      <c r="AB774" s="0" t="n">
        <v>0</v>
      </c>
      <c r="AC774" s="4" t="s">
        <v>228</v>
      </c>
      <c r="AD774" s="4" t="s">
        <v>228</v>
      </c>
      <c r="AE774" s="4" t="s">
        <v>3121</v>
      </c>
      <c r="AF774" s="4" t="s">
        <v>3126</v>
      </c>
      <c r="AG774" s="5" t="n">
        <v>0.24255787037037</v>
      </c>
      <c r="AH774" s="5" t="n">
        <v>0.117685185185185</v>
      </c>
      <c r="AI774" s="5" t="n">
        <v>0.000972222222222222</v>
      </c>
      <c r="AJ774" s="5" t="n">
        <v>0</v>
      </c>
      <c r="AK774" s="5" t="n">
        <v>0</v>
      </c>
      <c r="AL774" s="5" t="n">
        <v>0</v>
      </c>
      <c r="AM774" s="4" t="s">
        <v>78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  <c r="AV774" s="0" t="n">
        <v>0</v>
      </c>
      <c r="AW774" s="0" t="n">
        <v>0</v>
      </c>
      <c r="AX774" s="0" t="n">
        <v>0</v>
      </c>
      <c r="AY774" s="0" t="n">
        <v>0</v>
      </c>
      <c r="AZ774" s="0" t="n">
        <v>0</v>
      </c>
      <c r="BA774" s="0" t="n">
        <v>0</v>
      </c>
      <c r="BB774" s="0" t="n">
        <v>0</v>
      </c>
      <c r="BC774" s="0" t="n">
        <v>0</v>
      </c>
      <c r="BD774" s="0" t="n">
        <v>0</v>
      </c>
      <c r="BE774" s="0" t="n">
        <v>0</v>
      </c>
      <c r="BF774" s="0" t="n">
        <v>0</v>
      </c>
      <c r="BG774" s="0" t="n">
        <v>0</v>
      </c>
      <c r="BH774" s="0" t="n">
        <v>0</v>
      </c>
      <c r="BI774" s="0" t="n">
        <v>0</v>
      </c>
      <c r="BJ774" s="0" t="n">
        <v>0</v>
      </c>
      <c r="BK774" s="0" t="n">
        <v>0</v>
      </c>
      <c r="BM774" s="6" t="n">
        <f aca="false">IFERROR(VALUE(F774),"")</f>
        <v>316.73</v>
      </c>
      <c r="BN774" s="6" t="n">
        <f aca="false">IF(R774="-","",IFERROR(VALUE(LEFT(Q774,LEN(Q774)-2)),""))</f>
        <v>90.03</v>
      </c>
      <c r="BO774" s="6" t="n">
        <f aca="false">IF(R774="-","",IFERROR(VALUE(LEFT(R774,LEN(R774)-5)),""))</f>
        <v>3.52</v>
      </c>
      <c r="BP774" s="6" t="n">
        <f aca="false">IF(R774="-","",IFERROR(VALUE(F774),""))</f>
        <v>316.73</v>
      </c>
      <c r="BQ774" s="4" t="n">
        <f aca="false">IF(R774="-",1,0)</f>
        <v>0</v>
      </c>
    </row>
    <row r="775" customFormat="false" ht="15" hidden="false" customHeight="false" outlineLevel="0" collapsed="false">
      <c r="A775" s="0" t="s">
        <v>3108</v>
      </c>
      <c r="B775" s="0" t="s">
        <v>3109</v>
      </c>
      <c r="C775" s="0" t="s">
        <v>70</v>
      </c>
      <c r="D775" s="0" t="s">
        <v>3127</v>
      </c>
      <c r="E775" s="3" t="n">
        <v>46277</v>
      </c>
      <c r="F775" s="4" t="s">
        <v>3128</v>
      </c>
      <c r="G775" s="5" t="n">
        <v>0.169976851851852</v>
      </c>
      <c r="H775" s="5" t="n">
        <v>0.159490740740741</v>
      </c>
      <c r="I775" s="5" t="n">
        <v>3.47222222222222E-005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3</v>
      </c>
      <c r="O775" s="5" t="n">
        <v>0</v>
      </c>
      <c r="P775" s="5" t="n">
        <v>0</v>
      </c>
      <c r="Q775" s="4" t="s">
        <v>3129</v>
      </c>
      <c r="R775" s="4" t="s">
        <v>346</v>
      </c>
      <c r="S775" s="5" t="n">
        <v>0</v>
      </c>
      <c r="T775" s="5" t="n">
        <v>0.046412037037037</v>
      </c>
      <c r="U775" s="5" t="n">
        <v>0.0464583333333333</v>
      </c>
      <c r="V775" s="5" t="n">
        <v>0.07125</v>
      </c>
      <c r="W775" s="5" t="n">
        <v>0.00103009259259259</v>
      </c>
      <c r="X775" s="5" t="n">
        <v>0</v>
      </c>
      <c r="Y775" s="5" t="n">
        <v>0.000104166666666667</v>
      </c>
      <c r="Z775" s="0" t="n">
        <v>0</v>
      </c>
      <c r="AA775" s="0" t="n">
        <v>0</v>
      </c>
      <c r="AB775" s="0" t="n">
        <v>0</v>
      </c>
      <c r="AC775" s="4" t="s">
        <v>75</v>
      </c>
      <c r="AD775" s="4" t="s">
        <v>81</v>
      </c>
      <c r="AE775" s="4" t="s">
        <v>3126</v>
      </c>
      <c r="AF775" s="4" t="s">
        <v>3130</v>
      </c>
      <c r="AG775" s="5" t="n">
        <v>0.149594907407407</v>
      </c>
      <c r="AH775" s="5" t="n">
        <v>0.0729513888888889</v>
      </c>
      <c r="AI775" s="5" t="n">
        <v>0.00107638888888889</v>
      </c>
      <c r="AJ775" s="5" t="n">
        <v>0</v>
      </c>
      <c r="AK775" s="5" t="n">
        <v>0</v>
      </c>
      <c r="AL775" s="5" t="n">
        <v>0</v>
      </c>
      <c r="AM775" s="4" t="s">
        <v>78</v>
      </c>
      <c r="AN775" s="0" t="n">
        <v>0</v>
      </c>
      <c r="AO775" s="0" t="n">
        <v>0</v>
      </c>
      <c r="AP775" s="0" t="n">
        <v>0</v>
      </c>
      <c r="AQ775" s="0" t="n">
        <v>0</v>
      </c>
      <c r="AR775" s="0" t="n">
        <v>0</v>
      </c>
      <c r="AS775" s="0" t="n">
        <v>0</v>
      </c>
      <c r="AT775" s="0" t="n">
        <v>0</v>
      </c>
      <c r="AU775" s="0" t="n">
        <v>0</v>
      </c>
      <c r="AV775" s="0" t="n">
        <v>0</v>
      </c>
      <c r="AW775" s="0" t="n">
        <v>0</v>
      </c>
      <c r="AX775" s="0" t="n">
        <v>0</v>
      </c>
      <c r="AY775" s="0" t="n">
        <v>0</v>
      </c>
      <c r="AZ775" s="0" t="n">
        <v>0</v>
      </c>
      <c r="BA775" s="0" t="n">
        <v>0</v>
      </c>
      <c r="BB775" s="0" t="n">
        <v>0</v>
      </c>
      <c r="BC775" s="0" t="n">
        <v>0</v>
      </c>
      <c r="BD775" s="0" t="n">
        <v>0</v>
      </c>
      <c r="BE775" s="0" t="n">
        <v>0</v>
      </c>
      <c r="BF775" s="0" t="n">
        <v>0</v>
      </c>
      <c r="BG775" s="0" t="n">
        <v>0</v>
      </c>
      <c r="BH775" s="0" t="n">
        <v>0</v>
      </c>
      <c r="BI775" s="0" t="n">
        <v>0</v>
      </c>
      <c r="BJ775" s="0" t="n">
        <v>0</v>
      </c>
      <c r="BK775" s="0" t="n">
        <v>0</v>
      </c>
      <c r="BM775" s="6" t="n">
        <f aca="false">IFERROR(VALUE(F775),"")</f>
        <v>105.88</v>
      </c>
      <c r="BN775" s="6" t="n">
        <f aca="false">IF(R775="-","",IFERROR(VALUE(LEFT(Q775,LEN(Q775)-2)),""))</f>
        <v>35.82</v>
      </c>
      <c r="BO775" s="6" t="n">
        <f aca="false">IF(R775="-","",IFERROR(VALUE(LEFT(R775,LEN(R775)-5)),""))</f>
        <v>2.96</v>
      </c>
      <c r="BP775" s="6" t="n">
        <f aca="false">IF(R775="-","",IFERROR(VALUE(F775),""))</f>
        <v>105.88</v>
      </c>
      <c r="BQ775" s="4" t="n">
        <f aca="false">IF(R775="-",1,0)</f>
        <v>0</v>
      </c>
    </row>
    <row r="776" customFormat="false" ht="15" hidden="false" customHeight="false" outlineLevel="0" collapsed="false">
      <c r="A776" s="0" t="s">
        <v>3108</v>
      </c>
      <c r="B776" s="0" t="s">
        <v>3109</v>
      </c>
      <c r="C776" s="0" t="s">
        <v>70</v>
      </c>
      <c r="D776" s="0" t="s">
        <v>607</v>
      </c>
      <c r="E776" s="3" t="n">
        <v>46278</v>
      </c>
      <c r="F776" s="4" t="s">
        <v>3131</v>
      </c>
      <c r="G776" s="5" t="n">
        <v>0.250543981481482</v>
      </c>
      <c r="H776" s="5" t="n">
        <v>0.214861111111111</v>
      </c>
      <c r="I776" s="5" t="n">
        <v>0.000335648148148148</v>
      </c>
      <c r="J776" s="0" t="n">
        <v>0</v>
      </c>
      <c r="K776" s="0" t="n">
        <v>1</v>
      </c>
      <c r="L776" s="0" t="n">
        <v>0</v>
      </c>
      <c r="M776" s="0" t="n">
        <v>0</v>
      </c>
      <c r="N776" s="0" t="n">
        <v>1</v>
      </c>
      <c r="O776" s="5" t="n">
        <v>0</v>
      </c>
      <c r="P776" s="5" t="n">
        <v>0.0156365740740741</v>
      </c>
      <c r="Q776" s="4" t="s">
        <v>3132</v>
      </c>
      <c r="R776" s="4" t="s">
        <v>3133</v>
      </c>
      <c r="S776" s="5" t="n">
        <v>0</v>
      </c>
      <c r="T776" s="5" t="n">
        <v>0.0784722222222222</v>
      </c>
      <c r="U776" s="5" t="n">
        <v>0.0836805555555556</v>
      </c>
      <c r="V776" s="5" t="n">
        <v>0.0596064814814815</v>
      </c>
      <c r="W776" s="5" t="n">
        <v>0</v>
      </c>
      <c r="X776" s="5" t="n">
        <v>0</v>
      </c>
      <c r="Y776" s="5" t="n">
        <v>0</v>
      </c>
      <c r="Z776" s="0" t="n">
        <v>0</v>
      </c>
      <c r="AA776" s="0" t="n">
        <v>0</v>
      </c>
      <c r="AB776" s="0" t="n">
        <v>0</v>
      </c>
      <c r="AC776" s="4" t="s">
        <v>75</v>
      </c>
      <c r="AD776" s="4" t="s">
        <v>228</v>
      </c>
      <c r="AE776" s="4" t="s">
        <v>3130</v>
      </c>
      <c r="AF776" s="4" t="s">
        <v>3134</v>
      </c>
      <c r="AG776" s="5" t="n">
        <v>0.184236111111111</v>
      </c>
      <c r="AH776" s="5" t="n">
        <v>0.108611111111111</v>
      </c>
      <c r="AI776" s="5" t="n">
        <v>0</v>
      </c>
      <c r="AJ776" s="5" t="n">
        <v>0</v>
      </c>
      <c r="AK776" s="5" t="n">
        <v>0</v>
      </c>
      <c r="AL776" s="5" t="n">
        <v>0</v>
      </c>
      <c r="AM776" s="4" t="s">
        <v>78</v>
      </c>
      <c r="AN776" s="0" t="n">
        <v>0</v>
      </c>
      <c r="AO776" s="0" t="n">
        <v>0</v>
      </c>
      <c r="AP776" s="0" t="n">
        <v>0</v>
      </c>
      <c r="AQ776" s="0" t="n">
        <v>0</v>
      </c>
      <c r="AR776" s="0" t="n">
        <v>0</v>
      </c>
      <c r="AS776" s="0" t="n">
        <v>0</v>
      </c>
      <c r="AT776" s="0" t="n">
        <v>0</v>
      </c>
      <c r="AU776" s="0" t="n">
        <v>3</v>
      </c>
      <c r="AV776" s="0" t="n">
        <v>0</v>
      </c>
      <c r="AW776" s="0" t="n">
        <v>0</v>
      </c>
      <c r="AX776" s="0" t="n">
        <v>0</v>
      </c>
      <c r="AY776" s="0" t="n">
        <v>0</v>
      </c>
      <c r="AZ776" s="0" t="n">
        <v>0</v>
      </c>
      <c r="BA776" s="0" t="n">
        <v>0</v>
      </c>
      <c r="BB776" s="0" t="n">
        <v>0</v>
      </c>
      <c r="BC776" s="0" t="n">
        <v>0</v>
      </c>
      <c r="BD776" s="0" t="n">
        <v>0</v>
      </c>
      <c r="BE776" s="0" t="n">
        <v>0</v>
      </c>
      <c r="BF776" s="0" t="n">
        <v>0</v>
      </c>
      <c r="BG776" s="0" t="n">
        <v>0</v>
      </c>
      <c r="BH776" s="0" t="n">
        <v>0</v>
      </c>
      <c r="BI776" s="0" t="n">
        <v>0</v>
      </c>
      <c r="BJ776" s="0" t="n">
        <v>0</v>
      </c>
      <c r="BK776" s="0" t="n">
        <v>0</v>
      </c>
      <c r="BM776" s="6" t="n">
        <f aca="false">IFERROR(VALUE(F776),"")</f>
        <v>151.27</v>
      </c>
      <c r="BN776" s="6" t="n">
        <f aca="false">IF(R776="-","",IFERROR(VALUE(LEFT(Q776,LEN(Q776)-2)),""))</f>
        <v>42.53</v>
      </c>
      <c r="BO776" s="6" t="n">
        <f aca="false">IF(R776="-","",IFERROR(VALUE(LEFT(R776,LEN(R776)-5)),""))</f>
        <v>3.56</v>
      </c>
      <c r="BP776" s="6" t="n">
        <f aca="false">IF(R776="-","",IFERROR(VALUE(F776),""))</f>
        <v>151.27</v>
      </c>
      <c r="BQ776" s="4" t="n">
        <f aca="false">IF(R776="-",1,0)</f>
        <v>0</v>
      </c>
    </row>
    <row r="777" customFormat="false" ht="15" hidden="false" customHeight="false" outlineLevel="0" collapsed="false">
      <c r="A777" s="0" t="s">
        <v>3108</v>
      </c>
      <c r="B777" s="0" t="s">
        <v>3109</v>
      </c>
      <c r="C777" s="0" t="s">
        <v>70</v>
      </c>
      <c r="D777" s="0" t="s">
        <v>3114</v>
      </c>
      <c r="E777" s="3" t="n">
        <v>46279</v>
      </c>
      <c r="F777" s="4" t="s">
        <v>3135</v>
      </c>
      <c r="G777" s="5" t="n">
        <v>0.207708333333333</v>
      </c>
      <c r="H777" s="5" t="n">
        <v>0.203541666666667</v>
      </c>
      <c r="I777" s="5" t="n">
        <v>0.00283564814814815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4</v>
      </c>
      <c r="O777" s="5" t="n">
        <v>0</v>
      </c>
      <c r="P777" s="5" t="n">
        <v>0</v>
      </c>
      <c r="Q777" s="4" t="s">
        <v>3136</v>
      </c>
      <c r="R777" s="4" t="s">
        <v>1685</v>
      </c>
      <c r="S777" s="5" t="n">
        <v>0</v>
      </c>
      <c r="T777" s="5" t="n">
        <v>0.0694444444444445</v>
      </c>
      <c r="U777" s="5" t="n">
        <v>0.0770833333333333</v>
      </c>
      <c r="V777" s="5" t="n">
        <v>0.0500462962962963</v>
      </c>
      <c r="W777" s="5" t="n">
        <v>8.10185185185185E-005</v>
      </c>
      <c r="X777" s="5" t="n">
        <v>0</v>
      </c>
      <c r="Y777" s="5" t="n">
        <v>8.10185185185185E-005</v>
      </c>
      <c r="Z777" s="0" t="n">
        <v>0</v>
      </c>
      <c r="AA777" s="0" t="n">
        <v>0</v>
      </c>
      <c r="AB777" s="0" t="n">
        <v>0</v>
      </c>
      <c r="AC777" s="4" t="s">
        <v>75</v>
      </c>
      <c r="AD777" s="4" t="s">
        <v>75</v>
      </c>
      <c r="AE777" s="4" t="s">
        <v>3134</v>
      </c>
      <c r="AF777" s="4" t="s">
        <v>3137</v>
      </c>
      <c r="AG777" s="5" t="n">
        <v>0.188425925925926</v>
      </c>
      <c r="AH777" s="5" t="n">
        <v>0.0769328703703704</v>
      </c>
      <c r="AI777" s="5" t="n">
        <v>0.00197916666666667</v>
      </c>
      <c r="AJ777" s="5" t="n">
        <v>0</v>
      </c>
      <c r="AK777" s="5" t="n">
        <v>0</v>
      </c>
      <c r="AL777" s="5" t="n">
        <v>0</v>
      </c>
      <c r="AM777" s="4" t="s">
        <v>78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0</v>
      </c>
      <c r="AT777" s="0" t="n">
        <v>0</v>
      </c>
      <c r="AU777" s="0" t="n">
        <v>4</v>
      </c>
      <c r="AV777" s="0" t="n">
        <v>0</v>
      </c>
      <c r="AW777" s="0" t="n">
        <v>0</v>
      </c>
      <c r="AX777" s="0" t="n">
        <v>0</v>
      </c>
      <c r="AY777" s="0" t="n">
        <v>0</v>
      </c>
      <c r="AZ777" s="0" t="n">
        <v>0</v>
      </c>
      <c r="BA777" s="0" t="n">
        <v>0</v>
      </c>
      <c r="BB777" s="0" t="n">
        <v>0</v>
      </c>
      <c r="BC777" s="0" t="n">
        <v>0</v>
      </c>
      <c r="BD777" s="0" t="n">
        <v>0</v>
      </c>
      <c r="BE777" s="0" t="n">
        <v>0</v>
      </c>
      <c r="BF777" s="0" t="n">
        <v>0</v>
      </c>
      <c r="BG777" s="0" t="n">
        <v>0</v>
      </c>
      <c r="BH777" s="0" t="n">
        <v>0</v>
      </c>
      <c r="BI777" s="0" t="n">
        <v>0</v>
      </c>
      <c r="BJ777" s="0" t="n">
        <v>0</v>
      </c>
      <c r="BK777" s="0" t="n">
        <v>0</v>
      </c>
      <c r="BM777" s="6" t="n">
        <f aca="false">IFERROR(VALUE(F777),"")</f>
        <v>95.77</v>
      </c>
      <c r="BN777" s="6" t="n">
        <f aca="false">IF(R777="-","",IFERROR(VALUE(LEFT(Q777,LEN(Q777)-2)),""))</f>
        <v>36.9</v>
      </c>
      <c r="BO777" s="6" t="n">
        <f aca="false">IF(R777="-","",IFERROR(VALUE(LEFT(R777,LEN(R777)-5)),""))</f>
        <v>2.6</v>
      </c>
      <c r="BP777" s="6" t="n">
        <f aca="false">IF(R777="-","",IFERROR(VALUE(F777),""))</f>
        <v>95.77</v>
      </c>
      <c r="BQ777" s="4" t="n">
        <f aca="false">IF(R777="-",1,0)</f>
        <v>0</v>
      </c>
    </row>
    <row r="778" customFormat="false" ht="15" hidden="false" customHeight="false" outlineLevel="0" collapsed="false">
      <c r="A778" s="0" t="s">
        <v>3138</v>
      </c>
      <c r="B778" s="0" t="s">
        <v>3139</v>
      </c>
      <c r="C778" s="0" t="s">
        <v>70</v>
      </c>
      <c r="E778" s="3" t="n">
        <v>46273</v>
      </c>
      <c r="F778" s="4" t="s">
        <v>3140</v>
      </c>
      <c r="G778" s="5" t="n">
        <v>0.155428240740741</v>
      </c>
      <c r="H778" s="5" t="n">
        <v>0</v>
      </c>
      <c r="I778" s="5" t="n">
        <v>0.000127314814814815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5" t="n">
        <v>0</v>
      </c>
      <c r="P778" s="5" t="n">
        <v>0</v>
      </c>
      <c r="Q778" s="4" t="s">
        <v>3141</v>
      </c>
      <c r="R778" s="4" t="s">
        <v>283</v>
      </c>
      <c r="S778" s="5" t="n">
        <v>0.000231481481481482</v>
      </c>
      <c r="T778" s="5" t="n">
        <v>0.0689814814814815</v>
      </c>
      <c r="U778" s="5" t="n">
        <v>0.0479166666666667</v>
      </c>
      <c r="V778" s="5" t="n">
        <v>0.0275462962962963</v>
      </c>
      <c r="W778" s="5" t="n">
        <v>0</v>
      </c>
      <c r="X778" s="5" t="n">
        <v>0</v>
      </c>
      <c r="Y778" s="5" t="n">
        <v>0</v>
      </c>
      <c r="Z778" s="0" t="n">
        <v>0</v>
      </c>
      <c r="AA778" s="0" t="n">
        <v>0</v>
      </c>
      <c r="AB778" s="0" t="n">
        <v>0</v>
      </c>
      <c r="AC778" s="4" t="s">
        <v>75</v>
      </c>
      <c r="AD778" s="4" t="s">
        <v>75</v>
      </c>
      <c r="AE778" s="4" t="s">
        <v>3142</v>
      </c>
      <c r="AF778" s="4" t="s">
        <v>3143</v>
      </c>
      <c r="AG778" s="5" t="n">
        <v>0.121608796296296</v>
      </c>
      <c r="AH778" s="5" t="n">
        <v>0.0732175925925926</v>
      </c>
      <c r="AI778" s="5" t="n">
        <v>0</v>
      </c>
      <c r="AJ778" s="5" t="n">
        <v>0</v>
      </c>
      <c r="AK778" s="5" t="n">
        <v>0</v>
      </c>
      <c r="AL778" s="5" t="n">
        <v>0</v>
      </c>
      <c r="AM778" s="4" t="s">
        <v>78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  <c r="AU778" s="0" t="n">
        <v>0</v>
      </c>
      <c r="AV778" s="0" t="n">
        <v>0</v>
      </c>
      <c r="AW778" s="0" t="n">
        <v>0</v>
      </c>
      <c r="AX778" s="0" t="n">
        <v>0</v>
      </c>
      <c r="AY778" s="0" t="n">
        <v>0</v>
      </c>
      <c r="AZ778" s="0" t="n">
        <v>0</v>
      </c>
      <c r="BA778" s="0" t="n">
        <v>0</v>
      </c>
      <c r="BB778" s="0" t="n">
        <v>0</v>
      </c>
      <c r="BC778" s="0" t="n">
        <v>0</v>
      </c>
      <c r="BD778" s="0" t="n">
        <v>0</v>
      </c>
      <c r="BE778" s="0" t="n">
        <v>0</v>
      </c>
      <c r="BF778" s="0" t="n">
        <v>0</v>
      </c>
      <c r="BG778" s="0" t="n">
        <v>0</v>
      </c>
      <c r="BH778" s="0" t="n">
        <v>0</v>
      </c>
      <c r="BI778" s="0" t="n">
        <v>0</v>
      </c>
      <c r="BJ778" s="0" t="n">
        <v>0</v>
      </c>
      <c r="BK778" s="0" t="n">
        <v>0</v>
      </c>
      <c r="BM778" s="6" t="n">
        <f aca="false">IFERROR(VALUE(F778),"")</f>
        <v>57.76</v>
      </c>
      <c r="BN778" s="6" t="n">
        <f aca="false">IF(R778="-","",IFERROR(VALUE(LEFT(Q778,LEN(Q778)-2)),""))</f>
        <v>23.56</v>
      </c>
      <c r="BO778" s="6" t="n">
        <f aca="false">IF(R778="-","",IFERROR(VALUE(LEFT(R778,LEN(R778)-5)),""))</f>
        <v>2.45</v>
      </c>
      <c r="BP778" s="6" t="n">
        <f aca="false">IF(R778="-","",IFERROR(VALUE(F778),""))</f>
        <v>57.76</v>
      </c>
      <c r="BQ778" s="4" t="n">
        <f aca="false">IF(R778="-",1,0)</f>
        <v>0</v>
      </c>
    </row>
    <row r="779" customFormat="false" ht="15" hidden="false" customHeight="false" outlineLevel="0" collapsed="false">
      <c r="A779" s="0" t="s">
        <v>3138</v>
      </c>
      <c r="B779" s="0" t="s">
        <v>3139</v>
      </c>
      <c r="C779" s="0" t="s">
        <v>70</v>
      </c>
      <c r="E779" s="3" t="n">
        <v>46274</v>
      </c>
      <c r="F779" s="4" t="s">
        <v>3144</v>
      </c>
      <c r="G779" s="5" t="n">
        <v>0.16025462962963</v>
      </c>
      <c r="H779" s="5" t="n">
        <v>0</v>
      </c>
      <c r="I779" s="5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5" t="n">
        <v>0</v>
      </c>
      <c r="P779" s="5" t="n">
        <v>0</v>
      </c>
      <c r="Q779" s="4" t="s">
        <v>3145</v>
      </c>
      <c r="R779" s="4" t="s">
        <v>3146</v>
      </c>
      <c r="S779" s="5" t="n">
        <v>0</v>
      </c>
      <c r="T779" s="5" t="n">
        <v>0.075462962962963</v>
      </c>
      <c r="U779" s="5" t="n">
        <v>0.0454861111111111</v>
      </c>
      <c r="V779" s="5" t="n">
        <v>0.027662037037037</v>
      </c>
      <c r="W779" s="5" t="n">
        <v>0</v>
      </c>
      <c r="X779" s="5" t="n">
        <v>0</v>
      </c>
      <c r="Y779" s="5" t="n">
        <v>0</v>
      </c>
      <c r="Z779" s="0" t="n">
        <v>0</v>
      </c>
      <c r="AA779" s="0" t="n">
        <v>0</v>
      </c>
      <c r="AB779" s="0" t="n">
        <v>0</v>
      </c>
      <c r="AC779" s="4" t="s">
        <v>75</v>
      </c>
      <c r="AD779" s="4" t="s">
        <v>228</v>
      </c>
      <c r="AE779" s="4" t="s">
        <v>3143</v>
      </c>
      <c r="AF779" s="4" t="s">
        <v>3147</v>
      </c>
      <c r="AG779" s="5" t="n">
        <v>0.121493055555556</v>
      </c>
      <c r="AH779" s="5" t="n">
        <v>0.0804398148148148</v>
      </c>
      <c r="AI779" s="5" t="n">
        <v>0</v>
      </c>
      <c r="AJ779" s="5" t="n">
        <v>0</v>
      </c>
      <c r="AK779" s="5" t="n">
        <v>0</v>
      </c>
      <c r="AL779" s="5" t="n">
        <v>0</v>
      </c>
      <c r="AM779" s="4" t="s">
        <v>78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  <c r="AU779" s="0" t="n">
        <v>0</v>
      </c>
      <c r="AV779" s="0" t="n">
        <v>0</v>
      </c>
      <c r="AW779" s="0" t="n">
        <v>0</v>
      </c>
      <c r="AX779" s="0" t="n">
        <v>0</v>
      </c>
      <c r="AY779" s="0" t="n">
        <v>0</v>
      </c>
      <c r="AZ779" s="0" t="n">
        <v>0</v>
      </c>
      <c r="BA779" s="0" t="n">
        <v>0</v>
      </c>
      <c r="BB779" s="0" t="n">
        <v>0</v>
      </c>
      <c r="BC779" s="0" t="n">
        <v>0</v>
      </c>
      <c r="BD779" s="0" t="n">
        <v>0</v>
      </c>
      <c r="BE779" s="0" t="n">
        <v>0</v>
      </c>
      <c r="BF779" s="0" t="n">
        <v>0</v>
      </c>
      <c r="BG779" s="0" t="n">
        <v>0</v>
      </c>
      <c r="BH779" s="0" t="n">
        <v>0</v>
      </c>
      <c r="BI779" s="0" t="n">
        <v>0</v>
      </c>
      <c r="BJ779" s="0" t="n">
        <v>0</v>
      </c>
      <c r="BK779" s="0" t="n">
        <v>0</v>
      </c>
      <c r="BM779" s="6" t="n">
        <f aca="false">IFERROR(VALUE(F779),"")</f>
        <v>56.77</v>
      </c>
      <c r="BN779" s="6" t="n">
        <f aca="false">IF(R779="-","",IFERROR(VALUE(LEFT(Q779,LEN(Q779)-2)),""))</f>
        <v>24.56</v>
      </c>
      <c r="BO779" s="6" t="n">
        <f aca="false">IF(R779="-","",IFERROR(VALUE(LEFT(R779,LEN(R779)-5)),""))</f>
        <v>2.31</v>
      </c>
      <c r="BP779" s="6" t="n">
        <f aca="false">IF(R779="-","",IFERROR(VALUE(F779),""))</f>
        <v>56.77</v>
      </c>
      <c r="BQ779" s="4" t="n">
        <f aca="false">IF(R779="-",1,0)</f>
        <v>0</v>
      </c>
    </row>
    <row r="780" customFormat="false" ht="15" hidden="false" customHeight="false" outlineLevel="0" collapsed="false">
      <c r="A780" s="0" t="s">
        <v>3138</v>
      </c>
      <c r="B780" s="0" t="s">
        <v>3139</v>
      </c>
      <c r="C780" s="0" t="s">
        <v>70</v>
      </c>
      <c r="E780" s="3" t="n">
        <v>46275</v>
      </c>
      <c r="F780" s="4" t="s">
        <v>3148</v>
      </c>
      <c r="G780" s="5" t="n">
        <v>0.299027777777778</v>
      </c>
      <c r="H780" s="5" t="n">
        <v>0</v>
      </c>
      <c r="I780" s="5" t="n">
        <v>1.15740740740741E-005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5" t="n">
        <v>0</v>
      </c>
      <c r="P780" s="5" t="n">
        <v>0.00747685185185185</v>
      </c>
      <c r="Q780" s="4" t="s">
        <v>3149</v>
      </c>
      <c r="R780" s="4" t="s">
        <v>1947</v>
      </c>
      <c r="S780" s="5" t="n">
        <v>0.000347222222222222</v>
      </c>
      <c r="T780" s="5" t="n">
        <v>0.0759259259259259</v>
      </c>
      <c r="U780" s="5" t="n">
        <v>0.0497685185185185</v>
      </c>
      <c r="V780" s="5" t="n">
        <v>0.0228009259259259</v>
      </c>
      <c r="W780" s="5" t="n">
        <v>0</v>
      </c>
      <c r="X780" s="5" t="n">
        <v>0</v>
      </c>
      <c r="Y780" s="5" t="n">
        <v>0</v>
      </c>
      <c r="Z780" s="0" t="n">
        <v>0</v>
      </c>
      <c r="AA780" s="0" t="n">
        <v>0</v>
      </c>
      <c r="AB780" s="0" t="n">
        <v>0</v>
      </c>
      <c r="AC780" s="4" t="s">
        <v>75</v>
      </c>
      <c r="AD780" s="4" t="s">
        <v>228</v>
      </c>
      <c r="AE780" s="4" t="s">
        <v>3147</v>
      </c>
      <c r="AF780" s="4" t="s">
        <v>3150</v>
      </c>
      <c r="AG780" s="5" t="n">
        <v>0.116006944444444</v>
      </c>
      <c r="AH780" s="5" t="n">
        <v>0.207141203703704</v>
      </c>
      <c r="AI780" s="5" t="n">
        <v>0</v>
      </c>
      <c r="AJ780" s="5" t="n">
        <v>0</v>
      </c>
      <c r="AK780" s="5" t="n">
        <v>0</v>
      </c>
      <c r="AL780" s="5" t="n">
        <v>0</v>
      </c>
      <c r="AM780" s="4" t="s">
        <v>78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  <c r="AU780" s="0" t="n">
        <v>0</v>
      </c>
      <c r="AV780" s="0" t="n">
        <v>0</v>
      </c>
      <c r="AW780" s="0" t="n">
        <v>0</v>
      </c>
      <c r="AX780" s="0" t="n">
        <v>0</v>
      </c>
      <c r="AY780" s="0" t="n">
        <v>0</v>
      </c>
      <c r="AZ780" s="0" t="n">
        <v>0</v>
      </c>
      <c r="BA780" s="0" t="n">
        <v>0</v>
      </c>
      <c r="BB780" s="0" t="n">
        <v>0</v>
      </c>
      <c r="BC780" s="0" t="n">
        <v>0</v>
      </c>
      <c r="BD780" s="0" t="n">
        <v>0</v>
      </c>
      <c r="BE780" s="0" t="n">
        <v>0</v>
      </c>
      <c r="BF780" s="0" t="n">
        <v>0</v>
      </c>
      <c r="BG780" s="0" t="n">
        <v>0</v>
      </c>
      <c r="BH780" s="0" t="n">
        <v>0</v>
      </c>
      <c r="BI780" s="0" t="n">
        <v>0</v>
      </c>
      <c r="BJ780" s="0" t="n">
        <v>0</v>
      </c>
      <c r="BK780" s="0" t="n">
        <v>0</v>
      </c>
      <c r="BM780" s="6" t="n">
        <f aca="false">IFERROR(VALUE(F780),"")</f>
        <v>55.7</v>
      </c>
      <c r="BN780" s="6" t="n">
        <f aca="false">IF(R780="-","",IFERROR(VALUE(LEFT(Q780,LEN(Q780)-2)),""))</f>
        <v>24.5</v>
      </c>
      <c r="BO780" s="6" t="n">
        <f aca="false">IF(R780="-","",IFERROR(VALUE(LEFT(R780,LEN(R780)-5)),""))</f>
        <v>2.27</v>
      </c>
      <c r="BP780" s="6" t="n">
        <f aca="false">IF(R780="-","",IFERROR(VALUE(F780),""))</f>
        <v>55.7</v>
      </c>
      <c r="BQ780" s="4" t="n">
        <f aca="false">IF(R780="-",1,0)</f>
        <v>0</v>
      </c>
    </row>
    <row r="781" customFormat="false" ht="15" hidden="false" customHeight="false" outlineLevel="0" collapsed="false">
      <c r="A781" s="0" t="s">
        <v>3138</v>
      </c>
      <c r="B781" s="0" t="s">
        <v>3139</v>
      </c>
      <c r="C781" s="0" t="s">
        <v>70</v>
      </c>
      <c r="E781" s="3" t="n">
        <v>46276</v>
      </c>
      <c r="F781" s="4" t="s">
        <v>3151</v>
      </c>
      <c r="G781" s="5" t="n">
        <v>0.147349537037037</v>
      </c>
      <c r="H781" s="5" t="n">
        <v>0</v>
      </c>
      <c r="I781" s="5" t="n">
        <v>4.62962962962963E-005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5" t="n">
        <v>0</v>
      </c>
      <c r="P781" s="5" t="n">
        <v>0</v>
      </c>
      <c r="Q781" s="4" t="s">
        <v>3152</v>
      </c>
      <c r="R781" s="4" t="s">
        <v>2803</v>
      </c>
      <c r="S781" s="5" t="n">
        <v>0</v>
      </c>
      <c r="T781" s="5" t="n">
        <v>0.0686342592592593</v>
      </c>
      <c r="U781" s="5" t="n">
        <v>0.0467592592592593</v>
      </c>
      <c r="V781" s="5" t="n">
        <v>0.027662037037037</v>
      </c>
      <c r="W781" s="5" t="n">
        <v>0</v>
      </c>
      <c r="X781" s="5" t="n">
        <v>0</v>
      </c>
      <c r="Y781" s="5" t="n">
        <v>0</v>
      </c>
      <c r="Z781" s="0" t="n">
        <v>0</v>
      </c>
      <c r="AA781" s="0" t="n">
        <v>0</v>
      </c>
      <c r="AB781" s="0" t="n">
        <v>0</v>
      </c>
      <c r="AC781" s="4" t="s">
        <v>228</v>
      </c>
      <c r="AD781" s="4" t="s">
        <v>75</v>
      </c>
      <c r="AE781" s="4" t="s">
        <v>3150</v>
      </c>
      <c r="AF781" s="4" t="s">
        <v>3153</v>
      </c>
      <c r="AG781" s="5" t="n">
        <v>0.115555555555556</v>
      </c>
      <c r="AH781" s="5" t="n">
        <v>0.0833680555555556</v>
      </c>
      <c r="AI781" s="5" t="n">
        <v>0</v>
      </c>
      <c r="AJ781" s="5" t="n">
        <v>0</v>
      </c>
      <c r="AK781" s="5" t="n">
        <v>0</v>
      </c>
      <c r="AL781" s="5" t="n">
        <v>0</v>
      </c>
      <c r="AM781" s="4" t="s">
        <v>78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  <c r="AU781" s="0" t="n">
        <v>0</v>
      </c>
      <c r="AV781" s="0" t="n">
        <v>0</v>
      </c>
      <c r="AW781" s="0" t="n">
        <v>0</v>
      </c>
      <c r="AX781" s="0" t="n">
        <v>0</v>
      </c>
      <c r="AY781" s="0" t="n">
        <v>0</v>
      </c>
      <c r="AZ781" s="0" t="n">
        <v>0</v>
      </c>
      <c r="BA781" s="0" t="n">
        <v>0</v>
      </c>
      <c r="BB781" s="0" t="n">
        <v>0</v>
      </c>
      <c r="BC781" s="0" t="n">
        <v>0</v>
      </c>
      <c r="BD781" s="0" t="n">
        <v>0</v>
      </c>
      <c r="BE781" s="0" t="n">
        <v>0</v>
      </c>
      <c r="BF781" s="0" t="n">
        <v>0</v>
      </c>
      <c r="BG781" s="0" t="n">
        <v>0</v>
      </c>
      <c r="BH781" s="0" t="n">
        <v>0</v>
      </c>
      <c r="BI781" s="0" t="n">
        <v>0</v>
      </c>
      <c r="BJ781" s="0" t="n">
        <v>0</v>
      </c>
      <c r="BK781" s="0" t="n">
        <v>0</v>
      </c>
      <c r="BM781" s="6" t="n">
        <f aca="false">IFERROR(VALUE(F781),"")</f>
        <v>56.61</v>
      </c>
      <c r="BN781" s="6" t="n">
        <f aca="false">IF(R781="-","",IFERROR(VALUE(LEFT(Q781,LEN(Q781)-2)),""))</f>
        <v>23.88</v>
      </c>
      <c r="BO781" s="6" t="n">
        <f aca="false">IF(R781="-","",IFERROR(VALUE(LEFT(R781,LEN(R781)-5)),""))</f>
        <v>2.37</v>
      </c>
      <c r="BP781" s="6" t="n">
        <f aca="false">IF(R781="-","",IFERROR(VALUE(F781),""))</f>
        <v>56.61</v>
      </c>
      <c r="BQ781" s="4" t="n">
        <f aca="false">IF(R781="-",1,0)</f>
        <v>0</v>
      </c>
    </row>
    <row r="782" customFormat="false" ht="15" hidden="false" customHeight="false" outlineLevel="0" collapsed="false">
      <c r="A782" s="0" t="s">
        <v>3138</v>
      </c>
      <c r="B782" s="0" t="s">
        <v>3139</v>
      </c>
      <c r="C782" s="0" t="s">
        <v>70</v>
      </c>
      <c r="E782" s="3" t="n">
        <v>46277</v>
      </c>
      <c r="F782" s="4" t="s">
        <v>3154</v>
      </c>
      <c r="G782" s="5" t="n">
        <v>0.121851851851852</v>
      </c>
      <c r="H782" s="5" t="n">
        <v>0</v>
      </c>
      <c r="I782" s="5" t="n">
        <v>2.31481481481482E-005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5" t="n">
        <v>0</v>
      </c>
      <c r="P782" s="5" t="n">
        <v>0</v>
      </c>
      <c r="Q782" s="4" t="s">
        <v>3155</v>
      </c>
      <c r="R782" s="4" t="s">
        <v>3156</v>
      </c>
      <c r="S782" s="5" t="n">
        <v>0</v>
      </c>
      <c r="T782" s="5" t="n">
        <v>0.0511574074074074</v>
      </c>
      <c r="U782" s="5" t="n">
        <v>0.040625</v>
      </c>
      <c r="V782" s="5" t="n">
        <v>0.0233796296296296</v>
      </c>
      <c r="W782" s="5" t="n">
        <v>0</v>
      </c>
      <c r="X782" s="5" t="n">
        <v>0</v>
      </c>
      <c r="Y782" s="5" t="n">
        <v>0</v>
      </c>
      <c r="Z782" s="0" t="n">
        <v>0</v>
      </c>
      <c r="AA782" s="0" t="n">
        <v>0</v>
      </c>
      <c r="AB782" s="0" t="n">
        <v>0</v>
      </c>
      <c r="AC782" s="4" t="s">
        <v>75</v>
      </c>
      <c r="AD782" s="4" t="s">
        <v>75</v>
      </c>
      <c r="AE782" s="4" t="s">
        <v>3153</v>
      </c>
      <c r="AF782" s="4" t="s">
        <v>3157</v>
      </c>
      <c r="AG782" s="5" t="n">
        <v>0.0988541666666667</v>
      </c>
      <c r="AH782" s="5" t="n">
        <v>0.0978703703703704</v>
      </c>
      <c r="AI782" s="5" t="n">
        <v>0</v>
      </c>
      <c r="AJ782" s="5" t="n">
        <v>0</v>
      </c>
      <c r="AK782" s="5" t="n">
        <v>0</v>
      </c>
      <c r="AL782" s="5" t="n">
        <v>0</v>
      </c>
      <c r="AM782" s="4" t="s">
        <v>78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  <c r="AU782" s="0" t="n">
        <v>0</v>
      </c>
      <c r="AV782" s="0" t="n">
        <v>0</v>
      </c>
      <c r="AW782" s="0" t="n">
        <v>0</v>
      </c>
      <c r="AX782" s="0" t="n">
        <v>0</v>
      </c>
      <c r="AY782" s="0" t="n">
        <v>0</v>
      </c>
      <c r="AZ782" s="0" t="n">
        <v>0</v>
      </c>
      <c r="BA782" s="0" t="n">
        <v>0</v>
      </c>
      <c r="BB782" s="0" t="n">
        <v>0</v>
      </c>
      <c r="BC782" s="0" t="n">
        <v>0</v>
      </c>
      <c r="BD782" s="0" t="n">
        <v>0</v>
      </c>
      <c r="BE782" s="0" t="n">
        <v>0</v>
      </c>
      <c r="BF782" s="0" t="n">
        <v>0</v>
      </c>
      <c r="BG782" s="0" t="n">
        <v>0</v>
      </c>
      <c r="BH782" s="0" t="n">
        <v>0</v>
      </c>
      <c r="BI782" s="0" t="n">
        <v>0</v>
      </c>
      <c r="BJ782" s="0" t="n">
        <v>0</v>
      </c>
      <c r="BK782" s="0" t="n">
        <v>0</v>
      </c>
      <c r="BM782" s="6" t="n">
        <f aca="false">IFERROR(VALUE(F782),"")</f>
        <v>46.68</v>
      </c>
      <c r="BN782" s="6" t="n">
        <f aca="false">IF(R782="-","",IFERROR(VALUE(LEFT(Q782,LEN(Q782)-2)),""))</f>
        <v>21.76</v>
      </c>
      <c r="BO782" s="6" t="n">
        <f aca="false">IF(R782="-","",IFERROR(VALUE(LEFT(R782,LEN(R782)-5)),""))</f>
        <v>2.14</v>
      </c>
      <c r="BP782" s="6" t="n">
        <f aca="false">IF(R782="-","",IFERROR(VALUE(F782),""))</f>
        <v>46.68</v>
      </c>
      <c r="BQ782" s="4" t="n">
        <f aca="false">IF(R782="-",1,0)</f>
        <v>0</v>
      </c>
    </row>
    <row r="783" customFormat="false" ht="15" hidden="false" customHeight="false" outlineLevel="0" collapsed="false">
      <c r="A783" s="0" t="s">
        <v>3138</v>
      </c>
      <c r="B783" s="0" t="s">
        <v>3139</v>
      </c>
      <c r="C783" s="0" t="s">
        <v>70</v>
      </c>
      <c r="E783" s="3" t="n">
        <v>46278</v>
      </c>
      <c r="F783" s="4" t="s">
        <v>3158</v>
      </c>
      <c r="G783" s="5" t="n">
        <v>0.172106481481482</v>
      </c>
      <c r="H783" s="5" t="n">
        <v>0</v>
      </c>
      <c r="I783" s="5" t="n">
        <v>0.000335648148148148</v>
      </c>
      <c r="J783" s="0" t="n">
        <v>0</v>
      </c>
      <c r="K783" s="0" t="n">
        <v>1</v>
      </c>
      <c r="L783" s="0" t="n">
        <v>0</v>
      </c>
      <c r="M783" s="0" t="n">
        <v>0</v>
      </c>
      <c r="N783" s="0" t="n">
        <v>0</v>
      </c>
      <c r="O783" s="5" t="n">
        <v>0</v>
      </c>
      <c r="P783" s="5" t="n">
        <v>0</v>
      </c>
      <c r="Q783" s="4" t="s">
        <v>3159</v>
      </c>
      <c r="R783" s="4" t="s">
        <v>346</v>
      </c>
      <c r="S783" s="5" t="n">
        <v>0</v>
      </c>
      <c r="T783" s="5" t="n">
        <v>0.0457175925925926</v>
      </c>
      <c r="U783" s="5" t="n">
        <v>0.0361226851851852</v>
      </c>
      <c r="V783" s="5" t="n">
        <v>0.0770949074074074</v>
      </c>
      <c r="W783" s="5" t="n">
        <v>0.00115740740740741</v>
      </c>
      <c r="X783" s="5" t="n">
        <v>0.000231481481481482</v>
      </c>
      <c r="Y783" s="5" t="n">
        <v>0.000231481481481482</v>
      </c>
      <c r="Z783" s="0" t="n">
        <v>0</v>
      </c>
      <c r="AA783" s="0" t="n">
        <v>0</v>
      </c>
      <c r="AB783" s="0" t="n">
        <v>0</v>
      </c>
      <c r="AC783" s="4" t="s">
        <v>75</v>
      </c>
      <c r="AD783" s="4" t="s">
        <v>75</v>
      </c>
      <c r="AE783" s="4" t="s">
        <v>3157</v>
      </c>
      <c r="AF783" s="4" t="s">
        <v>3160</v>
      </c>
      <c r="AG783" s="5" t="n">
        <v>0.142719907407407</v>
      </c>
      <c r="AH783" s="5" t="n">
        <v>0.0667708333333333</v>
      </c>
      <c r="AI783" s="5" t="n">
        <v>0</v>
      </c>
      <c r="AJ783" s="5" t="n">
        <v>0</v>
      </c>
      <c r="AK783" s="5" t="n">
        <v>0</v>
      </c>
      <c r="AL783" s="5" t="n">
        <v>0</v>
      </c>
      <c r="AM783" s="4" t="s">
        <v>78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  <c r="AU783" s="0" t="n">
        <v>0</v>
      </c>
      <c r="AV783" s="0" t="n">
        <v>0</v>
      </c>
      <c r="AW783" s="0" t="n">
        <v>0</v>
      </c>
      <c r="AX783" s="0" t="n">
        <v>0</v>
      </c>
      <c r="AY783" s="0" t="n">
        <v>0</v>
      </c>
      <c r="AZ783" s="0" t="n">
        <v>0</v>
      </c>
      <c r="BA783" s="0" t="n">
        <v>0</v>
      </c>
      <c r="BB783" s="0" t="n">
        <v>0</v>
      </c>
      <c r="BC783" s="0" t="n">
        <v>0</v>
      </c>
      <c r="BD783" s="0" t="n">
        <v>0</v>
      </c>
      <c r="BE783" s="0" t="n">
        <v>0</v>
      </c>
      <c r="BF783" s="0" t="n">
        <v>0</v>
      </c>
      <c r="BG783" s="0" t="n">
        <v>0</v>
      </c>
      <c r="BH783" s="0" t="n">
        <v>0</v>
      </c>
      <c r="BI783" s="0" t="n">
        <v>0</v>
      </c>
      <c r="BJ783" s="0" t="n">
        <v>0</v>
      </c>
      <c r="BK783" s="0" t="n">
        <v>0</v>
      </c>
      <c r="BM783" s="6" t="n">
        <f aca="false">IFERROR(VALUE(F783),"")</f>
        <v>132.39</v>
      </c>
      <c r="BN783" s="6" t="n">
        <f aca="false">IF(R783="-","",IFERROR(VALUE(LEFT(Q783,LEN(Q783)-2)),""))</f>
        <v>44.66</v>
      </c>
      <c r="BO783" s="6" t="n">
        <f aca="false">IF(R783="-","",IFERROR(VALUE(LEFT(R783,LEN(R783)-5)),""))</f>
        <v>2.96</v>
      </c>
      <c r="BP783" s="6" t="n">
        <f aca="false">IF(R783="-","",IFERROR(VALUE(F783),""))</f>
        <v>132.39</v>
      </c>
      <c r="BQ783" s="4" t="n">
        <f aca="false">IF(R783="-",1,0)</f>
        <v>0</v>
      </c>
    </row>
    <row r="784" customFormat="false" ht="15" hidden="false" customHeight="false" outlineLevel="0" collapsed="false">
      <c r="A784" s="0" t="s">
        <v>3138</v>
      </c>
      <c r="B784" s="0" t="s">
        <v>3139</v>
      </c>
      <c r="C784" s="0" t="s">
        <v>70</v>
      </c>
      <c r="E784" s="3" t="n">
        <v>46279</v>
      </c>
      <c r="F784" s="4" t="s">
        <v>3161</v>
      </c>
      <c r="G784" s="5" t="n">
        <v>0.165787037037037</v>
      </c>
      <c r="H784" s="5" t="n">
        <v>0</v>
      </c>
      <c r="I784" s="5" t="n">
        <v>2.31481481481482E-005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5" t="n">
        <v>0</v>
      </c>
      <c r="P784" s="5" t="n">
        <v>0</v>
      </c>
      <c r="Q784" s="4" t="s">
        <v>3162</v>
      </c>
      <c r="R784" s="4" t="s">
        <v>2803</v>
      </c>
      <c r="S784" s="5" t="n">
        <v>0.000231481481481482</v>
      </c>
      <c r="T784" s="5" t="n">
        <v>0.0731481481481481</v>
      </c>
      <c r="U784" s="5" t="n">
        <v>0.049537037037037</v>
      </c>
      <c r="V784" s="5" t="n">
        <v>0.0260416666666667</v>
      </c>
      <c r="W784" s="5" t="n">
        <v>0.000115740740740741</v>
      </c>
      <c r="X784" s="5" t="n">
        <v>0</v>
      </c>
      <c r="Y784" s="5" t="n">
        <v>0</v>
      </c>
      <c r="Z784" s="0" t="n">
        <v>0</v>
      </c>
      <c r="AA784" s="0" t="n">
        <v>0</v>
      </c>
      <c r="AB784" s="0" t="n">
        <v>0</v>
      </c>
      <c r="AC784" s="4" t="s">
        <v>75</v>
      </c>
      <c r="AD784" s="4" t="s">
        <v>228</v>
      </c>
      <c r="AE784" s="4" t="s">
        <v>3160</v>
      </c>
      <c r="AF784" s="4" t="s">
        <v>3163</v>
      </c>
      <c r="AG784" s="5" t="n">
        <v>0.11744212962963</v>
      </c>
      <c r="AH784" s="5" t="n">
        <v>0.08375</v>
      </c>
      <c r="AI784" s="5" t="n">
        <v>0</v>
      </c>
      <c r="AJ784" s="5" t="n">
        <v>0</v>
      </c>
      <c r="AK784" s="5" t="n">
        <v>0</v>
      </c>
      <c r="AL784" s="5" t="n">
        <v>0</v>
      </c>
      <c r="AM784" s="4" t="s">
        <v>78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  <c r="AU784" s="0" t="n">
        <v>0</v>
      </c>
      <c r="AV784" s="0" t="n">
        <v>0</v>
      </c>
      <c r="AW784" s="0" t="n">
        <v>0</v>
      </c>
      <c r="AX784" s="0" t="n">
        <v>0</v>
      </c>
      <c r="AY784" s="0" t="n">
        <v>0</v>
      </c>
      <c r="AZ784" s="0" t="n">
        <v>0</v>
      </c>
      <c r="BA784" s="0" t="n">
        <v>0</v>
      </c>
      <c r="BB784" s="0" t="n">
        <v>0</v>
      </c>
      <c r="BC784" s="0" t="n">
        <v>0</v>
      </c>
      <c r="BD784" s="0" t="n">
        <v>0</v>
      </c>
      <c r="BE784" s="0" t="n">
        <v>0</v>
      </c>
      <c r="BF784" s="0" t="n">
        <v>0</v>
      </c>
      <c r="BG784" s="0" t="n">
        <v>0</v>
      </c>
      <c r="BH784" s="0" t="n">
        <v>0</v>
      </c>
      <c r="BI784" s="0" t="n">
        <v>0</v>
      </c>
      <c r="BJ784" s="0" t="n">
        <v>0</v>
      </c>
      <c r="BK784" s="0" t="n">
        <v>0</v>
      </c>
      <c r="BM784" s="6" t="n">
        <f aca="false">IFERROR(VALUE(F784),"")</f>
        <v>56.74</v>
      </c>
      <c r="BN784" s="6" t="n">
        <f aca="false">IF(R784="-","",IFERROR(VALUE(LEFT(Q784,LEN(Q784)-2)),""))</f>
        <v>23.92</v>
      </c>
      <c r="BO784" s="6" t="n">
        <f aca="false">IF(R784="-","",IFERROR(VALUE(LEFT(R784,LEN(R784)-5)),""))</f>
        <v>2.37</v>
      </c>
      <c r="BP784" s="6" t="n">
        <f aca="false">IF(R784="-","",IFERROR(VALUE(F784),""))</f>
        <v>56.74</v>
      </c>
      <c r="BQ784" s="4" t="n">
        <f aca="false">IF(R784="-",1,0)</f>
        <v>0</v>
      </c>
    </row>
    <row r="785" customFormat="false" ht="15" hidden="false" customHeight="false" outlineLevel="0" collapsed="false">
      <c r="A785" s="0" t="s">
        <v>3164</v>
      </c>
      <c r="B785" s="0" t="s">
        <v>3165</v>
      </c>
      <c r="C785" s="0" t="s">
        <v>70</v>
      </c>
      <c r="D785" s="0" t="s">
        <v>3166</v>
      </c>
      <c r="E785" s="3" t="n">
        <v>46273</v>
      </c>
      <c r="F785" s="4" t="s">
        <v>3167</v>
      </c>
      <c r="G785" s="5" t="n">
        <v>0.199675925925926</v>
      </c>
      <c r="H785" s="5" t="n">
        <v>0.0468402777777778</v>
      </c>
      <c r="I785" s="5" t="n">
        <v>4.62962962962963E-005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5" t="n">
        <v>0</v>
      </c>
      <c r="P785" s="5" t="n">
        <v>0.00730324074074074</v>
      </c>
      <c r="Q785" s="4" t="s">
        <v>3168</v>
      </c>
      <c r="R785" s="4" t="s">
        <v>1108</v>
      </c>
      <c r="S785" s="5" t="n">
        <v>0.000115740740740741</v>
      </c>
      <c r="T785" s="5" t="n">
        <v>0.0650462962962963</v>
      </c>
      <c r="U785" s="5" t="n">
        <v>0.0866898148148148</v>
      </c>
      <c r="V785" s="5" t="n">
        <v>0.0341435185185185</v>
      </c>
      <c r="W785" s="5" t="n">
        <v>0</v>
      </c>
      <c r="X785" s="5" t="n">
        <v>0</v>
      </c>
      <c r="Y785" s="5" t="n">
        <v>0</v>
      </c>
      <c r="Z785" s="0" t="n">
        <v>0</v>
      </c>
      <c r="AA785" s="0" t="n">
        <v>0</v>
      </c>
      <c r="AB785" s="0" t="n">
        <v>0</v>
      </c>
      <c r="AC785" s="4" t="s">
        <v>75</v>
      </c>
      <c r="AD785" s="4" t="s">
        <v>75</v>
      </c>
      <c r="AE785" s="4" t="s">
        <v>3169</v>
      </c>
      <c r="AF785" s="4" t="s">
        <v>3170</v>
      </c>
      <c r="AG785" s="5" t="n">
        <v>0.162928240740741</v>
      </c>
      <c r="AH785" s="5" t="n">
        <v>0.0799189814814815</v>
      </c>
      <c r="AI785" s="5" t="n">
        <v>0.0009375</v>
      </c>
      <c r="AJ785" s="5" t="n">
        <v>0</v>
      </c>
      <c r="AK785" s="5" t="n">
        <v>0</v>
      </c>
      <c r="AL785" s="5" t="n">
        <v>0</v>
      </c>
      <c r="AM785" s="4" t="s">
        <v>78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0</v>
      </c>
      <c r="AU785" s="0" t="n">
        <v>0</v>
      </c>
      <c r="AV785" s="0" t="n">
        <v>0</v>
      </c>
      <c r="AW785" s="0" t="n">
        <v>0</v>
      </c>
      <c r="AX785" s="0" t="n">
        <v>0</v>
      </c>
      <c r="AY785" s="0" t="n">
        <v>0</v>
      </c>
      <c r="AZ785" s="0" t="n">
        <v>0</v>
      </c>
      <c r="BA785" s="0" t="n">
        <v>0</v>
      </c>
      <c r="BB785" s="0" t="n">
        <v>0</v>
      </c>
      <c r="BC785" s="0" t="n">
        <v>0</v>
      </c>
      <c r="BD785" s="0" t="n">
        <v>0</v>
      </c>
      <c r="BE785" s="0" t="n">
        <v>0</v>
      </c>
      <c r="BF785" s="0" t="n">
        <v>0</v>
      </c>
      <c r="BG785" s="0" t="n">
        <v>0</v>
      </c>
      <c r="BH785" s="0" t="n">
        <v>0</v>
      </c>
      <c r="BI785" s="0" t="n">
        <v>0</v>
      </c>
      <c r="BJ785" s="0" t="n">
        <v>0</v>
      </c>
      <c r="BK785" s="0" t="n">
        <v>0</v>
      </c>
      <c r="BM785" s="6" t="n">
        <f aca="false">IFERROR(VALUE(F785),"")</f>
        <v>87.36</v>
      </c>
      <c r="BN785" s="6" t="n">
        <f aca="false">IF(R785="-","",IFERROR(VALUE(LEFT(Q785,LEN(Q785)-2)),""))</f>
        <v>33.72</v>
      </c>
      <c r="BO785" s="6" t="n">
        <f aca="false">IF(R785="-","",IFERROR(VALUE(LEFT(R785,LEN(R785)-5)),""))</f>
        <v>2.59</v>
      </c>
      <c r="BP785" s="6" t="n">
        <f aca="false">IF(R785="-","",IFERROR(VALUE(F785),""))</f>
        <v>87.36</v>
      </c>
      <c r="BQ785" s="4" t="n">
        <f aca="false">IF(R785="-",1,0)</f>
        <v>0</v>
      </c>
    </row>
    <row r="786" customFormat="false" ht="15" hidden="false" customHeight="false" outlineLevel="0" collapsed="false">
      <c r="A786" s="0" t="s">
        <v>3164</v>
      </c>
      <c r="B786" s="0" t="s">
        <v>3165</v>
      </c>
      <c r="C786" s="0" t="s">
        <v>70</v>
      </c>
      <c r="D786" s="0" t="s">
        <v>3166</v>
      </c>
      <c r="E786" s="3" t="n">
        <v>46274</v>
      </c>
      <c r="F786" s="4" t="s">
        <v>3171</v>
      </c>
      <c r="G786" s="5" t="n">
        <v>0.195636574074074</v>
      </c>
      <c r="H786" s="5" t="n">
        <v>0.123333333333333</v>
      </c>
      <c r="I786" s="5" t="n">
        <v>9.25925925925926E-005</v>
      </c>
      <c r="J786" s="0" t="n">
        <v>0</v>
      </c>
      <c r="K786" s="0" t="n">
        <v>1</v>
      </c>
      <c r="L786" s="0" t="n">
        <v>0</v>
      </c>
      <c r="M786" s="0" t="n">
        <v>0</v>
      </c>
      <c r="N786" s="0" t="n">
        <v>0</v>
      </c>
      <c r="O786" s="5" t="n">
        <v>0</v>
      </c>
      <c r="P786" s="5" t="n">
        <v>0.00704861111111111</v>
      </c>
      <c r="Q786" s="4" t="s">
        <v>3172</v>
      </c>
      <c r="R786" s="4" t="s">
        <v>2187</v>
      </c>
      <c r="S786" s="5" t="n">
        <v>0</v>
      </c>
      <c r="T786" s="5" t="n">
        <v>0.0555555555555556</v>
      </c>
      <c r="U786" s="5" t="n">
        <v>0.0828703703703704</v>
      </c>
      <c r="V786" s="5" t="n">
        <v>0.0350694444444444</v>
      </c>
      <c r="W786" s="5" t="n">
        <v>0</v>
      </c>
      <c r="X786" s="5" t="n">
        <v>0</v>
      </c>
      <c r="Y786" s="5" t="n">
        <v>0</v>
      </c>
      <c r="Z786" s="0" t="n">
        <v>0</v>
      </c>
      <c r="AA786" s="0" t="n">
        <v>0</v>
      </c>
      <c r="AB786" s="0" t="n">
        <v>0</v>
      </c>
      <c r="AC786" s="4" t="s">
        <v>74</v>
      </c>
      <c r="AD786" s="4" t="s">
        <v>228</v>
      </c>
      <c r="AE786" s="4" t="s">
        <v>3170</v>
      </c>
      <c r="AF786" s="4" t="s">
        <v>3173</v>
      </c>
      <c r="AG786" s="5" t="n">
        <v>0.159699074074074</v>
      </c>
      <c r="AH786" s="5" t="n">
        <v>0.0771412037037037</v>
      </c>
      <c r="AI786" s="5" t="n">
        <v>0.000914351851851852</v>
      </c>
      <c r="AJ786" s="5" t="n">
        <v>0</v>
      </c>
      <c r="AK786" s="5" t="n">
        <v>0</v>
      </c>
      <c r="AL786" s="5" t="n">
        <v>0</v>
      </c>
      <c r="AM786" s="4" t="s">
        <v>78</v>
      </c>
      <c r="AN786" s="0" t="n">
        <v>0</v>
      </c>
      <c r="AO786" s="0" t="n">
        <v>0</v>
      </c>
      <c r="AP786" s="0" t="n">
        <v>0</v>
      </c>
      <c r="AQ786" s="0" t="n">
        <v>0</v>
      </c>
      <c r="AR786" s="0" t="n">
        <v>0</v>
      </c>
      <c r="AS786" s="0" t="n">
        <v>0</v>
      </c>
      <c r="AT786" s="0" t="n">
        <v>0</v>
      </c>
      <c r="AU786" s="0" t="n">
        <v>0</v>
      </c>
      <c r="AV786" s="0" t="n">
        <v>0</v>
      </c>
      <c r="AW786" s="0" t="n">
        <v>0</v>
      </c>
      <c r="AX786" s="0" t="n">
        <v>0</v>
      </c>
      <c r="AY786" s="0" t="n">
        <v>0</v>
      </c>
      <c r="AZ786" s="0" t="n">
        <v>0</v>
      </c>
      <c r="BA786" s="0" t="n">
        <v>0</v>
      </c>
      <c r="BB786" s="0" t="n">
        <v>0</v>
      </c>
      <c r="BC786" s="0" t="n">
        <v>0</v>
      </c>
      <c r="BD786" s="0" t="n">
        <v>0</v>
      </c>
      <c r="BE786" s="0" t="n">
        <v>0</v>
      </c>
      <c r="BF786" s="0" t="n">
        <v>0</v>
      </c>
      <c r="BG786" s="0" t="n">
        <v>0</v>
      </c>
      <c r="BH786" s="0" t="n">
        <v>0</v>
      </c>
      <c r="BI786" s="0" t="n">
        <v>0</v>
      </c>
      <c r="BJ786" s="0" t="n">
        <v>0</v>
      </c>
      <c r="BK786" s="0" t="n">
        <v>0</v>
      </c>
      <c r="BM786" s="6" t="n">
        <f aca="false">IFERROR(VALUE(F786),"")</f>
        <v>88</v>
      </c>
      <c r="BN786" s="6" t="n">
        <f aca="false">IF(R786="-","",IFERROR(VALUE(LEFT(Q786,LEN(Q786)-2)),""))</f>
        <v>34.57</v>
      </c>
      <c r="BO786" s="6" t="n">
        <f aca="false">IF(R786="-","",IFERROR(VALUE(LEFT(R786,LEN(R786)-5)),""))</f>
        <v>2.55</v>
      </c>
      <c r="BP786" s="6" t="n">
        <f aca="false">IF(R786="-","",IFERROR(VALUE(F786),""))</f>
        <v>88</v>
      </c>
      <c r="BQ786" s="4" t="n">
        <f aca="false">IF(R786="-",1,0)</f>
        <v>0</v>
      </c>
    </row>
    <row r="787" customFormat="false" ht="15" hidden="false" customHeight="false" outlineLevel="0" collapsed="false">
      <c r="A787" s="0" t="s">
        <v>3164</v>
      </c>
      <c r="B787" s="0" t="s">
        <v>3165</v>
      </c>
      <c r="C787" s="0" t="s">
        <v>70</v>
      </c>
      <c r="D787" s="0" t="s">
        <v>3166</v>
      </c>
      <c r="E787" s="3" t="n">
        <v>46275</v>
      </c>
      <c r="F787" s="4" t="s">
        <v>3174</v>
      </c>
      <c r="G787" s="5" t="n">
        <v>0.18318287037037</v>
      </c>
      <c r="H787" s="5" t="n">
        <v>0.126006944444444</v>
      </c>
      <c r="I787" s="5" t="n">
        <v>0</v>
      </c>
      <c r="J787" s="0" t="n">
        <v>0</v>
      </c>
      <c r="K787" s="0" t="n">
        <v>1</v>
      </c>
      <c r="L787" s="0" t="n">
        <v>0</v>
      </c>
      <c r="M787" s="0" t="n">
        <v>0</v>
      </c>
      <c r="N787" s="0" t="n">
        <v>0</v>
      </c>
      <c r="O787" s="5" t="n">
        <v>0</v>
      </c>
      <c r="P787" s="5" t="n">
        <v>0.00703703703703704</v>
      </c>
      <c r="Q787" s="4" t="s">
        <v>3175</v>
      </c>
      <c r="R787" s="4" t="s">
        <v>2606</v>
      </c>
      <c r="S787" s="5" t="n">
        <v>0.000115740740740741</v>
      </c>
      <c r="T787" s="5" t="n">
        <v>0.0605324074074074</v>
      </c>
      <c r="U787" s="5" t="n">
        <v>0.0837962962962963</v>
      </c>
      <c r="V787" s="5" t="n">
        <v>0.0350694444444444</v>
      </c>
      <c r="W787" s="5" t="n">
        <v>0</v>
      </c>
      <c r="X787" s="5" t="n">
        <v>0</v>
      </c>
      <c r="Y787" s="5" t="n">
        <v>0</v>
      </c>
      <c r="Z787" s="0" t="n">
        <v>0</v>
      </c>
      <c r="AA787" s="0" t="n">
        <v>0</v>
      </c>
      <c r="AB787" s="0" t="n">
        <v>0</v>
      </c>
      <c r="AC787" s="4" t="s">
        <v>75</v>
      </c>
      <c r="AD787" s="4" t="s">
        <v>75</v>
      </c>
      <c r="AE787" s="4" t="s">
        <v>3173</v>
      </c>
      <c r="AF787" s="4" t="s">
        <v>3176</v>
      </c>
      <c r="AG787" s="5" t="n">
        <v>0.160590277777778</v>
      </c>
      <c r="AH787" s="5" t="n">
        <v>0.0634837962962963</v>
      </c>
      <c r="AI787" s="5" t="n">
        <v>0</v>
      </c>
      <c r="AJ787" s="5" t="n">
        <v>0</v>
      </c>
      <c r="AK787" s="5" t="n">
        <v>0</v>
      </c>
      <c r="AL787" s="5" t="n">
        <v>0</v>
      </c>
      <c r="AM787" s="4" t="s">
        <v>78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0</v>
      </c>
      <c r="AS787" s="0" t="n">
        <v>0</v>
      </c>
      <c r="AT787" s="0" t="n">
        <v>0</v>
      </c>
      <c r="AU787" s="0" t="n">
        <v>0</v>
      </c>
      <c r="AV787" s="0" t="n">
        <v>0</v>
      </c>
      <c r="AW787" s="0" t="n">
        <v>0</v>
      </c>
      <c r="AX787" s="0" t="n">
        <v>0</v>
      </c>
      <c r="AY787" s="0" t="n">
        <v>0</v>
      </c>
      <c r="AZ787" s="0" t="n">
        <v>0</v>
      </c>
      <c r="BA787" s="0" t="n">
        <v>0</v>
      </c>
      <c r="BB787" s="0" t="n">
        <v>0</v>
      </c>
      <c r="BC787" s="0" t="n">
        <v>0</v>
      </c>
      <c r="BD787" s="0" t="n">
        <v>0</v>
      </c>
      <c r="BE787" s="0" t="n">
        <v>0</v>
      </c>
      <c r="BF787" s="0" t="n">
        <v>0</v>
      </c>
      <c r="BG787" s="0" t="n">
        <v>0</v>
      </c>
      <c r="BH787" s="0" t="n">
        <v>0</v>
      </c>
      <c r="BI787" s="0" t="n">
        <v>0</v>
      </c>
      <c r="BJ787" s="0" t="n">
        <v>0</v>
      </c>
      <c r="BK787" s="0" t="n">
        <v>0</v>
      </c>
      <c r="BM787" s="6" t="n">
        <f aca="false">IFERROR(VALUE(F787),"")</f>
        <v>87.37</v>
      </c>
      <c r="BN787" s="6" t="n">
        <f aca="false">IF(R787="-","",IFERROR(VALUE(LEFT(Q787,LEN(Q787)-2)),""))</f>
        <v>33.54</v>
      </c>
      <c r="BO787" s="6" t="n">
        <f aca="false">IF(R787="-","",IFERROR(VALUE(LEFT(R787,LEN(R787)-5)),""))</f>
        <v>2.61</v>
      </c>
      <c r="BP787" s="6" t="n">
        <f aca="false">IF(R787="-","",IFERROR(VALUE(F787),""))</f>
        <v>87.37</v>
      </c>
      <c r="BQ787" s="4" t="n">
        <f aca="false">IF(R787="-",1,0)</f>
        <v>0</v>
      </c>
    </row>
    <row r="788" customFormat="false" ht="15" hidden="false" customHeight="false" outlineLevel="0" collapsed="false">
      <c r="A788" s="0" t="s">
        <v>3164</v>
      </c>
      <c r="B788" s="0" t="s">
        <v>3165</v>
      </c>
      <c r="C788" s="0" t="s">
        <v>70</v>
      </c>
      <c r="D788" s="0" t="s">
        <v>3166</v>
      </c>
      <c r="E788" s="3" t="n">
        <v>46276</v>
      </c>
      <c r="F788" s="4" t="s">
        <v>3177</v>
      </c>
      <c r="G788" s="5" t="n">
        <v>0.167384259259259</v>
      </c>
      <c r="H788" s="5" t="n">
        <v>0.0474074074074074</v>
      </c>
      <c r="I788" s="5" t="n">
        <v>5.78703703703704E-005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5" t="n">
        <v>0</v>
      </c>
      <c r="P788" s="5" t="n">
        <v>0</v>
      </c>
      <c r="Q788" s="4" t="s">
        <v>3178</v>
      </c>
      <c r="R788" s="4" t="s">
        <v>1179</v>
      </c>
      <c r="S788" s="5" t="n">
        <v>0</v>
      </c>
      <c r="T788" s="5" t="n">
        <v>0.0524305555555556</v>
      </c>
      <c r="U788" s="5" t="n">
        <v>0.0789351851851852</v>
      </c>
      <c r="V788" s="5" t="n">
        <v>0.0324074074074074</v>
      </c>
      <c r="W788" s="5" t="n">
        <v>0</v>
      </c>
      <c r="X788" s="5" t="n">
        <v>0</v>
      </c>
      <c r="Y788" s="5" t="n">
        <v>0</v>
      </c>
      <c r="Z788" s="0" t="n">
        <v>0</v>
      </c>
      <c r="AA788" s="0" t="n">
        <v>0</v>
      </c>
      <c r="AB788" s="0" t="n">
        <v>0</v>
      </c>
      <c r="AC788" s="4" t="s">
        <v>75</v>
      </c>
      <c r="AD788" s="4" t="s">
        <v>74</v>
      </c>
      <c r="AE788" s="4" t="s">
        <v>3176</v>
      </c>
      <c r="AF788" s="4" t="s">
        <v>3179</v>
      </c>
      <c r="AG788" s="5" t="n">
        <v>0.147523148148148</v>
      </c>
      <c r="AH788" s="5" t="n">
        <v>0.0983796296296296</v>
      </c>
      <c r="AI788" s="5" t="n">
        <v>0.0009375</v>
      </c>
      <c r="AJ788" s="5" t="n">
        <v>0</v>
      </c>
      <c r="AK788" s="5" t="n">
        <v>0</v>
      </c>
      <c r="AL788" s="5" t="n">
        <v>0</v>
      </c>
      <c r="AM788" s="4" t="s">
        <v>78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0</v>
      </c>
      <c r="AT788" s="0" t="n">
        <v>0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  <c r="BA788" s="0" t="n">
        <v>0</v>
      </c>
      <c r="BB788" s="0" t="n">
        <v>0</v>
      </c>
      <c r="BC788" s="0" t="n">
        <v>0</v>
      </c>
      <c r="BD788" s="0" t="n">
        <v>0</v>
      </c>
      <c r="BE788" s="0" t="n">
        <v>0</v>
      </c>
      <c r="BF788" s="0" t="n">
        <v>0</v>
      </c>
      <c r="BG788" s="0" t="n">
        <v>0</v>
      </c>
      <c r="BH788" s="0" t="n">
        <v>0</v>
      </c>
      <c r="BI788" s="0" t="n">
        <v>0</v>
      </c>
      <c r="BJ788" s="0" t="n">
        <v>0</v>
      </c>
      <c r="BK788" s="0" t="n">
        <v>0</v>
      </c>
      <c r="BM788" s="6" t="n">
        <f aca="false">IFERROR(VALUE(F788),"")</f>
        <v>84.59</v>
      </c>
      <c r="BN788" s="6" t="n">
        <f aca="false">IF(R788="-","",IFERROR(VALUE(LEFT(Q788,LEN(Q788)-2)),""))</f>
        <v>31.57</v>
      </c>
      <c r="BO788" s="6" t="n">
        <f aca="false">IF(R788="-","",IFERROR(VALUE(LEFT(R788,LEN(R788)-5)),""))</f>
        <v>2.68</v>
      </c>
      <c r="BP788" s="6" t="n">
        <f aca="false">IF(R788="-","",IFERROR(VALUE(F788),""))</f>
        <v>84.59</v>
      </c>
      <c r="BQ788" s="4" t="n">
        <f aca="false">IF(R788="-",1,0)</f>
        <v>0</v>
      </c>
    </row>
    <row r="789" customFormat="false" ht="15" hidden="false" customHeight="false" outlineLevel="0" collapsed="false">
      <c r="A789" s="0" t="s">
        <v>3164</v>
      </c>
      <c r="B789" s="0" t="s">
        <v>3165</v>
      </c>
      <c r="C789" s="0" t="s">
        <v>70</v>
      </c>
      <c r="D789" s="0" t="s">
        <v>3180</v>
      </c>
      <c r="E789" s="3" t="n">
        <v>46277</v>
      </c>
      <c r="F789" s="4" t="s">
        <v>3181</v>
      </c>
      <c r="G789" s="5" t="n">
        <v>0.292719907407407</v>
      </c>
      <c r="H789" s="5" t="n">
        <v>0.270601851851852</v>
      </c>
      <c r="I789" s="5" t="n">
        <v>0.0024537037037037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5" t="n">
        <v>0</v>
      </c>
      <c r="P789" s="5" t="n">
        <v>0</v>
      </c>
      <c r="Q789" s="4" t="s">
        <v>3182</v>
      </c>
      <c r="R789" s="4" t="s">
        <v>2765</v>
      </c>
      <c r="S789" s="5" t="n">
        <v>0</v>
      </c>
      <c r="T789" s="5" t="n">
        <v>0.0980324074074074</v>
      </c>
      <c r="U789" s="5" t="n">
        <v>0.0975</v>
      </c>
      <c r="V789" s="5" t="n">
        <v>0.0854282407407407</v>
      </c>
      <c r="W789" s="5" t="n">
        <v>0.00162037037037037</v>
      </c>
      <c r="X789" s="5" t="n">
        <v>0</v>
      </c>
      <c r="Y789" s="5" t="n">
        <v>0.000601851851851852</v>
      </c>
      <c r="Z789" s="0" t="n">
        <v>0</v>
      </c>
      <c r="AA789" s="0" t="n">
        <v>0</v>
      </c>
      <c r="AB789" s="0" t="n">
        <v>0</v>
      </c>
      <c r="AC789" s="4" t="s">
        <v>75</v>
      </c>
      <c r="AD789" s="4" t="s">
        <v>421</v>
      </c>
      <c r="AE789" s="4" t="s">
        <v>3179</v>
      </c>
      <c r="AF789" s="4" t="s">
        <v>3183</v>
      </c>
      <c r="AG789" s="5" t="n">
        <v>0.246446759259259</v>
      </c>
      <c r="AH789" s="5" t="n">
        <v>0.138483796296296</v>
      </c>
      <c r="AI789" s="5" t="n">
        <v>0</v>
      </c>
      <c r="AJ789" s="5" t="n">
        <v>0</v>
      </c>
      <c r="AK789" s="5" t="n">
        <v>0</v>
      </c>
      <c r="AL789" s="5" t="n">
        <v>0</v>
      </c>
      <c r="AM789" s="4" t="s">
        <v>78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0</v>
      </c>
      <c r="AT789" s="0" t="n">
        <v>0</v>
      </c>
      <c r="AU789" s="0" t="n">
        <v>1</v>
      </c>
      <c r="AV789" s="0" t="n">
        <v>0</v>
      </c>
      <c r="AW789" s="0" t="n">
        <v>0</v>
      </c>
      <c r="AX789" s="0" t="n">
        <v>0</v>
      </c>
      <c r="AY789" s="0" t="n">
        <v>0</v>
      </c>
      <c r="AZ789" s="0" t="n">
        <v>0</v>
      </c>
      <c r="BA789" s="0" t="n">
        <v>0</v>
      </c>
      <c r="BB789" s="0" t="n">
        <v>0</v>
      </c>
      <c r="BC789" s="0" t="n">
        <v>0</v>
      </c>
      <c r="BD789" s="0" t="n">
        <v>0</v>
      </c>
      <c r="BE789" s="0" t="n">
        <v>0</v>
      </c>
      <c r="BF789" s="0" t="n">
        <v>0</v>
      </c>
      <c r="BG789" s="0" t="n">
        <v>0</v>
      </c>
      <c r="BH789" s="0" t="n">
        <v>0</v>
      </c>
      <c r="BI789" s="0" t="n">
        <v>0</v>
      </c>
      <c r="BJ789" s="0" t="n">
        <v>0</v>
      </c>
      <c r="BK789" s="0" t="n">
        <v>0</v>
      </c>
      <c r="BM789" s="6" t="n">
        <f aca="false">IFERROR(VALUE(F789),"")</f>
        <v>155.13</v>
      </c>
      <c r="BN789" s="6" t="n">
        <f aca="false">IF(R789="-","",IFERROR(VALUE(LEFT(Q789,LEN(Q789)-2)),""))</f>
        <v>69.33</v>
      </c>
      <c r="BO789" s="6" t="n">
        <f aca="false">IF(R789="-","",IFERROR(VALUE(LEFT(R789,LEN(R789)-5)),""))</f>
        <v>2.24</v>
      </c>
      <c r="BP789" s="6" t="n">
        <f aca="false">IF(R789="-","",IFERROR(VALUE(F789),""))</f>
        <v>155.13</v>
      </c>
      <c r="BQ789" s="4" t="n">
        <f aca="false">IF(R789="-",1,0)</f>
        <v>0</v>
      </c>
    </row>
    <row r="790" customFormat="false" ht="15" hidden="false" customHeight="false" outlineLevel="0" collapsed="false">
      <c r="A790" s="0" t="s">
        <v>3164</v>
      </c>
      <c r="B790" s="0" t="s">
        <v>3165</v>
      </c>
      <c r="C790" s="0" t="s">
        <v>70</v>
      </c>
      <c r="D790" s="0" t="s">
        <v>1486</v>
      </c>
      <c r="E790" s="3" t="n">
        <v>46278</v>
      </c>
      <c r="F790" s="4" t="s">
        <v>3184</v>
      </c>
      <c r="G790" s="5" t="n">
        <v>0.125023148148148</v>
      </c>
      <c r="H790" s="5" t="n">
        <v>0.116608796296296</v>
      </c>
      <c r="I790" s="5" t="n">
        <v>4.62962962962963E-005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5" t="n">
        <v>0</v>
      </c>
      <c r="P790" s="5" t="n">
        <v>0</v>
      </c>
      <c r="Q790" s="4" t="s">
        <v>3185</v>
      </c>
      <c r="R790" s="4" t="s">
        <v>524</v>
      </c>
      <c r="S790" s="5" t="n">
        <v>0.000115740740740741</v>
      </c>
      <c r="T790" s="5" t="n">
        <v>0.0215277777777778</v>
      </c>
      <c r="U790" s="5" t="n">
        <v>0.0267361111111111</v>
      </c>
      <c r="V790" s="5" t="n">
        <v>0.0676851851851852</v>
      </c>
      <c r="W790" s="5" t="n">
        <v>0.000706018518518519</v>
      </c>
      <c r="X790" s="5" t="n">
        <v>0</v>
      </c>
      <c r="Y790" s="5" t="n">
        <v>6.94444444444444E-005</v>
      </c>
      <c r="Z790" s="0" t="n">
        <v>0</v>
      </c>
      <c r="AA790" s="0" t="n">
        <v>0</v>
      </c>
      <c r="AB790" s="0" t="n">
        <v>0</v>
      </c>
      <c r="AC790" s="4" t="s">
        <v>421</v>
      </c>
      <c r="AD790" s="4" t="s">
        <v>75</v>
      </c>
      <c r="AE790" s="4" t="s">
        <v>3183</v>
      </c>
      <c r="AF790" s="4" t="s">
        <v>3186</v>
      </c>
      <c r="AG790" s="5" t="n">
        <v>0.111296296296296</v>
      </c>
      <c r="AH790" s="5" t="n">
        <v>0.0613773148148148</v>
      </c>
      <c r="AI790" s="5" t="n">
        <v>0</v>
      </c>
      <c r="AJ790" s="5" t="n">
        <v>0</v>
      </c>
      <c r="AK790" s="5" t="n">
        <v>0</v>
      </c>
      <c r="AL790" s="5" t="n">
        <v>0</v>
      </c>
      <c r="AM790" s="4" t="s">
        <v>78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0</v>
      </c>
      <c r="AT790" s="0" t="n">
        <v>0</v>
      </c>
      <c r="AU790" s="0" t="n">
        <v>0</v>
      </c>
      <c r="AV790" s="0" t="n">
        <v>0</v>
      </c>
      <c r="AW790" s="0" t="n">
        <v>0</v>
      </c>
      <c r="AX790" s="0" t="n">
        <v>0</v>
      </c>
      <c r="AY790" s="0" t="n">
        <v>0</v>
      </c>
      <c r="AZ790" s="0" t="n">
        <v>0</v>
      </c>
      <c r="BA790" s="0" t="n">
        <v>0</v>
      </c>
      <c r="BB790" s="0" t="n">
        <v>0</v>
      </c>
      <c r="BC790" s="0" t="n">
        <v>0</v>
      </c>
      <c r="BD790" s="0" t="n">
        <v>0</v>
      </c>
      <c r="BE790" s="0" t="n">
        <v>0</v>
      </c>
      <c r="BF790" s="0" t="n">
        <v>0</v>
      </c>
      <c r="BG790" s="0" t="n">
        <v>0</v>
      </c>
      <c r="BH790" s="0" t="n">
        <v>0</v>
      </c>
      <c r="BI790" s="0" t="n">
        <v>0</v>
      </c>
      <c r="BJ790" s="0" t="n">
        <v>0</v>
      </c>
      <c r="BK790" s="0" t="n">
        <v>0</v>
      </c>
      <c r="BM790" s="6" t="n">
        <f aca="false">IFERROR(VALUE(F790),"")</f>
        <v>104.64</v>
      </c>
      <c r="BN790" s="6" t="n">
        <f aca="false">IF(R790="-","",IFERROR(VALUE(LEFT(Q790,LEN(Q790)-2)),""))</f>
        <v>37.54</v>
      </c>
      <c r="BO790" s="6" t="n">
        <f aca="false">IF(R790="-","",IFERROR(VALUE(LEFT(R790,LEN(R790)-5)),""))</f>
        <v>2.79</v>
      </c>
      <c r="BP790" s="6" t="n">
        <f aca="false">IF(R790="-","",IFERROR(VALUE(F790),""))</f>
        <v>104.64</v>
      </c>
      <c r="BQ790" s="4" t="n">
        <f aca="false">IF(R790="-",1,0)</f>
        <v>0</v>
      </c>
    </row>
    <row r="791" customFormat="false" ht="15" hidden="false" customHeight="false" outlineLevel="0" collapsed="false">
      <c r="A791" s="0" t="s">
        <v>3164</v>
      </c>
      <c r="B791" s="0" t="s">
        <v>3165</v>
      </c>
      <c r="C791" s="0" t="s">
        <v>70</v>
      </c>
      <c r="D791" s="0" t="s">
        <v>3166</v>
      </c>
      <c r="E791" s="3" t="n">
        <v>46279</v>
      </c>
      <c r="F791" s="4" t="s">
        <v>3187</v>
      </c>
      <c r="G791" s="5" t="n">
        <v>0.304027777777778</v>
      </c>
      <c r="H791" s="5" t="n">
        <v>0.124293981481482</v>
      </c>
      <c r="I791" s="5" t="n">
        <v>3.47222222222222E-005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5" t="n">
        <v>0</v>
      </c>
      <c r="P791" s="5" t="n">
        <v>0</v>
      </c>
      <c r="Q791" s="4" t="s">
        <v>3188</v>
      </c>
      <c r="R791" s="4" t="s">
        <v>2146</v>
      </c>
      <c r="S791" s="5" t="n">
        <v>0.000347222222222222</v>
      </c>
      <c r="T791" s="5" t="n">
        <v>0.0576388888888889</v>
      </c>
      <c r="U791" s="5" t="n">
        <v>0.0815972222222222</v>
      </c>
      <c r="V791" s="5" t="n">
        <v>0.0388888888888889</v>
      </c>
      <c r="W791" s="5" t="n">
        <v>0</v>
      </c>
      <c r="X791" s="5" t="n">
        <v>0</v>
      </c>
      <c r="Y791" s="5" t="n">
        <v>0</v>
      </c>
      <c r="Z791" s="0" t="n">
        <v>0</v>
      </c>
      <c r="AA791" s="0" t="n">
        <v>0</v>
      </c>
      <c r="AB791" s="0" t="n">
        <v>0</v>
      </c>
      <c r="AC791" s="4" t="s">
        <v>75</v>
      </c>
      <c r="AD791" s="4" t="s">
        <v>75</v>
      </c>
      <c r="AE791" s="4" t="s">
        <v>3186</v>
      </c>
      <c r="AF791" s="4" t="s">
        <v>3189</v>
      </c>
      <c r="AG791" s="5" t="n">
        <v>0.159849537037037</v>
      </c>
      <c r="AH791" s="5" t="n">
        <v>0.205150462962963</v>
      </c>
      <c r="AI791" s="5" t="n">
        <v>0.000972222222222222</v>
      </c>
      <c r="AJ791" s="5" t="n">
        <v>0</v>
      </c>
      <c r="AK791" s="5" t="n">
        <v>0</v>
      </c>
      <c r="AL791" s="5" t="n">
        <v>0</v>
      </c>
      <c r="AM791" s="4" t="s">
        <v>78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0</v>
      </c>
      <c r="AU791" s="0" t="n">
        <v>0</v>
      </c>
      <c r="AV791" s="0" t="n">
        <v>0</v>
      </c>
      <c r="AW791" s="0" t="n">
        <v>0</v>
      </c>
      <c r="AX791" s="0" t="n">
        <v>0</v>
      </c>
      <c r="AY791" s="0" t="n">
        <v>0</v>
      </c>
      <c r="AZ791" s="0" t="n">
        <v>0</v>
      </c>
      <c r="BA791" s="0" t="n">
        <v>0</v>
      </c>
      <c r="BB791" s="0" t="n">
        <v>0</v>
      </c>
      <c r="BC791" s="0" t="n">
        <v>0</v>
      </c>
      <c r="BD791" s="0" t="n">
        <v>0</v>
      </c>
      <c r="BE791" s="0" t="n">
        <v>0</v>
      </c>
      <c r="BF791" s="0" t="n">
        <v>0</v>
      </c>
      <c r="BG791" s="0" t="n">
        <v>0</v>
      </c>
      <c r="BH791" s="0" t="n">
        <v>0</v>
      </c>
      <c r="BI791" s="0" t="n">
        <v>0</v>
      </c>
      <c r="BJ791" s="0" t="n">
        <v>0</v>
      </c>
      <c r="BK791" s="0" t="n">
        <v>0</v>
      </c>
      <c r="BM791" s="6" t="n">
        <f aca="false">IFERROR(VALUE(F791),"")</f>
        <v>86.47</v>
      </c>
      <c r="BN791" s="6" t="n">
        <f aca="false">IF(R791="-","",IFERROR(VALUE(LEFT(Q791,LEN(Q791)-2)),""))</f>
        <v>34.15</v>
      </c>
      <c r="BO791" s="6" t="n">
        <f aca="false">IF(R791="-","",IFERROR(VALUE(LEFT(R791,LEN(R791)-5)),""))</f>
        <v>2.53</v>
      </c>
      <c r="BP791" s="6" t="n">
        <f aca="false">IF(R791="-","",IFERROR(VALUE(F791),""))</f>
        <v>86.47</v>
      </c>
      <c r="BQ791" s="4" t="n">
        <f aca="false">IF(R791="-",1,0)</f>
        <v>0</v>
      </c>
    </row>
    <row r="792" customFormat="false" ht="15" hidden="false" customHeight="false" outlineLevel="0" collapsed="false">
      <c r="A792" s="0" t="s">
        <v>3190</v>
      </c>
      <c r="B792" s="0" t="s">
        <v>3191</v>
      </c>
      <c r="C792" s="0" t="s">
        <v>70</v>
      </c>
      <c r="D792" s="0" t="s">
        <v>3192</v>
      </c>
      <c r="E792" s="3" t="n">
        <v>46273</v>
      </c>
      <c r="F792" s="4" t="s">
        <v>3193</v>
      </c>
      <c r="G792" s="5" t="n">
        <v>0.0909143518518519</v>
      </c>
      <c r="H792" s="5" t="n">
        <v>0.0909143518518519</v>
      </c>
      <c r="I792" s="5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33</v>
      </c>
      <c r="O792" s="5" t="n">
        <v>0</v>
      </c>
      <c r="P792" s="5" t="n">
        <v>0</v>
      </c>
      <c r="Q792" s="4" t="s">
        <v>3194</v>
      </c>
      <c r="R792" s="4" t="s">
        <v>3195</v>
      </c>
      <c r="S792" s="5" t="n">
        <v>0.000115740740740741</v>
      </c>
      <c r="T792" s="5" t="n">
        <v>0.0391203703703704</v>
      </c>
      <c r="U792" s="5" t="n">
        <v>0.0180555555555556</v>
      </c>
      <c r="V792" s="5" t="n">
        <v>0.0311342592592593</v>
      </c>
      <c r="W792" s="5" t="n">
        <v>0.000115740740740741</v>
      </c>
      <c r="X792" s="5" t="n">
        <v>0</v>
      </c>
      <c r="Y792" s="5" t="n">
        <v>0</v>
      </c>
      <c r="Z792" s="0" t="n">
        <v>0</v>
      </c>
      <c r="AA792" s="0" t="n">
        <v>0</v>
      </c>
      <c r="AB792" s="0" t="n">
        <v>0</v>
      </c>
      <c r="AC792" s="4" t="s">
        <v>3196</v>
      </c>
      <c r="AD792" s="4" t="s">
        <v>3196</v>
      </c>
      <c r="AE792" s="4" t="s">
        <v>3197</v>
      </c>
      <c r="AF792" s="4" t="s">
        <v>3198</v>
      </c>
      <c r="AG792" s="5" t="n">
        <v>0.0631944444444444</v>
      </c>
      <c r="AH792" s="5" t="n">
        <v>0.0643171296296296</v>
      </c>
      <c r="AI792" s="5" t="n">
        <v>0</v>
      </c>
      <c r="AJ792" s="5" t="n">
        <v>0</v>
      </c>
      <c r="AK792" s="5" t="n">
        <v>0</v>
      </c>
      <c r="AL792" s="5" t="n">
        <v>0</v>
      </c>
      <c r="AM792" s="4" t="s">
        <v>78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0</v>
      </c>
      <c r="AT792" s="0" t="n">
        <v>0</v>
      </c>
      <c r="AU792" s="0" t="n">
        <v>0</v>
      </c>
      <c r="AV792" s="0" t="n">
        <v>0</v>
      </c>
      <c r="AW792" s="0" t="n">
        <v>0</v>
      </c>
      <c r="AX792" s="0" t="n">
        <v>0</v>
      </c>
      <c r="AY792" s="0" t="n">
        <v>0</v>
      </c>
      <c r="AZ792" s="0" t="n">
        <v>0</v>
      </c>
      <c r="BA792" s="0" t="n">
        <v>0</v>
      </c>
      <c r="BB792" s="0" t="n">
        <v>0</v>
      </c>
      <c r="BC792" s="0" t="n">
        <v>0</v>
      </c>
      <c r="BD792" s="0" t="n">
        <v>0</v>
      </c>
      <c r="BE792" s="0" t="n">
        <v>0</v>
      </c>
      <c r="BF792" s="0" t="n">
        <v>0</v>
      </c>
      <c r="BG792" s="0" t="n">
        <v>0</v>
      </c>
      <c r="BH792" s="0" t="n">
        <v>0</v>
      </c>
      <c r="BI792" s="0" t="n">
        <v>0</v>
      </c>
      <c r="BJ792" s="0" t="n">
        <v>0</v>
      </c>
      <c r="BK792" s="0" t="n">
        <v>0</v>
      </c>
      <c r="BM792" s="6" t="n">
        <f aca="false">IFERROR(VALUE(F792),"")</f>
        <v>41.38</v>
      </c>
      <c r="BN792" s="6" t="n">
        <f aca="false">IF(R792="-","",IFERROR(VALUE(LEFT(Q792,LEN(Q792)-2)),""))</f>
        <v>17.98</v>
      </c>
      <c r="BO792" s="6" t="n">
        <f aca="false">IF(R792="-","",IFERROR(VALUE(LEFT(R792,LEN(R792)-5)),""))</f>
        <v>2.3</v>
      </c>
      <c r="BP792" s="6" t="n">
        <f aca="false">IF(R792="-","",IFERROR(VALUE(F792),""))</f>
        <v>41.38</v>
      </c>
      <c r="BQ792" s="4" t="n">
        <f aca="false">IF(R792="-",1,0)</f>
        <v>0</v>
      </c>
    </row>
    <row r="793" customFormat="false" ht="15" hidden="false" customHeight="false" outlineLevel="0" collapsed="false">
      <c r="A793" s="0" t="s">
        <v>3190</v>
      </c>
      <c r="B793" s="0" t="s">
        <v>3191</v>
      </c>
      <c r="C793" s="0" t="s">
        <v>70</v>
      </c>
      <c r="D793" s="0" t="s">
        <v>3192</v>
      </c>
      <c r="E793" s="3" t="n">
        <v>46274</v>
      </c>
      <c r="F793" s="4" t="s">
        <v>3199</v>
      </c>
      <c r="G793" s="5" t="n">
        <v>0.0805092592592593</v>
      </c>
      <c r="H793" s="5" t="n">
        <v>0.0688194444444445</v>
      </c>
      <c r="I793" s="5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21</v>
      </c>
      <c r="O793" s="5" t="n">
        <v>0</v>
      </c>
      <c r="P793" s="5" t="n">
        <v>0.00928240740740741</v>
      </c>
      <c r="Q793" s="4" t="s">
        <v>3200</v>
      </c>
      <c r="R793" s="4" t="s">
        <v>1083</v>
      </c>
      <c r="S793" s="5" t="n">
        <v>0.000115740740740741</v>
      </c>
      <c r="T793" s="5" t="n">
        <v>0.0275462962962963</v>
      </c>
      <c r="U793" s="5" t="n">
        <v>0.0212962962962963</v>
      </c>
      <c r="V793" s="5" t="n">
        <v>0.0278935185185185</v>
      </c>
      <c r="W793" s="5" t="n">
        <v>0.000115740740740741</v>
      </c>
      <c r="X793" s="5" t="n">
        <v>0</v>
      </c>
      <c r="Y793" s="5" t="n">
        <v>0</v>
      </c>
      <c r="Z793" s="0" t="n">
        <v>0</v>
      </c>
      <c r="AA793" s="0" t="n">
        <v>0</v>
      </c>
      <c r="AB793" s="0" t="n">
        <v>0</v>
      </c>
      <c r="AC793" s="4" t="s">
        <v>3196</v>
      </c>
      <c r="AD793" s="4" t="s">
        <v>3196</v>
      </c>
      <c r="AE793" s="4" t="s">
        <v>3198</v>
      </c>
      <c r="AF793" s="4" t="s">
        <v>3201</v>
      </c>
      <c r="AG793" s="5" t="n">
        <v>0.0539467592592593</v>
      </c>
      <c r="AH793" s="5" t="n">
        <v>0.0279282407407407</v>
      </c>
      <c r="AI793" s="5" t="n">
        <v>0</v>
      </c>
      <c r="AJ793" s="5" t="n">
        <v>0</v>
      </c>
      <c r="AK793" s="5" t="n">
        <v>0</v>
      </c>
      <c r="AL793" s="5" t="n">
        <v>0</v>
      </c>
      <c r="AM793" s="4" t="s">
        <v>78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0</v>
      </c>
      <c r="AT793" s="0" t="n">
        <v>0</v>
      </c>
      <c r="AU793" s="0" t="n">
        <v>0</v>
      </c>
      <c r="AV793" s="0" t="n">
        <v>0</v>
      </c>
      <c r="AW793" s="0" t="n">
        <v>0</v>
      </c>
      <c r="AX793" s="0" t="n">
        <v>0</v>
      </c>
      <c r="AY793" s="0" t="n">
        <v>0</v>
      </c>
      <c r="AZ793" s="0" t="n">
        <v>0</v>
      </c>
      <c r="BA793" s="0" t="n">
        <v>0</v>
      </c>
      <c r="BB793" s="0" t="n">
        <v>0</v>
      </c>
      <c r="BC793" s="0" t="n">
        <v>0</v>
      </c>
      <c r="BD793" s="0" t="n">
        <v>0</v>
      </c>
      <c r="BE793" s="0" t="n">
        <v>0</v>
      </c>
      <c r="BF793" s="0" t="n">
        <v>0</v>
      </c>
      <c r="BG793" s="0" t="n">
        <v>0</v>
      </c>
      <c r="BH793" s="0" t="n">
        <v>0</v>
      </c>
      <c r="BI793" s="0" t="n">
        <v>0</v>
      </c>
      <c r="BJ793" s="0" t="n">
        <v>0</v>
      </c>
      <c r="BK793" s="0" t="n">
        <v>0</v>
      </c>
      <c r="BM793" s="6" t="n">
        <f aca="false">IFERROR(VALUE(F793),"")</f>
        <v>34.53</v>
      </c>
      <c r="BN793" s="6" t="n">
        <f aca="false">IF(R793="-","",IFERROR(VALUE(LEFT(Q793,LEN(Q793)-2)),""))</f>
        <v>15.94</v>
      </c>
      <c r="BO793" s="6" t="n">
        <f aca="false">IF(R793="-","",IFERROR(VALUE(LEFT(R793,LEN(R793)-5)),""))</f>
        <v>2.17</v>
      </c>
      <c r="BP793" s="6" t="n">
        <f aca="false">IF(R793="-","",IFERROR(VALUE(F793),""))</f>
        <v>34.53</v>
      </c>
      <c r="BQ793" s="4" t="n">
        <f aca="false">IF(R793="-",1,0)</f>
        <v>0</v>
      </c>
    </row>
    <row r="794" customFormat="false" ht="15" hidden="false" customHeight="false" outlineLevel="0" collapsed="false">
      <c r="A794" s="0" t="s">
        <v>3190</v>
      </c>
      <c r="B794" s="0" t="s">
        <v>3191</v>
      </c>
      <c r="C794" s="0" t="s">
        <v>70</v>
      </c>
      <c r="D794" s="0" t="s">
        <v>3202</v>
      </c>
      <c r="E794" s="3" t="n">
        <v>46275</v>
      </c>
      <c r="F794" s="4" t="s">
        <v>3203</v>
      </c>
      <c r="G794" s="5" t="n">
        <v>0.154085648148148</v>
      </c>
      <c r="H794" s="5" t="n">
        <v>0.143171296296296</v>
      </c>
      <c r="I794" s="5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10</v>
      </c>
      <c r="O794" s="5" t="n">
        <v>0</v>
      </c>
      <c r="P794" s="5" t="n">
        <v>0</v>
      </c>
      <c r="Q794" s="4" t="s">
        <v>3204</v>
      </c>
      <c r="R794" s="4" t="s">
        <v>3205</v>
      </c>
      <c r="S794" s="5" t="n">
        <v>0</v>
      </c>
      <c r="T794" s="5" t="n">
        <v>0.0471064814814815</v>
      </c>
      <c r="U794" s="5" t="n">
        <v>0.0373842592592593</v>
      </c>
      <c r="V794" s="5" t="n">
        <v>0.0614583333333333</v>
      </c>
      <c r="W794" s="5" t="n">
        <v>0.000231481481481482</v>
      </c>
      <c r="X794" s="5" t="n">
        <v>0</v>
      </c>
      <c r="Y794" s="5" t="n">
        <v>0</v>
      </c>
      <c r="Z794" s="0" t="n">
        <v>0</v>
      </c>
      <c r="AA794" s="0" t="n">
        <v>0</v>
      </c>
      <c r="AB794" s="0" t="n">
        <v>0</v>
      </c>
      <c r="AC794" s="4" t="s">
        <v>3196</v>
      </c>
      <c r="AD794" s="4" t="s">
        <v>3206</v>
      </c>
      <c r="AE794" s="4" t="s">
        <v>3201</v>
      </c>
      <c r="AF794" s="4" t="s">
        <v>3207</v>
      </c>
      <c r="AG794" s="5" t="n">
        <v>0.117430555555556</v>
      </c>
      <c r="AH794" s="5" t="n">
        <v>0.0938310185185185</v>
      </c>
      <c r="AI794" s="5" t="n">
        <v>0</v>
      </c>
      <c r="AJ794" s="5" t="n">
        <v>0</v>
      </c>
      <c r="AK794" s="5" t="n">
        <v>0</v>
      </c>
      <c r="AL794" s="5" t="n">
        <v>0</v>
      </c>
      <c r="AM794" s="4" t="s">
        <v>78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0</v>
      </c>
      <c r="AU794" s="0" t="n">
        <v>0</v>
      </c>
      <c r="AV794" s="0" t="n">
        <v>0</v>
      </c>
      <c r="AW794" s="0" t="n">
        <v>0</v>
      </c>
      <c r="AX794" s="0" t="n">
        <v>0</v>
      </c>
      <c r="AY794" s="0" t="n">
        <v>0</v>
      </c>
      <c r="AZ794" s="0" t="n">
        <v>0</v>
      </c>
      <c r="BA794" s="0" t="n">
        <v>0</v>
      </c>
      <c r="BB794" s="0" t="n">
        <v>0</v>
      </c>
      <c r="BC794" s="0" t="n">
        <v>0</v>
      </c>
      <c r="BD794" s="0" t="n">
        <v>0</v>
      </c>
      <c r="BE794" s="0" t="n">
        <v>0</v>
      </c>
      <c r="BF794" s="0" t="n">
        <v>0</v>
      </c>
      <c r="BG794" s="0" t="n">
        <v>0</v>
      </c>
      <c r="BH794" s="0" t="n">
        <v>0</v>
      </c>
      <c r="BI794" s="0" t="n">
        <v>0</v>
      </c>
      <c r="BJ794" s="0" t="n">
        <v>0</v>
      </c>
      <c r="BK794" s="0" t="n">
        <v>0</v>
      </c>
      <c r="BM794" s="6" t="n">
        <f aca="false">IFERROR(VALUE(F794),"")</f>
        <v>86.42</v>
      </c>
      <c r="BN794" s="6" t="n">
        <f aca="false">IF(R794="-","",IFERROR(VALUE(LEFT(Q794,LEN(Q794)-2)),""))</f>
        <v>38.26</v>
      </c>
      <c r="BO794" s="6" t="n">
        <f aca="false">IF(R794="-","",IFERROR(VALUE(LEFT(R794,LEN(R794)-5)),""))</f>
        <v>2.26</v>
      </c>
      <c r="BP794" s="6" t="n">
        <f aca="false">IF(R794="-","",IFERROR(VALUE(F794),""))</f>
        <v>86.42</v>
      </c>
      <c r="BQ794" s="4" t="n">
        <f aca="false">IF(R794="-",1,0)</f>
        <v>0</v>
      </c>
    </row>
    <row r="795" customFormat="false" ht="15" hidden="false" customHeight="false" outlineLevel="0" collapsed="false">
      <c r="A795" s="0" t="s">
        <v>3190</v>
      </c>
      <c r="B795" s="0" t="s">
        <v>3191</v>
      </c>
      <c r="C795" s="0" t="s">
        <v>70</v>
      </c>
      <c r="D795" s="0" t="s">
        <v>3208</v>
      </c>
      <c r="E795" s="3" t="n">
        <v>46276</v>
      </c>
      <c r="F795" s="4" t="s">
        <v>3209</v>
      </c>
      <c r="G795" s="5" t="n">
        <v>0.156956018518519</v>
      </c>
      <c r="H795" s="5" t="n">
        <v>0.152141203703704</v>
      </c>
      <c r="I795" s="5" t="n">
        <v>0.000324074074074074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5" t="n">
        <v>0</v>
      </c>
      <c r="P795" s="5" t="n">
        <v>0</v>
      </c>
      <c r="Q795" s="4" t="s">
        <v>3210</v>
      </c>
      <c r="R795" s="4" t="s">
        <v>3211</v>
      </c>
      <c r="S795" s="5" t="n">
        <v>0</v>
      </c>
      <c r="T795" s="5" t="n">
        <v>0.0145833333333333</v>
      </c>
      <c r="U795" s="5" t="n">
        <v>0.0253472222222222</v>
      </c>
      <c r="V795" s="5" t="n">
        <v>0.0899305555555556</v>
      </c>
      <c r="W795" s="5" t="n">
        <v>0.000462962962962963</v>
      </c>
      <c r="X795" s="5" t="n">
        <v>0</v>
      </c>
      <c r="Y795" s="5" t="n">
        <v>0</v>
      </c>
      <c r="Z795" s="0" t="n">
        <v>0</v>
      </c>
      <c r="AA795" s="0" t="n">
        <v>0</v>
      </c>
      <c r="AB795" s="0" t="n">
        <v>0</v>
      </c>
      <c r="AC795" s="4" t="s">
        <v>3212</v>
      </c>
      <c r="AD795" s="4" t="s">
        <v>3213</v>
      </c>
      <c r="AE795" s="4" t="s">
        <v>3207</v>
      </c>
      <c r="AF795" s="4" t="s">
        <v>3214</v>
      </c>
      <c r="AG795" s="5" t="n">
        <v>0.121886574074074</v>
      </c>
      <c r="AH795" s="5" t="n">
        <v>0.0406365740740741</v>
      </c>
      <c r="AI795" s="5" t="n">
        <v>0</v>
      </c>
      <c r="AJ795" s="5" t="n">
        <v>0</v>
      </c>
      <c r="AK795" s="5" t="n">
        <v>0</v>
      </c>
      <c r="AL795" s="5" t="n">
        <v>0</v>
      </c>
      <c r="AM795" s="4" t="s">
        <v>78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  <c r="AU795" s="0" t="n">
        <v>0</v>
      </c>
      <c r="AV795" s="0" t="n">
        <v>0</v>
      </c>
      <c r="AW795" s="0" t="n">
        <v>0</v>
      </c>
      <c r="AX795" s="0" t="n">
        <v>0</v>
      </c>
      <c r="AY795" s="0" t="n">
        <v>0</v>
      </c>
      <c r="AZ795" s="0" t="n">
        <v>0</v>
      </c>
      <c r="BA795" s="0" t="n">
        <v>0</v>
      </c>
      <c r="BB795" s="0" t="n">
        <v>0</v>
      </c>
      <c r="BC795" s="0" t="n">
        <v>0</v>
      </c>
      <c r="BD795" s="0" t="n">
        <v>0</v>
      </c>
      <c r="BE795" s="0" t="n">
        <v>0</v>
      </c>
      <c r="BF795" s="0" t="n">
        <v>0</v>
      </c>
      <c r="BG795" s="0" t="n">
        <v>0</v>
      </c>
      <c r="BH795" s="0" t="n">
        <v>0</v>
      </c>
      <c r="BI795" s="0" t="n">
        <v>0</v>
      </c>
      <c r="BJ795" s="0" t="n">
        <v>0</v>
      </c>
      <c r="BK795" s="0" t="n">
        <v>0</v>
      </c>
      <c r="BM795" s="6" t="n">
        <f aca="false">IFERROR(VALUE(F795),"")</f>
        <v>170.06</v>
      </c>
      <c r="BN795" s="6" t="n">
        <f aca="false">IF(R795="-","",IFERROR(VALUE(LEFT(Q795,LEN(Q795)-2)),""))</f>
        <v>40.66</v>
      </c>
      <c r="BO795" s="6" t="n">
        <f aca="false">IF(R795="-","",IFERROR(VALUE(LEFT(R795,LEN(R795)-5)),""))</f>
        <v>4.18</v>
      </c>
      <c r="BP795" s="6" t="n">
        <f aca="false">IF(R795="-","",IFERROR(VALUE(F795),""))</f>
        <v>170.06</v>
      </c>
      <c r="BQ795" s="4" t="n">
        <f aca="false">IF(R795="-",1,0)</f>
        <v>0</v>
      </c>
    </row>
    <row r="796" customFormat="false" ht="15" hidden="false" customHeight="false" outlineLevel="0" collapsed="false">
      <c r="A796" s="0" t="s">
        <v>3190</v>
      </c>
      <c r="B796" s="0" t="s">
        <v>3191</v>
      </c>
      <c r="C796" s="0" t="s">
        <v>70</v>
      </c>
      <c r="D796" s="0" t="s">
        <v>3215</v>
      </c>
      <c r="E796" s="3" t="n">
        <v>46277</v>
      </c>
      <c r="F796" s="4" t="s">
        <v>3216</v>
      </c>
      <c r="G796" s="5" t="n">
        <v>0.1465625</v>
      </c>
      <c r="H796" s="5" t="n">
        <v>0.139444444444445</v>
      </c>
      <c r="I796" s="5" t="n">
        <v>0.000138888888888889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5" t="n">
        <v>0</v>
      </c>
      <c r="P796" s="5" t="n">
        <v>0</v>
      </c>
      <c r="Q796" s="4" t="s">
        <v>3217</v>
      </c>
      <c r="R796" s="4" t="s">
        <v>3218</v>
      </c>
      <c r="S796" s="5" t="n">
        <v>0</v>
      </c>
      <c r="T796" s="5" t="n">
        <v>0.0202546296296296</v>
      </c>
      <c r="U796" s="5" t="n">
        <v>0.0277777777777778</v>
      </c>
      <c r="V796" s="5" t="n">
        <v>0.0950231481481482</v>
      </c>
      <c r="W796" s="5" t="n">
        <v>0.000231481481481482</v>
      </c>
      <c r="X796" s="5" t="n">
        <v>0</v>
      </c>
      <c r="Y796" s="5" t="n">
        <v>0</v>
      </c>
      <c r="Z796" s="0" t="n">
        <v>0</v>
      </c>
      <c r="AA796" s="0" t="n">
        <v>0</v>
      </c>
      <c r="AB796" s="0" t="n">
        <v>0</v>
      </c>
      <c r="AC796" s="4" t="s">
        <v>852</v>
      </c>
      <c r="AD796" s="4" t="s">
        <v>3219</v>
      </c>
      <c r="AE796" s="4" t="s">
        <v>3214</v>
      </c>
      <c r="AF796" s="4" t="s">
        <v>3220</v>
      </c>
      <c r="AG796" s="5" t="n">
        <v>0.136284722222222</v>
      </c>
      <c r="AH796" s="5" t="n">
        <v>0.0335069444444444</v>
      </c>
      <c r="AI796" s="5" t="n">
        <v>0</v>
      </c>
      <c r="AJ796" s="5" t="n">
        <v>0</v>
      </c>
      <c r="AK796" s="5" t="n">
        <v>0</v>
      </c>
      <c r="AL796" s="5" t="n">
        <v>0</v>
      </c>
      <c r="AM796" s="4" t="s">
        <v>78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  <c r="AU796" s="0" t="n">
        <v>0</v>
      </c>
      <c r="AV796" s="0" t="n">
        <v>0</v>
      </c>
      <c r="AW796" s="0" t="n">
        <v>0</v>
      </c>
      <c r="AX796" s="0" t="n">
        <v>0</v>
      </c>
      <c r="AY796" s="0" t="n">
        <v>0</v>
      </c>
      <c r="AZ796" s="0" t="n">
        <v>0</v>
      </c>
      <c r="BA796" s="0" t="n">
        <v>0</v>
      </c>
      <c r="BB796" s="0" t="n">
        <v>0</v>
      </c>
      <c r="BC796" s="0" t="n">
        <v>0</v>
      </c>
      <c r="BD796" s="0" t="n">
        <v>0</v>
      </c>
      <c r="BE796" s="0" t="n">
        <v>0</v>
      </c>
      <c r="BF796" s="0" t="n">
        <v>0</v>
      </c>
      <c r="BG796" s="0" t="n">
        <v>0</v>
      </c>
      <c r="BH796" s="0" t="n">
        <v>0</v>
      </c>
      <c r="BI796" s="0" t="n">
        <v>0</v>
      </c>
      <c r="BJ796" s="0" t="n">
        <v>0</v>
      </c>
      <c r="BK796" s="0" t="n">
        <v>0</v>
      </c>
      <c r="BM796" s="6" t="n">
        <f aca="false">IFERROR(VALUE(F796),"")</f>
        <v>171.76</v>
      </c>
      <c r="BN796" s="6" t="n">
        <f aca="false">IF(R796="-","",IFERROR(VALUE(LEFT(Q796,LEN(Q796)-2)),""))</f>
        <v>37.7</v>
      </c>
      <c r="BO796" s="6" t="n">
        <f aca="false">IF(R796="-","",IFERROR(VALUE(LEFT(R796,LEN(R796)-5)),""))</f>
        <v>4.56</v>
      </c>
      <c r="BP796" s="6" t="n">
        <f aca="false">IF(R796="-","",IFERROR(VALUE(F796),""))</f>
        <v>171.76</v>
      </c>
      <c r="BQ796" s="4" t="n">
        <f aca="false">IF(R796="-",1,0)</f>
        <v>0</v>
      </c>
    </row>
    <row r="797" customFormat="false" ht="15" hidden="false" customHeight="false" outlineLevel="0" collapsed="false">
      <c r="A797" s="0" t="s">
        <v>3190</v>
      </c>
      <c r="B797" s="0" t="s">
        <v>3191</v>
      </c>
      <c r="C797" s="0" t="s">
        <v>70</v>
      </c>
      <c r="D797" s="0" t="s">
        <v>3221</v>
      </c>
      <c r="E797" s="3" t="n">
        <v>46278</v>
      </c>
      <c r="F797" s="4" t="s">
        <v>3222</v>
      </c>
      <c r="G797" s="5" t="n">
        <v>0.215844907407407</v>
      </c>
      <c r="H797" s="5" t="n">
        <v>0.214652777777778</v>
      </c>
      <c r="I797" s="5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5</v>
      </c>
      <c r="O797" s="5" t="n">
        <v>0</v>
      </c>
      <c r="P797" s="5" t="n">
        <v>0</v>
      </c>
      <c r="Q797" s="4" t="s">
        <v>3223</v>
      </c>
      <c r="R797" s="4" t="s">
        <v>3146</v>
      </c>
      <c r="S797" s="5" t="n">
        <v>0</v>
      </c>
      <c r="T797" s="5" t="n">
        <v>0.0237268518518519</v>
      </c>
      <c r="U797" s="5" t="n">
        <v>0.058599537037037</v>
      </c>
      <c r="V797" s="5" t="n">
        <v>0.124583333333333</v>
      </c>
      <c r="W797" s="5" t="n">
        <v>0.00266203703703704</v>
      </c>
      <c r="X797" s="5" t="n">
        <v>0</v>
      </c>
      <c r="Y797" s="5" t="n">
        <v>0.000925925925925926</v>
      </c>
      <c r="Z797" s="0" t="n">
        <v>0</v>
      </c>
      <c r="AA797" s="0" t="n">
        <v>0</v>
      </c>
      <c r="AB797" s="0" t="n">
        <v>0</v>
      </c>
      <c r="AC797" s="4" t="s">
        <v>3206</v>
      </c>
      <c r="AD797" s="4" t="s">
        <v>73</v>
      </c>
      <c r="AE797" s="4" t="s">
        <v>3220</v>
      </c>
      <c r="AF797" s="4" t="s">
        <v>3224</v>
      </c>
      <c r="AG797" s="5" t="n">
        <v>0.206585648148148</v>
      </c>
      <c r="AH797" s="5" t="n">
        <v>0.0638078703703704</v>
      </c>
      <c r="AI797" s="5" t="n">
        <v>0</v>
      </c>
      <c r="AJ797" s="5" t="n">
        <v>0</v>
      </c>
      <c r="AK797" s="5" t="n">
        <v>0</v>
      </c>
      <c r="AL797" s="5" t="n">
        <v>0</v>
      </c>
      <c r="AM797" s="4" t="s">
        <v>78</v>
      </c>
      <c r="AN797" s="0" t="n">
        <v>0</v>
      </c>
      <c r="AO797" s="0" t="n">
        <v>9</v>
      </c>
      <c r="AP797" s="0" t="n">
        <v>0</v>
      </c>
      <c r="AQ797" s="0" t="n">
        <v>0</v>
      </c>
      <c r="AR797" s="0" t="n">
        <v>1</v>
      </c>
      <c r="AS797" s="0" t="n">
        <v>0</v>
      </c>
      <c r="AT797" s="0" t="n">
        <v>0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0</v>
      </c>
      <c r="BA797" s="0" t="n">
        <v>0</v>
      </c>
      <c r="BB797" s="0" t="n">
        <v>0</v>
      </c>
      <c r="BC797" s="0" t="n">
        <v>0</v>
      </c>
      <c r="BD797" s="0" t="n">
        <v>0</v>
      </c>
      <c r="BE797" s="0" t="n">
        <v>0</v>
      </c>
      <c r="BF797" s="0" t="n">
        <v>0</v>
      </c>
      <c r="BG797" s="0" t="n">
        <v>0</v>
      </c>
      <c r="BH797" s="0" t="n">
        <v>0</v>
      </c>
      <c r="BI797" s="0" t="n">
        <v>0</v>
      </c>
      <c r="BJ797" s="0" t="n">
        <v>0</v>
      </c>
      <c r="BK797" s="0" t="n">
        <v>0</v>
      </c>
      <c r="BM797" s="6" t="n">
        <f aca="false">IFERROR(VALUE(F797),"")</f>
        <v>167.28</v>
      </c>
      <c r="BN797" s="6" t="n">
        <f aca="false">IF(R797="-","",IFERROR(VALUE(LEFT(Q797,LEN(Q797)-2)),""))</f>
        <v>72.43</v>
      </c>
      <c r="BO797" s="6" t="n">
        <f aca="false">IF(R797="-","",IFERROR(VALUE(LEFT(R797,LEN(R797)-5)),""))</f>
        <v>2.31</v>
      </c>
      <c r="BP797" s="6" t="n">
        <f aca="false">IF(R797="-","",IFERROR(VALUE(F797),""))</f>
        <v>167.28</v>
      </c>
      <c r="BQ797" s="4" t="n">
        <f aca="false">IF(R797="-",1,0)</f>
        <v>0</v>
      </c>
    </row>
    <row r="798" customFormat="false" ht="15" hidden="false" customHeight="false" outlineLevel="0" collapsed="false">
      <c r="A798" s="0" t="s">
        <v>3190</v>
      </c>
      <c r="B798" s="0" t="s">
        <v>3191</v>
      </c>
      <c r="C798" s="0" t="s">
        <v>70</v>
      </c>
      <c r="D798" s="0" t="s">
        <v>3225</v>
      </c>
      <c r="E798" s="3" t="n">
        <v>46279</v>
      </c>
      <c r="F798" s="4" t="s">
        <v>3226</v>
      </c>
      <c r="G798" s="5" t="n">
        <v>0.210729166666667</v>
      </c>
      <c r="H798" s="5" t="n">
        <v>0.204166666666667</v>
      </c>
      <c r="I798" s="5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2</v>
      </c>
      <c r="O798" s="5" t="n">
        <v>0</v>
      </c>
      <c r="P798" s="5" t="n">
        <v>0</v>
      </c>
      <c r="Q798" s="4" t="s">
        <v>3227</v>
      </c>
      <c r="R798" s="4" t="s">
        <v>3195</v>
      </c>
      <c r="S798" s="5" t="n">
        <v>0</v>
      </c>
      <c r="T798" s="5" t="n">
        <v>0.0452546296296296</v>
      </c>
      <c r="U798" s="5" t="n">
        <v>0.0547453703703704</v>
      </c>
      <c r="V798" s="5" t="n">
        <v>0.0980324074074074</v>
      </c>
      <c r="W798" s="5" t="n">
        <v>0.000347222222222222</v>
      </c>
      <c r="X798" s="5" t="n">
        <v>0</v>
      </c>
      <c r="Y798" s="5" t="n">
        <v>0</v>
      </c>
      <c r="Z798" s="0" t="n">
        <v>0</v>
      </c>
      <c r="AA798" s="0" t="n">
        <v>0</v>
      </c>
      <c r="AB798" s="0" t="n">
        <v>0</v>
      </c>
      <c r="AC798" s="4" t="s">
        <v>73</v>
      </c>
      <c r="AD798" s="4" t="s">
        <v>3196</v>
      </c>
      <c r="AE798" s="4" t="s">
        <v>3224</v>
      </c>
      <c r="AF798" s="4" t="s">
        <v>3228</v>
      </c>
      <c r="AG798" s="5" t="n">
        <v>0.17931712962963</v>
      </c>
      <c r="AH798" s="5" t="n">
        <v>0.0857638888888889</v>
      </c>
      <c r="AI798" s="5" t="n">
        <v>0</v>
      </c>
      <c r="AJ798" s="5" t="n">
        <v>0</v>
      </c>
      <c r="AK798" s="5" t="n">
        <v>0</v>
      </c>
      <c r="AL798" s="5" t="n">
        <v>0</v>
      </c>
      <c r="AM798" s="4" t="s">
        <v>78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  <c r="AU798" s="0" t="n">
        <v>0</v>
      </c>
      <c r="AV798" s="0" t="n">
        <v>0</v>
      </c>
      <c r="AW798" s="0" t="n">
        <v>0</v>
      </c>
      <c r="AX798" s="0" t="n">
        <v>0</v>
      </c>
      <c r="AY798" s="0" t="n">
        <v>0</v>
      </c>
      <c r="AZ798" s="0" t="n">
        <v>0</v>
      </c>
      <c r="BA798" s="0" t="n">
        <v>0</v>
      </c>
      <c r="BB798" s="0" t="n">
        <v>0</v>
      </c>
      <c r="BC798" s="0" t="n">
        <v>0</v>
      </c>
      <c r="BD798" s="0" t="n">
        <v>0</v>
      </c>
      <c r="BE798" s="0" t="n">
        <v>0</v>
      </c>
      <c r="BF798" s="0" t="n">
        <v>0</v>
      </c>
      <c r="BG798" s="0" t="n">
        <v>0</v>
      </c>
      <c r="BH798" s="0" t="n">
        <v>0</v>
      </c>
      <c r="BI798" s="0" t="n">
        <v>0</v>
      </c>
      <c r="BJ798" s="0" t="n">
        <v>0</v>
      </c>
      <c r="BK798" s="0" t="n">
        <v>0</v>
      </c>
      <c r="BM798" s="6" t="n">
        <f aca="false">IFERROR(VALUE(F798),"")</f>
        <v>135.16</v>
      </c>
      <c r="BN798" s="6" t="n">
        <f aca="false">IF(R798="-","",IFERROR(VALUE(LEFT(Q798,LEN(Q798)-2)),""))</f>
        <v>58.73</v>
      </c>
      <c r="BO798" s="6" t="n">
        <f aca="false">IF(R798="-","",IFERROR(VALUE(LEFT(R798,LEN(R798)-5)),""))</f>
        <v>2.3</v>
      </c>
      <c r="BP798" s="6" t="n">
        <f aca="false">IF(R798="-","",IFERROR(VALUE(F798),""))</f>
        <v>135.16</v>
      </c>
      <c r="BQ798" s="4" t="n">
        <f aca="false">IF(R798="-",1,0)</f>
        <v>0</v>
      </c>
    </row>
    <row r="799" customFormat="false" ht="15" hidden="false" customHeight="false" outlineLevel="0" collapsed="false">
      <c r="A799" s="0" t="s">
        <v>3229</v>
      </c>
      <c r="B799" s="0" t="s">
        <v>3230</v>
      </c>
      <c r="C799" s="0" t="s">
        <v>70</v>
      </c>
      <c r="D799" s="0" t="s">
        <v>3231</v>
      </c>
      <c r="E799" s="3" t="n">
        <v>46273</v>
      </c>
      <c r="F799" s="4" t="s">
        <v>3203</v>
      </c>
      <c r="G799" s="5" t="n">
        <v>0.244652777777778</v>
      </c>
      <c r="H799" s="5" t="n">
        <v>0.242384259259259</v>
      </c>
      <c r="I799" s="5" t="n">
        <v>0.000416666666666667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6</v>
      </c>
      <c r="O799" s="5" t="n">
        <v>0</v>
      </c>
      <c r="P799" s="5" t="n">
        <v>0</v>
      </c>
      <c r="Q799" s="4" t="s">
        <v>3232</v>
      </c>
      <c r="R799" s="4" t="s">
        <v>361</v>
      </c>
      <c r="S799" s="5" t="n">
        <v>0</v>
      </c>
      <c r="T799" s="5" t="n">
        <v>0.0928240740740741</v>
      </c>
      <c r="U799" s="5" t="n">
        <v>0.112847222222222</v>
      </c>
      <c r="V799" s="5" t="n">
        <v>0.0322916666666667</v>
      </c>
      <c r="W799" s="5" t="n">
        <v>0</v>
      </c>
      <c r="X799" s="5" t="n">
        <v>0</v>
      </c>
      <c r="Y799" s="5" t="n">
        <v>0</v>
      </c>
      <c r="Z799" s="0" t="n">
        <v>0</v>
      </c>
      <c r="AA799" s="0" t="n">
        <v>0</v>
      </c>
      <c r="AB799" s="0" t="n">
        <v>0</v>
      </c>
      <c r="AC799" s="4" t="s">
        <v>75</v>
      </c>
      <c r="AD799" s="4" t="s">
        <v>74</v>
      </c>
      <c r="AE799" s="4" t="s">
        <v>3233</v>
      </c>
      <c r="AF799" s="4" t="s">
        <v>3234</v>
      </c>
      <c r="AG799" s="5" t="n">
        <v>0.223414351851852</v>
      </c>
      <c r="AH799" s="5" t="n">
        <v>0.0945138888888889</v>
      </c>
      <c r="AI799" s="5" t="n">
        <v>0</v>
      </c>
      <c r="AJ799" s="5" t="n">
        <v>0</v>
      </c>
      <c r="AK799" s="5" t="n">
        <v>0</v>
      </c>
      <c r="AL799" s="5" t="n">
        <v>0</v>
      </c>
      <c r="AM799" s="4" t="s">
        <v>78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  <c r="AU799" s="0" t="n">
        <v>4</v>
      </c>
      <c r="AV799" s="0" t="n">
        <v>0</v>
      </c>
      <c r="AW799" s="0" t="n">
        <v>0</v>
      </c>
      <c r="AX799" s="0" t="n">
        <v>0</v>
      </c>
      <c r="AY799" s="0" t="n">
        <v>0</v>
      </c>
      <c r="AZ799" s="0" t="n">
        <v>0</v>
      </c>
      <c r="BA799" s="0" t="n">
        <v>0</v>
      </c>
      <c r="BB799" s="0" t="n">
        <v>0</v>
      </c>
      <c r="BC799" s="0" t="n">
        <v>0</v>
      </c>
      <c r="BD799" s="0" t="n">
        <v>0</v>
      </c>
      <c r="BE799" s="0" t="n">
        <v>0</v>
      </c>
      <c r="BF799" s="0" t="n">
        <v>0</v>
      </c>
      <c r="BG799" s="0" t="n">
        <v>0</v>
      </c>
      <c r="BH799" s="0" t="n">
        <v>0</v>
      </c>
      <c r="BI799" s="0" t="n">
        <v>0</v>
      </c>
      <c r="BJ799" s="0" t="n">
        <v>0</v>
      </c>
      <c r="BK799" s="0" t="n">
        <v>0</v>
      </c>
      <c r="BM799" s="6" t="n">
        <f aca="false">IFERROR(VALUE(F799),"")</f>
        <v>86.42</v>
      </c>
      <c r="BN799" s="6" t="n">
        <f aca="false">IF(R799="-","",IFERROR(VALUE(LEFT(Q799,LEN(Q799)-2)),""))</f>
        <v>27.71</v>
      </c>
      <c r="BO799" s="6" t="n">
        <f aca="false">IF(R799="-","",IFERROR(VALUE(LEFT(R799,LEN(R799)-5)),""))</f>
        <v>3.12</v>
      </c>
      <c r="BP799" s="6" t="n">
        <f aca="false">IF(R799="-","",IFERROR(VALUE(F799),""))</f>
        <v>86.42</v>
      </c>
      <c r="BQ799" s="4" t="n">
        <f aca="false">IF(R799="-",1,0)</f>
        <v>0</v>
      </c>
    </row>
    <row r="800" customFormat="false" ht="15" hidden="false" customHeight="false" outlineLevel="0" collapsed="false">
      <c r="A800" s="0" t="s">
        <v>3229</v>
      </c>
      <c r="B800" s="0" t="s">
        <v>3230</v>
      </c>
      <c r="C800" s="0" t="s">
        <v>70</v>
      </c>
      <c r="D800" s="0" t="s">
        <v>3235</v>
      </c>
      <c r="E800" s="3" t="n">
        <v>46274</v>
      </c>
      <c r="F800" s="4" t="s">
        <v>3236</v>
      </c>
      <c r="G800" s="5" t="n">
        <v>0.316354166666667</v>
      </c>
      <c r="H800" s="5" t="n">
        <v>0.23806712962963</v>
      </c>
      <c r="I800" s="5" t="n">
        <v>0.000231481481481482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13</v>
      </c>
      <c r="O800" s="5" t="n">
        <v>0</v>
      </c>
      <c r="P800" s="5" t="n">
        <v>0.00828703703703704</v>
      </c>
      <c r="Q800" s="4" t="s">
        <v>3237</v>
      </c>
      <c r="R800" s="4" t="s">
        <v>299</v>
      </c>
      <c r="S800" s="5" t="n">
        <v>0.000231481481481482</v>
      </c>
      <c r="T800" s="5" t="n">
        <v>0.134375</v>
      </c>
      <c r="U800" s="5" t="n">
        <v>0.131828703703704</v>
      </c>
      <c r="V800" s="5" t="n">
        <v>0.0423611111111111</v>
      </c>
      <c r="W800" s="5" t="n">
        <v>0.000231481481481482</v>
      </c>
      <c r="X800" s="5" t="n">
        <v>0</v>
      </c>
      <c r="Y800" s="5" t="n">
        <v>0</v>
      </c>
      <c r="Z800" s="0" t="n">
        <v>0</v>
      </c>
      <c r="AA800" s="0" t="n">
        <v>0</v>
      </c>
      <c r="AB800" s="0" t="n">
        <v>0</v>
      </c>
      <c r="AC800" s="4" t="s">
        <v>74</v>
      </c>
      <c r="AD800" s="4" t="s">
        <v>73</v>
      </c>
      <c r="AE800" s="4" t="s">
        <v>3234</v>
      </c>
      <c r="AF800" s="4" t="s">
        <v>3238</v>
      </c>
      <c r="AG800" s="5" t="n">
        <v>0.27068287037037</v>
      </c>
      <c r="AH800" s="5" t="n">
        <v>0.168206018518519</v>
      </c>
      <c r="AI800" s="5" t="n">
        <v>0</v>
      </c>
      <c r="AJ800" s="5" t="n">
        <v>0</v>
      </c>
      <c r="AK800" s="5" t="n">
        <v>0</v>
      </c>
      <c r="AL800" s="5" t="n">
        <v>0</v>
      </c>
      <c r="AM800" s="4" t="s">
        <v>78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  <c r="AU800" s="0" t="n">
        <v>3</v>
      </c>
      <c r="AV800" s="0" t="n">
        <v>0</v>
      </c>
      <c r="AW800" s="0" t="n">
        <v>0</v>
      </c>
      <c r="AX800" s="0" t="n">
        <v>0</v>
      </c>
      <c r="AY800" s="0" t="n">
        <v>0</v>
      </c>
      <c r="AZ800" s="0" t="n">
        <v>0</v>
      </c>
      <c r="BA800" s="0" t="n">
        <v>0</v>
      </c>
      <c r="BB800" s="0" t="n">
        <v>0</v>
      </c>
      <c r="BC800" s="0" t="n">
        <v>0</v>
      </c>
      <c r="BD800" s="0" t="n">
        <v>0</v>
      </c>
      <c r="BE800" s="0" t="n">
        <v>0</v>
      </c>
      <c r="BF800" s="0" t="n">
        <v>0</v>
      </c>
      <c r="BG800" s="0" t="n">
        <v>0</v>
      </c>
      <c r="BH800" s="0" t="n">
        <v>0</v>
      </c>
      <c r="BI800" s="0" t="n">
        <v>0</v>
      </c>
      <c r="BJ800" s="0" t="n">
        <v>0</v>
      </c>
      <c r="BK800" s="0" t="n">
        <v>0</v>
      </c>
      <c r="BM800" s="6" t="n">
        <f aca="false">IFERROR(VALUE(F800),"")</f>
        <v>109.91</v>
      </c>
      <c r="BN800" s="6" t="n">
        <f aca="false">IF(R800="-","",IFERROR(VALUE(LEFT(Q800,LEN(Q800)-2)),""))</f>
        <v>36.81</v>
      </c>
      <c r="BO800" s="6" t="n">
        <f aca="false">IF(R800="-","",IFERROR(VALUE(LEFT(R800,LEN(R800)-5)),""))</f>
        <v>2.99</v>
      </c>
      <c r="BP800" s="6" t="n">
        <f aca="false">IF(R800="-","",IFERROR(VALUE(F800),""))</f>
        <v>109.91</v>
      </c>
      <c r="BQ800" s="4" t="n">
        <f aca="false">IF(R800="-",1,0)</f>
        <v>0</v>
      </c>
    </row>
    <row r="801" customFormat="false" ht="15" hidden="false" customHeight="false" outlineLevel="0" collapsed="false">
      <c r="A801" s="0" t="s">
        <v>3229</v>
      </c>
      <c r="B801" s="0" t="s">
        <v>3230</v>
      </c>
      <c r="C801" s="0" t="s">
        <v>70</v>
      </c>
      <c r="D801" s="0" t="s">
        <v>3239</v>
      </c>
      <c r="E801" s="3" t="n">
        <v>46275</v>
      </c>
      <c r="F801" s="4" t="s">
        <v>3240</v>
      </c>
      <c r="G801" s="5" t="n">
        <v>0.325416666666667</v>
      </c>
      <c r="H801" s="5" t="n">
        <v>0.28787037037037</v>
      </c>
      <c r="I801" s="5" t="n">
        <v>0.00037037037037037</v>
      </c>
      <c r="J801" s="0" t="n">
        <v>0</v>
      </c>
      <c r="K801" s="0" t="n">
        <v>1</v>
      </c>
      <c r="L801" s="0" t="n">
        <v>0</v>
      </c>
      <c r="M801" s="0" t="n">
        <v>0</v>
      </c>
      <c r="N801" s="0" t="n">
        <v>3</v>
      </c>
      <c r="O801" s="5" t="n">
        <v>0</v>
      </c>
      <c r="P801" s="5" t="n">
        <v>0.0155902777777778</v>
      </c>
      <c r="Q801" s="4" t="s">
        <v>3241</v>
      </c>
      <c r="R801" s="4" t="s">
        <v>545</v>
      </c>
      <c r="S801" s="5" t="n">
        <v>0.000115740740740741</v>
      </c>
      <c r="T801" s="5" t="n">
        <v>0.140046296296296</v>
      </c>
      <c r="U801" s="5" t="n">
        <v>0.139710648148148</v>
      </c>
      <c r="V801" s="5" t="n">
        <v>0.0427893518518519</v>
      </c>
      <c r="W801" s="5" t="n">
        <v>0.0003125</v>
      </c>
      <c r="X801" s="5" t="n">
        <v>0.000173611111111111</v>
      </c>
      <c r="Y801" s="5" t="n">
        <v>0.000138888888888889</v>
      </c>
      <c r="Z801" s="0" t="n">
        <v>0</v>
      </c>
      <c r="AA801" s="0" t="n">
        <v>0</v>
      </c>
      <c r="AB801" s="0" t="n">
        <v>0</v>
      </c>
      <c r="AC801" s="4" t="s">
        <v>73</v>
      </c>
      <c r="AD801" s="4" t="s">
        <v>74</v>
      </c>
      <c r="AE801" s="4" t="s">
        <v>3242</v>
      </c>
      <c r="AF801" s="4" t="s">
        <v>3243</v>
      </c>
      <c r="AG801" s="5" t="n">
        <v>0.291319444444445</v>
      </c>
      <c r="AH801" s="5" t="n">
        <v>0.152465277777778</v>
      </c>
      <c r="AI801" s="5" t="n">
        <v>0</v>
      </c>
      <c r="AJ801" s="5" t="n">
        <v>0</v>
      </c>
      <c r="AK801" s="5" t="n">
        <v>0</v>
      </c>
      <c r="AL801" s="5" t="n">
        <v>0</v>
      </c>
      <c r="AM801" s="4" t="s">
        <v>78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1</v>
      </c>
      <c r="AT801" s="0" t="n">
        <v>0</v>
      </c>
      <c r="AU801" s="0" t="n">
        <v>1</v>
      </c>
      <c r="AV801" s="0" t="n">
        <v>0</v>
      </c>
      <c r="AW801" s="0" t="n">
        <v>0</v>
      </c>
      <c r="AX801" s="0" t="n">
        <v>0</v>
      </c>
      <c r="AY801" s="0" t="n">
        <v>0</v>
      </c>
      <c r="AZ801" s="0" t="n">
        <v>0</v>
      </c>
      <c r="BA801" s="0" t="n">
        <v>0</v>
      </c>
      <c r="BB801" s="0" t="n">
        <v>0</v>
      </c>
      <c r="BC801" s="0" t="n">
        <v>0</v>
      </c>
      <c r="BD801" s="0" t="n">
        <v>0</v>
      </c>
      <c r="BE801" s="0" t="n">
        <v>0</v>
      </c>
      <c r="BF801" s="0" t="n">
        <v>0</v>
      </c>
      <c r="BG801" s="0" t="n">
        <v>0</v>
      </c>
      <c r="BH801" s="0" t="n">
        <v>0</v>
      </c>
      <c r="BI801" s="0" t="n">
        <v>0</v>
      </c>
      <c r="BJ801" s="0" t="n">
        <v>0</v>
      </c>
      <c r="BK801" s="0" t="n">
        <v>0</v>
      </c>
      <c r="BM801" s="6" t="n">
        <f aca="false">IFERROR(VALUE(F801),"")</f>
        <v>119.85</v>
      </c>
      <c r="BN801" s="6" t="n">
        <f aca="false">IF(R801="-","",IFERROR(VALUE(LEFT(Q801,LEN(Q801)-2)),""))</f>
        <v>39.31</v>
      </c>
      <c r="BO801" s="6" t="n">
        <f aca="false">IF(R801="-","",IFERROR(VALUE(LEFT(R801,LEN(R801)-5)),""))</f>
        <v>3.05</v>
      </c>
      <c r="BP801" s="6" t="n">
        <f aca="false">IF(R801="-","",IFERROR(VALUE(F801),""))</f>
        <v>119.85</v>
      </c>
      <c r="BQ801" s="4" t="n">
        <f aca="false">IF(R801="-",1,0)</f>
        <v>0</v>
      </c>
    </row>
    <row r="802" customFormat="false" ht="15" hidden="false" customHeight="false" outlineLevel="0" collapsed="false">
      <c r="A802" s="0" t="s">
        <v>3229</v>
      </c>
      <c r="B802" s="0" t="s">
        <v>3230</v>
      </c>
      <c r="C802" s="0" t="s">
        <v>70</v>
      </c>
      <c r="D802" s="0" t="s">
        <v>3239</v>
      </c>
      <c r="E802" s="3" t="n">
        <v>46276</v>
      </c>
      <c r="F802" s="4" t="s">
        <v>3244</v>
      </c>
      <c r="G802" s="5" t="n">
        <v>0.175196759259259</v>
      </c>
      <c r="H802" s="5" t="n">
        <v>0.126944444444444</v>
      </c>
      <c r="I802" s="5" t="n">
        <v>5.78703703703704E-005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7</v>
      </c>
      <c r="O802" s="5" t="n">
        <v>0</v>
      </c>
      <c r="P802" s="5" t="n">
        <v>0.0187384259259259</v>
      </c>
      <c r="Q802" s="4" t="s">
        <v>3245</v>
      </c>
      <c r="R802" s="4" t="s">
        <v>2058</v>
      </c>
      <c r="S802" s="5" t="n">
        <v>0</v>
      </c>
      <c r="T802" s="5" t="n">
        <v>0.0699074074074074</v>
      </c>
      <c r="U802" s="5" t="n">
        <v>0.0589236111111111</v>
      </c>
      <c r="V802" s="5" t="n">
        <v>0.0276273148148148</v>
      </c>
      <c r="W802" s="5" t="n">
        <v>0.00116898148148148</v>
      </c>
      <c r="X802" s="5" t="n">
        <v>0</v>
      </c>
      <c r="Y802" s="5" t="n">
        <v>0.000127314814814815</v>
      </c>
      <c r="Z802" s="0" t="n">
        <v>0</v>
      </c>
      <c r="AA802" s="0" t="n">
        <v>0</v>
      </c>
      <c r="AB802" s="0" t="n">
        <v>0</v>
      </c>
      <c r="AC802" s="4" t="s">
        <v>74</v>
      </c>
      <c r="AD802" s="4" t="s">
        <v>228</v>
      </c>
      <c r="AE802" s="4" t="s">
        <v>3243</v>
      </c>
      <c r="AF802" s="4" t="s">
        <v>3246</v>
      </c>
      <c r="AG802" s="5" t="n">
        <v>0.128842592592593</v>
      </c>
      <c r="AH802" s="5" t="n">
        <v>0.121006944444444</v>
      </c>
      <c r="AI802" s="5" t="n">
        <v>0</v>
      </c>
      <c r="AJ802" s="5" t="n">
        <v>0</v>
      </c>
      <c r="AK802" s="5" t="n">
        <v>0</v>
      </c>
      <c r="AL802" s="5" t="n">
        <v>0</v>
      </c>
      <c r="AM802" s="4" t="s">
        <v>78</v>
      </c>
      <c r="AN802" s="0" t="n">
        <v>0</v>
      </c>
      <c r="AO802" s="0" t="n">
        <v>0</v>
      </c>
      <c r="AP802" s="0" t="n">
        <v>0</v>
      </c>
      <c r="AQ802" s="0" t="n">
        <v>0</v>
      </c>
      <c r="AR802" s="0" t="n">
        <v>0</v>
      </c>
      <c r="AS802" s="0" t="n">
        <v>0</v>
      </c>
      <c r="AT802" s="0" t="n">
        <v>0</v>
      </c>
      <c r="AU802" s="0" t="n">
        <v>1</v>
      </c>
      <c r="AV802" s="0" t="n">
        <v>0</v>
      </c>
      <c r="AW802" s="0" t="n">
        <v>0</v>
      </c>
      <c r="AX802" s="0" t="n">
        <v>0</v>
      </c>
      <c r="AY802" s="0" t="n">
        <v>0</v>
      </c>
      <c r="AZ802" s="0" t="n">
        <v>0</v>
      </c>
      <c r="BA802" s="0" t="n">
        <v>0</v>
      </c>
      <c r="BB802" s="0" t="n">
        <v>0</v>
      </c>
      <c r="BC802" s="0" t="n">
        <v>0</v>
      </c>
      <c r="BD802" s="0" t="n">
        <v>0</v>
      </c>
      <c r="BE802" s="0" t="n">
        <v>0</v>
      </c>
      <c r="BF802" s="0" t="n">
        <v>0</v>
      </c>
      <c r="BG802" s="0" t="n">
        <v>0</v>
      </c>
      <c r="BH802" s="0" t="n">
        <v>0</v>
      </c>
      <c r="BI802" s="0" t="n">
        <v>0</v>
      </c>
      <c r="BJ802" s="0" t="n">
        <v>0</v>
      </c>
      <c r="BK802" s="0" t="n">
        <v>0</v>
      </c>
      <c r="BM802" s="6" t="n">
        <f aca="false">IFERROR(VALUE(F802),"")</f>
        <v>61.14</v>
      </c>
      <c r="BN802" s="6" t="n">
        <f aca="false">IF(R802="-","",IFERROR(VALUE(LEFT(Q802,LEN(Q802)-2)),""))</f>
        <v>20.89</v>
      </c>
      <c r="BO802" s="6" t="n">
        <f aca="false">IF(R802="-","",IFERROR(VALUE(LEFT(R802,LEN(R802)-5)),""))</f>
        <v>2.93</v>
      </c>
      <c r="BP802" s="6" t="n">
        <f aca="false">IF(R802="-","",IFERROR(VALUE(F802),""))</f>
        <v>61.14</v>
      </c>
      <c r="BQ802" s="4" t="n">
        <f aca="false">IF(R802="-",1,0)</f>
        <v>0</v>
      </c>
    </row>
    <row r="803" customFormat="false" ht="15" hidden="false" customHeight="false" outlineLevel="0" collapsed="false">
      <c r="A803" s="0" t="s">
        <v>3229</v>
      </c>
      <c r="B803" s="0" t="s">
        <v>3230</v>
      </c>
      <c r="C803" s="0" t="s">
        <v>70</v>
      </c>
      <c r="E803" s="3" t="n">
        <v>46277</v>
      </c>
      <c r="F803" s="4" t="s">
        <v>95</v>
      </c>
      <c r="G803" s="5" t="n">
        <v>0.00208333333333333</v>
      </c>
      <c r="H803" s="5" t="n">
        <v>0</v>
      </c>
      <c r="I803" s="5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5" t="n">
        <v>0</v>
      </c>
      <c r="P803" s="5" t="n">
        <v>0</v>
      </c>
      <c r="Q803" s="4" t="s">
        <v>929</v>
      </c>
      <c r="R803" s="4" t="s">
        <v>454</v>
      </c>
      <c r="S803" s="5" t="n">
        <v>0</v>
      </c>
      <c r="T803" s="5" t="n">
        <v>0.00208333333333333</v>
      </c>
      <c r="U803" s="5" t="n">
        <v>0.000925925925925926</v>
      </c>
      <c r="V803" s="5" t="n">
        <v>0.000578703703703704</v>
      </c>
      <c r="W803" s="5" t="n">
        <v>0</v>
      </c>
      <c r="X803" s="5" t="n">
        <v>0</v>
      </c>
      <c r="Y803" s="5" t="n">
        <v>0</v>
      </c>
      <c r="Z803" s="0" t="n">
        <v>0</v>
      </c>
      <c r="AA803" s="0" t="n">
        <v>0</v>
      </c>
      <c r="AB803" s="0" t="n">
        <v>0</v>
      </c>
      <c r="AC803" s="4" t="s">
        <v>74</v>
      </c>
      <c r="AD803" s="4" t="s">
        <v>74</v>
      </c>
      <c r="AE803" s="4" t="s">
        <v>3247</v>
      </c>
      <c r="AF803" s="4" t="s">
        <v>3247</v>
      </c>
      <c r="AG803" s="5" t="n">
        <v>0.000277777777777778</v>
      </c>
      <c r="AH803" s="5" t="n">
        <v>0.020775462962963</v>
      </c>
      <c r="AI803" s="5" t="n">
        <v>0</v>
      </c>
      <c r="AJ803" s="5" t="n">
        <v>0</v>
      </c>
      <c r="AK803" s="5" t="n">
        <v>0</v>
      </c>
      <c r="AL803" s="5" t="n">
        <v>0</v>
      </c>
      <c r="AM803" s="4" t="s">
        <v>78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  <c r="AU803" s="0" t="n">
        <v>0</v>
      </c>
      <c r="AV803" s="0" t="n">
        <v>0</v>
      </c>
      <c r="AW803" s="0" t="n">
        <v>0</v>
      </c>
      <c r="AX803" s="0" t="n">
        <v>0</v>
      </c>
      <c r="AY803" s="0" t="n">
        <v>0</v>
      </c>
      <c r="AZ803" s="0" t="n">
        <v>0</v>
      </c>
      <c r="BA803" s="0" t="n">
        <v>0</v>
      </c>
      <c r="BB803" s="0" t="n">
        <v>0</v>
      </c>
      <c r="BC803" s="0" t="n">
        <v>0</v>
      </c>
      <c r="BD803" s="0" t="n">
        <v>0</v>
      </c>
      <c r="BE803" s="0" t="n">
        <v>0</v>
      </c>
      <c r="BF803" s="0" t="n">
        <v>0</v>
      </c>
      <c r="BG803" s="0" t="n">
        <v>0</v>
      </c>
      <c r="BH803" s="0" t="n">
        <v>0</v>
      </c>
      <c r="BI803" s="0" t="n">
        <v>0</v>
      </c>
      <c r="BJ803" s="0" t="n">
        <v>0</v>
      </c>
      <c r="BK803" s="0" t="n">
        <v>0</v>
      </c>
      <c r="BM803" s="6" t="n">
        <f aca="false">IFERROR(VALUE(F803),"")</f>
        <v>0</v>
      </c>
      <c r="BN803" s="6" t="n">
        <f aca="false">IF(R803="-","",IFERROR(VALUE(LEFT(Q803,LEN(Q803)-2)),""))</f>
        <v>0.16</v>
      </c>
      <c r="BO803" s="6" t="n">
        <f aca="false">IF(R803="-","",IFERROR(VALUE(LEFT(R803,LEN(R803)-5)),""))</f>
        <v>0</v>
      </c>
      <c r="BP803" s="6" t="n">
        <f aca="false">IF(R803="-","",IFERROR(VALUE(F803),""))</f>
        <v>0</v>
      </c>
      <c r="BQ803" s="4" t="n">
        <f aca="false">IF(R803="-",1,0)</f>
        <v>0</v>
      </c>
    </row>
    <row r="804" customFormat="false" ht="15" hidden="false" customHeight="false" outlineLevel="0" collapsed="false">
      <c r="A804" s="0" t="s">
        <v>3229</v>
      </c>
      <c r="B804" s="0" t="s">
        <v>3230</v>
      </c>
      <c r="C804" s="0" t="s">
        <v>70</v>
      </c>
      <c r="E804" s="3" t="n">
        <v>46279</v>
      </c>
      <c r="F804" s="4" t="s">
        <v>2556</v>
      </c>
      <c r="G804" s="5" t="n">
        <v>0.0125578703703704</v>
      </c>
      <c r="H804" s="5" t="n">
        <v>0</v>
      </c>
      <c r="I804" s="5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5" t="n">
        <v>0</v>
      </c>
      <c r="P804" s="5" t="n">
        <v>0</v>
      </c>
      <c r="Q804" s="4" t="s">
        <v>217</v>
      </c>
      <c r="R804" s="4" t="s">
        <v>3248</v>
      </c>
      <c r="S804" s="5" t="n">
        <v>0</v>
      </c>
      <c r="T804" s="5" t="n">
        <v>0.00717592592592593</v>
      </c>
      <c r="U804" s="5" t="n">
        <v>0.000347222222222222</v>
      </c>
      <c r="V804" s="5" t="n">
        <v>0</v>
      </c>
      <c r="W804" s="5" t="n">
        <v>0</v>
      </c>
      <c r="X804" s="5" t="n">
        <v>0</v>
      </c>
      <c r="Y804" s="5" t="n">
        <v>0</v>
      </c>
      <c r="Z804" s="0" t="n">
        <v>0</v>
      </c>
      <c r="AA804" s="0" t="n">
        <v>0</v>
      </c>
      <c r="AB804" s="0" t="n">
        <v>0</v>
      </c>
      <c r="AC804" s="4" t="s">
        <v>74</v>
      </c>
      <c r="AD804" s="4" t="s">
        <v>81</v>
      </c>
      <c r="AE804" s="4" t="s">
        <v>3247</v>
      </c>
      <c r="AF804" s="4" t="s">
        <v>3249</v>
      </c>
      <c r="AG804" s="5" t="n">
        <v>0.00216435185185185</v>
      </c>
      <c r="AH804" s="5" t="n">
        <v>0.0108680555555556</v>
      </c>
      <c r="AI804" s="5" t="n">
        <v>0</v>
      </c>
      <c r="AJ804" s="5" t="n">
        <v>0</v>
      </c>
      <c r="AK804" s="5" t="n">
        <v>0</v>
      </c>
      <c r="AL804" s="5" t="n">
        <v>0</v>
      </c>
      <c r="AM804" s="4" t="s">
        <v>78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  <c r="AU804" s="0" t="n">
        <v>0</v>
      </c>
      <c r="AV804" s="0" t="n">
        <v>0</v>
      </c>
      <c r="AW804" s="0" t="n">
        <v>0</v>
      </c>
      <c r="AX804" s="0" t="n">
        <v>0</v>
      </c>
      <c r="AY804" s="0" t="n">
        <v>0</v>
      </c>
      <c r="AZ804" s="0" t="n">
        <v>0</v>
      </c>
      <c r="BA804" s="0" t="n">
        <v>0</v>
      </c>
      <c r="BB804" s="0" t="n">
        <v>0</v>
      </c>
      <c r="BC804" s="0" t="n">
        <v>0</v>
      </c>
      <c r="BD804" s="0" t="n">
        <v>0</v>
      </c>
      <c r="BE804" s="0" t="n">
        <v>0</v>
      </c>
      <c r="BF804" s="0" t="n">
        <v>0</v>
      </c>
      <c r="BG804" s="0" t="n">
        <v>0</v>
      </c>
      <c r="BH804" s="0" t="n">
        <v>0</v>
      </c>
      <c r="BI804" s="0" t="n">
        <v>0</v>
      </c>
      <c r="BJ804" s="0" t="n">
        <v>0</v>
      </c>
      <c r="BK804" s="0" t="n">
        <v>0</v>
      </c>
      <c r="BM804" s="6" t="n">
        <f aca="false">IFERROR(VALUE(F804),"")</f>
        <v>0.24</v>
      </c>
      <c r="BN804" s="6" t="n">
        <f aca="false">IF(R804="-","",IFERROR(VALUE(LEFT(Q804,LEN(Q804)-2)),""))</f>
        <v>0.2</v>
      </c>
      <c r="BO804" s="6" t="n">
        <f aca="false">IF(R804="-","",IFERROR(VALUE(LEFT(R804,LEN(R804)-5)),""))</f>
        <v>1.22</v>
      </c>
      <c r="BP804" s="6" t="n">
        <f aca="false">IF(R804="-","",IFERROR(VALUE(F804),""))</f>
        <v>0.24</v>
      </c>
      <c r="BQ804" s="4" t="n">
        <f aca="false">IF(R804="-",1,0)</f>
        <v>0</v>
      </c>
    </row>
    <row r="805" customFormat="false" ht="15" hidden="false" customHeight="false" outlineLevel="0" collapsed="false">
      <c r="A805" s="0" t="s">
        <v>3250</v>
      </c>
      <c r="B805" s="0" t="s">
        <v>3251</v>
      </c>
      <c r="C805" s="0" t="s">
        <v>70</v>
      </c>
      <c r="D805" s="0" t="s">
        <v>3252</v>
      </c>
      <c r="E805" s="3" t="n">
        <v>46273</v>
      </c>
      <c r="F805" s="4" t="s">
        <v>3253</v>
      </c>
      <c r="G805" s="5" t="n">
        <v>0.213796296296296</v>
      </c>
      <c r="H805" s="5" t="n">
        <v>0.126724537037037</v>
      </c>
      <c r="I805" s="5" t="n">
        <v>0.00177083333333333</v>
      </c>
      <c r="J805" s="0" t="n">
        <v>0</v>
      </c>
      <c r="K805" s="0" t="n">
        <v>1</v>
      </c>
      <c r="L805" s="0" t="n">
        <v>0</v>
      </c>
      <c r="M805" s="0" t="n">
        <v>0</v>
      </c>
      <c r="N805" s="0" t="n">
        <v>0</v>
      </c>
      <c r="O805" s="5" t="n">
        <v>0</v>
      </c>
      <c r="P805" s="5" t="n">
        <v>0.0901967592592593</v>
      </c>
      <c r="Q805" s="4" t="s">
        <v>2800</v>
      </c>
      <c r="R805" s="4" t="s">
        <v>3254</v>
      </c>
      <c r="S805" s="5" t="n">
        <v>0.000115740740740741</v>
      </c>
      <c r="T805" s="5" t="n">
        <v>0.145138888888889</v>
      </c>
      <c r="U805" s="5" t="n">
        <v>0.0533564814814815</v>
      </c>
      <c r="V805" s="5" t="n">
        <v>0.00914351851851852</v>
      </c>
      <c r="W805" s="5" t="n">
        <v>0.000115740740740741</v>
      </c>
      <c r="X805" s="5" t="n">
        <v>0</v>
      </c>
      <c r="Y805" s="5" t="n">
        <v>0</v>
      </c>
      <c r="Z805" s="0" t="n">
        <v>0</v>
      </c>
      <c r="AA805" s="0" t="n">
        <v>0</v>
      </c>
      <c r="AB805" s="0" t="n">
        <v>0</v>
      </c>
      <c r="AC805" s="4" t="s">
        <v>320</v>
      </c>
      <c r="AD805" s="4" t="s">
        <v>228</v>
      </c>
      <c r="AE805" s="4" t="s">
        <v>3255</v>
      </c>
      <c r="AF805" s="4" t="s">
        <v>3256</v>
      </c>
      <c r="AG805" s="5" t="n">
        <v>0.106458333333333</v>
      </c>
      <c r="AH805" s="5" t="n">
        <v>0.141863425925926</v>
      </c>
      <c r="AI805" s="5" t="n">
        <v>0</v>
      </c>
      <c r="AJ805" s="5" t="n">
        <v>0</v>
      </c>
      <c r="AK805" s="5" t="n">
        <v>0</v>
      </c>
      <c r="AL805" s="5" t="n">
        <v>0</v>
      </c>
      <c r="AM805" s="4" t="s">
        <v>78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  <c r="AU805" s="0" t="n">
        <v>0</v>
      </c>
      <c r="AV805" s="0" t="n">
        <v>0</v>
      </c>
      <c r="AW805" s="0" t="n">
        <v>0</v>
      </c>
      <c r="AX805" s="0" t="n">
        <v>0</v>
      </c>
      <c r="AY805" s="0" t="n">
        <v>0</v>
      </c>
      <c r="AZ805" s="0" t="n">
        <v>0</v>
      </c>
      <c r="BA805" s="0" t="n">
        <v>0</v>
      </c>
      <c r="BB805" s="0" t="n">
        <v>0</v>
      </c>
      <c r="BC805" s="0" t="n">
        <v>0</v>
      </c>
      <c r="BD805" s="0" t="n">
        <v>0</v>
      </c>
      <c r="BE805" s="0" t="n">
        <v>0</v>
      </c>
      <c r="BF805" s="0" t="n">
        <v>0</v>
      </c>
      <c r="BG805" s="0" t="n">
        <v>0</v>
      </c>
      <c r="BH805" s="0" t="n">
        <v>0</v>
      </c>
      <c r="BI805" s="0" t="n">
        <v>0</v>
      </c>
      <c r="BJ805" s="0" t="n">
        <v>0</v>
      </c>
      <c r="BK805" s="0" t="n">
        <v>0</v>
      </c>
      <c r="BM805" s="6" t="n">
        <f aca="false">IFERROR(VALUE(F805),"")</f>
        <v>92.08</v>
      </c>
      <c r="BN805" s="6" t="n">
        <f aca="false">IF(R805="-","",IFERROR(VALUE(LEFT(Q805,LEN(Q805)-2)),""))</f>
        <v>46</v>
      </c>
      <c r="BO805" s="6" t="n">
        <f aca="false">IF(R805="-","",IFERROR(VALUE(LEFT(R805,LEN(R805)-5)),""))</f>
        <v>2</v>
      </c>
      <c r="BP805" s="6" t="n">
        <f aca="false">IF(R805="-","",IFERROR(VALUE(F805),""))</f>
        <v>92.08</v>
      </c>
      <c r="BQ805" s="4" t="n">
        <f aca="false">IF(R805="-",1,0)</f>
        <v>0</v>
      </c>
    </row>
    <row r="806" customFormat="false" ht="15" hidden="false" customHeight="false" outlineLevel="0" collapsed="false">
      <c r="A806" s="0" t="s">
        <v>3250</v>
      </c>
      <c r="B806" s="0" t="s">
        <v>3251</v>
      </c>
      <c r="C806" s="0" t="s">
        <v>70</v>
      </c>
      <c r="D806" s="0" t="s">
        <v>3257</v>
      </c>
      <c r="E806" s="3" t="n">
        <v>46274</v>
      </c>
      <c r="F806" s="4" t="s">
        <v>3258</v>
      </c>
      <c r="G806" s="5" t="n">
        <v>0.329212962962963</v>
      </c>
      <c r="H806" s="5" t="n">
        <v>0.264143518518519</v>
      </c>
      <c r="I806" s="5" t="n">
        <v>0.000347222222222222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5" t="n">
        <v>0</v>
      </c>
      <c r="P806" s="5" t="n">
        <v>0.0309837962962963</v>
      </c>
      <c r="Q806" s="4" t="s">
        <v>3259</v>
      </c>
      <c r="R806" s="4" t="s">
        <v>319</v>
      </c>
      <c r="S806" s="5" t="n">
        <v>0.000115740740740741</v>
      </c>
      <c r="T806" s="5" t="n">
        <v>0.126273148148148</v>
      </c>
      <c r="U806" s="5" t="n">
        <v>0.169097222222222</v>
      </c>
      <c r="V806" s="5" t="n">
        <v>0.00578703703703704</v>
      </c>
      <c r="W806" s="5" t="n">
        <v>0</v>
      </c>
      <c r="X806" s="5" t="n">
        <v>0</v>
      </c>
      <c r="Y806" s="5" t="n">
        <v>0</v>
      </c>
      <c r="Z806" s="0" t="n">
        <v>0</v>
      </c>
      <c r="AA806" s="0" t="n">
        <v>0</v>
      </c>
      <c r="AB806" s="0" t="n">
        <v>0</v>
      </c>
      <c r="AC806" s="4" t="s">
        <v>81</v>
      </c>
      <c r="AD806" s="4" t="s">
        <v>432</v>
      </c>
      <c r="AE806" s="4" t="s">
        <v>3256</v>
      </c>
      <c r="AF806" s="4" t="s">
        <v>3260</v>
      </c>
      <c r="AG806" s="5" t="n">
        <v>0.236666666666667</v>
      </c>
      <c r="AH806" s="5" t="n">
        <v>0.173946759259259</v>
      </c>
      <c r="AI806" s="5" t="n">
        <v>0</v>
      </c>
      <c r="AJ806" s="5" t="n">
        <v>0</v>
      </c>
      <c r="AK806" s="5" t="n">
        <v>0</v>
      </c>
      <c r="AL806" s="5" t="n">
        <v>0</v>
      </c>
      <c r="AM806" s="4" t="s">
        <v>78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  <c r="AU806" s="0" t="n">
        <v>0</v>
      </c>
      <c r="AV806" s="0" t="n">
        <v>0</v>
      </c>
      <c r="AW806" s="0" t="n">
        <v>0</v>
      </c>
      <c r="AX806" s="0" t="n">
        <v>0</v>
      </c>
      <c r="AY806" s="0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0" t="n">
        <v>0</v>
      </c>
      <c r="BE806" s="0" t="n">
        <v>0</v>
      </c>
      <c r="BF806" s="0" t="n">
        <v>0</v>
      </c>
      <c r="BG806" s="0" t="n">
        <v>0</v>
      </c>
      <c r="BH806" s="0" t="n">
        <v>0</v>
      </c>
      <c r="BI806" s="0" t="n">
        <v>0</v>
      </c>
      <c r="BJ806" s="0" t="n">
        <v>0</v>
      </c>
      <c r="BK806" s="0" t="n">
        <v>0</v>
      </c>
      <c r="BM806" s="6" t="n">
        <f aca="false">IFERROR(VALUE(F806),"")</f>
        <v>303.12</v>
      </c>
      <c r="BN806" s="6" t="n">
        <f aca="false">IF(R806="-","",IFERROR(VALUE(LEFT(Q806,LEN(Q806)-2)),""))</f>
        <v>107.49</v>
      </c>
      <c r="BO806" s="6" t="n">
        <f aca="false">IF(R806="-","",IFERROR(VALUE(LEFT(R806,LEN(R806)-5)),""))</f>
        <v>2.82</v>
      </c>
      <c r="BP806" s="6" t="n">
        <f aca="false">IF(R806="-","",IFERROR(VALUE(F806),""))</f>
        <v>303.12</v>
      </c>
      <c r="BQ806" s="4" t="n">
        <f aca="false">IF(R806="-",1,0)</f>
        <v>0</v>
      </c>
    </row>
    <row r="807" customFormat="false" ht="15" hidden="false" customHeight="false" outlineLevel="0" collapsed="false">
      <c r="A807" s="0" t="s">
        <v>3250</v>
      </c>
      <c r="B807" s="0" t="s">
        <v>3251</v>
      </c>
      <c r="C807" s="0" t="s">
        <v>70</v>
      </c>
      <c r="D807" s="0" t="s">
        <v>3261</v>
      </c>
      <c r="E807" s="3" t="n">
        <v>46275</v>
      </c>
      <c r="F807" s="4" t="s">
        <v>3262</v>
      </c>
      <c r="G807" s="5" t="n">
        <v>0.40125</v>
      </c>
      <c r="H807" s="5" t="n">
        <v>0.412372685185185</v>
      </c>
      <c r="I807" s="5" t="n">
        <v>0.00152777777777778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5" t="n">
        <v>0</v>
      </c>
      <c r="P807" s="5" t="n">
        <v>0.0194212962962963</v>
      </c>
      <c r="Q807" s="4" t="s">
        <v>3263</v>
      </c>
      <c r="R807" s="4" t="s">
        <v>1375</v>
      </c>
      <c r="S807" s="5" t="n">
        <v>0</v>
      </c>
      <c r="T807" s="5" t="n">
        <v>0.145138888888889</v>
      </c>
      <c r="U807" s="5" t="n">
        <v>0.237384259259259</v>
      </c>
      <c r="V807" s="5" t="n">
        <v>0.0126157407407407</v>
      </c>
      <c r="W807" s="5" t="n">
        <v>0</v>
      </c>
      <c r="X807" s="5" t="n">
        <v>0</v>
      </c>
      <c r="Y807" s="5" t="n">
        <v>0</v>
      </c>
      <c r="Z807" s="0" t="n">
        <v>0</v>
      </c>
      <c r="AA807" s="0" t="n">
        <v>0</v>
      </c>
      <c r="AB807" s="0" t="n">
        <v>0</v>
      </c>
      <c r="AC807" s="4" t="s">
        <v>432</v>
      </c>
      <c r="AD807" s="4" t="s">
        <v>421</v>
      </c>
      <c r="AE807" s="4" t="s">
        <v>3260</v>
      </c>
      <c r="AF807" s="4" t="s">
        <v>3264</v>
      </c>
      <c r="AG807" s="5" t="n">
        <v>0.33912037037037</v>
      </c>
      <c r="AH807" s="5" t="n">
        <v>0.0919097222222222</v>
      </c>
      <c r="AI807" s="5" t="n">
        <v>0</v>
      </c>
      <c r="AJ807" s="5" t="n">
        <v>0</v>
      </c>
      <c r="AK807" s="5" t="n">
        <v>0</v>
      </c>
      <c r="AL807" s="5" t="n">
        <v>0</v>
      </c>
      <c r="AM807" s="4" t="s">
        <v>78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  <c r="AU807" s="0" t="n">
        <v>0</v>
      </c>
      <c r="AV807" s="0" t="n">
        <v>0</v>
      </c>
      <c r="AW807" s="0" t="n">
        <v>0</v>
      </c>
      <c r="AX807" s="0" t="n">
        <v>0</v>
      </c>
      <c r="AY807" s="0" t="n">
        <v>0</v>
      </c>
      <c r="AZ807" s="0" t="n">
        <v>0</v>
      </c>
      <c r="BA807" s="0" t="n">
        <v>0</v>
      </c>
      <c r="BB807" s="0" t="n">
        <v>0</v>
      </c>
      <c r="BC807" s="0" t="n">
        <v>0</v>
      </c>
      <c r="BD807" s="0" t="n">
        <v>0</v>
      </c>
      <c r="BE807" s="0" t="n">
        <v>0</v>
      </c>
      <c r="BF807" s="0" t="n">
        <v>0</v>
      </c>
      <c r="BG807" s="0" t="n">
        <v>0</v>
      </c>
      <c r="BH807" s="0" t="n">
        <v>0</v>
      </c>
      <c r="BI807" s="0" t="n">
        <v>0</v>
      </c>
      <c r="BJ807" s="0" t="n">
        <v>0</v>
      </c>
      <c r="BK807" s="0" t="n">
        <v>0</v>
      </c>
      <c r="BM807" s="6" t="n">
        <f aca="false">IFERROR(VALUE(F807),"")</f>
        <v>404.86</v>
      </c>
      <c r="BN807" s="6" t="n">
        <f aca="false">IF(R807="-","",IFERROR(VALUE(LEFT(Q807,LEN(Q807)-2)),""))</f>
        <v>146.51</v>
      </c>
      <c r="BO807" s="6" t="n">
        <f aca="false">IF(R807="-","",IFERROR(VALUE(LEFT(R807,LEN(R807)-5)),""))</f>
        <v>2.76</v>
      </c>
      <c r="BP807" s="6" t="n">
        <f aca="false">IF(R807="-","",IFERROR(VALUE(F807),""))</f>
        <v>404.86</v>
      </c>
      <c r="BQ807" s="4" t="n">
        <f aca="false">IF(R807="-",1,0)</f>
        <v>0</v>
      </c>
    </row>
    <row r="808" customFormat="false" ht="15" hidden="false" customHeight="false" outlineLevel="0" collapsed="false">
      <c r="A808" s="0" t="s">
        <v>3250</v>
      </c>
      <c r="B808" s="0" t="s">
        <v>3251</v>
      </c>
      <c r="C808" s="0" t="s">
        <v>70</v>
      </c>
      <c r="D808" s="0" t="s">
        <v>3265</v>
      </c>
      <c r="E808" s="3" t="n">
        <v>46276</v>
      </c>
      <c r="F808" s="4" t="s">
        <v>3266</v>
      </c>
      <c r="G808" s="5" t="n">
        <v>0.501273148148148</v>
      </c>
      <c r="H808" s="5" t="n">
        <v>0.42505787037037</v>
      </c>
      <c r="I808" s="5" t="n">
        <v>0.00115740740740741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5" t="n">
        <v>0</v>
      </c>
      <c r="P808" s="5" t="n">
        <v>0.0556134259259259</v>
      </c>
      <c r="Q808" s="4" t="s">
        <v>2773</v>
      </c>
      <c r="R808" s="4" t="s">
        <v>378</v>
      </c>
      <c r="S808" s="5" t="n">
        <v>0.000347222222222222</v>
      </c>
      <c r="T808" s="5" t="n">
        <v>0.212152777777778</v>
      </c>
      <c r="U808" s="5" t="n">
        <v>0.239814814814815</v>
      </c>
      <c r="V808" s="5" t="n">
        <v>0.0243055555555556</v>
      </c>
      <c r="W808" s="5" t="n">
        <v>0</v>
      </c>
      <c r="X808" s="5" t="n">
        <v>0</v>
      </c>
      <c r="Y808" s="5" t="n">
        <v>0</v>
      </c>
      <c r="Z808" s="0" t="n">
        <v>0</v>
      </c>
      <c r="AA808" s="0" t="n">
        <v>0</v>
      </c>
      <c r="AB808" s="0" t="n">
        <v>0</v>
      </c>
      <c r="AC808" s="4" t="s">
        <v>421</v>
      </c>
      <c r="AD808" s="4" t="s">
        <v>432</v>
      </c>
      <c r="AE808" s="4" t="s">
        <v>3264</v>
      </c>
      <c r="AF808" s="4" t="s">
        <v>3267</v>
      </c>
      <c r="AG808" s="5" t="n">
        <v>0.369733796296296</v>
      </c>
      <c r="AH808" s="5" t="n">
        <v>0.224178240740741</v>
      </c>
      <c r="AI808" s="5" t="n">
        <v>0</v>
      </c>
      <c r="AJ808" s="5" t="n">
        <v>0</v>
      </c>
      <c r="AK808" s="5" t="n">
        <v>0</v>
      </c>
      <c r="AL808" s="5" t="n">
        <v>0</v>
      </c>
      <c r="AM808" s="4" t="s">
        <v>78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  <c r="AU808" s="0" t="n">
        <v>0</v>
      </c>
      <c r="AV808" s="0" t="n">
        <v>0</v>
      </c>
      <c r="AW808" s="0" t="n">
        <v>0</v>
      </c>
      <c r="AX808" s="0" t="n">
        <v>0</v>
      </c>
      <c r="AY808" s="0" t="n">
        <v>0</v>
      </c>
      <c r="AZ808" s="0" t="n">
        <v>0</v>
      </c>
      <c r="BA808" s="0" t="n">
        <v>0</v>
      </c>
      <c r="BB808" s="0" t="n">
        <v>0</v>
      </c>
      <c r="BC808" s="0" t="n">
        <v>0</v>
      </c>
      <c r="BD808" s="0" t="n">
        <v>0</v>
      </c>
      <c r="BE808" s="0" t="n">
        <v>0</v>
      </c>
      <c r="BF808" s="0" t="n">
        <v>0</v>
      </c>
      <c r="BG808" s="0" t="n">
        <v>0</v>
      </c>
      <c r="BH808" s="0" t="n">
        <v>0</v>
      </c>
      <c r="BI808" s="0" t="n">
        <v>0</v>
      </c>
      <c r="BJ808" s="0" t="n">
        <v>0</v>
      </c>
      <c r="BK808" s="0" t="n">
        <v>0</v>
      </c>
      <c r="BM808" s="6" t="n">
        <f aca="false">IFERROR(VALUE(F808),"")</f>
        <v>407.29</v>
      </c>
      <c r="BN808" s="6" t="n">
        <f aca="false">IF(R808="-","",IFERROR(VALUE(LEFT(Q808,LEN(Q808)-2)),""))</f>
        <v>150.5</v>
      </c>
      <c r="BO808" s="6" t="n">
        <f aca="false">IF(R808="-","",IFERROR(VALUE(LEFT(R808,LEN(R808)-5)),""))</f>
        <v>2.71</v>
      </c>
      <c r="BP808" s="6" t="n">
        <f aca="false">IF(R808="-","",IFERROR(VALUE(F808),""))</f>
        <v>407.29</v>
      </c>
      <c r="BQ808" s="4" t="n">
        <f aca="false">IF(R808="-",1,0)</f>
        <v>0</v>
      </c>
    </row>
    <row r="809" customFormat="false" ht="15" hidden="false" customHeight="false" outlineLevel="0" collapsed="false">
      <c r="A809" s="0" t="s">
        <v>3250</v>
      </c>
      <c r="B809" s="0" t="s">
        <v>3251</v>
      </c>
      <c r="C809" s="0" t="s">
        <v>70</v>
      </c>
      <c r="D809" s="0" t="s">
        <v>3268</v>
      </c>
      <c r="E809" s="3" t="n">
        <v>46277</v>
      </c>
      <c r="F809" s="4" t="s">
        <v>3269</v>
      </c>
      <c r="G809" s="5" t="n">
        <v>0.59525462962963</v>
      </c>
      <c r="H809" s="5" t="n">
        <v>0.584953703703704</v>
      </c>
      <c r="I809" s="5" t="n">
        <v>0.000717592592592593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5" t="n">
        <v>0</v>
      </c>
      <c r="P809" s="5" t="n">
        <v>0.0338541666666667</v>
      </c>
      <c r="Q809" s="4" t="s">
        <v>3270</v>
      </c>
      <c r="R809" s="4" t="s">
        <v>497</v>
      </c>
      <c r="S809" s="5" t="n">
        <v>0.000462962962962963</v>
      </c>
      <c r="T809" s="5" t="n">
        <v>0.177777777777778</v>
      </c>
      <c r="U809" s="5" t="n">
        <v>0.377430555555556</v>
      </c>
      <c r="V809" s="5" t="n">
        <v>0.0196759259259259</v>
      </c>
      <c r="W809" s="5" t="n">
        <v>0</v>
      </c>
      <c r="X809" s="5" t="n">
        <v>0</v>
      </c>
      <c r="Y809" s="5" t="n">
        <v>0</v>
      </c>
      <c r="Z809" s="0" t="n">
        <v>0</v>
      </c>
      <c r="AA809" s="0" t="n">
        <v>0</v>
      </c>
      <c r="AB809" s="0" t="n">
        <v>0</v>
      </c>
      <c r="AC809" s="4" t="s">
        <v>432</v>
      </c>
      <c r="AD809" s="4" t="s">
        <v>432</v>
      </c>
      <c r="AE809" s="4" t="s">
        <v>3267</v>
      </c>
      <c r="AF809" s="4" t="s">
        <v>3271</v>
      </c>
      <c r="AG809" s="5" t="n">
        <v>0.499212962962963</v>
      </c>
      <c r="AH809" s="5" t="n">
        <v>0.1640625</v>
      </c>
      <c r="AI809" s="5" t="n">
        <v>0</v>
      </c>
      <c r="AJ809" s="5" t="n">
        <v>0</v>
      </c>
      <c r="AK809" s="5" t="n">
        <v>0</v>
      </c>
      <c r="AL809" s="5" t="n">
        <v>0</v>
      </c>
      <c r="AM809" s="4" t="s">
        <v>78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  <c r="AU809" s="0" t="n">
        <v>0</v>
      </c>
      <c r="AV809" s="0" t="n">
        <v>0</v>
      </c>
      <c r="AW809" s="0" t="n">
        <v>0</v>
      </c>
      <c r="AX809" s="0" t="n">
        <v>0</v>
      </c>
      <c r="AY809" s="0" t="n">
        <v>0</v>
      </c>
      <c r="AZ809" s="0" t="n">
        <v>0</v>
      </c>
      <c r="BA809" s="0" t="n">
        <v>0</v>
      </c>
      <c r="BB809" s="0" t="n">
        <v>0</v>
      </c>
      <c r="BC809" s="0" t="n">
        <v>0</v>
      </c>
      <c r="BD809" s="0" t="n">
        <v>0</v>
      </c>
      <c r="BE809" s="0" t="n">
        <v>0</v>
      </c>
      <c r="BF809" s="0" t="n">
        <v>0</v>
      </c>
      <c r="BG809" s="0" t="n">
        <v>0</v>
      </c>
      <c r="BH809" s="0" t="n">
        <v>0</v>
      </c>
      <c r="BI809" s="0" t="n">
        <v>0</v>
      </c>
      <c r="BJ809" s="0" t="n">
        <v>0</v>
      </c>
      <c r="BK809" s="0" t="n">
        <v>0</v>
      </c>
      <c r="BM809" s="6" t="n">
        <f aca="false">IFERROR(VALUE(F809),"")</f>
        <v>665.47</v>
      </c>
      <c r="BN809" s="6" t="n">
        <f aca="false">IF(R809="-","",IFERROR(VALUE(LEFT(Q809,LEN(Q809)-2)),""))</f>
        <v>223.5</v>
      </c>
      <c r="BO809" s="6" t="n">
        <f aca="false">IF(R809="-","",IFERROR(VALUE(LEFT(R809,LEN(R809)-5)),""))</f>
        <v>2.98</v>
      </c>
      <c r="BP809" s="6" t="n">
        <f aca="false">IF(R809="-","",IFERROR(VALUE(F809),""))</f>
        <v>665.47</v>
      </c>
      <c r="BQ809" s="4" t="n">
        <f aca="false">IF(R809="-",1,0)</f>
        <v>0</v>
      </c>
    </row>
    <row r="810" customFormat="false" ht="15" hidden="false" customHeight="false" outlineLevel="0" collapsed="false">
      <c r="A810" s="0" t="s">
        <v>3250</v>
      </c>
      <c r="B810" s="0" t="s">
        <v>3251</v>
      </c>
      <c r="C810" s="0" t="s">
        <v>70</v>
      </c>
      <c r="D810" s="0" t="s">
        <v>3272</v>
      </c>
      <c r="E810" s="3" t="n">
        <v>46278</v>
      </c>
      <c r="F810" s="4" t="s">
        <v>3273</v>
      </c>
      <c r="G810" s="5" t="n">
        <v>0.535752314814815</v>
      </c>
      <c r="H810" s="5" t="n">
        <v>0.41375</v>
      </c>
      <c r="I810" s="5" t="n">
        <v>0.0103703703703704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5" t="n">
        <v>0</v>
      </c>
      <c r="P810" s="5" t="n">
        <v>0.017025462962963</v>
      </c>
      <c r="Q810" s="4" t="s">
        <v>3274</v>
      </c>
      <c r="R810" s="4" t="s">
        <v>2935</v>
      </c>
      <c r="S810" s="5" t="n">
        <v>0.000462962962962963</v>
      </c>
      <c r="T810" s="5" t="n">
        <v>0.153356481481482</v>
      </c>
      <c r="U810" s="5" t="n">
        <v>0.329166666666667</v>
      </c>
      <c r="V810" s="5" t="n">
        <v>0.0138888888888889</v>
      </c>
      <c r="W810" s="5" t="n">
        <v>0</v>
      </c>
      <c r="X810" s="5" t="n">
        <v>0</v>
      </c>
      <c r="Y810" s="5" t="n">
        <v>0</v>
      </c>
      <c r="Z810" s="0" t="n">
        <v>0</v>
      </c>
      <c r="AA810" s="0" t="n">
        <v>0</v>
      </c>
      <c r="AB810" s="0" t="n">
        <v>0</v>
      </c>
      <c r="AC810" s="4" t="s">
        <v>432</v>
      </c>
      <c r="AD810" s="4" t="s">
        <v>1076</v>
      </c>
      <c r="AE810" s="4" t="s">
        <v>3271</v>
      </c>
      <c r="AF810" s="4" t="s">
        <v>3275</v>
      </c>
      <c r="AG810" s="5" t="n">
        <v>0.443333333333333</v>
      </c>
      <c r="AH810" s="5" t="n">
        <v>0.260601851851852</v>
      </c>
      <c r="AI810" s="5" t="n">
        <v>0</v>
      </c>
      <c r="AJ810" s="5" t="n">
        <v>0</v>
      </c>
      <c r="AK810" s="5" t="n">
        <v>0</v>
      </c>
      <c r="AL810" s="5" t="n">
        <v>0</v>
      </c>
      <c r="AM810" s="4" t="s">
        <v>78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  <c r="AU810" s="0" t="n">
        <v>0</v>
      </c>
      <c r="AV810" s="0" t="n">
        <v>0</v>
      </c>
      <c r="AW810" s="0" t="n">
        <v>0</v>
      </c>
      <c r="AX810" s="0" t="n">
        <v>0</v>
      </c>
      <c r="AY810" s="0" t="n">
        <v>0</v>
      </c>
      <c r="AZ810" s="0" t="n">
        <v>0</v>
      </c>
      <c r="BA810" s="0" t="n">
        <v>0</v>
      </c>
      <c r="BB810" s="0" t="n">
        <v>0</v>
      </c>
      <c r="BC810" s="0" t="n">
        <v>0</v>
      </c>
      <c r="BD810" s="0" t="n">
        <v>0</v>
      </c>
      <c r="BE810" s="0" t="n">
        <v>0</v>
      </c>
      <c r="BF810" s="0" t="n">
        <v>0</v>
      </c>
      <c r="BG810" s="0" t="n">
        <v>0</v>
      </c>
      <c r="BH810" s="0" t="n">
        <v>0</v>
      </c>
      <c r="BI810" s="0" t="n">
        <v>0</v>
      </c>
      <c r="BJ810" s="0" t="n">
        <v>0</v>
      </c>
      <c r="BK810" s="0" t="n">
        <v>0</v>
      </c>
      <c r="BM810" s="6" t="n">
        <f aca="false">IFERROR(VALUE(F810),"")</f>
        <v>590.62</v>
      </c>
      <c r="BN810" s="6" t="n">
        <f aca="false">IF(R810="-","",IFERROR(VALUE(LEFT(Q810,LEN(Q810)-2)),""))</f>
        <v>204</v>
      </c>
      <c r="BO810" s="6" t="n">
        <f aca="false">IF(R810="-","",IFERROR(VALUE(LEFT(R810,LEN(R810)-5)),""))</f>
        <v>2.9</v>
      </c>
      <c r="BP810" s="6" t="n">
        <f aca="false">IF(R810="-","",IFERROR(VALUE(F810),""))</f>
        <v>590.62</v>
      </c>
      <c r="BQ810" s="4" t="n">
        <f aca="false">IF(R810="-",1,0)</f>
        <v>0</v>
      </c>
    </row>
    <row r="811" customFormat="false" ht="15" hidden="false" customHeight="false" outlineLevel="0" collapsed="false">
      <c r="A811" s="0" t="s">
        <v>3250</v>
      </c>
      <c r="B811" s="0" t="s">
        <v>3251</v>
      </c>
      <c r="C811" s="0" t="s">
        <v>70</v>
      </c>
      <c r="D811" s="0" t="s">
        <v>3276</v>
      </c>
      <c r="E811" s="3" t="n">
        <v>46279</v>
      </c>
      <c r="F811" s="4" t="s">
        <v>3277</v>
      </c>
      <c r="G811" s="5" t="n">
        <v>0.30875</v>
      </c>
      <c r="H811" s="5" t="n">
        <v>0.119305555555556</v>
      </c>
      <c r="I811" s="5" t="n">
        <v>0.000833333333333333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5" t="n">
        <v>0</v>
      </c>
      <c r="P811" s="5" t="n">
        <v>0.00708333333333333</v>
      </c>
      <c r="Q811" s="4" t="s">
        <v>3278</v>
      </c>
      <c r="R811" s="4" t="s">
        <v>492</v>
      </c>
      <c r="S811" s="5" t="n">
        <v>0</v>
      </c>
      <c r="T811" s="5" t="n">
        <v>0.0505787037037037</v>
      </c>
      <c r="U811" s="5" t="n">
        <v>0.0648148148148148</v>
      </c>
      <c r="V811" s="5" t="n">
        <v>0.0224537037037037</v>
      </c>
      <c r="W811" s="5" t="n">
        <v>0</v>
      </c>
      <c r="X811" s="5" t="n">
        <v>0</v>
      </c>
      <c r="Y811" s="5" t="n">
        <v>0</v>
      </c>
      <c r="Z811" s="0" t="n">
        <v>0</v>
      </c>
      <c r="AA811" s="0" t="n">
        <v>0</v>
      </c>
      <c r="AB811" s="0" t="n">
        <v>0</v>
      </c>
      <c r="AC811" s="4" t="s">
        <v>1076</v>
      </c>
      <c r="AD811" s="4" t="s">
        <v>81</v>
      </c>
      <c r="AE811" s="4" t="s">
        <v>3275</v>
      </c>
      <c r="AF811" s="4" t="s">
        <v>3279</v>
      </c>
      <c r="AG811" s="5" t="n">
        <v>0.118842592592593</v>
      </c>
      <c r="AH811" s="5" t="n">
        <v>0.219074074074074</v>
      </c>
      <c r="AI811" s="5" t="n">
        <v>0</v>
      </c>
      <c r="AJ811" s="5" t="n">
        <v>0</v>
      </c>
      <c r="AK811" s="5" t="n">
        <v>0</v>
      </c>
      <c r="AL811" s="5" t="n">
        <v>0</v>
      </c>
      <c r="AM811" s="4" t="s">
        <v>78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  <c r="AU811" s="0" t="n">
        <v>0</v>
      </c>
      <c r="AV811" s="0" t="n">
        <v>0</v>
      </c>
      <c r="AW811" s="0" t="n">
        <v>0</v>
      </c>
      <c r="AX811" s="0" t="n">
        <v>0</v>
      </c>
      <c r="AY811" s="0" t="n">
        <v>0</v>
      </c>
      <c r="AZ811" s="0" t="n">
        <v>0</v>
      </c>
      <c r="BA811" s="0" t="n">
        <v>0</v>
      </c>
      <c r="BB811" s="0" t="n">
        <v>0</v>
      </c>
      <c r="BC811" s="0" t="n">
        <v>0</v>
      </c>
      <c r="BD811" s="0" t="n">
        <v>0</v>
      </c>
      <c r="BE811" s="0" t="n">
        <v>0</v>
      </c>
      <c r="BF811" s="0" t="n">
        <v>0</v>
      </c>
      <c r="BG811" s="0" t="n">
        <v>0</v>
      </c>
      <c r="BH811" s="0" t="n">
        <v>0</v>
      </c>
      <c r="BI811" s="0" t="n">
        <v>0</v>
      </c>
      <c r="BJ811" s="0" t="n">
        <v>0</v>
      </c>
      <c r="BK811" s="0" t="n">
        <v>0</v>
      </c>
      <c r="BM811" s="6" t="n">
        <f aca="false">IFERROR(VALUE(F811),"")</f>
        <v>149.81</v>
      </c>
      <c r="BN811" s="6" t="n">
        <f aca="false">IF(R811="-","",IFERROR(VALUE(LEFT(Q811,LEN(Q811)-2)),""))</f>
        <v>52.5</v>
      </c>
      <c r="BO811" s="6" t="n">
        <f aca="false">IF(R811="-","",IFERROR(VALUE(LEFT(R811,LEN(R811)-5)),""))</f>
        <v>2.85</v>
      </c>
      <c r="BP811" s="6" t="n">
        <f aca="false">IF(R811="-","",IFERROR(VALUE(F811),""))</f>
        <v>149.81</v>
      </c>
      <c r="BQ811" s="4" t="n">
        <f aca="false">IF(R811="-",1,0)</f>
        <v>0</v>
      </c>
    </row>
    <row r="812" customFormat="false" ht="15" hidden="false" customHeight="false" outlineLevel="0" collapsed="false">
      <c r="A812" s="0" t="s">
        <v>3280</v>
      </c>
      <c r="B812" s="0" t="s">
        <v>3281</v>
      </c>
      <c r="C812" s="0" t="s">
        <v>70</v>
      </c>
      <c r="E812" s="3" t="n">
        <v>46274</v>
      </c>
      <c r="F812" s="4" t="s">
        <v>95</v>
      </c>
      <c r="G812" s="5" t="n">
        <v>0</v>
      </c>
      <c r="H812" s="5" t="n">
        <v>0</v>
      </c>
      <c r="I812" s="5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5" t="n">
        <v>0</v>
      </c>
      <c r="P812" s="5" t="n">
        <v>0</v>
      </c>
      <c r="Q812" s="4" t="s">
        <v>73</v>
      </c>
      <c r="R812" s="4" t="s">
        <v>73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5" t="n">
        <v>0</v>
      </c>
      <c r="Y812" s="5" t="n">
        <v>0</v>
      </c>
      <c r="Z812" s="0" t="n">
        <v>0</v>
      </c>
      <c r="AA812" s="0" t="n">
        <v>0</v>
      </c>
      <c r="AB812" s="0" t="n">
        <v>0</v>
      </c>
      <c r="AC812" s="4" t="s">
        <v>208</v>
      </c>
      <c r="AD812" s="4" t="s">
        <v>208</v>
      </c>
      <c r="AE812" s="4" t="s">
        <v>3282</v>
      </c>
      <c r="AF812" s="4" t="s">
        <v>3282</v>
      </c>
      <c r="AG812" s="5" t="n">
        <v>0</v>
      </c>
      <c r="AH812" s="5" t="n">
        <v>0.0213541666666667</v>
      </c>
      <c r="AI812" s="5" t="n">
        <v>0</v>
      </c>
      <c r="AJ812" s="5" t="n">
        <v>0</v>
      </c>
      <c r="AK812" s="5" t="n">
        <v>0</v>
      </c>
      <c r="AL812" s="5" t="n">
        <v>0</v>
      </c>
      <c r="AM812" s="4" t="s">
        <v>78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  <c r="AU812" s="0" t="n">
        <v>0</v>
      </c>
      <c r="AV812" s="0" t="n">
        <v>0</v>
      </c>
      <c r="AW812" s="0" t="n">
        <v>0</v>
      </c>
      <c r="AX812" s="0" t="n">
        <v>0</v>
      </c>
      <c r="AY812" s="0" t="n">
        <v>0</v>
      </c>
      <c r="AZ812" s="0" t="n">
        <v>0</v>
      </c>
      <c r="BA812" s="0" t="n">
        <v>0</v>
      </c>
      <c r="BB812" s="0" t="n">
        <v>0</v>
      </c>
      <c r="BC812" s="0" t="n">
        <v>0</v>
      </c>
      <c r="BD812" s="0" t="n">
        <v>0</v>
      </c>
      <c r="BE812" s="0" t="n">
        <v>0</v>
      </c>
      <c r="BF812" s="0" t="n">
        <v>0</v>
      </c>
      <c r="BG812" s="0" t="n">
        <v>0</v>
      </c>
      <c r="BH812" s="0" t="n">
        <v>0</v>
      </c>
      <c r="BI812" s="0" t="n">
        <v>0</v>
      </c>
      <c r="BJ812" s="0" t="n">
        <v>0</v>
      </c>
      <c r="BK812" s="0" t="n">
        <v>0</v>
      </c>
      <c r="BM812" s="6" t="n">
        <f aca="false">IFERROR(VALUE(F812),"")</f>
        <v>0</v>
      </c>
      <c r="BN812" s="6" t="str">
        <f aca="false">IF(R812="-","",IFERROR(VALUE(LEFT(Q812,LEN(Q812)-2)),""))</f>
        <v/>
      </c>
      <c r="BO812" s="6" t="str">
        <f aca="false">IF(R812="-","",IFERROR(VALUE(LEFT(R812,LEN(R812)-5)),""))</f>
        <v/>
      </c>
      <c r="BP812" s="6" t="str">
        <f aca="false">IF(R812="-","",IFERROR(VALUE(F812),""))</f>
        <v/>
      </c>
      <c r="BQ812" s="4" t="n">
        <f aca="false">IF(R812="-",1,0)</f>
        <v>1</v>
      </c>
    </row>
    <row r="813" customFormat="false" ht="15" hidden="false" customHeight="false" outlineLevel="0" collapsed="false">
      <c r="A813" s="0" t="s">
        <v>3280</v>
      </c>
      <c r="B813" s="0" t="s">
        <v>3281</v>
      </c>
      <c r="C813" s="0" t="s">
        <v>70</v>
      </c>
      <c r="E813" s="3" t="n">
        <v>46275</v>
      </c>
      <c r="F813" s="4" t="s">
        <v>95</v>
      </c>
      <c r="G813" s="5" t="n">
        <v>0.000763888888888889</v>
      </c>
      <c r="H813" s="5" t="n">
        <v>0</v>
      </c>
      <c r="I813" s="5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5" t="n">
        <v>0</v>
      </c>
      <c r="P813" s="5" t="n">
        <v>0</v>
      </c>
      <c r="Q813" s="4" t="s">
        <v>73</v>
      </c>
      <c r="R813" s="4" t="s">
        <v>73</v>
      </c>
      <c r="S813" s="5" t="n">
        <v>0</v>
      </c>
      <c r="T813" s="5" t="n">
        <v>0.000694444444444445</v>
      </c>
      <c r="U813" s="5" t="n">
        <v>0</v>
      </c>
      <c r="V813" s="5" t="n">
        <v>0</v>
      </c>
      <c r="W813" s="5" t="n">
        <v>0</v>
      </c>
      <c r="X813" s="5" t="n">
        <v>0</v>
      </c>
      <c r="Y813" s="5" t="n">
        <v>0</v>
      </c>
      <c r="Z813" s="0" t="n">
        <v>0</v>
      </c>
      <c r="AA813" s="0" t="n">
        <v>0</v>
      </c>
      <c r="AB813" s="0" t="n">
        <v>0</v>
      </c>
      <c r="AC813" s="4" t="s">
        <v>208</v>
      </c>
      <c r="AD813" s="4" t="s">
        <v>208</v>
      </c>
      <c r="AE813" s="4" t="s">
        <v>3283</v>
      </c>
      <c r="AF813" s="4" t="s">
        <v>3283</v>
      </c>
      <c r="AG813" s="5" t="n">
        <v>0</v>
      </c>
      <c r="AH813" s="5" t="n">
        <v>0.0177777777777778</v>
      </c>
      <c r="AI813" s="5" t="n">
        <v>0</v>
      </c>
      <c r="AJ813" s="5" t="n">
        <v>0</v>
      </c>
      <c r="AK813" s="5" t="n">
        <v>0</v>
      </c>
      <c r="AL813" s="5" t="n">
        <v>0</v>
      </c>
      <c r="AM813" s="4" t="s">
        <v>78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  <c r="AU813" s="0" t="n">
        <v>0</v>
      </c>
      <c r="AV813" s="0" t="n">
        <v>0</v>
      </c>
      <c r="AW813" s="0" t="n">
        <v>0</v>
      </c>
      <c r="AX813" s="0" t="n">
        <v>0</v>
      </c>
      <c r="AY813" s="0" t="n">
        <v>0</v>
      </c>
      <c r="AZ813" s="0" t="n">
        <v>0</v>
      </c>
      <c r="BA813" s="0" t="n">
        <v>0</v>
      </c>
      <c r="BB813" s="0" t="n">
        <v>0</v>
      </c>
      <c r="BC813" s="0" t="n">
        <v>0</v>
      </c>
      <c r="BD813" s="0" t="n">
        <v>0</v>
      </c>
      <c r="BE813" s="0" t="n">
        <v>0</v>
      </c>
      <c r="BF813" s="0" t="n">
        <v>0</v>
      </c>
      <c r="BG813" s="0" t="n">
        <v>0</v>
      </c>
      <c r="BH813" s="0" t="n">
        <v>0</v>
      </c>
      <c r="BI813" s="0" t="n">
        <v>0</v>
      </c>
      <c r="BJ813" s="0" t="n">
        <v>0</v>
      </c>
      <c r="BK813" s="0" t="n">
        <v>0</v>
      </c>
      <c r="BM813" s="6" t="n">
        <f aca="false">IFERROR(VALUE(F813),"")</f>
        <v>0</v>
      </c>
      <c r="BN813" s="6" t="str">
        <f aca="false">IF(R813="-","",IFERROR(VALUE(LEFT(Q813,LEN(Q813)-2)),""))</f>
        <v/>
      </c>
      <c r="BO813" s="6" t="str">
        <f aca="false">IF(R813="-","",IFERROR(VALUE(LEFT(R813,LEN(R813)-5)),""))</f>
        <v/>
      </c>
      <c r="BP813" s="6" t="str">
        <f aca="false">IF(R813="-","",IFERROR(VALUE(F813),""))</f>
        <v/>
      </c>
      <c r="BQ813" s="4" t="n">
        <f aca="false">IF(R813="-",1,0)</f>
        <v>1</v>
      </c>
    </row>
    <row r="814" customFormat="false" ht="15" hidden="false" customHeight="false" outlineLevel="0" collapsed="false">
      <c r="A814" s="0" t="s">
        <v>3280</v>
      </c>
      <c r="B814" s="0" t="s">
        <v>3281</v>
      </c>
      <c r="C814" s="0" t="s">
        <v>70</v>
      </c>
      <c r="E814" s="3" t="n">
        <v>46276</v>
      </c>
      <c r="F814" s="4" t="s">
        <v>3284</v>
      </c>
      <c r="G814" s="5" t="n">
        <v>0.199247685185185</v>
      </c>
      <c r="H814" s="5" t="n">
        <v>0</v>
      </c>
      <c r="I814" s="5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5" t="n">
        <v>0</v>
      </c>
      <c r="P814" s="5" t="n">
        <v>0</v>
      </c>
      <c r="Q814" s="4" t="s">
        <v>73</v>
      </c>
      <c r="R814" s="4" t="s">
        <v>73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0</v>
      </c>
      <c r="X814" s="5" t="n">
        <v>0</v>
      </c>
      <c r="Y814" s="5" t="n">
        <v>0</v>
      </c>
      <c r="Z814" s="0" t="n">
        <v>0</v>
      </c>
      <c r="AA814" s="0" t="n">
        <v>0</v>
      </c>
      <c r="AB814" s="0" t="n">
        <v>0</v>
      </c>
      <c r="AC814" s="4" t="s">
        <v>208</v>
      </c>
      <c r="AD814" s="4" t="s">
        <v>208</v>
      </c>
      <c r="AE814" s="4" t="s">
        <v>3283</v>
      </c>
      <c r="AF814" s="4" t="s">
        <v>3285</v>
      </c>
      <c r="AG814" s="5" t="n">
        <v>0</v>
      </c>
      <c r="AH814" s="5" t="n">
        <v>0.0289930555555556</v>
      </c>
      <c r="AI814" s="5" t="n">
        <v>0</v>
      </c>
      <c r="AJ814" s="5" t="n">
        <v>0</v>
      </c>
      <c r="AK814" s="5" t="n">
        <v>0</v>
      </c>
      <c r="AL814" s="5" t="n">
        <v>0</v>
      </c>
      <c r="AM814" s="4" t="s">
        <v>78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  <c r="AU814" s="0" t="n">
        <v>0</v>
      </c>
      <c r="AV814" s="0" t="n">
        <v>0</v>
      </c>
      <c r="AW814" s="0" t="n">
        <v>0</v>
      </c>
      <c r="AX814" s="0" t="n">
        <v>0</v>
      </c>
      <c r="AY814" s="0" t="n">
        <v>0</v>
      </c>
      <c r="AZ814" s="0" t="n">
        <v>0</v>
      </c>
      <c r="BA814" s="0" t="n">
        <v>0</v>
      </c>
      <c r="BB814" s="0" t="n">
        <v>0</v>
      </c>
      <c r="BC814" s="0" t="n">
        <v>0</v>
      </c>
      <c r="BD814" s="0" t="n">
        <v>0</v>
      </c>
      <c r="BE814" s="0" t="n">
        <v>0</v>
      </c>
      <c r="BF814" s="0" t="n">
        <v>0</v>
      </c>
      <c r="BG814" s="0" t="n">
        <v>0</v>
      </c>
      <c r="BH814" s="0" t="n">
        <v>0</v>
      </c>
      <c r="BI814" s="0" t="n">
        <v>0</v>
      </c>
      <c r="BJ814" s="0" t="n">
        <v>0</v>
      </c>
      <c r="BK814" s="0" t="n">
        <v>0</v>
      </c>
      <c r="BM814" s="6" t="n">
        <f aca="false">IFERROR(VALUE(F814),"")</f>
        <v>0.53</v>
      </c>
      <c r="BN814" s="6" t="str">
        <f aca="false">IF(R814="-","",IFERROR(VALUE(LEFT(Q814,LEN(Q814)-2)),""))</f>
        <v/>
      </c>
      <c r="BO814" s="6" t="str">
        <f aca="false">IF(R814="-","",IFERROR(VALUE(LEFT(R814,LEN(R814)-5)),""))</f>
        <v/>
      </c>
      <c r="BP814" s="6" t="str">
        <f aca="false">IF(R814="-","",IFERROR(VALUE(F814),""))</f>
        <v/>
      </c>
      <c r="BQ814" s="4" t="n">
        <f aca="false">IF(R814="-",1,0)</f>
        <v>1</v>
      </c>
    </row>
    <row r="815" customFormat="false" ht="15" hidden="false" customHeight="false" outlineLevel="0" collapsed="false">
      <c r="A815" s="0" t="s">
        <v>3280</v>
      </c>
      <c r="B815" s="0" t="s">
        <v>3281</v>
      </c>
      <c r="C815" s="0" t="s">
        <v>70</v>
      </c>
      <c r="E815" s="3" t="n">
        <v>46277</v>
      </c>
      <c r="F815" s="4" t="s">
        <v>3286</v>
      </c>
      <c r="G815" s="5" t="n">
        <v>0.195011574074074</v>
      </c>
      <c r="H815" s="5" t="n">
        <v>0</v>
      </c>
      <c r="I815" s="5" t="n">
        <v>0.000439814814814815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5" t="n">
        <v>0</v>
      </c>
      <c r="P815" s="5" t="n">
        <v>0.0342361111111111</v>
      </c>
      <c r="Q815" s="4" t="s">
        <v>3287</v>
      </c>
      <c r="R815" s="4" t="s">
        <v>3288</v>
      </c>
      <c r="S815" s="5" t="n">
        <v>0.000231481481481482</v>
      </c>
      <c r="T815" s="5" t="n">
        <v>0.0855324074074074</v>
      </c>
      <c r="U815" s="5" t="n">
        <v>0.0211805555555556</v>
      </c>
      <c r="V815" s="5" t="n">
        <v>0.000578703703703704</v>
      </c>
      <c r="W815" s="5" t="n">
        <v>0</v>
      </c>
      <c r="X815" s="5" t="n">
        <v>0</v>
      </c>
      <c r="Y815" s="5" t="n">
        <v>0</v>
      </c>
      <c r="Z815" s="0" t="n">
        <v>0</v>
      </c>
      <c r="AA815" s="0" t="n">
        <v>0</v>
      </c>
      <c r="AB815" s="0" t="n">
        <v>0</v>
      </c>
      <c r="AC815" s="4" t="s">
        <v>208</v>
      </c>
      <c r="AD815" s="4" t="s">
        <v>74</v>
      </c>
      <c r="AE815" s="4" t="s">
        <v>3289</v>
      </c>
      <c r="AF815" s="4" t="s">
        <v>3290</v>
      </c>
      <c r="AG815" s="5" t="n">
        <v>0.0554166666666667</v>
      </c>
      <c r="AH815" s="5" t="n">
        <v>0.216516203703704</v>
      </c>
      <c r="AI815" s="5" t="n">
        <v>0</v>
      </c>
      <c r="AJ815" s="5" t="n">
        <v>0</v>
      </c>
      <c r="AK815" s="5" t="n">
        <v>0</v>
      </c>
      <c r="AL815" s="5" t="n">
        <v>0</v>
      </c>
      <c r="AM815" s="4" t="s">
        <v>78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  <c r="AU815" s="0" t="n">
        <v>0</v>
      </c>
      <c r="AV815" s="0" t="n">
        <v>0</v>
      </c>
      <c r="AW815" s="0" t="n">
        <v>0</v>
      </c>
      <c r="AX815" s="0" t="n">
        <v>0</v>
      </c>
      <c r="AY815" s="0" t="n">
        <v>0</v>
      </c>
      <c r="AZ815" s="0" t="n">
        <v>0</v>
      </c>
      <c r="BA815" s="0" t="n">
        <v>0</v>
      </c>
      <c r="BB815" s="0" t="n">
        <v>0</v>
      </c>
      <c r="BC815" s="0" t="n">
        <v>0</v>
      </c>
      <c r="BD815" s="0" t="n">
        <v>0</v>
      </c>
      <c r="BE815" s="0" t="n">
        <v>0</v>
      </c>
      <c r="BF815" s="0" t="n">
        <v>0</v>
      </c>
      <c r="BG815" s="0" t="n">
        <v>0</v>
      </c>
      <c r="BH815" s="0" t="n">
        <v>0</v>
      </c>
      <c r="BI815" s="0" t="n">
        <v>0</v>
      </c>
      <c r="BJ815" s="0" t="n">
        <v>0</v>
      </c>
      <c r="BK815" s="0" t="n">
        <v>0</v>
      </c>
      <c r="BM815" s="6" t="n">
        <f aca="false">IFERROR(VALUE(F815),"")</f>
        <v>32.43</v>
      </c>
      <c r="BN815" s="6" t="n">
        <f aca="false">IF(R815="-","",IFERROR(VALUE(LEFT(Q815,LEN(Q815)-2)),""))</f>
        <v>19.01</v>
      </c>
      <c r="BO815" s="6" t="n">
        <f aca="false">IF(R815="-","",IFERROR(VALUE(LEFT(R815,LEN(R815)-5)),""))</f>
        <v>1.71</v>
      </c>
      <c r="BP815" s="6" t="n">
        <f aca="false">IF(R815="-","",IFERROR(VALUE(F815),""))</f>
        <v>32.43</v>
      </c>
      <c r="BQ815" s="4" t="n">
        <f aca="false">IF(R815="-",1,0)</f>
        <v>0</v>
      </c>
    </row>
    <row r="816" customFormat="false" ht="15" hidden="false" customHeight="false" outlineLevel="0" collapsed="false">
      <c r="A816" s="0" t="s">
        <v>3280</v>
      </c>
      <c r="B816" s="0" t="s">
        <v>3281</v>
      </c>
      <c r="C816" s="0" t="s">
        <v>70</v>
      </c>
      <c r="E816" s="3" t="n">
        <v>46278</v>
      </c>
      <c r="F816" s="4" t="s">
        <v>95</v>
      </c>
      <c r="G816" s="5" t="n">
        <v>0.278668981481482</v>
      </c>
      <c r="H816" s="5" t="n">
        <v>0</v>
      </c>
      <c r="I816" s="5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5" t="n">
        <v>0</v>
      </c>
      <c r="P816" s="5" t="n">
        <v>0</v>
      </c>
      <c r="Q816" s="4" t="s">
        <v>73</v>
      </c>
      <c r="R816" s="4" t="s">
        <v>73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0</v>
      </c>
      <c r="Y816" s="5" t="n">
        <v>0</v>
      </c>
      <c r="Z816" s="0" t="n">
        <v>0</v>
      </c>
      <c r="AA816" s="0" t="n">
        <v>0</v>
      </c>
      <c r="AB816" s="0" t="n">
        <v>0</v>
      </c>
      <c r="AC816" s="4" t="s">
        <v>228</v>
      </c>
      <c r="AD816" s="4" t="s">
        <v>81</v>
      </c>
      <c r="AE816" s="4" t="s">
        <v>3290</v>
      </c>
      <c r="AF816" s="4" t="s">
        <v>3290</v>
      </c>
      <c r="AG816" s="5" t="n">
        <v>0</v>
      </c>
      <c r="AH816" s="5" t="n">
        <v>0.067025462962963</v>
      </c>
      <c r="AI816" s="5" t="n">
        <v>0</v>
      </c>
      <c r="AJ816" s="5" t="n">
        <v>0</v>
      </c>
      <c r="AK816" s="5" t="n">
        <v>0</v>
      </c>
      <c r="AL816" s="5" t="n">
        <v>0</v>
      </c>
      <c r="AM816" s="4" t="s">
        <v>78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  <c r="AU816" s="0" t="n">
        <v>0</v>
      </c>
      <c r="AV816" s="0" t="n">
        <v>0</v>
      </c>
      <c r="AW816" s="0" t="n">
        <v>0</v>
      </c>
      <c r="AX816" s="0" t="n">
        <v>0</v>
      </c>
      <c r="AY816" s="0" t="n">
        <v>0</v>
      </c>
      <c r="AZ816" s="0" t="n">
        <v>0</v>
      </c>
      <c r="BA816" s="0" t="n">
        <v>0</v>
      </c>
      <c r="BB816" s="0" t="n">
        <v>0</v>
      </c>
      <c r="BC816" s="0" t="n">
        <v>0</v>
      </c>
      <c r="BD816" s="0" t="n">
        <v>0</v>
      </c>
      <c r="BE816" s="0" t="n">
        <v>0</v>
      </c>
      <c r="BF816" s="0" t="n">
        <v>0</v>
      </c>
      <c r="BG816" s="0" t="n">
        <v>0</v>
      </c>
      <c r="BH816" s="0" t="n">
        <v>0</v>
      </c>
      <c r="BI816" s="0" t="n">
        <v>0</v>
      </c>
      <c r="BJ816" s="0" t="n">
        <v>0</v>
      </c>
      <c r="BK816" s="0" t="n">
        <v>0</v>
      </c>
      <c r="BM816" s="6" t="n">
        <f aca="false">IFERROR(VALUE(F816),"")</f>
        <v>0</v>
      </c>
      <c r="BN816" s="6" t="str">
        <f aca="false">IF(R816="-","",IFERROR(VALUE(LEFT(Q816,LEN(Q816)-2)),""))</f>
        <v/>
      </c>
      <c r="BO816" s="6" t="str">
        <f aca="false">IF(R816="-","",IFERROR(VALUE(LEFT(R816,LEN(R816)-5)),""))</f>
        <v/>
      </c>
      <c r="BP816" s="6" t="str">
        <f aca="false">IF(R816="-","",IFERROR(VALUE(F816),""))</f>
        <v/>
      </c>
      <c r="BQ816" s="4" t="n">
        <f aca="false">IF(R816="-",1,0)</f>
        <v>1</v>
      </c>
    </row>
    <row r="817" customFormat="false" ht="15" hidden="false" customHeight="false" outlineLevel="0" collapsed="false">
      <c r="A817" s="0" t="s">
        <v>3280</v>
      </c>
      <c r="B817" s="0" t="s">
        <v>3281</v>
      </c>
      <c r="C817" s="0" t="s">
        <v>70</v>
      </c>
      <c r="E817" s="3" t="n">
        <v>46279</v>
      </c>
      <c r="F817" s="4" t="s">
        <v>3291</v>
      </c>
      <c r="G817" s="5" t="n">
        <v>0.209155092592593</v>
      </c>
      <c r="H817" s="5" t="n">
        <v>0</v>
      </c>
      <c r="I817" s="5" t="n">
        <v>0.000208333333333333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5" t="n">
        <v>0</v>
      </c>
      <c r="P817" s="5" t="n">
        <v>0.00744212962962963</v>
      </c>
      <c r="Q817" s="4" t="s">
        <v>3292</v>
      </c>
      <c r="R817" s="4" t="s">
        <v>482</v>
      </c>
      <c r="S817" s="5" t="n">
        <v>0.000462962962962963</v>
      </c>
      <c r="T817" s="5" t="n">
        <v>0.0741898148148148</v>
      </c>
      <c r="U817" s="5" t="n">
        <v>0.083912037037037</v>
      </c>
      <c r="V817" s="5" t="n">
        <v>0.00497685185185185</v>
      </c>
      <c r="W817" s="5" t="n">
        <v>0</v>
      </c>
      <c r="X817" s="5" t="n">
        <v>0</v>
      </c>
      <c r="Y817" s="5" t="n">
        <v>0</v>
      </c>
      <c r="Z817" s="0" t="n">
        <v>0</v>
      </c>
      <c r="AA817" s="0" t="n">
        <v>0</v>
      </c>
      <c r="AB817" s="0" t="n">
        <v>0</v>
      </c>
      <c r="AC817" s="4" t="s">
        <v>81</v>
      </c>
      <c r="AD817" s="4" t="s">
        <v>882</v>
      </c>
      <c r="AE817" s="4" t="s">
        <v>3290</v>
      </c>
      <c r="AF817" s="4" t="s">
        <v>3293</v>
      </c>
      <c r="AG817" s="5" t="n">
        <v>0.141631944444444</v>
      </c>
      <c r="AH817" s="5" t="n">
        <v>0.0940625</v>
      </c>
      <c r="AI817" s="5" t="n">
        <v>0</v>
      </c>
      <c r="AJ817" s="5" t="n">
        <v>0</v>
      </c>
      <c r="AK817" s="5" t="n">
        <v>0</v>
      </c>
      <c r="AL817" s="5" t="n">
        <v>0</v>
      </c>
      <c r="AM817" s="4" t="s">
        <v>78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  <c r="AU817" s="0" t="n">
        <v>0</v>
      </c>
      <c r="AV817" s="0" t="n">
        <v>0</v>
      </c>
      <c r="AW817" s="0" t="n">
        <v>0</v>
      </c>
      <c r="AX817" s="0" t="n">
        <v>0</v>
      </c>
      <c r="AY817" s="0" t="n">
        <v>0</v>
      </c>
      <c r="AZ817" s="0" t="n">
        <v>0</v>
      </c>
      <c r="BA817" s="0" t="n">
        <v>0</v>
      </c>
      <c r="BB817" s="0" t="n">
        <v>0</v>
      </c>
      <c r="BC817" s="0" t="n">
        <v>0</v>
      </c>
      <c r="BD817" s="0" t="n">
        <v>0</v>
      </c>
      <c r="BE817" s="0" t="n">
        <v>0</v>
      </c>
      <c r="BF817" s="0" t="n">
        <v>0</v>
      </c>
      <c r="BG817" s="0" t="n">
        <v>0</v>
      </c>
      <c r="BH817" s="0" t="n">
        <v>0</v>
      </c>
      <c r="BI817" s="0" t="n">
        <v>0</v>
      </c>
      <c r="BJ817" s="0" t="n">
        <v>0</v>
      </c>
      <c r="BK817" s="0" t="n">
        <v>0</v>
      </c>
      <c r="BM817" s="6" t="n">
        <f aca="false">IFERROR(VALUE(F817),"")</f>
        <v>152.62</v>
      </c>
      <c r="BN817" s="6" t="n">
        <f aca="false">IF(R817="-","",IFERROR(VALUE(LEFT(Q817,LEN(Q817)-2)),""))</f>
        <v>56</v>
      </c>
      <c r="BO817" s="6" t="n">
        <f aca="false">IF(R817="-","",IFERROR(VALUE(LEFT(R817,LEN(R817)-5)),""))</f>
        <v>2.73</v>
      </c>
      <c r="BP817" s="6" t="n">
        <f aca="false">IF(R817="-","",IFERROR(VALUE(F817),""))</f>
        <v>152.62</v>
      </c>
      <c r="BQ817" s="4" t="n">
        <f aca="false">IF(R817="-",1,0)</f>
        <v>0</v>
      </c>
    </row>
    <row r="818" customFormat="false" ht="15" hidden="false" customHeight="false" outlineLevel="0" collapsed="false">
      <c r="A818" s="0" t="s">
        <v>3294</v>
      </c>
      <c r="B818" s="0" t="s">
        <v>3295</v>
      </c>
      <c r="C818" s="0" t="s">
        <v>70</v>
      </c>
      <c r="D818" s="0" t="s">
        <v>3296</v>
      </c>
      <c r="E818" s="3" t="n">
        <v>46273</v>
      </c>
      <c r="F818" s="4" t="s">
        <v>3297</v>
      </c>
      <c r="G818" s="5" t="n">
        <v>0.173634259259259</v>
      </c>
      <c r="H818" s="5" t="n">
        <v>0.138032407407407</v>
      </c>
      <c r="I818" s="5" t="n">
        <v>0.000462962962962963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5" t="n">
        <v>0</v>
      </c>
      <c r="P818" s="5" t="n">
        <v>0</v>
      </c>
      <c r="Q818" s="4" t="s">
        <v>2010</v>
      </c>
      <c r="R818" s="4" t="s">
        <v>2649</v>
      </c>
      <c r="S818" s="5" t="n">
        <v>0.000231481481481482</v>
      </c>
      <c r="T818" s="5" t="n">
        <v>0.0800925925925926</v>
      </c>
      <c r="U818" s="5" t="n">
        <v>0.0628472222222222</v>
      </c>
      <c r="V818" s="5" t="n">
        <v>0.00439814814814815</v>
      </c>
      <c r="W818" s="5" t="n">
        <v>0</v>
      </c>
      <c r="X818" s="5" t="n">
        <v>0</v>
      </c>
      <c r="Y818" s="5" t="n">
        <v>0</v>
      </c>
      <c r="Z818" s="0" t="n">
        <v>0</v>
      </c>
      <c r="AA818" s="0" t="n">
        <v>0</v>
      </c>
      <c r="AB818" s="0" t="n">
        <v>0</v>
      </c>
      <c r="AC818" s="4" t="s">
        <v>74</v>
      </c>
      <c r="AD818" s="4" t="s">
        <v>320</v>
      </c>
      <c r="AE818" s="4" t="s">
        <v>3298</v>
      </c>
      <c r="AF818" s="4" t="s">
        <v>3299</v>
      </c>
      <c r="AG818" s="5" t="n">
        <v>0.11943287037037</v>
      </c>
      <c r="AH818" s="5" t="n">
        <v>0.0948958333333333</v>
      </c>
      <c r="AI818" s="5" t="n">
        <v>0</v>
      </c>
      <c r="AJ818" s="5" t="n">
        <v>0</v>
      </c>
      <c r="AK818" s="5" t="n">
        <v>0</v>
      </c>
      <c r="AL818" s="5" t="n">
        <v>0</v>
      </c>
      <c r="AM818" s="4" t="s">
        <v>78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  <c r="AU818" s="0" t="n">
        <v>0</v>
      </c>
      <c r="AV818" s="0" t="n">
        <v>0</v>
      </c>
      <c r="AW818" s="0" t="n">
        <v>0</v>
      </c>
      <c r="AX818" s="0" t="n">
        <v>0</v>
      </c>
      <c r="AY818" s="0" t="n">
        <v>0</v>
      </c>
      <c r="AZ818" s="0" t="n">
        <v>0</v>
      </c>
      <c r="BA818" s="0" t="n">
        <v>0</v>
      </c>
      <c r="BB818" s="0" t="n">
        <v>0</v>
      </c>
      <c r="BC818" s="0" t="n">
        <v>0</v>
      </c>
      <c r="BD818" s="0" t="n">
        <v>0</v>
      </c>
      <c r="BE818" s="0" t="n">
        <v>0</v>
      </c>
      <c r="BF818" s="0" t="n">
        <v>0</v>
      </c>
      <c r="BG818" s="0" t="n">
        <v>0</v>
      </c>
      <c r="BH818" s="0" t="n">
        <v>0</v>
      </c>
      <c r="BI818" s="0" t="n">
        <v>0</v>
      </c>
      <c r="BJ818" s="0" t="n">
        <v>0</v>
      </c>
      <c r="BK818" s="0" t="n">
        <v>0</v>
      </c>
      <c r="BM818" s="6" t="n">
        <f aca="false">IFERROR(VALUE(F818),"")</f>
        <v>101.1</v>
      </c>
      <c r="BN818" s="6" t="n">
        <f aca="false">IF(R818="-","",IFERROR(VALUE(LEFT(Q818,LEN(Q818)-2)),""))</f>
        <v>41.98</v>
      </c>
      <c r="BO818" s="6" t="n">
        <f aca="false">IF(R818="-","",IFERROR(VALUE(LEFT(R818,LEN(R818)-5)),""))</f>
        <v>2.41</v>
      </c>
      <c r="BP818" s="6" t="n">
        <f aca="false">IF(R818="-","",IFERROR(VALUE(F818),""))</f>
        <v>101.1</v>
      </c>
      <c r="BQ818" s="4" t="n">
        <f aca="false">IF(R818="-",1,0)</f>
        <v>0</v>
      </c>
    </row>
    <row r="819" customFormat="false" ht="15" hidden="false" customHeight="false" outlineLevel="0" collapsed="false">
      <c r="A819" s="0" t="s">
        <v>3294</v>
      </c>
      <c r="B819" s="0" t="s">
        <v>3295</v>
      </c>
      <c r="C819" s="0" t="s">
        <v>70</v>
      </c>
      <c r="D819" s="0" t="s">
        <v>3300</v>
      </c>
      <c r="E819" s="3" t="n">
        <v>46274</v>
      </c>
      <c r="F819" s="4" t="s">
        <v>3301</v>
      </c>
      <c r="G819" s="5" t="n">
        <v>0.606400462962963</v>
      </c>
      <c r="H819" s="5" t="n">
        <v>0.57755787037037</v>
      </c>
      <c r="I819" s="5" t="n">
        <v>0.00200231481481482</v>
      </c>
      <c r="J819" s="0" t="n">
        <v>0</v>
      </c>
      <c r="K819" s="0" t="n">
        <v>1</v>
      </c>
      <c r="L819" s="0" t="n">
        <v>0</v>
      </c>
      <c r="M819" s="0" t="n">
        <v>0</v>
      </c>
      <c r="N819" s="0" t="n">
        <v>2</v>
      </c>
      <c r="O819" s="5" t="n">
        <v>0</v>
      </c>
      <c r="P819" s="5" t="n">
        <v>0.00780092592592593</v>
      </c>
      <c r="Q819" s="4" t="s">
        <v>3302</v>
      </c>
      <c r="R819" s="4" t="s">
        <v>497</v>
      </c>
      <c r="S819" s="5" t="n">
        <v>0.00150462962962963</v>
      </c>
      <c r="T819" s="5" t="n">
        <v>0.201273148148148</v>
      </c>
      <c r="U819" s="5" t="n">
        <v>0.352546296296296</v>
      </c>
      <c r="V819" s="5" t="n">
        <v>0.0185185185185185</v>
      </c>
      <c r="W819" s="5" t="n">
        <v>0</v>
      </c>
      <c r="X819" s="5" t="n">
        <v>0</v>
      </c>
      <c r="Y819" s="5" t="n">
        <v>0</v>
      </c>
      <c r="Z819" s="0" t="n">
        <v>0</v>
      </c>
      <c r="AA819" s="0" t="n">
        <v>0</v>
      </c>
      <c r="AB819" s="0" t="n">
        <v>0</v>
      </c>
      <c r="AC819" s="4" t="s">
        <v>3303</v>
      </c>
      <c r="AD819" s="4" t="s">
        <v>432</v>
      </c>
      <c r="AE819" s="4" t="s">
        <v>3299</v>
      </c>
      <c r="AF819" s="4" t="s">
        <v>3304</v>
      </c>
      <c r="AG819" s="5" t="n">
        <v>0.516944444444444</v>
      </c>
      <c r="AH819" s="5" t="n">
        <v>0.156550925925926</v>
      </c>
      <c r="AI819" s="5" t="n">
        <v>0</v>
      </c>
      <c r="AJ819" s="5" t="n">
        <v>0</v>
      </c>
      <c r="AK819" s="5" t="n">
        <v>0</v>
      </c>
      <c r="AL819" s="5" t="n">
        <v>0</v>
      </c>
      <c r="AM819" s="4" t="s">
        <v>78</v>
      </c>
      <c r="AN819" s="0" t="n">
        <v>0</v>
      </c>
      <c r="AO819" s="0" t="n">
        <v>1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  <c r="AU819" s="0" t="n">
        <v>14</v>
      </c>
      <c r="AV819" s="0" t="n">
        <v>0</v>
      </c>
      <c r="AW819" s="0" t="n">
        <v>1</v>
      </c>
      <c r="AX819" s="0" t="n">
        <v>0</v>
      </c>
      <c r="AY819" s="0" t="n">
        <v>0</v>
      </c>
      <c r="AZ819" s="0" t="n">
        <v>0</v>
      </c>
      <c r="BA819" s="0" t="n">
        <v>0</v>
      </c>
      <c r="BB819" s="0" t="n">
        <v>0</v>
      </c>
      <c r="BC819" s="0" t="n">
        <v>0</v>
      </c>
      <c r="BD819" s="0" t="n">
        <v>0</v>
      </c>
      <c r="BE819" s="0" t="n">
        <v>0</v>
      </c>
      <c r="BF819" s="0" t="n">
        <v>0</v>
      </c>
      <c r="BG819" s="0" t="n">
        <v>0</v>
      </c>
      <c r="BH819" s="0" t="n">
        <v>0</v>
      </c>
      <c r="BI819" s="0" t="n">
        <v>0</v>
      </c>
      <c r="BJ819" s="0" t="n">
        <v>0</v>
      </c>
      <c r="BK819" s="0" t="n">
        <v>0</v>
      </c>
      <c r="BM819" s="6" t="n">
        <f aca="false">IFERROR(VALUE(F819),"")</f>
        <v>588.54</v>
      </c>
      <c r="BN819" s="6" t="n">
        <f aca="false">IF(R819="-","",IFERROR(VALUE(LEFT(Q819,LEN(Q819)-2)),""))</f>
        <v>197.5</v>
      </c>
      <c r="BO819" s="6" t="n">
        <f aca="false">IF(R819="-","",IFERROR(VALUE(LEFT(R819,LEN(R819)-5)),""))</f>
        <v>2.98</v>
      </c>
      <c r="BP819" s="6" t="n">
        <f aca="false">IF(R819="-","",IFERROR(VALUE(F819),""))</f>
        <v>588.54</v>
      </c>
      <c r="BQ819" s="4" t="n">
        <f aca="false">IF(R819="-",1,0)</f>
        <v>0</v>
      </c>
    </row>
    <row r="820" customFormat="false" ht="15" hidden="false" customHeight="false" outlineLevel="0" collapsed="false">
      <c r="A820" s="0" t="s">
        <v>3294</v>
      </c>
      <c r="B820" s="0" t="s">
        <v>3295</v>
      </c>
      <c r="C820" s="0" t="s">
        <v>70</v>
      </c>
      <c r="D820" s="0" t="s">
        <v>3305</v>
      </c>
      <c r="E820" s="3" t="n">
        <v>46275</v>
      </c>
      <c r="F820" s="4" t="s">
        <v>3306</v>
      </c>
      <c r="G820" s="5" t="n">
        <v>0.512083333333333</v>
      </c>
      <c r="H820" s="5" t="n">
        <v>0.408865740740741</v>
      </c>
      <c r="I820" s="5" t="n">
        <v>0.00570601851851852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4</v>
      </c>
      <c r="O820" s="5" t="n">
        <v>0</v>
      </c>
      <c r="P820" s="5" t="n">
        <v>0</v>
      </c>
      <c r="Q820" s="4" t="s">
        <v>3307</v>
      </c>
      <c r="R820" s="4" t="s">
        <v>1341</v>
      </c>
      <c r="S820" s="5" t="n">
        <v>0.000231481481481482</v>
      </c>
      <c r="T820" s="5" t="n">
        <v>0.125115740740741</v>
      </c>
      <c r="U820" s="5" t="n">
        <v>0.24837962962963</v>
      </c>
      <c r="V820" s="5" t="n">
        <v>0.0277777777777778</v>
      </c>
      <c r="W820" s="5" t="n">
        <v>0.000115740740740741</v>
      </c>
      <c r="X820" s="5" t="n">
        <v>0</v>
      </c>
      <c r="Y820" s="5" t="n">
        <v>0</v>
      </c>
      <c r="Z820" s="0" t="n">
        <v>0</v>
      </c>
      <c r="AA820" s="0" t="n">
        <v>0</v>
      </c>
      <c r="AB820" s="0" t="n">
        <v>0</v>
      </c>
      <c r="AC820" s="4" t="s">
        <v>432</v>
      </c>
      <c r="AD820" s="4" t="s">
        <v>1745</v>
      </c>
      <c r="AE820" s="4" t="s">
        <v>3304</v>
      </c>
      <c r="AF820" s="4" t="s">
        <v>3308</v>
      </c>
      <c r="AG820" s="5" t="n">
        <v>0.348726851851852</v>
      </c>
      <c r="AH820" s="5" t="n">
        <v>0.200034722222222</v>
      </c>
      <c r="AI820" s="5" t="n">
        <v>0</v>
      </c>
      <c r="AJ820" s="5" t="n">
        <v>0</v>
      </c>
      <c r="AK820" s="5" t="n">
        <v>0</v>
      </c>
      <c r="AL820" s="5" t="n">
        <v>0</v>
      </c>
      <c r="AM820" s="4" t="s">
        <v>78</v>
      </c>
      <c r="AN820" s="0" t="n">
        <v>0</v>
      </c>
      <c r="AO820" s="0" t="n">
        <v>5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  <c r="AU820" s="0" t="n">
        <v>6</v>
      </c>
      <c r="AV820" s="0" t="n">
        <v>0</v>
      </c>
      <c r="AW820" s="0" t="n">
        <v>2</v>
      </c>
      <c r="AX820" s="0" t="n">
        <v>0</v>
      </c>
      <c r="AY820" s="0" t="n">
        <v>0</v>
      </c>
      <c r="AZ820" s="0" t="n">
        <v>0</v>
      </c>
      <c r="BA820" s="0" t="n">
        <v>0</v>
      </c>
      <c r="BB820" s="0" t="n">
        <v>0</v>
      </c>
      <c r="BC820" s="0" t="n">
        <v>0</v>
      </c>
      <c r="BD820" s="0" t="n">
        <v>0</v>
      </c>
      <c r="BE820" s="0" t="n">
        <v>0</v>
      </c>
      <c r="BF820" s="0" t="n">
        <v>0</v>
      </c>
      <c r="BG820" s="0" t="n">
        <v>0</v>
      </c>
      <c r="BH820" s="0" t="n">
        <v>0</v>
      </c>
      <c r="BI820" s="0" t="n">
        <v>0</v>
      </c>
      <c r="BJ820" s="0" t="n">
        <v>0</v>
      </c>
      <c r="BK820" s="0" t="n">
        <v>0</v>
      </c>
      <c r="BM820" s="6" t="n">
        <f aca="false">IFERROR(VALUE(F820),"")</f>
        <v>479</v>
      </c>
      <c r="BN820" s="6" t="n">
        <f aca="false">IF(R820="-","",IFERROR(VALUE(LEFT(Q820,LEN(Q820)-2)),""))</f>
        <v>159.49</v>
      </c>
      <c r="BO820" s="6" t="n">
        <f aca="false">IF(R820="-","",IFERROR(VALUE(LEFT(R820,LEN(R820)-5)),""))</f>
        <v>3</v>
      </c>
      <c r="BP820" s="6" t="n">
        <f aca="false">IF(R820="-","",IFERROR(VALUE(F820),""))</f>
        <v>479</v>
      </c>
      <c r="BQ820" s="4" t="n">
        <f aca="false">IF(R820="-",1,0)</f>
        <v>0</v>
      </c>
    </row>
    <row r="821" customFormat="false" ht="15" hidden="false" customHeight="false" outlineLevel="0" collapsed="false">
      <c r="A821" s="0" t="s">
        <v>3294</v>
      </c>
      <c r="B821" s="0" t="s">
        <v>3295</v>
      </c>
      <c r="C821" s="0" t="s">
        <v>70</v>
      </c>
      <c r="D821" s="0" t="s">
        <v>3309</v>
      </c>
      <c r="E821" s="3" t="n">
        <v>46276</v>
      </c>
      <c r="F821" s="4" t="s">
        <v>3310</v>
      </c>
      <c r="G821" s="5" t="n">
        <v>0.414710648148148</v>
      </c>
      <c r="H821" s="5" t="n">
        <v>0.455706018518519</v>
      </c>
      <c r="I821" s="5" t="n">
        <v>0.000162037037037037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5" t="n">
        <v>0</v>
      </c>
      <c r="P821" s="5" t="n">
        <v>0.0229282407407407</v>
      </c>
      <c r="Q821" s="4" t="s">
        <v>3311</v>
      </c>
      <c r="R821" s="4" t="s">
        <v>998</v>
      </c>
      <c r="S821" s="5" t="n">
        <v>0.000462962962962963</v>
      </c>
      <c r="T821" s="5" t="n">
        <v>0.190162037037037</v>
      </c>
      <c r="U821" s="5" t="n">
        <v>0.134027777777778</v>
      </c>
      <c r="V821" s="5" t="n">
        <v>0.0131944444444444</v>
      </c>
      <c r="W821" s="5" t="n">
        <v>0</v>
      </c>
      <c r="X821" s="5" t="n">
        <v>0</v>
      </c>
      <c r="Y821" s="5" t="n">
        <v>0</v>
      </c>
      <c r="Z821" s="0" t="n">
        <v>0</v>
      </c>
      <c r="AA821" s="0" t="n">
        <v>0</v>
      </c>
      <c r="AB821" s="0" t="n">
        <v>0</v>
      </c>
      <c r="AC821" s="4" t="s">
        <v>871</v>
      </c>
      <c r="AD821" s="4" t="s">
        <v>864</v>
      </c>
      <c r="AE821" s="4" t="s">
        <v>3308</v>
      </c>
      <c r="AF821" s="4" t="s">
        <v>3312</v>
      </c>
      <c r="AG821" s="5" t="n">
        <v>0.242025462962963</v>
      </c>
      <c r="AH821" s="5" t="n">
        <v>0.294652777777778</v>
      </c>
      <c r="AI821" s="5" t="n">
        <v>0</v>
      </c>
      <c r="AJ821" s="5" t="n">
        <v>0</v>
      </c>
      <c r="AK821" s="5" t="n">
        <v>0</v>
      </c>
      <c r="AL821" s="5" t="n">
        <v>0</v>
      </c>
      <c r="AM821" s="4" t="s">
        <v>78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  <c r="AV821" s="0" t="n">
        <v>0</v>
      </c>
      <c r="AW821" s="0" t="n">
        <v>0</v>
      </c>
      <c r="AX821" s="0" t="n">
        <v>0</v>
      </c>
      <c r="AY821" s="0" t="n">
        <v>0</v>
      </c>
      <c r="AZ821" s="0" t="n">
        <v>0</v>
      </c>
      <c r="BA821" s="0" t="n">
        <v>0</v>
      </c>
      <c r="BB821" s="0" t="n">
        <v>0</v>
      </c>
      <c r="BC821" s="0" t="n">
        <v>0</v>
      </c>
      <c r="BD821" s="0" t="n">
        <v>0</v>
      </c>
      <c r="BE821" s="0" t="n">
        <v>0</v>
      </c>
      <c r="BF821" s="0" t="n">
        <v>0</v>
      </c>
      <c r="BG821" s="0" t="n">
        <v>0</v>
      </c>
      <c r="BH821" s="0" t="n">
        <v>0</v>
      </c>
      <c r="BI821" s="0" t="n">
        <v>0</v>
      </c>
      <c r="BJ821" s="0" t="n">
        <v>0</v>
      </c>
      <c r="BK821" s="0" t="n">
        <v>0</v>
      </c>
      <c r="BM821" s="6" t="n">
        <f aca="false">IFERROR(VALUE(F821),"")</f>
        <v>205.69</v>
      </c>
      <c r="BN821" s="6" t="n">
        <f aca="false">IF(R821="-","",IFERROR(VALUE(LEFT(Q821,LEN(Q821)-2)),""))</f>
        <v>77.01</v>
      </c>
      <c r="BO821" s="6" t="n">
        <f aca="false">IF(R821="-","",IFERROR(VALUE(LEFT(R821,LEN(R821)-5)),""))</f>
        <v>2.67</v>
      </c>
      <c r="BP821" s="6" t="n">
        <f aca="false">IF(R821="-","",IFERROR(VALUE(F821),""))</f>
        <v>205.69</v>
      </c>
      <c r="BQ821" s="4" t="n">
        <f aca="false">IF(R821="-",1,0)</f>
        <v>0</v>
      </c>
    </row>
    <row r="822" customFormat="false" ht="15" hidden="false" customHeight="false" outlineLevel="0" collapsed="false">
      <c r="A822" s="0" t="s">
        <v>3294</v>
      </c>
      <c r="B822" s="0" t="s">
        <v>3295</v>
      </c>
      <c r="C822" s="0" t="s">
        <v>70</v>
      </c>
      <c r="E822" s="3" t="n">
        <v>46277</v>
      </c>
      <c r="F822" s="4" t="s">
        <v>3313</v>
      </c>
      <c r="G822" s="5" t="n">
        <v>0.0198611111111111</v>
      </c>
      <c r="H822" s="5" t="n">
        <v>0</v>
      </c>
      <c r="I822" s="5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5" t="n">
        <v>0</v>
      </c>
      <c r="P822" s="5" t="n">
        <v>0</v>
      </c>
      <c r="Q822" s="4" t="s">
        <v>2726</v>
      </c>
      <c r="R822" s="4" t="s">
        <v>3314</v>
      </c>
      <c r="S822" s="5" t="n">
        <v>0.000115740740740741</v>
      </c>
      <c r="T822" s="5" t="n">
        <v>0.00520833333333333</v>
      </c>
      <c r="U822" s="5" t="n">
        <v>0.00138888888888889</v>
      </c>
      <c r="V822" s="5" t="n">
        <v>0</v>
      </c>
      <c r="W822" s="5" t="n">
        <v>0</v>
      </c>
      <c r="X822" s="5" t="n">
        <v>0</v>
      </c>
      <c r="Y822" s="5" t="n">
        <v>0</v>
      </c>
      <c r="Z822" s="0" t="n">
        <v>0</v>
      </c>
      <c r="AA822" s="0" t="n">
        <v>0</v>
      </c>
      <c r="AB822" s="0" t="n">
        <v>0</v>
      </c>
      <c r="AC822" s="4" t="s">
        <v>1749</v>
      </c>
      <c r="AD822" s="4" t="s">
        <v>877</v>
      </c>
      <c r="AE822" s="4" t="s">
        <v>3312</v>
      </c>
      <c r="AF822" s="4" t="s">
        <v>3315</v>
      </c>
      <c r="AG822" s="5" t="n">
        <v>0.00553240740740741</v>
      </c>
      <c r="AH822" s="5" t="n">
        <v>0.0310300925925926</v>
      </c>
      <c r="AI822" s="5" t="n">
        <v>0</v>
      </c>
      <c r="AJ822" s="5" t="n">
        <v>0</v>
      </c>
      <c r="AK822" s="5" t="n">
        <v>0</v>
      </c>
      <c r="AL822" s="5" t="n">
        <v>0</v>
      </c>
      <c r="AM822" s="4" t="s">
        <v>78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  <c r="AU822" s="0" t="n">
        <v>0</v>
      </c>
      <c r="AV822" s="0" t="n">
        <v>0</v>
      </c>
      <c r="AW822" s="0" t="n">
        <v>0</v>
      </c>
      <c r="AX822" s="0" t="n">
        <v>0</v>
      </c>
      <c r="AY822" s="0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0" t="n">
        <v>0</v>
      </c>
      <c r="BE822" s="0" t="n">
        <v>0</v>
      </c>
      <c r="BF822" s="0" t="n">
        <v>0</v>
      </c>
      <c r="BG822" s="0" t="n">
        <v>0</v>
      </c>
      <c r="BH822" s="0" t="n">
        <v>0</v>
      </c>
      <c r="BI822" s="0" t="n">
        <v>0</v>
      </c>
      <c r="BJ822" s="0" t="n">
        <v>0</v>
      </c>
      <c r="BK822" s="0" t="n">
        <v>0</v>
      </c>
      <c r="BM822" s="6" t="n">
        <f aca="false">IFERROR(VALUE(F822),"")</f>
        <v>0.54</v>
      </c>
      <c r="BN822" s="6" t="n">
        <f aca="false">IF(R822="-","",IFERROR(VALUE(LEFT(Q822,LEN(Q822)-2)),""))</f>
        <v>1.01</v>
      </c>
      <c r="BO822" s="6" t="n">
        <f aca="false">IF(R822="-","",IFERROR(VALUE(LEFT(R822,LEN(R822)-5)),""))</f>
        <v>0.54</v>
      </c>
      <c r="BP822" s="6" t="n">
        <f aca="false">IF(R822="-","",IFERROR(VALUE(F822),""))</f>
        <v>0.54</v>
      </c>
      <c r="BQ822" s="4" t="n">
        <f aca="false">IF(R822="-",1,0)</f>
        <v>0</v>
      </c>
    </row>
    <row r="823" customFormat="false" ht="15" hidden="false" customHeight="false" outlineLevel="0" collapsed="false">
      <c r="A823" s="0" t="s">
        <v>3294</v>
      </c>
      <c r="B823" s="0" t="s">
        <v>3295</v>
      </c>
      <c r="C823" s="0" t="s">
        <v>70</v>
      </c>
      <c r="D823" s="0" t="s">
        <v>3316</v>
      </c>
      <c r="E823" s="3" t="n">
        <v>46278</v>
      </c>
      <c r="F823" s="4" t="s">
        <v>3317</v>
      </c>
      <c r="G823" s="5" t="n">
        <v>0.28943287037037</v>
      </c>
      <c r="H823" s="5" t="n">
        <v>0.2246875</v>
      </c>
      <c r="I823" s="5" t="n">
        <v>0.000208333333333333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5" t="n">
        <v>0</v>
      </c>
      <c r="P823" s="5" t="n">
        <v>0</v>
      </c>
      <c r="Q823" s="4" t="s">
        <v>3318</v>
      </c>
      <c r="R823" s="4" t="s">
        <v>401</v>
      </c>
      <c r="S823" s="5" t="n">
        <v>0.00104166666666667</v>
      </c>
      <c r="T823" s="5" t="n">
        <v>0.0653935185185185</v>
      </c>
      <c r="U823" s="5" t="n">
        <v>0.14375</v>
      </c>
      <c r="V823" s="5" t="n">
        <v>0.0202546296296296</v>
      </c>
      <c r="W823" s="5" t="n">
        <v>0</v>
      </c>
      <c r="X823" s="5" t="n">
        <v>0</v>
      </c>
      <c r="Y823" s="5" t="n">
        <v>0</v>
      </c>
      <c r="Z823" s="0" t="n">
        <v>0</v>
      </c>
      <c r="AA823" s="0" t="n">
        <v>0</v>
      </c>
      <c r="AB823" s="0" t="n">
        <v>0</v>
      </c>
      <c r="AC823" s="4" t="s">
        <v>877</v>
      </c>
      <c r="AD823" s="4" t="s">
        <v>74</v>
      </c>
      <c r="AE823" s="4" t="s">
        <v>3315</v>
      </c>
      <c r="AF823" s="4" t="s">
        <v>3319</v>
      </c>
      <c r="AG823" s="5" t="n">
        <v>0.196875</v>
      </c>
      <c r="AH823" s="5" t="n">
        <v>0.144513888888889</v>
      </c>
      <c r="AI823" s="5" t="n">
        <v>0</v>
      </c>
      <c r="AJ823" s="5" t="n">
        <v>0</v>
      </c>
      <c r="AK823" s="5" t="n">
        <v>0</v>
      </c>
      <c r="AL823" s="5" t="n">
        <v>0</v>
      </c>
      <c r="AM823" s="4" t="s">
        <v>78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  <c r="AU823" s="0" t="n">
        <v>0</v>
      </c>
      <c r="AV823" s="0" t="n">
        <v>0</v>
      </c>
      <c r="AW823" s="0" t="n">
        <v>0</v>
      </c>
      <c r="AX823" s="0" t="n">
        <v>0</v>
      </c>
      <c r="AY823" s="0" t="n">
        <v>0</v>
      </c>
      <c r="AZ823" s="0" t="n">
        <v>0</v>
      </c>
      <c r="BA823" s="0" t="n">
        <v>0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0</v>
      </c>
      <c r="BH823" s="0" t="n">
        <v>0</v>
      </c>
      <c r="BI823" s="0" t="n">
        <v>0</v>
      </c>
      <c r="BJ823" s="0" t="n">
        <v>0</v>
      </c>
      <c r="BK823" s="0" t="n">
        <v>0</v>
      </c>
      <c r="BM823" s="6" t="n">
        <f aca="false">IFERROR(VALUE(F823),"")</f>
        <v>251.53</v>
      </c>
      <c r="BN823" s="6" t="n">
        <f aca="false">IF(R823="-","",IFERROR(VALUE(LEFT(Q823,LEN(Q823)-2)),""))</f>
        <v>88</v>
      </c>
      <c r="BO823" s="6" t="n">
        <f aca="false">IF(R823="-","",IFERROR(VALUE(LEFT(R823,LEN(R823)-5)),""))</f>
        <v>2.86</v>
      </c>
      <c r="BP823" s="6" t="n">
        <f aca="false">IF(R823="-","",IFERROR(VALUE(F823),""))</f>
        <v>251.53</v>
      </c>
      <c r="BQ823" s="4" t="n">
        <f aca="false">IF(R823="-",1,0)</f>
        <v>0</v>
      </c>
    </row>
    <row r="824" customFormat="false" ht="15" hidden="false" customHeight="false" outlineLevel="0" collapsed="false">
      <c r="A824" s="0" t="s">
        <v>3294</v>
      </c>
      <c r="B824" s="0" t="s">
        <v>3295</v>
      </c>
      <c r="C824" s="0" t="s">
        <v>70</v>
      </c>
      <c r="D824" s="0" t="s">
        <v>3320</v>
      </c>
      <c r="E824" s="3" t="n">
        <v>46279</v>
      </c>
      <c r="F824" s="4" t="s">
        <v>3321</v>
      </c>
      <c r="G824" s="5" t="n">
        <v>0.361319444444445</v>
      </c>
      <c r="H824" s="5" t="n">
        <v>0.330914351851852</v>
      </c>
      <c r="I824" s="5" t="n">
        <v>0.00152777777777778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5" t="n">
        <v>0</v>
      </c>
      <c r="P824" s="5" t="n">
        <v>0.0243402777777778</v>
      </c>
      <c r="Q824" s="4" t="s">
        <v>2838</v>
      </c>
      <c r="R824" s="4" t="s">
        <v>361</v>
      </c>
      <c r="S824" s="5" t="n">
        <v>0.000347222222222222</v>
      </c>
      <c r="T824" s="5" t="n">
        <v>0.135069444444444</v>
      </c>
      <c r="U824" s="5" t="n">
        <v>0.183101851851852</v>
      </c>
      <c r="V824" s="5" t="n">
        <v>0.0104166666666667</v>
      </c>
      <c r="W824" s="5" t="n">
        <v>0</v>
      </c>
      <c r="X824" s="5" t="n">
        <v>0</v>
      </c>
      <c r="Y824" s="5" t="n">
        <v>0</v>
      </c>
      <c r="Z824" s="0" t="n">
        <v>0</v>
      </c>
      <c r="AA824" s="0" t="n">
        <v>0</v>
      </c>
      <c r="AB824" s="0" t="n">
        <v>0</v>
      </c>
      <c r="AC824" s="4" t="s">
        <v>75</v>
      </c>
      <c r="AD824" s="4" t="s">
        <v>81</v>
      </c>
      <c r="AE824" s="4" t="s">
        <v>3319</v>
      </c>
      <c r="AF824" s="4" t="s">
        <v>3322</v>
      </c>
      <c r="AG824" s="5" t="n">
        <v>0.273356481481482</v>
      </c>
      <c r="AH824" s="5" t="n">
        <v>0.139675925925926</v>
      </c>
      <c r="AI824" s="5" t="n">
        <v>0</v>
      </c>
      <c r="AJ824" s="5" t="n">
        <v>0</v>
      </c>
      <c r="AK824" s="5" t="n">
        <v>0</v>
      </c>
      <c r="AL824" s="5" t="n">
        <v>0</v>
      </c>
      <c r="AM824" s="4" t="s">
        <v>78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  <c r="AU824" s="0" t="n">
        <v>0</v>
      </c>
      <c r="AV824" s="0" t="n">
        <v>0</v>
      </c>
      <c r="AW824" s="0" t="n">
        <v>0</v>
      </c>
      <c r="AX824" s="0" t="n">
        <v>0</v>
      </c>
      <c r="AY824" s="0" t="n">
        <v>0</v>
      </c>
      <c r="AZ824" s="0" t="n">
        <v>0</v>
      </c>
      <c r="BA824" s="0" t="n">
        <v>0</v>
      </c>
      <c r="BB824" s="0" t="n">
        <v>0</v>
      </c>
      <c r="BC824" s="0" t="n">
        <v>0</v>
      </c>
      <c r="BD824" s="0" t="n">
        <v>0</v>
      </c>
      <c r="BE824" s="0" t="n">
        <v>0</v>
      </c>
      <c r="BF824" s="0" t="n">
        <v>0</v>
      </c>
      <c r="BG824" s="0" t="n">
        <v>0</v>
      </c>
      <c r="BH824" s="0" t="n">
        <v>0</v>
      </c>
      <c r="BI824" s="0" t="n">
        <v>0</v>
      </c>
      <c r="BJ824" s="0" t="n">
        <v>0</v>
      </c>
      <c r="BK824" s="0" t="n">
        <v>0</v>
      </c>
      <c r="BM824" s="6" t="n">
        <f aca="false">IFERROR(VALUE(F824),"")</f>
        <v>340.5</v>
      </c>
      <c r="BN824" s="6" t="n">
        <f aca="false">IF(R824="-","",IFERROR(VALUE(LEFT(Q824,LEN(Q824)-2)),""))</f>
        <v>108.99</v>
      </c>
      <c r="BO824" s="6" t="n">
        <f aca="false">IF(R824="-","",IFERROR(VALUE(LEFT(R824,LEN(R824)-5)),""))</f>
        <v>3.12</v>
      </c>
      <c r="BP824" s="6" t="n">
        <f aca="false">IF(R824="-","",IFERROR(VALUE(F824),""))</f>
        <v>340.5</v>
      </c>
      <c r="BQ824" s="4" t="n">
        <f aca="false">IF(R824="-",1,0)</f>
        <v>0</v>
      </c>
    </row>
    <row r="825" customFormat="false" ht="15" hidden="false" customHeight="false" outlineLevel="0" collapsed="false">
      <c r="A825" s="0" t="s">
        <v>3323</v>
      </c>
      <c r="B825" s="0" t="s">
        <v>3324</v>
      </c>
      <c r="C825" s="0" t="s">
        <v>70</v>
      </c>
      <c r="E825" s="3" t="n">
        <v>46273</v>
      </c>
      <c r="F825" s="4" t="s">
        <v>3325</v>
      </c>
      <c r="G825" s="5" t="n">
        <v>0.111388888888889</v>
      </c>
      <c r="H825" s="5" t="n">
        <v>0</v>
      </c>
      <c r="I825" s="5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5" t="n">
        <v>0</v>
      </c>
      <c r="P825" s="5" t="n">
        <v>0.0480439814814815</v>
      </c>
      <c r="Q825" s="4" t="s">
        <v>3326</v>
      </c>
      <c r="R825" s="4" t="s">
        <v>2359</v>
      </c>
      <c r="S825" s="5" t="n">
        <v>0.000115740740740741</v>
      </c>
      <c r="T825" s="5" t="n">
        <v>0.0694444444444445</v>
      </c>
      <c r="U825" s="5" t="n">
        <v>0.0149305555555556</v>
      </c>
      <c r="V825" s="5" t="n">
        <v>0.000462962962962963</v>
      </c>
      <c r="W825" s="5" t="n">
        <v>0</v>
      </c>
      <c r="X825" s="5" t="n">
        <v>0</v>
      </c>
      <c r="Y825" s="5" t="n">
        <v>0</v>
      </c>
      <c r="Z825" s="0" t="n">
        <v>0</v>
      </c>
      <c r="AA825" s="0" t="n">
        <v>0</v>
      </c>
      <c r="AB825" s="0" t="n">
        <v>0</v>
      </c>
      <c r="AC825" s="4" t="s">
        <v>81</v>
      </c>
      <c r="AD825" s="4" t="s">
        <v>228</v>
      </c>
      <c r="AE825" s="4" t="s">
        <v>3327</v>
      </c>
      <c r="AF825" s="4" t="s">
        <v>3328</v>
      </c>
      <c r="AG825" s="5" t="n">
        <v>0.00824074074074074</v>
      </c>
      <c r="AH825" s="5" t="n">
        <v>0.143148148148148</v>
      </c>
      <c r="AI825" s="5" t="n">
        <v>0</v>
      </c>
      <c r="AJ825" s="5" t="n">
        <v>0</v>
      </c>
      <c r="AK825" s="5" t="n">
        <v>0</v>
      </c>
      <c r="AL825" s="5" t="n">
        <v>0</v>
      </c>
      <c r="AM825" s="4" t="s">
        <v>78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  <c r="AU825" s="0" t="n">
        <v>0</v>
      </c>
      <c r="AV825" s="0" t="n">
        <v>0</v>
      </c>
      <c r="AW825" s="0" t="n">
        <v>0</v>
      </c>
      <c r="AX825" s="0" t="n">
        <v>0</v>
      </c>
      <c r="AY825" s="0" t="n">
        <v>0</v>
      </c>
      <c r="AZ825" s="0" t="n">
        <v>0</v>
      </c>
      <c r="BA825" s="0" t="n">
        <v>0</v>
      </c>
      <c r="BB825" s="0" t="n">
        <v>0</v>
      </c>
      <c r="BC825" s="0" t="n">
        <v>0</v>
      </c>
      <c r="BD825" s="0" t="n">
        <v>0</v>
      </c>
      <c r="BE825" s="0" t="n">
        <v>0</v>
      </c>
      <c r="BF825" s="0" t="n">
        <v>0</v>
      </c>
      <c r="BG825" s="0" t="n">
        <v>0</v>
      </c>
      <c r="BH825" s="0" t="n">
        <v>0</v>
      </c>
      <c r="BI825" s="0" t="n">
        <v>0</v>
      </c>
      <c r="BJ825" s="0" t="n">
        <v>0</v>
      </c>
      <c r="BK825" s="0" t="n">
        <v>0</v>
      </c>
      <c r="BM825" s="6" t="n">
        <f aca="false">IFERROR(VALUE(F825),"")</f>
        <v>0.74</v>
      </c>
      <c r="BN825" s="6" t="n">
        <f aca="false">IF(R825="-","",IFERROR(VALUE(LEFT(Q825,LEN(Q825)-2)),""))</f>
        <v>7.01</v>
      </c>
      <c r="BO825" s="6" t="n">
        <f aca="false">IF(R825="-","",IFERROR(VALUE(LEFT(R825,LEN(R825)-5)),""))</f>
        <v>0.11</v>
      </c>
      <c r="BP825" s="6" t="n">
        <f aca="false">IF(R825="-","",IFERROR(VALUE(F825),""))</f>
        <v>0.74</v>
      </c>
      <c r="BQ825" s="4" t="n">
        <f aca="false">IF(R825="-",1,0)</f>
        <v>0</v>
      </c>
    </row>
    <row r="826" customFormat="false" ht="15" hidden="false" customHeight="false" outlineLevel="0" collapsed="false">
      <c r="A826" s="0" t="s">
        <v>3323</v>
      </c>
      <c r="B826" s="0" t="s">
        <v>3324</v>
      </c>
      <c r="C826" s="0" t="s">
        <v>70</v>
      </c>
      <c r="E826" s="3" t="n">
        <v>46274</v>
      </c>
      <c r="F826" s="4" t="s">
        <v>2395</v>
      </c>
      <c r="G826" s="5" t="n">
        <v>0.271099537037037</v>
      </c>
      <c r="H826" s="5" t="n">
        <v>0</v>
      </c>
      <c r="I826" s="5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5" t="n">
        <v>0</v>
      </c>
      <c r="P826" s="5" t="n">
        <v>0.0332986111111111</v>
      </c>
      <c r="Q826" s="4" t="s">
        <v>3329</v>
      </c>
      <c r="R826" s="4" t="s">
        <v>2399</v>
      </c>
      <c r="S826" s="5" t="n">
        <v>0.000231481481481482</v>
      </c>
      <c r="T826" s="5" t="n">
        <v>0.0405092592592593</v>
      </c>
      <c r="U826" s="5" t="n">
        <v>0</v>
      </c>
      <c r="V826" s="5" t="n">
        <v>0</v>
      </c>
      <c r="W826" s="5" t="n">
        <v>0</v>
      </c>
      <c r="X826" s="5" t="n">
        <v>0</v>
      </c>
      <c r="Y826" s="5" t="n">
        <v>0</v>
      </c>
      <c r="Z826" s="0" t="n">
        <v>0</v>
      </c>
      <c r="AA826" s="0" t="n">
        <v>0</v>
      </c>
      <c r="AB826" s="0" t="n">
        <v>0</v>
      </c>
      <c r="AC826" s="4" t="s">
        <v>228</v>
      </c>
      <c r="AD826" s="4" t="s">
        <v>75</v>
      </c>
      <c r="AE826" s="4" t="s">
        <v>3328</v>
      </c>
      <c r="AF826" s="4" t="s">
        <v>3330</v>
      </c>
      <c r="AG826" s="5" t="n">
        <v>0.00133101851851852</v>
      </c>
      <c r="AH826" s="5" t="n">
        <v>0.28619212962963</v>
      </c>
      <c r="AI826" s="5" t="n">
        <v>0</v>
      </c>
      <c r="AJ826" s="5" t="n">
        <v>0</v>
      </c>
      <c r="AK826" s="5" t="n">
        <v>0</v>
      </c>
      <c r="AL826" s="5" t="n">
        <v>0</v>
      </c>
      <c r="AM826" s="4" t="s">
        <v>78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  <c r="AV826" s="0" t="n">
        <v>0</v>
      </c>
      <c r="AW826" s="0" t="n">
        <v>0</v>
      </c>
      <c r="AX826" s="0" t="n">
        <v>0</v>
      </c>
      <c r="AY826" s="0" t="n">
        <v>0</v>
      </c>
      <c r="AZ826" s="0" t="n">
        <v>0</v>
      </c>
      <c r="BA826" s="0" t="n">
        <v>0</v>
      </c>
      <c r="BB826" s="0" t="n">
        <v>0</v>
      </c>
      <c r="BC826" s="0" t="n">
        <v>0</v>
      </c>
      <c r="BD826" s="0" t="n">
        <v>0</v>
      </c>
      <c r="BE826" s="0" t="n">
        <v>0</v>
      </c>
      <c r="BF826" s="0" t="n">
        <v>0</v>
      </c>
      <c r="BG826" s="0" t="n">
        <v>0</v>
      </c>
      <c r="BH826" s="0" t="n">
        <v>0</v>
      </c>
      <c r="BI826" s="0" t="n">
        <v>0</v>
      </c>
      <c r="BJ826" s="0" t="n">
        <v>0</v>
      </c>
      <c r="BK826" s="0" t="n">
        <v>0</v>
      </c>
      <c r="BM826" s="6" t="n">
        <f aca="false">IFERROR(VALUE(F826),"")</f>
        <v>0.06</v>
      </c>
      <c r="BN826" s="6" t="n">
        <f aca="false">IF(R826="-","",IFERROR(VALUE(LEFT(Q826,LEN(Q826)-2)),""))</f>
        <v>2.99</v>
      </c>
      <c r="BO826" s="6" t="n">
        <f aca="false">IF(R826="-","",IFERROR(VALUE(LEFT(R826,LEN(R826)-5)),""))</f>
        <v>0.02</v>
      </c>
      <c r="BP826" s="6" t="n">
        <f aca="false">IF(R826="-","",IFERROR(VALUE(F826),""))</f>
        <v>0.06</v>
      </c>
      <c r="BQ826" s="4" t="n">
        <f aca="false">IF(R826="-",1,0)</f>
        <v>0</v>
      </c>
    </row>
    <row r="827" customFormat="false" ht="15" hidden="false" customHeight="false" outlineLevel="0" collapsed="false">
      <c r="A827" s="0" t="s">
        <v>3323</v>
      </c>
      <c r="B827" s="0" t="s">
        <v>3324</v>
      </c>
      <c r="C827" s="0" t="s">
        <v>70</v>
      </c>
      <c r="D827" s="0" t="s">
        <v>3331</v>
      </c>
      <c r="E827" s="3" t="n">
        <v>46275</v>
      </c>
      <c r="F827" s="4" t="s">
        <v>3332</v>
      </c>
      <c r="G827" s="5" t="n">
        <v>0.545381944444444</v>
      </c>
      <c r="H827" s="5" t="n">
        <v>0.496365740740741</v>
      </c>
      <c r="I827" s="5" t="n">
        <v>0.00895833333333333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7</v>
      </c>
      <c r="O827" s="5" t="n">
        <v>0</v>
      </c>
      <c r="P827" s="5" t="n">
        <v>0.0578240740740741</v>
      </c>
      <c r="Q827" s="4" t="s">
        <v>3333</v>
      </c>
      <c r="R827" s="4" t="s">
        <v>1179</v>
      </c>
      <c r="S827" s="5" t="n">
        <v>0.000810185185185185</v>
      </c>
      <c r="T827" s="5" t="n">
        <v>0.230092592592593</v>
      </c>
      <c r="U827" s="5" t="n">
        <v>0.271296296296296</v>
      </c>
      <c r="V827" s="5" t="n">
        <v>0.0197916666666667</v>
      </c>
      <c r="W827" s="5" t="n">
        <v>0</v>
      </c>
      <c r="X827" s="5" t="n">
        <v>0</v>
      </c>
      <c r="Y827" s="5" t="n">
        <v>0</v>
      </c>
      <c r="Z827" s="0" t="n">
        <v>0</v>
      </c>
      <c r="AA827" s="0" t="n">
        <v>0</v>
      </c>
      <c r="AB827" s="0" t="n">
        <v>0</v>
      </c>
      <c r="AC827" s="4" t="s">
        <v>75</v>
      </c>
      <c r="AD827" s="4" t="s">
        <v>432</v>
      </c>
      <c r="AE827" s="4" t="s">
        <v>3330</v>
      </c>
      <c r="AF827" s="4" t="s">
        <v>3334</v>
      </c>
      <c r="AG827" s="5" t="n">
        <v>0.426747685185185</v>
      </c>
      <c r="AH827" s="5" t="n">
        <v>0.227523148148148</v>
      </c>
      <c r="AI827" s="5" t="n">
        <v>0</v>
      </c>
      <c r="AJ827" s="5" t="n">
        <v>0</v>
      </c>
      <c r="AK827" s="5" t="n">
        <v>0</v>
      </c>
      <c r="AL827" s="5" t="n">
        <v>0</v>
      </c>
      <c r="AM827" s="4" t="s">
        <v>78</v>
      </c>
      <c r="AN827" s="0" t="n">
        <v>0</v>
      </c>
      <c r="AO827" s="0" t="n">
        <v>10</v>
      </c>
      <c r="AP827" s="0" t="n">
        <v>0</v>
      </c>
      <c r="AQ827" s="0" t="n">
        <v>0</v>
      </c>
      <c r="AR827" s="0" t="n">
        <v>1</v>
      </c>
      <c r="AS827" s="0" t="n">
        <v>0</v>
      </c>
      <c r="AT827" s="0" t="n">
        <v>0</v>
      </c>
      <c r="AU827" s="0" t="n">
        <v>0</v>
      </c>
      <c r="AV827" s="0" t="n">
        <v>0</v>
      </c>
      <c r="AW827" s="0" t="n">
        <v>0</v>
      </c>
      <c r="AX827" s="0" t="n">
        <v>0</v>
      </c>
      <c r="AY827" s="0" t="n">
        <v>0</v>
      </c>
      <c r="AZ827" s="0" t="n">
        <v>0</v>
      </c>
      <c r="BA827" s="0" t="n">
        <v>0</v>
      </c>
      <c r="BB827" s="0" t="n">
        <v>0</v>
      </c>
      <c r="BC827" s="0" t="n">
        <v>0</v>
      </c>
      <c r="BD827" s="0" t="n">
        <v>0</v>
      </c>
      <c r="BE827" s="0" t="n">
        <v>0</v>
      </c>
      <c r="BF827" s="0" t="n">
        <v>0</v>
      </c>
      <c r="BG827" s="0" t="n">
        <v>0</v>
      </c>
      <c r="BH827" s="0" t="n">
        <v>0</v>
      </c>
      <c r="BI827" s="0" t="n">
        <v>0</v>
      </c>
      <c r="BJ827" s="0" t="n">
        <v>0</v>
      </c>
      <c r="BK827" s="0" t="n">
        <v>0</v>
      </c>
      <c r="BM827" s="6" t="n">
        <f aca="false">IFERROR(VALUE(F827),"")</f>
        <v>495.58</v>
      </c>
      <c r="BN827" s="6" t="n">
        <f aca="false">IF(R827="-","",IFERROR(VALUE(LEFT(Q827,LEN(Q827)-2)),""))</f>
        <v>185.01</v>
      </c>
      <c r="BO827" s="6" t="n">
        <f aca="false">IF(R827="-","",IFERROR(VALUE(LEFT(R827,LEN(R827)-5)),""))</f>
        <v>2.68</v>
      </c>
      <c r="BP827" s="6" t="n">
        <f aca="false">IF(R827="-","",IFERROR(VALUE(F827),""))</f>
        <v>495.58</v>
      </c>
      <c r="BQ827" s="4" t="n">
        <f aca="false">IF(R827="-",1,0)</f>
        <v>0</v>
      </c>
    </row>
    <row r="828" customFormat="false" ht="15" hidden="false" customHeight="false" outlineLevel="0" collapsed="false">
      <c r="A828" s="0" t="s">
        <v>3323</v>
      </c>
      <c r="B828" s="0" t="s">
        <v>3324</v>
      </c>
      <c r="C828" s="0" t="s">
        <v>70</v>
      </c>
      <c r="D828" s="0" t="s">
        <v>3335</v>
      </c>
      <c r="E828" s="3" t="n">
        <v>46276</v>
      </c>
      <c r="F828" s="4" t="s">
        <v>3336</v>
      </c>
      <c r="G828" s="5" t="n">
        <v>0.478425925925926</v>
      </c>
      <c r="H828" s="5" t="n">
        <v>0.393356481481482</v>
      </c>
      <c r="I828" s="5" t="n">
        <v>0.000231481481481482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1</v>
      </c>
      <c r="O828" s="5" t="n">
        <v>0</v>
      </c>
      <c r="P828" s="5" t="n">
        <v>0.0109953703703704</v>
      </c>
      <c r="Q828" s="4" t="s">
        <v>3015</v>
      </c>
      <c r="R828" s="4" t="s">
        <v>492</v>
      </c>
      <c r="S828" s="5" t="n">
        <v>0.000115740740740741</v>
      </c>
      <c r="T828" s="5" t="n">
        <v>0.142708333333333</v>
      </c>
      <c r="U828" s="5" t="n">
        <v>0.255439814814815</v>
      </c>
      <c r="V828" s="5" t="n">
        <v>0.0170138888888889</v>
      </c>
      <c r="W828" s="5" t="n">
        <v>0</v>
      </c>
      <c r="X828" s="5" t="n">
        <v>0</v>
      </c>
      <c r="Y828" s="5" t="n">
        <v>0</v>
      </c>
      <c r="Z828" s="0" t="n">
        <v>0</v>
      </c>
      <c r="AA828" s="0" t="n">
        <v>0</v>
      </c>
      <c r="AB828" s="0" t="n">
        <v>0</v>
      </c>
      <c r="AC828" s="4" t="s">
        <v>432</v>
      </c>
      <c r="AD828" s="4" t="s">
        <v>864</v>
      </c>
      <c r="AE828" s="4" t="s">
        <v>3334</v>
      </c>
      <c r="AF828" s="4" t="s">
        <v>3337</v>
      </c>
      <c r="AG828" s="5" t="n">
        <v>0.345416666666667</v>
      </c>
      <c r="AH828" s="5" t="n">
        <v>0.170358796296296</v>
      </c>
      <c r="AI828" s="5" t="n">
        <v>0</v>
      </c>
      <c r="AJ828" s="5" t="n">
        <v>0</v>
      </c>
      <c r="AK828" s="5" t="n">
        <v>0</v>
      </c>
      <c r="AL828" s="5" t="n">
        <v>0</v>
      </c>
      <c r="AM828" s="4" t="s">
        <v>78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1</v>
      </c>
      <c r="AS828" s="0" t="n">
        <v>0</v>
      </c>
      <c r="AT828" s="0" t="n">
        <v>0</v>
      </c>
      <c r="AU828" s="0" t="n">
        <v>0</v>
      </c>
      <c r="AV828" s="0" t="n">
        <v>0</v>
      </c>
      <c r="AW828" s="0" t="n">
        <v>0</v>
      </c>
      <c r="AX828" s="0" t="n">
        <v>0</v>
      </c>
      <c r="AY828" s="0" t="n">
        <v>0</v>
      </c>
      <c r="AZ828" s="0" t="n">
        <v>0</v>
      </c>
      <c r="BA828" s="0" t="n">
        <v>0</v>
      </c>
      <c r="BB828" s="0" t="n">
        <v>0</v>
      </c>
      <c r="BC828" s="0" t="n">
        <v>0</v>
      </c>
      <c r="BD828" s="0" t="n">
        <v>0</v>
      </c>
      <c r="BE828" s="0" t="n">
        <v>0</v>
      </c>
      <c r="BF828" s="0" t="n">
        <v>0</v>
      </c>
      <c r="BG828" s="0" t="n">
        <v>0</v>
      </c>
      <c r="BH828" s="0" t="n">
        <v>0</v>
      </c>
      <c r="BI828" s="0" t="n">
        <v>0</v>
      </c>
      <c r="BJ828" s="0" t="n">
        <v>0</v>
      </c>
      <c r="BK828" s="0" t="n">
        <v>0</v>
      </c>
      <c r="BM828" s="6" t="n">
        <f aca="false">IFERROR(VALUE(F828),"")</f>
        <v>473.02</v>
      </c>
      <c r="BN828" s="6" t="n">
        <f aca="false">IF(R828="-","",IFERROR(VALUE(LEFT(Q828,LEN(Q828)-2)),""))</f>
        <v>166</v>
      </c>
      <c r="BO828" s="6" t="n">
        <f aca="false">IF(R828="-","",IFERROR(VALUE(LEFT(R828,LEN(R828)-5)),""))</f>
        <v>2.85</v>
      </c>
      <c r="BP828" s="6" t="n">
        <f aca="false">IF(R828="-","",IFERROR(VALUE(F828),""))</f>
        <v>473.02</v>
      </c>
      <c r="BQ828" s="4" t="n">
        <f aca="false">IF(R828="-",1,0)</f>
        <v>0</v>
      </c>
    </row>
    <row r="829" customFormat="false" ht="15" hidden="false" customHeight="false" outlineLevel="0" collapsed="false">
      <c r="A829" s="0" t="s">
        <v>3323</v>
      </c>
      <c r="B829" s="0" t="s">
        <v>3324</v>
      </c>
      <c r="C829" s="0" t="s">
        <v>70</v>
      </c>
      <c r="D829" s="0" t="s">
        <v>3338</v>
      </c>
      <c r="E829" s="3" t="n">
        <v>46277</v>
      </c>
      <c r="F829" s="4" t="s">
        <v>3339</v>
      </c>
      <c r="G829" s="5" t="n">
        <v>0.464780092592593</v>
      </c>
      <c r="H829" s="5" t="n">
        <v>0.422256944444444</v>
      </c>
      <c r="I829" s="5" t="n">
        <v>0.000428240740740741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2</v>
      </c>
      <c r="O829" s="5" t="n">
        <v>0</v>
      </c>
      <c r="P829" s="5" t="n">
        <v>0.0254398148148148</v>
      </c>
      <c r="Q829" s="4" t="s">
        <v>3340</v>
      </c>
      <c r="R829" s="4" t="s">
        <v>401</v>
      </c>
      <c r="S829" s="5" t="n">
        <v>0.000694444444444445</v>
      </c>
      <c r="T829" s="5" t="n">
        <v>0.169212962962963</v>
      </c>
      <c r="U829" s="5" t="n">
        <v>0.24849537037037</v>
      </c>
      <c r="V829" s="5" t="n">
        <v>0.028587962962963</v>
      </c>
      <c r="W829" s="5" t="n">
        <v>0</v>
      </c>
      <c r="X829" s="5" t="n">
        <v>0</v>
      </c>
      <c r="Y829" s="5" t="n">
        <v>0</v>
      </c>
      <c r="Z829" s="0" t="n">
        <v>0</v>
      </c>
      <c r="AA829" s="0" t="n">
        <v>0</v>
      </c>
      <c r="AB829" s="0" t="n">
        <v>0</v>
      </c>
      <c r="AC829" s="4" t="s">
        <v>871</v>
      </c>
      <c r="AD829" s="4" t="s">
        <v>432</v>
      </c>
      <c r="AE829" s="4" t="s">
        <v>3337</v>
      </c>
      <c r="AF829" s="4" t="s">
        <v>3341</v>
      </c>
      <c r="AG829" s="5" t="n">
        <v>0.348645833333333</v>
      </c>
      <c r="AH829" s="5" t="n">
        <v>0.18650462962963</v>
      </c>
      <c r="AI829" s="5" t="n">
        <v>0</v>
      </c>
      <c r="AJ829" s="5" t="n">
        <v>0</v>
      </c>
      <c r="AK829" s="5" t="n">
        <v>0</v>
      </c>
      <c r="AL829" s="5" t="n">
        <v>0</v>
      </c>
      <c r="AM829" s="4" t="s">
        <v>78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  <c r="AU829" s="0" t="n">
        <v>0</v>
      </c>
      <c r="AV829" s="0" t="n">
        <v>0</v>
      </c>
      <c r="AW829" s="0" t="n">
        <v>0</v>
      </c>
      <c r="AX829" s="0" t="n">
        <v>0</v>
      </c>
      <c r="AY829" s="0" t="n">
        <v>0</v>
      </c>
      <c r="AZ829" s="0" t="n">
        <v>0</v>
      </c>
      <c r="BA829" s="0" t="n">
        <v>0</v>
      </c>
      <c r="BB829" s="0" t="n">
        <v>0</v>
      </c>
      <c r="BC829" s="0" t="n">
        <v>0</v>
      </c>
      <c r="BD829" s="0" t="n">
        <v>0</v>
      </c>
      <c r="BE829" s="0" t="n">
        <v>0</v>
      </c>
      <c r="BF829" s="0" t="n">
        <v>0</v>
      </c>
      <c r="BG829" s="0" t="n">
        <v>0</v>
      </c>
      <c r="BH829" s="0" t="n">
        <v>0</v>
      </c>
      <c r="BI829" s="0" t="n">
        <v>0</v>
      </c>
      <c r="BJ829" s="0" t="n">
        <v>0</v>
      </c>
      <c r="BK829" s="0" t="n">
        <v>0</v>
      </c>
      <c r="BM829" s="6" t="n">
        <f aca="false">IFERROR(VALUE(F829),"")</f>
        <v>477.08</v>
      </c>
      <c r="BN829" s="6" t="n">
        <f aca="false">IF(R829="-","",IFERROR(VALUE(LEFT(Q829,LEN(Q829)-2)),""))</f>
        <v>166.99</v>
      </c>
      <c r="BO829" s="6" t="n">
        <f aca="false">IF(R829="-","",IFERROR(VALUE(LEFT(R829,LEN(R829)-5)),""))</f>
        <v>2.86</v>
      </c>
      <c r="BP829" s="6" t="n">
        <f aca="false">IF(R829="-","",IFERROR(VALUE(F829),""))</f>
        <v>477.08</v>
      </c>
      <c r="BQ829" s="4" t="n">
        <f aca="false">IF(R829="-",1,0)</f>
        <v>0</v>
      </c>
    </row>
    <row r="830" customFormat="false" ht="15" hidden="false" customHeight="false" outlineLevel="0" collapsed="false">
      <c r="A830" s="0" t="s">
        <v>3323</v>
      </c>
      <c r="B830" s="0" t="s">
        <v>3324</v>
      </c>
      <c r="C830" s="0" t="s">
        <v>70</v>
      </c>
      <c r="D830" s="0" t="s">
        <v>3342</v>
      </c>
      <c r="E830" s="3" t="n">
        <v>46278</v>
      </c>
      <c r="F830" s="4" t="s">
        <v>3343</v>
      </c>
      <c r="G830" s="5" t="n">
        <v>0.419641203703704</v>
      </c>
      <c r="H830" s="5" t="n">
        <v>0.394699074074074</v>
      </c>
      <c r="I830" s="5" t="n">
        <v>0.000972222222222222</v>
      </c>
      <c r="J830" s="0" t="n">
        <v>0</v>
      </c>
      <c r="K830" s="0" t="n">
        <v>1</v>
      </c>
      <c r="L830" s="0" t="n">
        <v>0</v>
      </c>
      <c r="M830" s="0" t="n">
        <v>0</v>
      </c>
      <c r="N830" s="0" t="n">
        <v>0</v>
      </c>
      <c r="O830" s="5" t="n">
        <v>0</v>
      </c>
      <c r="P830" s="5" t="n">
        <v>0.0153009259259259</v>
      </c>
      <c r="Q830" s="4" t="s">
        <v>3344</v>
      </c>
      <c r="R830" s="4" t="s">
        <v>524</v>
      </c>
      <c r="S830" s="5" t="n">
        <v>0.000115740740740741</v>
      </c>
      <c r="T830" s="5" t="n">
        <v>0.126157407407407</v>
      </c>
      <c r="U830" s="5" t="n">
        <v>0.267708333333333</v>
      </c>
      <c r="V830" s="5" t="n">
        <v>0.00844907407407407</v>
      </c>
      <c r="W830" s="5" t="n">
        <v>0</v>
      </c>
      <c r="X830" s="5" t="n">
        <v>0</v>
      </c>
      <c r="Y830" s="5" t="n">
        <v>0</v>
      </c>
      <c r="Z830" s="0" t="n">
        <v>0</v>
      </c>
      <c r="AA830" s="0" t="n">
        <v>0</v>
      </c>
      <c r="AB830" s="0" t="n">
        <v>0</v>
      </c>
      <c r="AC830" s="4" t="s">
        <v>432</v>
      </c>
      <c r="AD830" s="4" t="s">
        <v>864</v>
      </c>
      <c r="AE830" s="4" t="s">
        <v>3341</v>
      </c>
      <c r="AF830" s="4" t="s">
        <v>3345</v>
      </c>
      <c r="AG830" s="5" t="n">
        <v>0.341377314814815</v>
      </c>
      <c r="AH830" s="5" t="n">
        <v>0.128622685185185</v>
      </c>
      <c r="AI830" s="5" t="n">
        <v>0</v>
      </c>
      <c r="AJ830" s="5" t="n">
        <v>0</v>
      </c>
      <c r="AK830" s="5" t="n">
        <v>0</v>
      </c>
      <c r="AL830" s="5" t="n">
        <v>0</v>
      </c>
      <c r="AM830" s="4" t="s">
        <v>78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  <c r="AU830" s="0" t="n">
        <v>0</v>
      </c>
      <c r="AV830" s="0" t="n">
        <v>0</v>
      </c>
      <c r="AW830" s="0" t="n">
        <v>0</v>
      </c>
      <c r="AX830" s="0" t="n">
        <v>0</v>
      </c>
      <c r="AY830" s="0" t="n">
        <v>0</v>
      </c>
      <c r="AZ830" s="0" t="n">
        <v>0</v>
      </c>
      <c r="BA830" s="0" t="n">
        <v>0</v>
      </c>
      <c r="BB830" s="0" t="n">
        <v>0</v>
      </c>
      <c r="BC830" s="0" t="n">
        <v>0</v>
      </c>
      <c r="BD830" s="0" t="n">
        <v>0</v>
      </c>
      <c r="BE830" s="0" t="n">
        <v>0</v>
      </c>
      <c r="BF830" s="0" t="n">
        <v>0</v>
      </c>
      <c r="BG830" s="0" t="n">
        <v>0</v>
      </c>
      <c r="BH830" s="0" t="n">
        <v>0</v>
      </c>
      <c r="BI830" s="0" t="n">
        <v>0</v>
      </c>
      <c r="BJ830" s="0" t="n">
        <v>0</v>
      </c>
      <c r="BK830" s="0" t="n">
        <v>0</v>
      </c>
      <c r="BM830" s="6" t="n">
        <f aca="false">IFERROR(VALUE(F830),"")</f>
        <v>473.74</v>
      </c>
      <c r="BN830" s="6" t="n">
        <f aca="false">IF(R830="-","",IFERROR(VALUE(LEFT(Q830,LEN(Q830)-2)),""))</f>
        <v>169.5</v>
      </c>
      <c r="BO830" s="6" t="n">
        <f aca="false">IF(R830="-","",IFERROR(VALUE(LEFT(R830,LEN(R830)-5)),""))</f>
        <v>2.79</v>
      </c>
      <c r="BP830" s="6" t="n">
        <f aca="false">IF(R830="-","",IFERROR(VALUE(F830),""))</f>
        <v>473.74</v>
      </c>
      <c r="BQ830" s="4" t="n">
        <f aca="false">IF(R830="-",1,0)</f>
        <v>0</v>
      </c>
    </row>
    <row r="831" customFormat="false" ht="15" hidden="false" customHeight="false" outlineLevel="0" collapsed="false">
      <c r="A831" s="0" t="s">
        <v>3323</v>
      </c>
      <c r="B831" s="0" t="s">
        <v>3324</v>
      </c>
      <c r="C831" s="0" t="s">
        <v>70</v>
      </c>
      <c r="D831" s="0" t="s">
        <v>3346</v>
      </c>
      <c r="E831" s="3" t="n">
        <v>46279</v>
      </c>
      <c r="F831" s="4" t="s">
        <v>3347</v>
      </c>
      <c r="G831" s="5" t="n">
        <v>0.481516203703704</v>
      </c>
      <c r="H831" s="5" t="n">
        <v>0.436099537037037</v>
      </c>
      <c r="I831" s="5" t="n">
        <v>0.00390046296296296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1</v>
      </c>
      <c r="O831" s="5" t="n">
        <v>0</v>
      </c>
      <c r="P831" s="5" t="n">
        <v>0.03125</v>
      </c>
      <c r="Q831" s="4" t="s">
        <v>3348</v>
      </c>
      <c r="R831" s="4" t="s">
        <v>443</v>
      </c>
      <c r="S831" s="5" t="n">
        <v>0.000347222222222222</v>
      </c>
      <c r="T831" s="5" t="n">
        <v>0.179282407407407</v>
      </c>
      <c r="U831" s="5" t="n">
        <v>0.275231481481482</v>
      </c>
      <c r="V831" s="5" t="n">
        <v>0.00393518518518519</v>
      </c>
      <c r="W831" s="5" t="n">
        <v>0</v>
      </c>
      <c r="X831" s="5" t="n">
        <v>0</v>
      </c>
      <c r="Y831" s="5" t="n">
        <v>0</v>
      </c>
      <c r="Z831" s="0" t="n">
        <v>0</v>
      </c>
      <c r="AA831" s="0" t="n">
        <v>0</v>
      </c>
      <c r="AB831" s="0" t="n">
        <v>0</v>
      </c>
      <c r="AC831" s="4" t="s">
        <v>871</v>
      </c>
      <c r="AD831" s="4" t="s">
        <v>432</v>
      </c>
      <c r="AE831" s="4" t="s">
        <v>3345</v>
      </c>
      <c r="AF831" s="4" t="s">
        <v>3349</v>
      </c>
      <c r="AG831" s="5" t="n">
        <v>0.364594907407407</v>
      </c>
      <c r="AH831" s="5" t="n">
        <v>0.184305555555556</v>
      </c>
      <c r="AI831" s="5" t="n">
        <v>0</v>
      </c>
      <c r="AJ831" s="5" t="n">
        <v>0</v>
      </c>
      <c r="AK831" s="5" t="n">
        <v>0</v>
      </c>
      <c r="AL831" s="5" t="n">
        <v>0</v>
      </c>
      <c r="AM831" s="4" t="s">
        <v>78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  <c r="AV831" s="0" t="n">
        <v>0</v>
      </c>
      <c r="AW831" s="0" t="n">
        <v>0</v>
      </c>
      <c r="AX831" s="0" t="n">
        <v>0</v>
      </c>
      <c r="AY831" s="0" t="n">
        <v>0</v>
      </c>
      <c r="AZ831" s="0" t="n">
        <v>0</v>
      </c>
      <c r="BA831" s="0" t="n">
        <v>0</v>
      </c>
      <c r="BB831" s="0" t="n">
        <v>0</v>
      </c>
      <c r="BC831" s="0" t="n">
        <v>0</v>
      </c>
      <c r="BD831" s="0" t="n">
        <v>0</v>
      </c>
      <c r="BE831" s="0" t="n">
        <v>0</v>
      </c>
      <c r="BF831" s="0" t="n">
        <v>0</v>
      </c>
      <c r="BG831" s="0" t="n">
        <v>0</v>
      </c>
      <c r="BH831" s="0" t="n">
        <v>0</v>
      </c>
      <c r="BI831" s="0" t="n">
        <v>0</v>
      </c>
      <c r="BJ831" s="0" t="n">
        <v>0</v>
      </c>
      <c r="BK831" s="0" t="n">
        <v>0</v>
      </c>
      <c r="BM831" s="6" t="n">
        <f aca="false">IFERROR(VALUE(F831),"")</f>
        <v>480.06</v>
      </c>
      <c r="BN831" s="6" t="n">
        <f aca="false">IF(R831="-","",IFERROR(VALUE(LEFT(Q831,LEN(Q831)-2)),""))</f>
        <v>174.5</v>
      </c>
      <c r="BO831" s="6" t="n">
        <f aca="false">IF(R831="-","",IFERROR(VALUE(LEFT(R831,LEN(R831)-5)),""))</f>
        <v>2.75</v>
      </c>
      <c r="BP831" s="6" t="n">
        <f aca="false">IF(R831="-","",IFERROR(VALUE(F831),""))</f>
        <v>480.06</v>
      </c>
      <c r="BQ831" s="4" t="n">
        <f aca="false">IF(R831="-",1,0)</f>
        <v>0</v>
      </c>
    </row>
    <row r="832" customFormat="false" ht="15" hidden="false" customHeight="false" outlineLevel="0" collapsed="false">
      <c r="A832" s="0" t="s">
        <v>3350</v>
      </c>
      <c r="B832" s="0" t="s">
        <v>3351</v>
      </c>
      <c r="C832" s="0" t="s">
        <v>70</v>
      </c>
      <c r="D832" s="0" t="s">
        <v>3352</v>
      </c>
      <c r="E832" s="3" t="n">
        <v>46273</v>
      </c>
      <c r="F832" s="4" t="s">
        <v>95</v>
      </c>
      <c r="G832" s="5" t="n">
        <v>0.671944444444445</v>
      </c>
      <c r="H832" s="5" t="n">
        <v>0.603414351851852</v>
      </c>
      <c r="I832" s="5" t="n">
        <v>0.000381944444444445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5" t="n">
        <v>0</v>
      </c>
      <c r="P832" s="5" t="n">
        <v>0.0334490740740741</v>
      </c>
      <c r="Q832" s="4" t="s">
        <v>3353</v>
      </c>
      <c r="R832" s="4" t="s">
        <v>454</v>
      </c>
      <c r="S832" s="5" t="n">
        <v>0.000462962962962963</v>
      </c>
      <c r="T832" s="5" t="n">
        <v>0.220486111111111</v>
      </c>
      <c r="U832" s="5" t="n">
        <v>0.336111111111111</v>
      </c>
      <c r="V832" s="5" t="n">
        <v>0.0332175925925926</v>
      </c>
      <c r="W832" s="5" t="n">
        <v>0</v>
      </c>
      <c r="X832" s="5" t="n">
        <v>0</v>
      </c>
      <c r="Y832" s="5" t="n">
        <v>0</v>
      </c>
      <c r="Z832" s="0" t="n">
        <v>0</v>
      </c>
      <c r="AA832" s="0" t="n">
        <v>0</v>
      </c>
      <c r="AB832" s="0" t="n">
        <v>0</v>
      </c>
      <c r="AC832" s="4" t="s">
        <v>852</v>
      </c>
      <c r="AD832" s="4" t="s">
        <v>1998</v>
      </c>
      <c r="AE832" s="4" t="s">
        <v>3354</v>
      </c>
      <c r="AF832" s="4" t="s">
        <v>3354</v>
      </c>
      <c r="AG832" s="5" t="n">
        <v>0.497685185185185</v>
      </c>
      <c r="AH832" s="5" t="n">
        <v>0.251111111111111</v>
      </c>
      <c r="AI832" s="5" t="n">
        <v>0</v>
      </c>
      <c r="AJ832" s="5" t="n">
        <v>0</v>
      </c>
      <c r="AK832" s="5" t="n">
        <v>0</v>
      </c>
      <c r="AL832" s="5" t="n">
        <v>0</v>
      </c>
      <c r="AM832" s="4" t="s">
        <v>78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  <c r="AU832" s="0" t="n">
        <v>0</v>
      </c>
      <c r="AV832" s="0" t="n">
        <v>0</v>
      </c>
      <c r="AW832" s="0" t="n">
        <v>0</v>
      </c>
      <c r="AX832" s="0" t="n">
        <v>0</v>
      </c>
      <c r="AY832" s="0" t="n">
        <v>0</v>
      </c>
      <c r="AZ832" s="0" t="n">
        <v>0</v>
      </c>
      <c r="BA832" s="0" t="n">
        <v>0</v>
      </c>
      <c r="BB832" s="0" t="n">
        <v>0</v>
      </c>
      <c r="BC832" s="0" t="n">
        <v>0</v>
      </c>
      <c r="BD832" s="0" t="n">
        <v>0</v>
      </c>
      <c r="BE832" s="0" t="n">
        <v>0</v>
      </c>
      <c r="BF832" s="0" t="n">
        <v>0</v>
      </c>
      <c r="BG832" s="0" t="n">
        <v>0</v>
      </c>
      <c r="BH832" s="0" t="n">
        <v>0</v>
      </c>
      <c r="BI832" s="0" t="n">
        <v>0</v>
      </c>
      <c r="BJ832" s="0" t="n">
        <v>0</v>
      </c>
      <c r="BK832" s="0" t="n">
        <v>0</v>
      </c>
      <c r="BM832" s="6" t="n">
        <f aca="false">IFERROR(VALUE(F832),"")</f>
        <v>0</v>
      </c>
      <c r="BN832" s="6" t="n">
        <f aca="false">IF(R832="-","",IFERROR(VALUE(LEFT(Q832,LEN(Q832)-2)),""))</f>
        <v>210</v>
      </c>
      <c r="BO832" s="6" t="n">
        <f aca="false">IF(R832="-","",IFERROR(VALUE(LEFT(R832,LEN(R832)-5)),""))</f>
        <v>0</v>
      </c>
      <c r="BP832" s="6" t="n">
        <f aca="false">IF(R832="-","",IFERROR(VALUE(F832),""))</f>
        <v>0</v>
      </c>
      <c r="BQ832" s="4" t="n">
        <f aca="false">IF(R832="-",1,0)</f>
        <v>0</v>
      </c>
    </row>
    <row r="833" customFormat="false" ht="15" hidden="false" customHeight="false" outlineLevel="0" collapsed="false">
      <c r="A833" s="0" t="s">
        <v>3350</v>
      </c>
      <c r="B833" s="0" t="s">
        <v>3351</v>
      </c>
      <c r="C833" s="0" t="s">
        <v>70</v>
      </c>
      <c r="D833" s="0" t="s">
        <v>3355</v>
      </c>
      <c r="E833" s="3" t="n">
        <v>46274</v>
      </c>
      <c r="F833" s="4" t="s">
        <v>95</v>
      </c>
      <c r="G833" s="5" t="n">
        <v>0.273923611111111</v>
      </c>
      <c r="H833" s="5" t="n">
        <v>0.272777777777778</v>
      </c>
      <c r="I833" s="5" t="n">
        <v>0.000868055555555556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5" t="n">
        <v>0</v>
      </c>
      <c r="P833" s="5" t="n">
        <v>0.0354513888888889</v>
      </c>
      <c r="Q833" s="4" t="s">
        <v>3356</v>
      </c>
      <c r="R833" s="4" t="s">
        <v>454</v>
      </c>
      <c r="S833" s="5" t="n">
        <v>0</v>
      </c>
      <c r="T833" s="5" t="n">
        <v>0.0631944444444444</v>
      </c>
      <c r="U833" s="5" t="n">
        <v>0.181944444444444</v>
      </c>
      <c r="V833" s="5" t="n">
        <v>0.0252314814814815</v>
      </c>
      <c r="W833" s="5" t="n">
        <v>0</v>
      </c>
      <c r="X833" s="5" t="n">
        <v>0</v>
      </c>
      <c r="Y833" s="5" t="n">
        <v>0</v>
      </c>
      <c r="Z833" s="0" t="n">
        <v>0</v>
      </c>
      <c r="AA833" s="0" t="n">
        <v>0</v>
      </c>
      <c r="AB833" s="0" t="n">
        <v>0</v>
      </c>
      <c r="AC833" s="4" t="s">
        <v>1998</v>
      </c>
      <c r="AD833" s="4" t="s">
        <v>3357</v>
      </c>
      <c r="AE833" s="4" t="s">
        <v>3354</v>
      </c>
      <c r="AF833" s="4" t="s">
        <v>3354</v>
      </c>
      <c r="AG833" s="5" t="n">
        <v>0.229837962962963</v>
      </c>
      <c r="AH833" s="5" t="n">
        <v>0.0722569444444444</v>
      </c>
      <c r="AI833" s="5" t="n">
        <v>0</v>
      </c>
      <c r="AJ833" s="5" t="n">
        <v>0</v>
      </c>
      <c r="AK833" s="5" t="n">
        <v>0</v>
      </c>
      <c r="AL833" s="5" t="n">
        <v>0</v>
      </c>
      <c r="AM833" s="4" t="s">
        <v>78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  <c r="AU833" s="0" t="n">
        <v>2</v>
      </c>
      <c r="AV833" s="0" t="n">
        <v>0</v>
      </c>
      <c r="AW833" s="0" t="n">
        <v>0</v>
      </c>
      <c r="AX833" s="0" t="n">
        <v>0</v>
      </c>
      <c r="AY833" s="0" t="n">
        <v>0</v>
      </c>
      <c r="AZ833" s="0" t="n">
        <v>0</v>
      </c>
      <c r="BA833" s="0" t="n">
        <v>0</v>
      </c>
      <c r="BB833" s="0" t="n">
        <v>0</v>
      </c>
      <c r="BC833" s="0" t="n">
        <v>0</v>
      </c>
      <c r="BD833" s="0" t="n">
        <v>0</v>
      </c>
      <c r="BE833" s="0" t="n">
        <v>0</v>
      </c>
      <c r="BF833" s="0" t="n">
        <v>0</v>
      </c>
      <c r="BG833" s="0" t="n">
        <v>0</v>
      </c>
      <c r="BH833" s="0" t="n">
        <v>0</v>
      </c>
      <c r="BI833" s="0" t="n">
        <v>0</v>
      </c>
      <c r="BJ833" s="0" t="n">
        <v>0</v>
      </c>
      <c r="BK833" s="0" t="n">
        <v>0</v>
      </c>
      <c r="BM833" s="6" t="n">
        <f aca="false">IFERROR(VALUE(F833),"")</f>
        <v>0</v>
      </c>
      <c r="BN833" s="6" t="n">
        <f aca="false">IF(R833="-","",IFERROR(VALUE(LEFT(Q833,LEN(Q833)-2)),""))</f>
        <v>120.5</v>
      </c>
      <c r="BO833" s="6" t="n">
        <f aca="false">IF(R833="-","",IFERROR(VALUE(LEFT(R833,LEN(R833)-5)),""))</f>
        <v>0</v>
      </c>
      <c r="BP833" s="6" t="n">
        <f aca="false">IF(R833="-","",IFERROR(VALUE(F833),""))</f>
        <v>0</v>
      </c>
      <c r="BQ833" s="4" t="n">
        <f aca="false">IF(R833="-",1,0)</f>
        <v>0</v>
      </c>
    </row>
    <row r="834" customFormat="false" ht="15" hidden="false" customHeight="false" outlineLevel="0" collapsed="false">
      <c r="A834" s="0" t="s">
        <v>3350</v>
      </c>
      <c r="B834" s="0" t="s">
        <v>3351</v>
      </c>
      <c r="C834" s="0" t="s">
        <v>70</v>
      </c>
      <c r="D834" s="0" t="s">
        <v>3355</v>
      </c>
      <c r="E834" s="3" t="n">
        <v>46275</v>
      </c>
      <c r="F834" s="4" t="s">
        <v>95</v>
      </c>
      <c r="G834" s="5" t="n">
        <v>0.0612847222222222</v>
      </c>
      <c r="H834" s="5" t="n">
        <v>0.0180208333333333</v>
      </c>
      <c r="I834" s="5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5" t="n">
        <v>0</v>
      </c>
      <c r="P834" s="5" t="n">
        <v>0</v>
      </c>
      <c r="Q834" s="4" t="s">
        <v>2676</v>
      </c>
      <c r="R834" s="4" t="s">
        <v>454</v>
      </c>
      <c r="S834" s="5" t="n">
        <v>0.000347222222222222</v>
      </c>
      <c r="T834" s="5" t="n">
        <v>0.0144675925925926</v>
      </c>
      <c r="U834" s="5" t="n">
        <v>0.00300925925925926</v>
      </c>
      <c r="V834" s="5" t="n">
        <v>0.000115740740740741</v>
      </c>
      <c r="W834" s="5" t="n">
        <v>0</v>
      </c>
      <c r="X834" s="5" t="n">
        <v>0</v>
      </c>
      <c r="Y834" s="5" t="n">
        <v>0</v>
      </c>
      <c r="Z834" s="0" t="n">
        <v>0</v>
      </c>
      <c r="AA834" s="0" t="n">
        <v>0</v>
      </c>
      <c r="AB834" s="0" t="n">
        <v>0</v>
      </c>
      <c r="AC834" s="4" t="s">
        <v>3357</v>
      </c>
      <c r="AD834" s="4" t="s">
        <v>864</v>
      </c>
      <c r="AE834" s="4" t="s">
        <v>3354</v>
      </c>
      <c r="AF834" s="4" t="s">
        <v>3354</v>
      </c>
      <c r="AG834" s="5" t="n">
        <v>0.0132175925925926</v>
      </c>
      <c r="AH834" s="5" t="n">
        <v>0.0691666666666667</v>
      </c>
      <c r="AI834" s="5" t="n">
        <v>0</v>
      </c>
      <c r="AJ834" s="5" t="n">
        <v>0</v>
      </c>
      <c r="AK834" s="5" t="n">
        <v>0</v>
      </c>
      <c r="AL834" s="5" t="n">
        <v>0</v>
      </c>
      <c r="AM834" s="4" t="s">
        <v>78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  <c r="AV834" s="0" t="n">
        <v>0</v>
      </c>
      <c r="AW834" s="0" t="n">
        <v>0</v>
      </c>
      <c r="AX834" s="0" t="n">
        <v>0</v>
      </c>
      <c r="AY834" s="0" t="n">
        <v>0</v>
      </c>
      <c r="AZ834" s="0" t="n">
        <v>0</v>
      </c>
      <c r="BA834" s="0" t="n">
        <v>0</v>
      </c>
      <c r="BB834" s="0" t="n">
        <v>0</v>
      </c>
      <c r="BC834" s="0" t="n">
        <v>0</v>
      </c>
      <c r="BD834" s="0" t="n">
        <v>0</v>
      </c>
      <c r="BE834" s="0" t="n">
        <v>0</v>
      </c>
      <c r="BF834" s="0" t="n">
        <v>0</v>
      </c>
      <c r="BG834" s="0" t="n">
        <v>0</v>
      </c>
      <c r="BH834" s="0" t="n">
        <v>0</v>
      </c>
      <c r="BI834" s="0" t="n">
        <v>0</v>
      </c>
      <c r="BJ834" s="0" t="n">
        <v>0</v>
      </c>
      <c r="BK834" s="0" t="n">
        <v>0</v>
      </c>
      <c r="BM834" s="6" t="n">
        <f aca="false">IFERROR(VALUE(F834),"")</f>
        <v>0</v>
      </c>
      <c r="BN834" s="6" t="n">
        <f aca="false">IF(R834="-","",IFERROR(VALUE(LEFT(Q834,LEN(Q834)-2)),""))</f>
        <v>2</v>
      </c>
      <c r="BO834" s="6" t="n">
        <f aca="false">IF(R834="-","",IFERROR(VALUE(LEFT(R834,LEN(R834)-5)),""))</f>
        <v>0</v>
      </c>
      <c r="BP834" s="6" t="n">
        <f aca="false">IF(R834="-","",IFERROR(VALUE(F834),""))</f>
        <v>0</v>
      </c>
      <c r="BQ834" s="4" t="n">
        <f aca="false">IF(R834="-",1,0)</f>
        <v>0</v>
      </c>
    </row>
    <row r="835" customFormat="false" ht="15" hidden="false" customHeight="false" outlineLevel="0" collapsed="false">
      <c r="A835" s="0" t="s">
        <v>3350</v>
      </c>
      <c r="B835" s="0" t="s">
        <v>3351</v>
      </c>
      <c r="C835" s="0" t="s">
        <v>70</v>
      </c>
      <c r="D835" s="0" t="s">
        <v>1187</v>
      </c>
      <c r="E835" s="3" t="n">
        <v>46276</v>
      </c>
      <c r="F835" s="4" t="s">
        <v>95</v>
      </c>
      <c r="G835" s="5" t="n">
        <v>0.48375</v>
      </c>
      <c r="H835" s="5" t="n">
        <v>0.441643518518519</v>
      </c>
      <c r="I835" s="5" t="n">
        <v>0.000335648148148148</v>
      </c>
      <c r="J835" s="0" t="n">
        <v>0</v>
      </c>
      <c r="K835" s="0" t="n">
        <v>1</v>
      </c>
      <c r="L835" s="0" t="n">
        <v>0</v>
      </c>
      <c r="M835" s="0" t="n">
        <v>0</v>
      </c>
      <c r="N835" s="0" t="n">
        <v>1</v>
      </c>
      <c r="O835" s="5" t="n">
        <v>0</v>
      </c>
      <c r="P835" s="5" t="n">
        <v>0.042025462962963</v>
      </c>
      <c r="Q835" s="4" t="s">
        <v>3358</v>
      </c>
      <c r="R835" s="4" t="s">
        <v>454</v>
      </c>
      <c r="S835" s="5" t="n">
        <v>0.000231481481481482</v>
      </c>
      <c r="T835" s="5" t="n">
        <v>0.190277777777778</v>
      </c>
      <c r="U835" s="5" t="n">
        <v>0.271064814814815</v>
      </c>
      <c r="V835" s="5" t="n">
        <v>0.0152777777777778</v>
      </c>
      <c r="W835" s="5" t="n">
        <v>0</v>
      </c>
      <c r="X835" s="5" t="n">
        <v>0</v>
      </c>
      <c r="Y835" s="5" t="n">
        <v>0</v>
      </c>
      <c r="Z835" s="0" t="n">
        <v>0</v>
      </c>
      <c r="AA835" s="0" t="n">
        <v>0</v>
      </c>
      <c r="AB835" s="0" t="n">
        <v>0</v>
      </c>
      <c r="AC835" s="4" t="s">
        <v>877</v>
      </c>
      <c r="AD835" s="4" t="s">
        <v>432</v>
      </c>
      <c r="AE835" s="4" t="s">
        <v>3354</v>
      </c>
      <c r="AF835" s="4" t="s">
        <v>3354</v>
      </c>
      <c r="AG835" s="5" t="n">
        <v>0.37630787037037</v>
      </c>
      <c r="AH835" s="5" t="n">
        <v>0.160729166666667</v>
      </c>
      <c r="AI835" s="5" t="n">
        <v>0</v>
      </c>
      <c r="AJ835" s="5" t="n">
        <v>0</v>
      </c>
      <c r="AK835" s="5" t="n">
        <v>0</v>
      </c>
      <c r="AL835" s="5" t="n">
        <v>0</v>
      </c>
      <c r="AM835" s="4" t="s">
        <v>78</v>
      </c>
      <c r="AN835" s="0" t="n">
        <v>0</v>
      </c>
      <c r="AO835" s="0" t="n">
        <v>1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0</v>
      </c>
      <c r="AU835" s="0" t="n">
        <v>3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  <c r="BA835" s="0" t="n">
        <v>0</v>
      </c>
      <c r="BB835" s="0" t="n">
        <v>0</v>
      </c>
      <c r="BC835" s="0" t="n">
        <v>0</v>
      </c>
      <c r="BD835" s="0" t="n">
        <v>0</v>
      </c>
      <c r="BE835" s="0" t="n">
        <v>0</v>
      </c>
      <c r="BF835" s="0" t="n">
        <v>0</v>
      </c>
      <c r="BG835" s="0" t="n">
        <v>0</v>
      </c>
      <c r="BH835" s="0" t="n">
        <v>0</v>
      </c>
      <c r="BI835" s="0" t="n">
        <v>0</v>
      </c>
      <c r="BJ835" s="0" t="n">
        <v>0</v>
      </c>
      <c r="BK835" s="0" t="n">
        <v>0</v>
      </c>
      <c r="BM835" s="6" t="n">
        <f aca="false">IFERROR(VALUE(F835),"")</f>
        <v>0</v>
      </c>
      <c r="BN835" s="6" t="n">
        <f aca="false">IF(R835="-","",IFERROR(VALUE(LEFT(Q835,LEN(Q835)-2)),""))</f>
        <v>173</v>
      </c>
      <c r="BO835" s="6" t="n">
        <f aca="false">IF(R835="-","",IFERROR(VALUE(LEFT(R835,LEN(R835)-5)),""))</f>
        <v>0</v>
      </c>
      <c r="BP835" s="6" t="n">
        <f aca="false">IF(R835="-","",IFERROR(VALUE(F835),""))</f>
        <v>0</v>
      </c>
      <c r="BQ835" s="4" t="n">
        <f aca="false">IF(R835="-",1,0)</f>
        <v>0</v>
      </c>
    </row>
    <row r="836" customFormat="false" ht="15" hidden="false" customHeight="false" outlineLevel="0" collapsed="false">
      <c r="A836" s="0" t="s">
        <v>3350</v>
      </c>
      <c r="B836" s="0" t="s">
        <v>3351</v>
      </c>
      <c r="C836" s="0" t="s">
        <v>70</v>
      </c>
      <c r="D836" s="0" t="s">
        <v>3359</v>
      </c>
      <c r="E836" s="3" t="n">
        <v>46277</v>
      </c>
      <c r="F836" s="4" t="s">
        <v>95</v>
      </c>
      <c r="G836" s="5" t="n">
        <v>0.458171296296296</v>
      </c>
      <c r="H836" s="5" t="n">
        <v>0.370706018518519</v>
      </c>
      <c r="I836" s="5" t="n">
        <v>0.00248842592592593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5" t="n">
        <v>0</v>
      </c>
      <c r="P836" s="5" t="n">
        <v>0.0296875</v>
      </c>
      <c r="Q836" s="4" t="s">
        <v>3360</v>
      </c>
      <c r="R836" s="4" t="s">
        <v>454</v>
      </c>
      <c r="S836" s="5" t="n">
        <v>0.000115740740740741</v>
      </c>
      <c r="T836" s="5" t="n">
        <v>0.153356481481482</v>
      </c>
      <c r="U836" s="5" t="n">
        <v>0.25162037037037</v>
      </c>
      <c r="V836" s="5" t="n">
        <v>0.0344907407407407</v>
      </c>
      <c r="W836" s="5" t="n">
        <v>0</v>
      </c>
      <c r="X836" s="5" t="n">
        <v>0</v>
      </c>
      <c r="Y836" s="5" t="n">
        <v>0</v>
      </c>
      <c r="Z836" s="0" t="n">
        <v>0</v>
      </c>
      <c r="AA836" s="0" t="n">
        <v>0</v>
      </c>
      <c r="AB836" s="0" t="n">
        <v>0</v>
      </c>
      <c r="AC836" s="4" t="s">
        <v>432</v>
      </c>
      <c r="AD836" s="4" t="s">
        <v>864</v>
      </c>
      <c r="AE836" s="4" t="s">
        <v>3354</v>
      </c>
      <c r="AF836" s="4" t="s">
        <v>3354</v>
      </c>
      <c r="AG836" s="5" t="n">
        <v>0.357789351851852</v>
      </c>
      <c r="AH836" s="5" t="n">
        <v>0.172696759259259</v>
      </c>
      <c r="AI836" s="5" t="n">
        <v>0</v>
      </c>
      <c r="AJ836" s="5" t="n">
        <v>0</v>
      </c>
      <c r="AK836" s="5" t="n">
        <v>0</v>
      </c>
      <c r="AL836" s="5" t="n">
        <v>0</v>
      </c>
      <c r="AM836" s="4" t="s">
        <v>78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  <c r="AU836" s="0" t="n">
        <v>0</v>
      </c>
      <c r="AV836" s="0" t="n">
        <v>0</v>
      </c>
      <c r="AW836" s="0" t="n">
        <v>0</v>
      </c>
      <c r="AX836" s="0" t="n">
        <v>0</v>
      </c>
      <c r="AY836" s="0" t="n">
        <v>0</v>
      </c>
      <c r="AZ836" s="0" t="n">
        <v>0</v>
      </c>
      <c r="BA836" s="0" t="n">
        <v>0</v>
      </c>
      <c r="BB836" s="0" t="n">
        <v>0</v>
      </c>
      <c r="BC836" s="0" t="n">
        <v>0</v>
      </c>
      <c r="BD836" s="0" t="n">
        <v>0</v>
      </c>
      <c r="BE836" s="0" t="n">
        <v>0</v>
      </c>
      <c r="BF836" s="0" t="n">
        <v>0</v>
      </c>
      <c r="BG836" s="0" t="n">
        <v>0</v>
      </c>
      <c r="BH836" s="0" t="n">
        <v>0</v>
      </c>
      <c r="BI836" s="0" t="n">
        <v>0</v>
      </c>
      <c r="BJ836" s="0" t="n">
        <v>0</v>
      </c>
      <c r="BK836" s="0" t="n">
        <v>0</v>
      </c>
      <c r="BM836" s="6" t="n">
        <f aca="false">IFERROR(VALUE(F836),"")</f>
        <v>0</v>
      </c>
      <c r="BN836" s="6" t="n">
        <f aca="false">IF(R836="-","",IFERROR(VALUE(LEFT(Q836,LEN(Q836)-2)),""))</f>
        <v>177</v>
      </c>
      <c r="BO836" s="6" t="n">
        <f aca="false">IF(R836="-","",IFERROR(VALUE(LEFT(R836,LEN(R836)-5)),""))</f>
        <v>0</v>
      </c>
      <c r="BP836" s="6" t="n">
        <f aca="false">IF(R836="-","",IFERROR(VALUE(F836),""))</f>
        <v>0</v>
      </c>
      <c r="BQ836" s="4" t="n">
        <f aca="false">IF(R836="-",1,0)</f>
        <v>0</v>
      </c>
    </row>
    <row r="837" customFormat="false" ht="15" hidden="false" customHeight="false" outlineLevel="0" collapsed="false">
      <c r="A837" s="0" t="s">
        <v>3350</v>
      </c>
      <c r="B837" s="0" t="s">
        <v>3351</v>
      </c>
      <c r="C837" s="0" t="s">
        <v>70</v>
      </c>
      <c r="D837" s="0" t="s">
        <v>3361</v>
      </c>
      <c r="E837" s="3" t="n">
        <v>46278</v>
      </c>
      <c r="F837" s="4" t="s">
        <v>95</v>
      </c>
      <c r="G837" s="5" t="n">
        <v>0.419328703703704</v>
      </c>
      <c r="H837" s="5" t="n">
        <v>0.390416666666667</v>
      </c>
      <c r="I837" s="5" t="n">
        <v>0.0109143518518519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1</v>
      </c>
      <c r="O837" s="5" t="n">
        <v>0</v>
      </c>
      <c r="P837" s="5" t="n">
        <v>0.0264236111111111</v>
      </c>
      <c r="Q837" s="4" t="s">
        <v>3362</v>
      </c>
      <c r="R837" s="4" t="s">
        <v>454</v>
      </c>
      <c r="S837" s="5" t="n">
        <v>0</v>
      </c>
      <c r="T837" s="5" t="n">
        <v>0.130324074074074</v>
      </c>
      <c r="U837" s="5" t="n">
        <v>0.244907407407407</v>
      </c>
      <c r="V837" s="5" t="n">
        <v>0.0304398148148148</v>
      </c>
      <c r="W837" s="5" t="n">
        <v>0</v>
      </c>
      <c r="X837" s="5" t="n">
        <v>0</v>
      </c>
      <c r="Y837" s="5" t="n">
        <v>0</v>
      </c>
      <c r="Z837" s="0" t="n">
        <v>0</v>
      </c>
      <c r="AA837" s="0" t="n">
        <v>0</v>
      </c>
      <c r="AB837" s="0" t="n">
        <v>0</v>
      </c>
      <c r="AC837" s="4" t="s">
        <v>877</v>
      </c>
      <c r="AD837" s="4" t="s">
        <v>432</v>
      </c>
      <c r="AE837" s="4" t="s">
        <v>3354</v>
      </c>
      <c r="AF837" s="4" t="s">
        <v>3354</v>
      </c>
      <c r="AG837" s="5" t="n">
        <v>0.338935185185185</v>
      </c>
      <c r="AH837" s="5" t="n">
        <v>0.163101851851852</v>
      </c>
      <c r="AI837" s="5" t="n">
        <v>0</v>
      </c>
      <c r="AJ837" s="5" t="n">
        <v>0</v>
      </c>
      <c r="AK837" s="5" t="n">
        <v>0</v>
      </c>
      <c r="AL837" s="5" t="n">
        <v>0</v>
      </c>
      <c r="AM837" s="4" t="s">
        <v>78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1</v>
      </c>
      <c r="AS837" s="0" t="n">
        <v>0</v>
      </c>
      <c r="AT837" s="0" t="n">
        <v>0</v>
      </c>
      <c r="AU837" s="0" t="n">
        <v>1</v>
      </c>
      <c r="AV837" s="0" t="n">
        <v>0</v>
      </c>
      <c r="AW837" s="0" t="n">
        <v>0</v>
      </c>
      <c r="AX837" s="0" t="n">
        <v>0</v>
      </c>
      <c r="AY837" s="0" t="n">
        <v>0</v>
      </c>
      <c r="AZ837" s="0" t="n">
        <v>0</v>
      </c>
      <c r="BA837" s="0" t="n">
        <v>0</v>
      </c>
      <c r="BB837" s="0" t="n">
        <v>0</v>
      </c>
      <c r="BC837" s="0" t="n">
        <v>0</v>
      </c>
      <c r="BD837" s="0" t="n">
        <v>0</v>
      </c>
      <c r="BE837" s="0" t="n">
        <v>0</v>
      </c>
      <c r="BF837" s="0" t="n">
        <v>0</v>
      </c>
      <c r="BG837" s="0" t="n">
        <v>0</v>
      </c>
      <c r="BH837" s="0" t="n">
        <v>0</v>
      </c>
      <c r="BI837" s="0" t="n">
        <v>0</v>
      </c>
      <c r="BJ837" s="0" t="n">
        <v>0</v>
      </c>
      <c r="BK837" s="0" t="n">
        <v>0</v>
      </c>
      <c r="BM837" s="6" t="n">
        <f aca="false">IFERROR(VALUE(F837),"")</f>
        <v>0</v>
      </c>
      <c r="BN837" s="6" t="n">
        <f aca="false">IF(R837="-","",IFERROR(VALUE(LEFT(Q837,LEN(Q837)-2)),""))</f>
        <v>171</v>
      </c>
      <c r="BO837" s="6" t="n">
        <f aca="false">IF(R837="-","",IFERROR(VALUE(LEFT(R837,LEN(R837)-5)),""))</f>
        <v>0</v>
      </c>
      <c r="BP837" s="6" t="n">
        <f aca="false">IF(R837="-","",IFERROR(VALUE(F837),""))</f>
        <v>0</v>
      </c>
      <c r="BQ837" s="4" t="n">
        <f aca="false">IF(R837="-",1,0)</f>
        <v>0</v>
      </c>
    </row>
    <row r="838" customFormat="false" ht="15" hidden="false" customHeight="false" outlineLevel="0" collapsed="false">
      <c r="A838" s="0" t="s">
        <v>3350</v>
      </c>
      <c r="B838" s="0" t="s">
        <v>3351</v>
      </c>
      <c r="C838" s="0" t="s">
        <v>70</v>
      </c>
      <c r="D838" s="0" t="s">
        <v>3363</v>
      </c>
      <c r="E838" s="3" t="n">
        <v>46279</v>
      </c>
      <c r="F838" s="4" t="s">
        <v>95</v>
      </c>
      <c r="G838" s="5" t="n">
        <v>0.0743055555555556</v>
      </c>
      <c r="H838" s="5" t="n">
        <v>0.0434837962962963</v>
      </c>
      <c r="I838" s="5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5" t="n">
        <v>0</v>
      </c>
      <c r="P838" s="5" t="n">
        <v>0.0259027777777778</v>
      </c>
      <c r="Q838" s="4" t="s">
        <v>3364</v>
      </c>
      <c r="R838" s="4" t="s">
        <v>454</v>
      </c>
      <c r="S838" s="5" t="n">
        <v>0.000231481481481482</v>
      </c>
      <c r="T838" s="5" t="n">
        <v>0.0615740740740741</v>
      </c>
      <c r="U838" s="5" t="n">
        <v>0.0101851851851852</v>
      </c>
      <c r="V838" s="5" t="n">
        <v>0.000694444444444445</v>
      </c>
      <c r="W838" s="5" t="n">
        <v>0</v>
      </c>
      <c r="X838" s="5" t="n">
        <v>0</v>
      </c>
      <c r="Y838" s="5" t="n">
        <v>0</v>
      </c>
      <c r="Z838" s="0" t="n">
        <v>0</v>
      </c>
      <c r="AA838" s="0" t="n">
        <v>0</v>
      </c>
      <c r="AB838" s="0" t="n">
        <v>0</v>
      </c>
      <c r="AC838" s="4" t="s">
        <v>432</v>
      </c>
      <c r="AD838" s="4" t="s">
        <v>432</v>
      </c>
      <c r="AE838" s="4" t="s">
        <v>3354</v>
      </c>
      <c r="AF838" s="4" t="s">
        <v>3354</v>
      </c>
      <c r="AG838" s="5" t="n">
        <v>0.0248032407407407</v>
      </c>
      <c r="AH838" s="5" t="n">
        <v>0.123738425925926</v>
      </c>
      <c r="AI838" s="5" t="n">
        <v>0</v>
      </c>
      <c r="AJ838" s="5" t="n">
        <v>0</v>
      </c>
      <c r="AK838" s="5" t="n">
        <v>0</v>
      </c>
      <c r="AL838" s="5" t="n">
        <v>0</v>
      </c>
      <c r="AM838" s="4" t="s">
        <v>78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  <c r="AU838" s="0" t="n">
        <v>0</v>
      </c>
      <c r="AV838" s="0" t="n">
        <v>0</v>
      </c>
      <c r="AW838" s="0" t="n">
        <v>0</v>
      </c>
      <c r="AX838" s="0" t="n">
        <v>0</v>
      </c>
      <c r="AY838" s="0" t="n">
        <v>0</v>
      </c>
      <c r="AZ838" s="0" t="n">
        <v>0</v>
      </c>
      <c r="BA838" s="0" t="n">
        <v>0</v>
      </c>
      <c r="BB838" s="0" t="n">
        <v>0</v>
      </c>
      <c r="BC838" s="0" t="n">
        <v>0</v>
      </c>
      <c r="BD838" s="0" t="n">
        <v>0</v>
      </c>
      <c r="BE838" s="0" t="n">
        <v>0</v>
      </c>
      <c r="BF838" s="0" t="n">
        <v>0</v>
      </c>
      <c r="BG838" s="0" t="n">
        <v>0</v>
      </c>
      <c r="BH838" s="0" t="n">
        <v>0</v>
      </c>
      <c r="BI838" s="0" t="n">
        <v>0</v>
      </c>
      <c r="BJ838" s="0" t="n">
        <v>0</v>
      </c>
      <c r="BK838" s="0" t="n">
        <v>0</v>
      </c>
      <c r="BM838" s="6" t="n">
        <f aca="false">IFERROR(VALUE(F838),"")</f>
        <v>0</v>
      </c>
      <c r="BN838" s="6" t="n">
        <f aca="false">IF(R838="-","",IFERROR(VALUE(LEFT(Q838,LEN(Q838)-2)),""))</f>
        <v>8</v>
      </c>
      <c r="BO838" s="6" t="n">
        <f aca="false">IF(R838="-","",IFERROR(VALUE(LEFT(R838,LEN(R838)-5)),""))</f>
        <v>0</v>
      </c>
      <c r="BP838" s="6" t="n">
        <f aca="false">IF(R838="-","",IFERROR(VALUE(F838),""))</f>
        <v>0</v>
      </c>
      <c r="BQ838" s="4" t="n">
        <f aca="false">IF(R838="-",1,0)</f>
        <v>0</v>
      </c>
    </row>
    <row r="839" customFormat="false" ht="15" hidden="false" customHeight="false" outlineLevel="0" collapsed="false">
      <c r="A839" s="0" t="s">
        <v>3365</v>
      </c>
      <c r="B839" s="0" t="s">
        <v>3366</v>
      </c>
      <c r="C839" s="0" t="s">
        <v>70</v>
      </c>
      <c r="E839" s="3" t="n">
        <v>46273</v>
      </c>
      <c r="F839" s="4" t="s">
        <v>3367</v>
      </c>
      <c r="G839" s="5" t="n">
        <v>0.430092592592593</v>
      </c>
      <c r="H839" s="5" t="n">
        <v>0</v>
      </c>
      <c r="I839" s="5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5" t="n">
        <v>0</v>
      </c>
      <c r="P839" s="5" t="n">
        <v>0</v>
      </c>
      <c r="Q839" s="4" t="s">
        <v>2676</v>
      </c>
      <c r="R839" s="4" t="s">
        <v>3368</v>
      </c>
      <c r="S839" s="5" t="n">
        <v>0.000231481481481482</v>
      </c>
      <c r="T839" s="5" t="n">
        <v>0.0146990740740741</v>
      </c>
      <c r="U839" s="5" t="n">
        <v>0.000462962962962963</v>
      </c>
      <c r="V839" s="5" t="n">
        <v>0</v>
      </c>
      <c r="W839" s="5" t="n">
        <v>0</v>
      </c>
      <c r="X839" s="5" t="n">
        <v>0</v>
      </c>
      <c r="Y839" s="5" t="n">
        <v>0</v>
      </c>
      <c r="Z839" s="0" t="n">
        <v>0</v>
      </c>
      <c r="AA839" s="0" t="n">
        <v>0</v>
      </c>
      <c r="AB839" s="0" t="n">
        <v>0</v>
      </c>
      <c r="AC839" s="4" t="s">
        <v>208</v>
      </c>
      <c r="AD839" s="4" t="s">
        <v>208</v>
      </c>
      <c r="AE839" s="4" t="s">
        <v>3369</v>
      </c>
      <c r="AF839" s="4" t="s">
        <v>3370</v>
      </c>
      <c r="AG839" s="5" t="n">
        <v>0.00762731481481482</v>
      </c>
      <c r="AH839" s="5" t="n">
        <v>0.48224537037037</v>
      </c>
      <c r="AI839" s="5" t="n">
        <v>0</v>
      </c>
      <c r="AJ839" s="5" t="n">
        <v>0</v>
      </c>
      <c r="AK839" s="5" t="n">
        <v>0</v>
      </c>
      <c r="AL839" s="5" t="n">
        <v>0</v>
      </c>
      <c r="AM839" s="4" t="s">
        <v>78</v>
      </c>
      <c r="AN839" s="0" t="n">
        <v>0</v>
      </c>
      <c r="AO839" s="0" t="n">
        <v>0</v>
      </c>
      <c r="AP839" s="0" t="n">
        <v>0</v>
      </c>
      <c r="AQ839" s="0" t="n">
        <v>0</v>
      </c>
      <c r="AR839" s="0" t="n">
        <v>0</v>
      </c>
      <c r="AS839" s="0" t="n">
        <v>0</v>
      </c>
      <c r="AT839" s="0" t="n">
        <v>0</v>
      </c>
      <c r="AU839" s="0" t="n">
        <v>0</v>
      </c>
      <c r="AV839" s="0" t="n">
        <v>0</v>
      </c>
      <c r="AW839" s="0" t="n">
        <v>0</v>
      </c>
      <c r="AX839" s="0" t="n">
        <v>0</v>
      </c>
      <c r="AY839" s="0" t="n">
        <v>0</v>
      </c>
      <c r="AZ839" s="0" t="n">
        <v>0</v>
      </c>
      <c r="BA839" s="0" t="n">
        <v>0</v>
      </c>
      <c r="BB839" s="0" t="n">
        <v>0</v>
      </c>
      <c r="BC839" s="0" t="n">
        <v>0</v>
      </c>
      <c r="BD839" s="0" t="n">
        <v>0</v>
      </c>
      <c r="BE839" s="0" t="n">
        <v>0</v>
      </c>
      <c r="BF839" s="0" t="n">
        <v>0</v>
      </c>
      <c r="BG839" s="0" t="n">
        <v>0</v>
      </c>
      <c r="BH839" s="0" t="n">
        <v>0</v>
      </c>
      <c r="BI839" s="0" t="n">
        <v>0</v>
      </c>
      <c r="BJ839" s="0" t="n">
        <v>0</v>
      </c>
      <c r="BK839" s="0" t="n">
        <v>0</v>
      </c>
      <c r="BM839" s="6" t="n">
        <f aca="false">IFERROR(VALUE(F839),"")</f>
        <v>0.77</v>
      </c>
      <c r="BN839" s="6" t="n">
        <f aca="false">IF(R839="-","",IFERROR(VALUE(LEFT(Q839,LEN(Q839)-2)),""))</f>
        <v>2</v>
      </c>
      <c r="BO839" s="6" t="n">
        <f aca="false">IF(R839="-","",IFERROR(VALUE(LEFT(R839,LEN(R839)-5)),""))</f>
        <v>0.39</v>
      </c>
      <c r="BP839" s="6" t="n">
        <f aca="false">IF(R839="-","",IFERROR(VALUE(F839),""))</f>
        <v>0.77</v>
      </c>
      <c r="BQ839" s="4" t="n">
        <f aca="false">IF(R839="-",1,0)</f>
        <v>0</v>
      </c>
    </row>
    <row r="840" customFormat="false" ht="15" hidden="false" customHeight="false" outlineLevel="0" collapsed="false">
      <c r="A840" s="0" t="s">
        <v>3365</v>
      </c>
      <c r="B840" s="0" t="s">
        <v>3366</v>
      </c>
      <c r="C840" s="0" t="s">
        <v>70</v>
      </c>
      <c r="E840" s="3" t="n">
        <v>46274</v>
      </c>
      <c r="F840" s="4" t="s">
        <v>95</v>
      </c>
      <c r="G840" s="5" t="n">
        <v>0.665949074074074</v>
      </c>
      <c r="H840" s="5" t="n">
        <v>0</v>
      </c>
      <c r="I840" s="5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5" t="n">
        <v>0</v>
      </c>
      <c r="P840" s="5" t="n">
        <v>0</v>
      </c>
      <c r="Q840" s="4" t="s">
        <v>73</v>
      </c>
      <c r="R840" s="4" t="s">
        <v>73</v>
      </c>
      <c r="S840" s="5" t="n">
        <v>0</v>
      </c>
      <c r="T840" s="5" t="n">
        <v>0</v>
      </c>
      <c r="U840" s="5" t="n">
        <v>0</v>
      </c>
      <c r="V840" s="5" t="n">
        <v>0</v>
      </c>
      <c r="W840" s="5" t="n">
        <v>0</v>
      </c>
      <c r="X840" s="5" t="n">
        <v>0</v>
      </c>
      <c r="Y840" s="5" t="n">
        <v>0</v>
      </c>
      <c r="Z840" s="0" t="n">
        <v>0</v>
      </c>
      <c r="AA840" s="0" t="n">
        <v>0</v>
      </c>
      <c r="AB840" s="0" t="n">
        <v>0</v>
      </c>
      <c r="AC840" s="4" t="s">
        <v>208</v>
      </c>
      <c r="AD840" s="4" t="s">
        <v>208</v>
      </c>
      <c r="AE840" s="4" t="s">
        <v>3370</v>
      </c>
      <c r="AF840" s="4" t="s">
        <v>3370</v>
      </c>
      <c r="AG840" s="5" t="n">
        <v>0</v>
      </c>
      <c r="AH840" s="5" t="n">
        <v>0.333900462962963</v>
      </c>
      <c r="AI840" s="5" t="n">
        <v>0</v>
      </c>
      <c r="AJ840" s="5" t="n">
        <v>0</v>
      </c>
      <c r="AK840" s="5" t="n">
        <v>0</v>
      </c>
      <c r="AL840" s="5" t="n">
        <v>0</v>
      </c>
      <c r="AM840" s="4" t="s">
        <v>78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  <c r="AU840" s="0" t="n">
        <v>0</v>
      </c>
      <c r="AV840" s="0" t="n">
        <v>0</v>
      </c>
      <c r="AW840" s="0" t="n">
        <v>0</v>
      </c>
      <c r="AX840" s="0" t="n">
        <v>0</v>
      </c>
      <c r="AY840" s="0" t="n">
        <v>0</v>
      </c>
      <c r="AZ840" s="0" t="n">
        <v>0</v>
      </c>
      <c r="BA840" s="0" t="n">
        <v>0</v>
      </c>
      <c r="BB840" s="0" t="n">
        <v>1</v>
      </c>
      <c r="BC840" s="0" t="n">
        <v>1</v>
      </c>
      <c r="BD840" s="0" t="n">
        <v>1</v>
      </c>
      <c r="BE840" s="0" t="n">
        <v>0</v>
      </c>
      <c r="BF840" s="0" t="n">
        <v>0</v>
      </c>
      <c r="BG840" s="0" t="n">
        <v>0</v>
      </c>
      <c r="BH840" s="0" t="n">
        <v>0</v>
      </c>
      <c r="BI840" s="0" t="n">
        <v>0</v>
      </c>
      <c r="BJ840" s="0" t="n">
        <v>0</v>
      </c>
      <c r="BK840" s="0" t="n">
        <v>0</v>
      </c>
      <c r="BM840" s="6" t="n">
        <f aca="false">IFERROR(VALUE(F840),"")</f>
        <v>0</v>
      </c>
      <c r="BN840" s="6" t="str">
        <f aca="false">IF(R840="-","",IFERROR(VALUE(LEFT(Q840,LEN(Q840)-2)),""))</f>
        <v/>
      </c>
      <c r="BO840" s="6" t="str">
        <f aca="false">IF(R840="-","",IFERROR(VALUE(LEFT(R840,LEN(R840)-5)),""))</f>
        <v/>
      </c>
      <c r="BP840" s="6" t="str">
        <f aca="false">IF(R840="-","",IFERROR(VALUE(F840),""))</f>
        <v/>
      </c>
      <c r="BQ840" s="4" t="n">
        <f aca="false">IF(R840="-",1,0)</f>
        <v>1</v>
      </c>
    </row>
    <row r="841" customFormat="false" ht="15" hidden="false" customHeight="false" outlineLevel="0" collapsed="false">
      <c r="A841" s="0" t="s">
        <v>3365</v>
      </c>
      <c r="B841" s="0" t="s">
        <v>3366</v>
      </c>
      <c r="C841" s="0" t="s">
        <v>70</v>
      </c>
      <c r="D841" s="0" t="s">
        <v>3371</v>
      </c>
      <c r="E841" s="3" t="n">
        <v>46275</v>
      </c>
      <c r="F841" s="4" t="s">
        <v>3372</v>
      </c>
      <c r="G841" s="5" t="n">
        <v>0.316134259259259</v>
      </c>
      <c r="H841" s="5" t="n">
        <v>0.102847222222222</v>
      </c>
      <c r="I841" s="5" t="n">
        <v>0.00118055555555556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5" t="n">
        <v>0</v>
      </c>
      <c r="P841" s="5" t="n">
        <v>0</v>
      </c>
      <c r="Q841" s="4" t="s">
        <v>3373</v>
      </c>
      <c r="R841" s="4" t="s">
        <v>448</v>
      </c>
      <c r="S841" s="5" t="n">
        <v>0.000231481481481482</v>
      </c>
      <c r="T841" s="5" t="n">
        <v>0.096412037037037</v>
      </c>
      <c r="U841" s="5" t="n">
        <v>0.153472222222222</v>
      </c>
      <c r="V841" s="5" t="n">
        <v>0.0283564814814815</v>
      </c>
      <c r="W841" s="5" t="n">
        <v>0.000115740740740741</v>
      </c>
      <c r="X841" s="5" t="n">
        <v>0</v>
      </c>
      <c r="Y841" s="5" t="n">
        <v>0</v>
      </c>
      <c r="Z841" s="0" t="n">
        <v>0</v>
      </c>
      <c r="AA841" s="0" t="n">
        <v>0</v>
      </c>
      <c r="AB841" s="0" t="n">
        <v>0</v>
      </c>
      <c r="AC841" s="4" t="s">
        <v>208</v>
      </c>
      <c r="AD841" s="4" t="s">
        <v>159</v>
      </c>
      <c r="AE841" s="4" t="s">
        <v>3370</v>
      </c>
      <c r="AF841" s="4" t="s">
        <v>3374</v>
      </c>
      <c r="AG841" s="5" t="n">
        <v>0.242164351851852</v>
      </c>
      <c r="AH841" s="5" t="n">
        <v>0.134606481481482</v>
      </c>
      <c r="AI841" s="5" t="n">
        <v>0</v>
      </c>
      <c r="AJ841" s="5" t="n">
        <v>0</v>
      </c>
      <c r="AK841" s="5" t="n">
        <v>0</v>
      </c>
      <c r="AL841" s="5" t="n">
        <v>0</v>
      </c>
      <c r="AM841" s="4" t="s">
        <v>78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  <c r="AU841" s="0" t="n">
        <v>1</v>
      </c>
      <c r="AV841" s="0" t="n">
        <v>0</v>
      </c>
      <c r="AW841" s="0" t="n">
        <v>0</v>
      </c>
      <c r="AX841" s="0" t="n">
        <v>0</v>
      </c>
      <c r="AY841" s="0" t="n">
        <v>0</v>
      </c>
      <c r="AZ841" s="0" t="n">
        <v>0</v>
      </c>
      <c r="BA841" s="0" t="n">
        <v>0</v>
      </c>
      <c r="BB841" s="0" t="n">
        <v>0</v>
      </c>
      <c r="BC841" s="0" t="n">
        <v>0</v>
      </c>
      <c r="BD841" s="0" t="n">
        <v>0</v>
      </c>
      <c r="BE841" s="0" t="n">
        <v>0</v>
      </c>
      <c r="BF841" s="0" t="n">
        <v>0</v>
      </c>
      <c r="BG841" s="0" t="n">
        <v>0</v>
      </c>
      <c r="BH841" s="0" t="n">
        <v>0</v>
      </c>
      <c r="BI841" s="0" t="n">
        <v>0</v>
      </c>
      <c r="BJ841" s="0" t="n">
        <v>0</v>
      </c>
      <c r="BK841" s="0" t="n">
        <v>0</v>
      </c>
      <c r="BM841" s="6" t="n">
        <f aca="false">IFERROR(VALUE(F841),"")</f>
        <v>289.83</v>
      </c>
      <c r="BN841" s="6" t="n">
        <f aca="false">IF(R841="-","",IFERROR(VALUE(LEFT(Q841,LEN(Q841)-2)),""))</f>
        <v>109.5</v>
      </c>
      <c r="BO841" s="6" t="n">
        <f aca="false">IF(R841="-","",IFERROR(VALUE(LEFT(R841,LEN(R841)-5)),""))</f>
        <v>2.65</v>
      </c>
      <c r="BP841" s="6" t="n">
        <f aca="false">IF(R841="-","",IFERROR(VALUE(F841),""))</f>
        <v>289.83</v>
      </c>
      <c r="BQ841" s="4" t="n">
        <f aca="false">IF(R841="-",1,0)</f>
        <v>0</v>
      </c>
    </row>
    <row r="842" customFormat="false" ht="15" hidden="false" customHeight="false" outlineLevel="0" collapsed="false">
      <c r="A842" s="0" t="s">
        <v>3365</v>
      </c>
      <c r="B842" s="0" t="s">
        <v>3366</v>
      </c>
      <c r="C842" s="0" t="s">
        <v>70</v>
      </c>
      <c r="D842" s="0" t="s">
        <v>3093</v>
      </c>
      <c r="E842" s="3" t="n">
        <v>46276</v>
      </c>
      <c r="F842" s="4" t="s">
        <v>3375</v>
      </c>
      <c r="G842" s="5" t="n">
        <v>0.174409722222222</v>
      </c>
      <c r="H842" s="5" t="n">
        <v>0.0716666666666667</v>
      </c>
      <c r="I842" s="5" t="n">
        <v>0.00037037037037037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5" t="n">
        <v>0</v>
      </c>
      <c r="P842" s="5" t="n">
        <v>0.0097337962962963</v>
      </c>
      <c r="Q842" s="4" t="s">
        <v>2800</v>
      </c>
      <c r="R842" s="4" t="s">
        <v>1061</v>
      </c>
      <c r="S842" s="5" t="n">
        <v>0.000115740740740741</v>
      </c>
      <c r="T842" s="5" t="n">
        <v>0.0784722222222222</v>
      </c>
      <c r="U842" s="5" t="n">
        <v>0.0771990740740741</v>
      </c>
      <c r="V842" s="5" t="n">
        <v>0.0136574074074074</v>
      </c>
      <c r="W842" s="5" t="n">
        <v>0</v>
      </c>
      <c r="X842" s="5" t="n">
        <v>0</v>
      </c>
      <c r="Y842" s="5" t="n">
        <v>0</v>
      </c>
      <c r="Z842" s="0" t="n">
        <v>0</v>
      </c>
      <c r="AA842" s="0" t="n">
        <v>0</v>
      </c>
      <c r="AB842" s="0" t="n">
        <v>0</v>
      </c>
      <c r="AC842" s="4" t="s">
        <v>159</v>
      </c>
      <c r="AD842" s="4" t="s">
        <v>158</v>
      </c>
      <c r="AE842" s="4" t="s">
        <v>3374</v>
      </c>
      <c r="AF842" s="4" t="s">
        <v>3376</v>
      </c>
      <c r="AG842" s="5" t="n">
        <v>0.127025462962963</v>
      </c>
      <c r="AH842" s="5" t="n">
        <v>0.101168981481482</v>
      </c>
      <c r="AI842" s="5" t="n">
        <v>0</v>
      </c>
      <c r="AJ842" s="5" t="n">
        <v>0</v>
      </c>
      <c r="AK842" s="5" t="n">
        <v>0</v>
      </c>
      <c r="AL842" s="5" t="n">
        <v>0</v>
      </c>
      <c r="AM842" s="4" t="s">
        <v>78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  <c r="AU842" s="0" t="n">
        <v>0</v>
      </c>
      <c r="AV842" s="0" t="n">
        <v>0</v>
      </c>
      <c r="AW842" s="0" t="n">
        <v>0</v>
      </c>
      <c r="AX842" s="0" t="n">
        <v>0</v>
      </c>
      <c r="AY842" s="0" t="n">
        <v>0</v>
      </c>
      <c r="AZ842" s="0" t="n">
        <v>0</v>
      </c>
      <c r="BA842" s="0" t="n">
        <v>0</v>
      </c>
      <c r="BB842" s="0" t="n">
        <v>0</v>
      </c>
      <c r="BC842" s="0" t="n">
        <v>0</v>
      </c>
      <c r="BD842" s="0" t="n">
        <v>0</v>
      </c>
      <c r="BE842" s="0" t="n">
        <v>0</v>
      </c>
      <c r="BF842" s="0" t="n">
        <v>0</v>
      </c>
      <c r="BG842" s="0" t="n">
        <v>0</v>
      </c>
      <c r="BH842" s="0" t="n">
        <v>0</v>
      </c>
      <c r="BI842" s="0" t="n">
        <v>0</v>
      </c>
      <c r="BJ842" s="0" t="n">
        <v>0</v>
      </c>
      <c r="BK842" s="0" t="n">
        <v>0</v>
      </c>
      <c r="BM842" s="6" t="n">
        <f aca="false">IFERROR(VALUE(F842),"")</f>
        <v>140.04</v>
      </c>
      <c r="BN842" s="6" t="n">
        <f aca="false">IF(R842="-","",IFERROR(VALUE(LEFT(Q842,LEN(Q842)-2)),""))</f>
        <v>46</v>
      </c>
      <c r="BO842" s="6" t="n">
        <f aca="false">IF(R842="-","",IFERROR(VALUE(LEFT(R842,LEN(R842)-5)),""))</f>
        <v>3.04</v>
      </c>
      <c r="BP842" s="6" t="n">
        <f aca="false">IF(R842="-","",IFERROR(VALUE(F842),""))</f>
        <v>140.04</v>
      </c>
      <c r="BQ842" s="4" t="n">
        <f aca="false">IF(R842="-",1,0)</f>
        <v>0</v>
      </c>
    </row>
    <row r="843" customFormat="false" ht="15" hidden="false" customHeight="false" outlineLevel="0" collapsed="false">
      <c r="A843" s="0" t="s">
        <v>3365</v>
      </c>
      <c r="B843" s="0" t="s">
        <v>3366</v>
      </c>
      <c r="C843" s="0" t="s">
        <v>70</v>
      </c>
      <c r="E843" s="3" t="n">
        <v>46277</v>
      </c>
      <c r="F843" s="4" t="s">
        <v>3377</v>
      </c>
      <c r="G843" s="5" t="n">
        <v>0.0132986111111111</v>
      </c>
      <c r="H843" s="5" t="n">
        <v>0</v>
      </c>
      <c r="I843" s="5" t="n">
        <v>0.000150462962962963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5" t="n">
        <v>0</v>
      </c>
      <c r="P843" s="5" t="n">
        <v>0</v>
      </c>
      <c r="Q843" s="4" t="s">
        <v>971</v>
      </c>
      <c r="R843" s="4" t="s">
        <v>3378</v>
      </c>
      <c r="S843" s="5" t="n">
        <v>0</v>
      </c>
      <c r="T843" s="5" t="n">
        <v>0.00405092592592593</v>
      </c>
      <c r="U843" s="5" t="n">
        <v>0.000115740740740741</v>
      </c>
      <c r="V843" s="5" t="n">
        <v>0</v>
      </c>
      <c r="W843" s="5" t="n">
        <v>0</v>
      </c>
      <c r="X843" s="5" t="n">
        <v>0</v>
      </c>
      <c r="Y843" s="5" t="n">
        <v>0</v>
      </c>
      <c r="Z843" s="0" t="n">
        <v>0</v>
      </c>
      <c r="AA843" s="0" t="n">
        <v>0</v>
      </c>
      <c r="AB843" s="0" t="n">
        <v>0</v>
      </c>
      <c r="AC843" s="4" t="s">
        <v>158</v>
      </c>
      <c r="AD843" s="4" t="s">
        <v>158</v>
      </c>
      <c r="AE843" s="4" t="s">
        <v>3376</v>
      </c>
      <c r="AF843" s="4" t="s">
        <v>3379</v>
      </c>
      <c r="AG843" s="5" t="n">
        <v>0.000416666666666667</v>
      </c>
      <c r="AH843" s="5" t="n">
        <v>0.0170717592592593</v>
      </c>
      <c r="AI843" s="5" t="n">
        <v>0</v>
      </c>
      <c r="AJ843" s="5" t="n">
        <v>0</v>
      </c>
      <c r="AK843" s="5" t="n">
        <v>0</v>
      </c>
      <c r="AL843" s="5" t="n">
        <v>0</v>
      </c>
      <c r="AM843" s="4" t="s">
        <v>78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  <c r="AU843" s="0" t="n">
        <v>0</v>
      </c>
      <c r="AV843" s="0" t="n">
        <v>0</v>
      </c>
      <c r="AW843" s="0" t="n">
        <v>0</v>
      </c>
      <c r="AX843" s="0" t="n">
        <v>0</v>
      </c>
      <c r="AY843" s="0" t="n">
        <v>0</v>
      </c>
      <c r="AZ843" s="0" t="n">
        <v>0</v>
      </c>
      <c r="BA843" s="0" t="n">
        <v>0</v>
      </c>
      <c r="BB843" s="0" t="n">
        <v>0</v>
      </c>
      <c r="BC843" s="0" t="n">
        <v>0</v>
      </c>
      <c r="BD843" s="0" t="n">
        <v>0</v>
      </c>
      <c r="BE843" s="0" t="n">
        <v>0</v>
      </c>
      <c r="BF843" s="0" t="n">
        <v>0</v>
      </c>
      <c r="BG843" s="0" t="n">
        <v>0</v>
      </c>
      <c r="BH843" s="0" t="n">
        <v>0</v>
      </c>
      <c r="BI843" s="0" t="n">
        <v>0</v>
      </c>
      <c r="BJ843" s="0" t="n">
        <v>0</v>
      </c>
      <c r="BK843" s="0" t="n">
        <v>0</v>
      </c>
      <c r="BM843" s="6" t="n">
        <f aca="false">IFERROR(VALUE(F843),"")</f>
        <v>0.08</v>
      </c>
      <c r="BN843" s="6" t="n">
        <f aca="false">IF(R843="-","",IFERROR(VALUE(LEFT(Q843,LEN(Q843)-2)),""))</f>
        <v>0.5</v>
      </c>
      <c r="BO843" s="6" t="n">
        <f aca="false">IF(R843="-","",IFERROR(VALUE(LEFT(R843,LEN(R843)-5)),""))</f>
        <v>0.16</v>
      </c>
      <c r="BP843" s="6" t="n">
        <f aca="false">IF(R843="-","",IFERROR(VALUE(F843),""))</f>
        <v>0.08</v>
      </c>
      <c r="BQ843" s="4" t="n">
        <f aca="false">IF(R843="-",1,0)</f>
        <v>0</v>
      </c>
    </row>
    <row r="844" customFormat="false" ht="15" hidden="false" customHeight="false" outlineLevel="0" collapsed="false">
      <c r="A844" s="0" t="s">
        <v>3365</v>
      </c>
      <c r="B844" s="0" t="s">
        <v>3366</v>
      </c>
      <c r="C844" s="0" t="s">
        <v>70</v>
      </c>
      <c r="D844" s="0" t="s">
        <v>3093</v>
      </c>
      <c r="E844" s="3" t="n">
        <v>46279</v>
      </c>
      <c r="F844" s="4" t="s">
        <v>3380</v>
      </c>
      <c r="G844" s="5" t="n">
        <v>0.183449074074074</v>
      </c>
      <c r="H844" s="5" t="n">
        <v>0.0814930555555556</v>
      </c>
      <c r="I844" s="5" t="n">
        <v>0.000289351851851852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1</v>
      </c>
      <c r="O844" s="5" t="n">
        <v>0</v>
      </c>
      <c r="P844" s="5" t="n">
        <v>0.0295601851851852</v>
      </c>
      <c r="Q844" s="4" t="s">
        <v>2800</v>
      </c>
      <c r="R844" s="4" t="s">
        <v>545</v>
      </c>
      <c r="S844" s="5" t="n">
        <v>0.000115740740740741</v>
      </c>
      <c r="T844" s="5" t="n">
        <v>0.077662037037037</v>
      </c>
      <c r="U844" s="5" t="n">
        <v>0.0654166666666667</v>
      </c>
      <c r="V844" s="5" t="n">
        <v>0.026412037037037</v>
      </c>
      <c r="W844" s="5" t="n">
        <v>0.000405092592592593</v>
      </c>
      <c r="X844" s="5" t="n">
        <v>0</v>
      </c>
      <c r="Y844" s="5" t="n">
        <v>5.78703703703704E-005</v>
      </c>
      <c r="Z844" s="0" t="n">
        <v>0</v>
      </c>
      <c r="AA844" s="0" t="n">
        <v>0</v>
      </c>
      <c r="AB844" s="0" t="n">
        <v>0</v>
      </c>
      <c r="AC844" s="4" t="s">
        <v>158</v>
      </c>
      <c r="AD844" s="4" t="s">
        <v>159</v>
      </c>
      <c r="AE844" s="4" t="s">
        <v>3379</v>
      </c>
      <c r="AF844" s="4" t="s">
        <v>3381</v>
      </c>
      <c r="AG844" s="5" t="n">
        <v>0.129537037037037</v>
      </c>
      <c r="AH844" s="5" t="n">
        <v>0.100821759259259</v>
      </c>
      <c r="AI844" s="5" t="n">
        <v>0</v>
      </c>
      <c r="AJ844" s="5" t="n">
        <v>0</v>
      </c>
      <c r="AK844" s="5" t="n">
        <v>0</v>
      </c>
      <c r="AL844" s="5" t="n">
        <v>0</v>
      </c>
      <c r="AM844" s="4" t="s">
        <v>78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  <c r="AU844" s="0" t="n">
        <v>0</v>
      </c>
      <c r="AV844" s="0" t="n">
        <v>0</v>
      </c>
      <c r="AW844" s="0" t="n">
        <v>0</v>
      </c>
      <c r="AX844" s="0" t="n">
        <v>0</v>
      </c>
      <c r="AY844" s="0" t="n">
        <v>0</v>
      </c>
      <c r="AZ844" s="0" t="n">
        <v>0</v>
      </c>
      <c r="BA844" s="0" t="n">
        <v>0</v>
      </c>
      <c r="BB844" s="0" t="n">
        <v>0</v>
      </c>
      <c r="BC844" s="0" t="n">
        <v>0</v>
      </c>
      <c r="BD844" s="0" t="n">
        <v>0</v>
      </c>
      <c r="BE844" s="0" t="n">
        <v>0</v>
      </c>
      <c r="BF844" s="0" t="n">
        <v>0</v>
      </c>
      <c r="BG844" s="0" t="n">
        <v>0</v>
      </c>
      <c r="BH844" s="0" t="n">
        <v>0</v>
      </c>
      <c r="BI844" s="0" t="n">
        <v>0</v>
      </c>
      <c r="BJ844" s="0" t="n">
        <v>0</v>
      </c>
      <c r="BK844" s="0" t="n">
        <v>0</v>
      </c>
      <c r="BM844" s="6" t="n">
        <f aca="false">IFERROR(VALUE(F844),"")</f>
        <v>140.25</v>
      </c>
      <c r="BN844" s="6" t="n">
        <f aca="false">IF(R844="-","",IFERROR(VALUE(LEFT(Q844,LEN(Q844)-2)),""))</f>
        <v>46</v>
      </c>
      <c r="BO844" s="6" t="n">
        <f aca="false">IF(R844="-","",IFERROR(VALUE(LEFT(R844,LEN(R844)-5)),""))</f>
        <v>3.05</v>
      </c>
      <c r="BP844" s="6" t="n">
        <f aca="false">IF(R844="-","",IFERROR(VALUE(F844),""))</f>
        <v>140.25</v>
      </c>
      <c r="BQ844" s="4" t="n">
        <f aca="false">IF(R844="-",1,0)</f>
        <v>0</v>
      </c>
    </row>
    <row r="845" customFormat="false" ht="15" hidden="false" customHeight="false" outlineLevel="0" collapsed="false">
      <c r="A845" s="0" t="s">
        <v>3382</v>
      </c>
      <c r="B845" s="0" t="s">
        <v>3383</v>
      </c>
      <c r="C845" s="0" t="s">
        <v>70</v>
      </c>
      <c r="E845" s="3" t="n">
        <v>46273</v>
      </c>
      <c r="F845" s="4" t="s">
        <v>3384</v>
      </c>
      <c r="G845" s="5" t="n">
        <v>0.585289351851852</v>
      </c>
      <c r="H845" s="5" t="n">
        <v>0</v>
      </c>
      <c r="I845" s="5" t="n">
        <v>0.00393518518518519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5" t="n">
        <v>0</v>
      </c>
      <c r="P845" s="5" t="n">
        <v>0</v>
      </c>
      <c r="Q845" s="4" t="s">
        <v>3385</v>
      </c>
      <c r="R845" s="4" t="s">
        <v>1887</v>
      </c>
      <c r="S845" s="5" t="n">
        <v>0.000578703703703704</v>
      </c>
      <c r="T845" s="5" t="n">
        <v>0.155439814814815</v>
      </c>
      <c r="U845" s="5" t="n">
        <v>0.333101851851852</v>
      </c>
      <c r="V845" s="5" t="n">
        <v>0.0533564814814815</v>
      </c>
      <c r="W845" s="5" t="n">
        <v>0</v>
      </c>
      <c r="X845" s="5" t="n">
        <v>0</v>
      </c>
      <c r="Y845" s="5" t="n">
        <v>0</v>
      </c>
      <c r="Z845" s="0" t="n">
        <v>0</v>
      </c>
      <c r="AA845" s="0" t="n">
        <v>0</v>
      </c>
      <c r="AB845" s="0" t="n">
        <v>0</v>
      </c>
      <c r="AC845" s="4" t="s">
        <v>432</v>
      </c>
      <c r="AD845" s="4" t="s">
        <v>3386</v>
      </c>
      <c r="AE845" s="4" t="s">
        <v>3387</v>
      </c>
      <c r="AF845" s="4" t="s">
        <v>3388</v>
      </c>
      <c r="AG845" s="5" t="n">
        <v>0.490486111111111</v>
      </c>
      <c r="AH845" s="5" t="n">
        <v>0.17662037037037</v>
      </c>
      <c r="AI845" s="5" t="n">
        <v>0</v>
      </c>
      <c r="AJ845" s="5" t="n">
        <v>0</v>
      </c>
      <c r="AK845" s="5" t="n">
        <v>0</v>
      </c>
      <c r="AL845" s="5" t="n">
        <v>0</v>
      </c>
      <c r="AM845" s="4" t="s">
        <v>78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  <c r="AU845" s="0" t="n">
        <v>0</v>
      </c>
      <c r="AV845" s="0" t="n">
        <v>0</v>
      </c>
      <c r="AW845" s="0" t="n">
        <v>0</v>
      </c>
      <c r="AX845" s="0" t="n">
        <v>0</v>
      </c>
      <c r="AY845" s="0" t="n">
        <v>0</v>
      </c>
      <c r="AZ845" s="0" t="n">
        <v>0</v>
      </c>
      <c r="BA845" s="0" t="n">
        <v>0</v>
      </c>
      <c r="BB845" s="0" t="n">
        <v>1</v>
      </c>
      <c r="BC845" s="0" t="n">
        <v>0</v>
      </c>
      <c r="BD845" s="0" t="n">
        <v>0</v>
      </c>
      <c r="BE845" s="0" t="n">
        <v>0</v>
      </c>
      <c r="BF845" s="0" t="n">
        <v>0</v>
      </c>
      <c r="BG845" s="0" t="n">
        <v>0</v>
      </c>
      <c r="BH845" s="0" t="n">
        <v>0</v>
      </c>
      <c r="BI845" s="0" t="n">
        <v>0</v>
      </c>
      <c r="BJ845" s="0" t="n">
        <v>0</v>
      </c>
      <c r="BK845" s="0" t="n">
        <v>0</v>
      </c>
      <c r="BM845" s="6" t="n">
        <f aca="false">IFERROR(VALUE(F845),"")</f>
        <v>635.67</v>
      </c>
      <c r="BN845" s="6" t="n">
        <f aca="false">IF(R845="-","",IFERROR(VALUE(LEFT(Q845,LEN(Q845)-2)),""))</f>
        <v>204.5</v>
      </c>
      <c r="BO845" s="6" t="n">
        <f aca="false">IF(R845="-","",IFERROR(VALUE(LEFT(R845,LEN(R845)-5)),""))</f>
        <v>3.11</v>
      </c>
      <c r="BP845" s="6" t="n">
        <f aca="false">IF(R845="-","",IFERROR(VALUE(F845),""))</f>
        <v>635.67</v>
      </c>
      <c r="BQ845" s="4" t="n">
        <f aca="false">IF(R845="-",1,0)</f>
        <v>0</v>
      </c>
    </row>
    <row r="846" customFormat="false" ht="15" hidden="false" customHeight="false" outlineLevel="0" collapsed="false">
      <c r="A846" s="0" t="s">
        <v>3382</v>
      </c>
      <c r="B846" s="0" t="s">
        <v>3383</v>
      </c>
      <c r="C846" s="0" t="s">
        <v>70</v>
      </c>
      <c r="E846" s="3" t="n">
        <v>46274</v>
      </c>
      <c r="F846" s="4" t="s">
        <v>3389</v>
      </c>
      <c r="G846" s="5" t="n">
        <v>0.622824074074074</v>
      </c>
      <c r="H846" s="5" t="n">
        <v>0</v>
      </c>
      <c r="I846" s="5" t="n">
        <v>0.00284722222222222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1</v>
      </c>
      <c r="O846" s="5" t="n">
        <v>0</v>
      </c>
      <c r="P846" s="5" t="n">
        <v>0</v>
      </c>
      <c r="Q846" s="4" t="s">
        <v>3390</v>
      </c>
      <c r="R846" s="4" t="s">
        <v>535</v>
      </c>
      <c r="S846" s="5" t="n">
        <v>0.000925925925925926</v>
      </c>
      <c r="T846" s="5" t="n">
        <v>0.151388888888889</v>
      </c>
      <c r="U846" s="5" t="n">
        <v>0.398148148148148</v>
      </c>
      <c r="V846" s="5" t="n">
        <v>0.0217592592592593</v>
      </c>
      <c r="W846" s="5" t="n">
        <v>0</v>
      </c>
      <c r="X846" s="5" t="n">
        <v>0</v>
      </c>
      <c r="Y846" s="5" t="n">
        <v>0</v>
      </c>
      <c r="Z846" s="0" t="n">
        <v>0</v>
      </c>
      <c r="AA846" s="0" t="n">
        <v>0</v>
      </c>
      <c r="AB846" s="0" t="n">
        <v>0</v>
      </c>
      <c r="AC846" s="4" t="s">
        <v>3386</v>
      </c>
      <c r="AD846" s="4" t="s">
        <v>3391</v>
      </c>
      <c r="AE846" s="4" t="s">
        <v>3392</v>
      </c>
      <c r="AF846" s="4" t="s">
        <v>3393</v>
      </c>
      <c r="AG846" s="5" t="n">
        <v>0.524895833333333</v>
      </c>
      <c r="AH846" s="5" t="n">
        <v>0.215868055555556</v>
      </c>
      <c r="AI846" s="5" t="n">
        <v>0</v>
      </c>
      <c r="AJ846" s="5" t="n">
        <v>0</v>
      </c>
      <c r="AK846" s="5" t="n">
        <v>0</v>
      </c>
      <c r="AL846" s="5" t="n">
        <v>0</v>
      </c>
      <c r="AM846" s="4" t="s">
        <v>78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  <c r="AU846" s="0" t="n">
        <v>0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  <c r="BA846" s="0" t="n">
        <v>0</v>
      </c>
      <c r="BB846" s="0" t="n">
        <v>2</v>
      </c>
      <c r="BC846" s="0" t="n">
        <v>0</v>
      </c>
      <c r="BD846" s="0" t="n">
        <v>0</v>
      </c>
      <c r="BE846" s="0" t="n">
        <v>0</v>
      </c>
      <c r="BF846" s="0" t="n">
        <v>0</v>
      </c>
      <c r="BG846" s="0" t="n">
        <v>0</v>
      </c>
      <c r="BH846" s="0" t="n">
        <v>0</v>
      </c>
      <c r="BI846" s="0" t="n">
        <v>0</v>
      </c>
      <c r="BJ846" s="0" t="n">
        <v>0</v>
      </c>
      <c r="BK846" s="0" t="n">
        <v>0</v>
      </c>
      <c r="BM846" s="6" t="n">
        <f aca="false">IFERROR(VALUE(F846),"")</f>
        <v>690.66</v>
      </c>
      <c r="BN846" s="6" t="n">
        <f aca="false">IF(R846="-","",IFERROR(VALUE(LEFT(Q846,LEN(Q846)-2)),""))</f>
        <v>219.5</v>
      </c>
      <c r="BO846" s="6" t="n">
        <f aca="false">IF(R846="-","",IFERROR(VALUE(LEFT(R846,LEN(R846)-5)),""))</f>
        <v>3.15</v>
      </c>
      <c r="BP846" s="6" t="n">
        <f aca="false">IF(R846="-","",IFERROR(VALUE(F846),""))</f>
        <v>690.66</v>
      </c>
      <c r="BQ846" s="4" t="n">
        <f aca="false">IF(R846="-",1,0)</f>
        <v>0</v>
      </c>
    </row>
    <row r="847" customFormat="false" ht="15" hidden="false" customHeight="false" outlineLevel="0" collapsed="false">
      <c r="A847" s="0" t="s">
        <v>3382</v>
      </c>
      <c r="B847" s="0" t="s">
        <v>3383</v>
      </c>
      <c r="C847" s="0" t="s">
        <v>70</v>
      </c>
      <c r="E847" s="3" t="n">
        <v>46275</v>
      </c>
      <c r="F847" s="4" t="s">
        <v>3394</v>
      </c>
      <c r="G847" s="5" t="n">
        <v>0.587002314814815</v>
      </c>
      <c r="H847" s="5" t="n">
        <v>0</v>
      </c>
      <c r="I847" s="5" t="n">
        <v>0.000798611111111111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2</v>
      </c>
      <c r="O847" s="5" t="n">
        <v>0</v>
      </c>
      <c r="P847" s="5" t="n">
        <v>0.0078125</v>
      </c>
      <c r="Q847" s="4" t="s">
        <v>2896</v>
      </c>
      <c r="R847" s="4" t="s">
        <v>958</v>
      </c>
      <c r="S847" s="5" t="n">
        <v>0.000347222222222222</v>
      </c>
      <c r="T847" s="5" t="n">
        <v>0.155787037037037</v>
      </c>
      <c r="U847" s="5" t="n">
        <v>0.386226851851852</v>
      </c>
      <c r="V847" s="5" t="n">
        <v>0.0115740740740741</v>
      </c>
      <c r="W847" s="5" t="n">
        <v>0</v>
      </c>
      <c r="X847" s="5" t="n">
        <v>0</v>
      </c>
      <c r="Y847" s="5" t="n">
        <v>0</v>
      </c>
      <c r="Z847" s="0" t="n">
        <v>0</v>
      </c>
      <c r="AA847" s="0" t="n">
        <v>0</v>
      </c>
      <c r="AB847" s="0" t="n">
        <v>0</v>
      </c>
      <c r="AC847" s="4" t="s">
        <v>3391</v>
      </c>
      <c r="AD847" s="4" t="s">
        <v>3391</v>
      </c>
      <c r="AE847" s="4" t="s">
        <v>3395</v>
      </c>
      <c r="AF847" s="4" t="s">
        <v>3396</v>
      </c>
      <c r="AG847" s="5" t="n">
        <v>0.494328703703704</v>
      </c>
      <c r="AH847" s="5" t="n">
        <v>0.218321759259259</v>
      </c>
      <c r="AI847" s="5" t="n">
        <v>0</v>
      </c>
      <c r="AJ847" s="5" t="n">
        <v>0</v>
      </c>
      <c r="AK847" s="5" t="n">
        <v>0</v>
      </c>
      <c r="AL847" s="5" t="n">
        <v>0</v>
      </c>
      <c r="AM847" s="4" t="s">
        <v>78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  <c r="AU847" s="0" t="n">
        <v>0</v>
      </c>
      <c r="AV847" s="0" t="n">
        <v>0</v>
      </c>
      <c r="AW847" s="0" t="n">
        <v>0</v>
      </c>
      <c r="AX847" s="0" t="n">
        <v>0</v>
      </c>
      <c r="AY847" s="0" t="n">
        <v>0</v>
      </c>
      <c r="AZ847" s="0" t="n">
        <v>0</v>
      </c>
      <c r="BA847" s="0" t="n">
        <v>0</v>
      </c>
      <c r="BB847" s="0" t="n">
        <v>0</v>
      </c>
      <c r="BC847" s="0" t="n">
        <v>0</v>
      </c>
      <c r="BD847" s="0" t="n">
        <v>0</v>
      </c>
      <c r="BE847" s="0" t="n">
        <v>0</v>
      </c>
      <c r="BF847" s="0" t="n">
        <v>0</v>
      </c>
      <c r="BG847" s="0" t="n">
        <v>0</v>
      </c>
      <c r="BH847" s="0" t="n">
        <v>0</v>
      </c>
      <c r="BI847" s="0" t="n">
        <v>0</v>
      </c>
      <c r="BJ847" s="0" t="n">
        <v>0</v>
      </c>
      <c r="BK847" s="0" t="n">
        <v>0</v>
      </c>
      <c r="BM847" s="6" t="n">
        <f aca="false">IFERROR(VALUE(F847),"")</f>
        <v>662.23</v>
      </c>
      <c r="BN847" s="6" t="n">
        <f aca="false">IF(R847="-","",IFERROR(VALUE(LEFT(Q847,LEN(Q847)-2)),""))</f>
        <v>196.99</v>
      </c>
      <c r="BO847" s="6" t="n">
        <f aca="false">IF(R847="-","",IFERROR(VALUE(LEFT(R847,LEN(R847)-5)),""))</f>
        <v>3.36</v>
      </c>
      <c r="BP847" s="6" t="n">
        <f aca="false">IF(R847="-","",IFERROR(VALUE(F847),""))</f>
        <v>662.23</v>
      </c>
      <c r="BQ847" s="4" t="n">
        <f aca="false">IF(R847="-",1,0)</f>
        <v>0</v>
      </c>
    </row>
    <row r="848" customFormat="false" ht="15" hidden="false" customHeight="false" outlineLevel="0" collapsed="false">
      <c r="A848" s="0" t="s">
        <v>3382</v>
      </c>
      <c r="B848" s="0" t="s">
        <v>3383</v>
      </c>
      <c r="C848" s="0" t="s">
        <v>70</v>
      </c>
      <c r="E848" s="3" t="n">
        <v>46276</v>
      </c>
      <c r="F848" s="4" t="s">
        <v>3397</v>
      </c>
      <c r="G848" s="5" t="n">
        <v>0.415196759259259</v>
      </c>
      <c r="H848" s="5" t="n">
        <v>0</v>
      </c>
      <c r="I848" s="5" t="n">
        <v>0.00741898148148148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7</v>
      </c>
      <c r="O848" s="5" t="n">
        <v>0</v>
      </c>
      <c r="P848" s="5" t="n">
        <v>0</v>
      </c>
      <c r="Q848" s="4" t="s">
        <v>3398</v>
      </c>
      <c r="R848" s="4" t="s">
        <v>336</v>
      </c>
      <c r="S848" s="5" t="n">
        <v>0.000694444444444445</v>
      </c>
      <c r="T848" s="5" t="n">
        <v>0.152222222222222</v>
      </c>
      <c r="U848" s="5" t="n">
        <v>0.206145833333333</v>
      </c>
      <c r="V848" s="5" t="n">
        <v>0.0193402777777778</v>
      </c>
      <c r="W848" s="5" t="n">
        <v>0.000462962962962963</v>
      </c>
      <c r="X848" s="5" t="n">
        <v>0</v>
      </c>
      <c r="Y848" s="5" t="n">
        <v>0.000127314814814815</v>
      </c>
      <c r="Z848" s="0" t="n">
        <v>0</v>
      </c>
      <c r="AA848" s="0" t="n">
        <v>0</v>
      </c>
      <c r="AB848" s="0" t="n">
        <v>0</v>
      </c>
      <c r="AC848" s="4" t="s">
        <v>3391</v>
      </c>
      <c r="AD848" s="4" t="s">
        <v>74</v>
      </c>
      <c r="AE848" s="4" t="s">
        <v>3399</v>
      </c>
      <c r="AF848" s="4" t="s">
        <v>3400</v>
      </c>
      <c r="AG848" s="5" t="n">
        <v>0.306574074074074</v>
      </c>
      <c r="AH848" s="5" t="n">
        <v>0.2515625</v>
      </c>
      <c r="AI848" s="5" t="n">
        <v>0</v>
      </c>
      <c r="AJ848" s="5" t="n">
        <v>0</v>
      </c>
      <c r="AK848" s="5" t="n">
        <v>0</v>
      </c>
      <c r="AL848" s="5" t="n">
        <v>0</v>
      </c>
      <c r="AM848" s="4" t="s">
        <v>78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  <c r="AU848" s="0" t="n">
        <v>0</v>
      </c>
      <c r="AV848" s="0" t="n">
        <v>0</v>
      </c>
      <c r="AW848" s="0" t="n">
        <v>0</v>
      </c>
      <c r="AX848" s="0" t="n">
        <v>0</v>
      </c>
      <c r="AY848" s="0" t="n">
        <v>0</v>
      </c>
      <c r="AZ848" s="0" t="n">
        <v>0</v>
      </c>
      <c r="BA848" s="0" t="n">
        <v>0</v>
      </c>
      <c r="BB848" s="0" t="n">
        <v>0</v>
      </c>
      <c r="BC848" s="0" t="n">
        <v>0</v>
      </c>
      <c r="BD848" s="0" t="n">
        <v>0</v>
      </c>
      <c r="BE848" s="0" t="n">
        <v>0</v>
      </c>
      <c r="BF848" s="0" t="n">
        <v>0</v>
      </c>
      <c r="BG848" s="0" t="n">
        <v>0</v>
      </c>
      <c r="BH848" s="0" t="n">
        <v>0</v>
      </c>
      <c r="BI848" s="0" t="n">
        <v>0</v>
      </c>
      <c r="BJ848" s="0" t="n">
        <v>0</v>
      </c>
      <c r="BK848" s="0" t="n">
        <v>0</v>
      </c>
      <c r="BM848" s="6" t="n">
        <f aca="false">IFERROR(VALUE(F848),"")</f>
        <v>378.01</v>
      </c>
      <c r="BN848" s="6" t="n">
        <f aca="false">IF(R848="-","",IFERROR(VALUE(LEFT(Q848,LEN(Q848)-2)),""))</f>
        <v>133.49</v>
      </c>
      <c r="BO848" s="6" t="n">
        <f aca="false">IF(R848="-","",IFERROR(VALUE(LEFT(R848,LEN(R848)-5)),""))</f>
        <v>2.83</v>
      </c>
      <c r="BP848" s="6" t="n">
        <f aca="false">IF(R848="-","",IFERROR(VALUE(F848),""))</f>
        <v>378.01</v>
      </c>
      <c r="BQ848" s="4" t="n">
        <f aca="false">IF(R848="-",1,0)</f>
        <v>0</v>
      </c>
    </row>
    <row r="849" customFormat="false" ht="15" hidden="false" customHeight="false" outlineLevel="0" collapsed="false">
      <c r="A849" s="0" t="s">
        <v>3382</v>
      </c>
      <c r="B849" s="0" t="s">
        <v>3383</v>
      </c>
      <c r="C849" s="0" t="s">
        <v>70</v>
      </c>
      <c r="E849" s="3" t="n">
        <v>46277</v>
      </c>
      <c r="F849" s="4" t="s">
        <v>3401</v>
      </c>
      <c r="G849" s="5" t="n">
        <v>0.368032407407407</v>
      </c>
      <c r="H849" s="5" t="n">
        <v>0</v>
      </c>
      <c r="I849" s="5" t="n">
        <v>0.000277777777777778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5" t="n">
        <v>0</v>
      </c>
      <c r="P849" s="5" t="n">
        <v>0</v>
      </c>
      <c r="Q849" s="4" t="s">
        <v>2300</v>
      </c>
      <c r="R849" s="4" t="s">
        <v>332</v>
      </c>
      <c r="S849" s="5" t="n">
        <v>0.000231481481481482</v>
      </c>
      <c r="T849" s="5" t="n">
        <v>0.115277777777778</v>
      </c>
      <c r="U849" s="5" t="n">
        <v>0.201273148148148</v>
      </c>
      <c r="V849" s="5" t="n">
        <v>0.0344907407407407</v>
      </c>
      <c r="W849" s="5" t="n">
        <v>0</v>
      </c>
      <c r="X849" s="5" t="n">
        <v>0</v>
      </c>
      <c r="Y849" s="5" t="n">
        <v>0</v>
      </c>
      <c r="Z849" s="0" t="n">
        <v>0</v>
      </c>
      <c r="AA849" s="0" t="n">
        <v>0</v>
      </c>
      <c r="AB849" s="0" t="n">
        <v>0</v>
      </c>
      <c r="AC849" s="4" t="s">
        <v>75</v>
      </c>
      <c r="AD849" s="4" t="s">
        <v>887</v>
      </c>
      <c r="AE849" s="4" t="s">
        <v>3400</v>
      </c>
      <c r="AF849" s="4" t="s">
        <v>3402</v>
      </c>
      <c r="AG849" s="5" t="n">
        <v>0.309097222222222</v>
      </c>
      <c r="AH849" s="5" t="n">
        <v>0.118680555555556</v>
      </c>
      <c r="AI849" s="5" t="n">
        <v>0</v>
      </c>
      <c r="AJ849" s="5" t="n">
        <v>0</v>
      </c>
      <c r="AK849" s="5" t="n">
        <v>0</v>
      </c>
      <c r="AL849" s="5" t="n">
        <v>0</v>
      </c>
      <c r="AM849" s="4" t="s">
        <v>78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  <c r="BA849" s="0" t="n">
        <v>0</v>
      </c>
      <c r="BB849" s="0" t="n">
        <v>1</v>
      </c>
      <c r="BC849" s="0" t="n">
        <v>0</v>
      </c>
      <c r="BD849" s="0" t="n">
        <v>0</v>
      </c>
      <c r="BE849" s="0" t="n">
        <v>0</v>
      </c>
      <c r="BF849" s="0" t="n">
        <v>0</v>
      </c>
      <c r="BG849" s="0" t="n">
        <v>0</v>
      </c>
      <c r="BH849" s="0" t="n">
        <v>0</v>
      </c>
      <c r="BI849" s="0" t="n">
        <v>0</v>
      </c>
      <c r="BJ849" s="0" t="n">
        <v>0</v>
      </c>
      <c r="BK849" s="0" t="n">
        <v>0</v>
      </c>
      <c r="BM849" s="6" t="n">
        <f aca="false">IFERROR(VALUE(F849),"")</f>
        <v>366.51</v>
      </c>
      <c r="BN849" s="6" t="n">
        <f aca="false">IF(R849="-","",IFERROR(VALUE(LEFT(Q849,LEN(Q849)-2)),""))</f>
        <v>128.99</v>
      </c>
      <c r="BO849" s="6" t="n">
        <f aca="false">IF(R849="-","",IFERROR(VALUE(LEFT(R849,LEN(R849)-5)),""))</f>
        <v>2.84</v>
      </c>
      <c r="BP849" s="6" t="n">
        <f aca="false">IF(R849="-","",IFERROR(VALUE(F849),""))</f>
        <v>366.51</v>
      </c>
      <c r="BQ849" s="4" t="n">
        <f aca="false">IF(R849="-",1,0)</f>
        <v>0</v>
      </c>
    </row>
    <row r="850" customFormat="false" ht="15" hidden="false" customHeight="false" outlineLevel="0" collapsed="false">
      <c r="A850" s="0" t="s">
        <v>3382</v>
      </c>
      <c r="B850" s="0" t="s">
        <v>3383</v>
      </c>
      <c r="C850" s="0" t="s">
        <v>70</v>
      </c>
      <c r="E850" s="3" t="n">
        <v>46278</v>
      </c>
      <c r="F850" s="4" t="s">
        <v>3403</v>
      </c>
      <c r="G850" s="5" t="n">
        <v>0.571886574074074</v>
      </c>
      <c r="H850" s="5" t="n">
        <v>0</v>
      </c>
      <c r="I850" s="5" t="n">
        <v>0.000462962962962963</v>
      </c>
      <c r="J850" s="0" t="n">
        <v>0</v>
      </c>
      <c r="K850" s="0" t="n">
        <v>1</v>
      </c>
      <c r="L850" s="0" t="n">
        <v>0</v>
      </c>
      <c r="M850" s="0" t="n">
        <v>0</v>
      </c>
      <c r="N850" s="0" t="n">
        <v>1</v>
      </c>
      <c r="O850" s="5" t="n">
        <v>0</v>
      </c>
      <c r="P850" s="5" t="n">
        <v>0</v>
      </c>
      <c r="Q850" s="4" t="s">
        <v>3404</v>
      </c>
      <c r="R850" s="4" t="s">
        <v>378</v>
      </c>
      <c r="S850" s="5" t="n">
        <v>0.000925925925925926</v>
      </c>
      <c r="T850" s="5" t="n">
        <v>0.152893518518519</v>
      </c>
      <c r="U850" s="5" t="n">
        <v>0.234606481481482</v>
      </c>
      <c r="V850" s="5" t="n">
        <v>0.0269675925925926</v>
      </c>
      <c r="W850" s="5" t="n">
        <v>0</v>
      </c>
      <c r="X850" s="5" t="n">
        <v>0</v>
      </c>
      <c r="Y850" s="5" t="n">
        <v>0</v>
      </c>
      <c r="Z850" s="0" t="n">
        <v>0</v>
      </c>
      <c r="AA850" s="0" t="n">
        <v>0</v>
      </c>
      <c r="AB850" s="0" t="n">
        <v>0</v>
      </c>
      <c r="AC850" s="4" t="s">
        <v>882</v>
      </c>
      <c r="AD850" s="4" t="s">
        <v>208</v>
      </c>
      <c r="AE850" s="4" t="s">
        <v>3402</v>
      </c>
      <c r="AF850" s="4" t="s">
        <v>3405</v>
      </c>
      <c r="AG850" s="5" t="n">
        <v>0.350289351851852</v>
      </c>
      <c r="AH850" s="5" t="n">
        <v>0.326631944444444</v>
      </c>
      <c r="AI850" s="5" t="n">
        <v>0</v>
      </c>
      <c r="AJ850" s="5" t="n">
        <v>0</v>
      </c>
      <c r="AK850" s="5" t="n">
        <v>0</v>
      </c>
      <c r="AL850" s="5" t="n">
        <v>0</v>
      </c>
      <c r="AM850" s="4" t="s">
        <v>78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  <c r="AU850" s="0" t="n">
        <v>0</v>
      </c>
      <c r="AV850" s="0" t="n">
        <v>0</v>
      </c>
      <c r="AW850" s="0" t="n">
        <v>0</v>
      </c>
      <c r="AX850" s="0" t="n">
        <v>0</v>
      </c>
      <c r="AY850" s="0" t="n">
        <v>0</v>
      </c>
      <c r="AZ850" s="0" t="n">
        <v>0</v>
      </c>
      <c r="BA850" s="0" t="n">
        <v>0</v>
      </c>
      <c r="BB850" s="0" t="n">
        <v>0</v>
      </c>
      <c r="BC850" s="0" t="n">
        <v>0</v>
      </c>
      <c r="BD850" s="0" t="n">
        <v>0</v>
      </c>
      <c r="BE850" s="0" t="n">
        <v>0</v>
      </c>
      <c r="BF850" s="0" t="n">
        <v>0</v>
      </c>
      <c r="BG850" s="0" t="n">
        <v>0</v>
      </c>
      <c r="BH850" s="0" t="n">
        <v>0</v>
      </c>
      <c r="BI850" s="0" t="n">
        <v>0</v>
      </c>
      <c r="BJ850" s="0" t="n">
        <v>0</v>
      </c>
      <c r="BK850" s="0" t="n">
        <v>0</v>
      </c>
      <c r="BM850" s="6" t="n">
        <f aca="false">IFERROR(VALUE(F850),"")</f>
        <v>396.16</v>
      </c>
      <c r="BN850" s="6" t="n">
        <f aca="false">IF(R850="-","",IFERROR(VALUE(LEFT(Q850,LEN(Q850)-2)),""))</f>
        <v>146</v>
      </c>
      <c r="BO850" s="6" t="n">
        <f aca="false">IF(R850="-","",IFERROR(VALUE(LEFT(R850,LEN(R850)-5)),""))</f>
        <v>2.71</v>
      </c>
      <c r="BP850" s="6" t="n">
        <f aca="false">IF(R850="-","",IFERROR(VALUE(F850),""))</f>
        <v>396.16</v>
      </c>
      <c r="BQ850" s="4" t="n">
        <f aca="false">IF(R850="-",1,0)</f>
        <v>0</v>
      </c>
    </row>
    <row r="851" customFormat="false" ht="15" hidden="false" customHeight="false" outlineLevel="0" collapsed="false">
      <c r="A851" s="0" t="s">
        <v>3382</v>
      </c>
      <c r="B851" s="0" t="s">
        <v>3383</v>
      </c>
      <c r="C851" s="0" t="s">
        <v>70</v>
      </c>
      <c r="E851" s="3" t="n">
        <v>46279</v>
      </c>
      <c r="F851" s="4" t="s">
        <v>2556</v>
      </c>
      <c r="G851" s="5" t="n">
        <v>0.0634143518518519</v>
      </c>
      <c r="H851" s="5" t="n">
        <v>0</v>
      </c>
      <c r="I851" s="5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5" t="n">
        <v>0</v>
      </c>
      <c r="P851" s="5" t="n">
        <v>0</v>
      </c>
      <c r="Q851" s="4" t="s">
        <v>2726</v>
      </c>
      <c r="R851" s="4" t="s">
        <v>1194</v>
      </c>
      <c r="S851" s="5" t="n">
        <v>0</v>
      </c>
      <c r="T851" s="5" t="n">
        <v>0.00625</v>
      </c>
      <c r="U851" s="5" t="n">
        <v>0.000462962962962963</v>
      </c>
      <c r="V851" s="5" t="n">
        <v>0</v>
      </c>
      <c r="W851" s="5" t="n">
        <v>0</v>
      </c>
      <c r="X851" s="5" t="n">
        <v>0</v>
      </c>
      <c r="Y851" s="5" t="n">
        <v>0</v>
      </c>
      <c r="Z851" s="0" t="n">
        <v>0</v>
      </c>
      <c r="AA851" s="0" t="n">
        <v>0</v>
      </c>
      <c r="AB851" s="0" t="n">
        <v>0</v>
      </c>
      <c r="AC851" s="4" t="s">
        <v>208</v>
      </c>
      <c r="AD851" s="4" t="s">
        <v>208</v>
      </c>
      <c r="AE851" s="4" t="s">
        <v>3405</v>
      </c>
      <c r="AF851" s="4" t="s">
        <v>3406</v>
      </c>
      <c r="AG851" s="5" t="n">
        <v>0.00188657407407407</v>
      </c>
      <c r="AH851" s="5" t="n">
        <v>0.0966666666666667</v>
      </c>
      <c r="AI851" s="5" t="n">
        <v>0</v>
      </c>
      <c r="AJ851" s="5" t="n">
        <v>0</v>
      </c>
      <c r="AK851" s="5" t="n">
        <v>0</v>
      </c>
      <c r="AL851" s="5" t="n">
        <v>0</v>
      </c>
      <c r="AM851" s="4" t="s">
        <v>78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</v>
      </c>
      <c r="BA851" s="0" t="n">
        <v>0</v>
      </c>
      <c r="BB851" s="0" t="n">
        <v>0</v>
      </c>
      <c r="BC851" s="0" t="n">
        <v>2</v>
      </c>
      <c r="BD851" s="0" t="n">
        <v>2</v>
      </c>
      <c r="BE851" s="0" t="n">
        <v>0</v>
      </c>
      <c r="BF851" s="0" t="n">
        <v>0</v>
      </c>
      <c r="BG851" s="0" t="n">
        <v>0</v>
      </c>
      <c r="BH851" s="0" t="n">
        <v>0</v>
      </c>
      <c r="BI851" s="0" t="n">
        <v>0</v>
      </c>
      <c r="BJ851" s="0" t="n">
        <v>0</v>
      </c>
      <c r="BK851" s="0" t="n">
        <v>0</v>
      </c>
      <c r="BM851" s="6" t="n">
        <f aca="false">IFERROR(VALUE(F851),"")</f>
        <v>0.24</v>
      </c>
      <c r="BN851" s="6" t="n">
        <f aca="false">IF(R851="-","",IFERROR(VALUE(LEFT(Q851,LEN(Q851)-2)),""))</f>
        <v>1.01</v>
      </c>
      <c r="BO851" s="6" t="n">
        <f aca="false">IF(R851="-","",IFERROR(VALUE(LEFT(R851,LEN(R851)-5)),""))</f>
        <v>0.24</v>
      </c>
      <c r="BP851" s="6" t="n">
        <f aca="false">IF(R851="-","",IFERROR(VALUE(F851),""))</f>
        <v>0.24</v>
      </c>
      <c r="BQ851" s="4" t="n">
        <f aca="false">IF(R851="-",1,0)</f>
        <v>0</v>
      </c>
    </row>
    <row r="852" customFormat="false" ht="15" hidden="false" customHeight="false" outlineLevel="0" collapsed="false">
      <c r="A852" s="0" t="s">
        <v>3407</v>
      </c>
      <c r="B852" s="0" t="s">
        <v>3408</v>
      </c>
      <c r="C852" s="0" t="s">
        <v>70</v>
      </c>
      <c r="E852" s="3" t="n">
        <v>46273</v>
      </c>
      <c r="F852" s="4" t="s">
        <v>1449</v>
      </c>
      <c r="G852" s="5" t="n">
        <v>0.00821759259259259</v>
      </c>
      <c r="H852" s="5" t="n">
        <v>0</v>
      </c>
      <c r="I852" s="5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5" t="n">
        <v>0</v>
      </c>
      <c r="P852" s="5" t="n">
        <v>0</v>
      </c>
      <c r="Q852" s="4" t="s">
        <v>971</v>
      </c>
      <c r="R852" s="4" t="s">
        <v>3409</v>
      </c>
      <c r="S852" s="5" t="n">
        <v>0</v>
      </c>
      <c r="T852" s="5" t="n">
        <v>0.00775462962962963</v>
      </c>
      <c r="U852" s="5" t="n">
        <v>0</v>
      </c>
      <c r="V852" s="5" t="n">
        <v>0</v>
      </c>
      <c r="W852" s="5" t="n">
        <v>0</v>
      </c>
      <c r="X852" s="5" t="n">
        <v>0</v>
      </c>
      <c r="Y852" s="5" t="n">
        <v>0</v>
      </c>
      <c r="Z852" s="0" t="n">
        <v>0</v>
      </c>
      <c r="AA852" s="0" t="n">
        <v>0</v>
      </c>
      <c r="AB852" s="0" t="n">
        <v>0</v>
      </c>
      <c r="AC852" s="4" t="s">
        <v>74</v>
      </c>
      <c r="AD852" s="4" t="s">
        <v>74</v>
      </c>
      <c r="AE852" s="4" t="s">
        <v>3410</v>
      </c>
      <c r="AF852" s="4" t="s">
        <v>3411</v>
      </c>
      <c r="AG852" s="5" t="n">
        <v>0.000798611111111111</v>
      </c>
      <c r="AH852" s="5" t="n">
        <v>0.0181018518518519</v>
      </c>
      <c r="AI852" s="5" t="n">
        <v>0</v>
      </c>
      <c r="AJ852" s="5" t="n">
        <v>0</v>
      </c>
      <c r="AK852" s="5" t="n">
        <v>0</v>
      </c>
      <c r="AL852" s="5" t="n">
        <v>0</v>
      </c>
      <c r="AM852" s="4" t="s">
        <v>78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  <c r="AU852" s="0" t="n">
        <v>0</v>
      </c>
      <c r="AV852" s="0" t="n">
        <v>0</v>
      </c>
      <c r="AW852" s="0" t="n">
        <v>0</v>
      </c>
      <c r="AX852" s="0" t="n">
        <v>0</v>
      </c>
      <c r="AY852" s="0" t="n">
        <v>0</v>
      </c>
      <c r="AZ852" s="0" t="n">
        <v>0</v>
      </c>
      <c r="BA852" s="0" t="n">
        <v>0</v>
      </c>
      <c r="BB852" s="0" t="n">
        <v>0</v>
      </c>
      <c r="BC852" s="0" t="n">
        <v>0</v>
      </c>
      <c r="BD852" s="0" t="n">
        <v>0</v>
      </c>
      <c r="BE852" s="0" t="n">
        <v>0</v>
      </c>
      <c r="BF852" s="0" t="n">
        <v>0</v>
      </c>
      <c r="BG852" s="0" t="n">
        <v>0</v>
      </c>
      <c r="BH852" s="0" t="n">
        <v>0</v>
      </c>
      <c r="BI852" s="0" t="n">
        <v>0</v>
      </c>
      <c r="BJ852" s="0" t="n">
        <v>0</v>
      </c>
      <c r="BK852" s="0" t="n">
        <v>0</v>
      </c>
      <c r="BM852" s="6" t="n">
        <f aca="false">IFERROR(VALUE(F852),"")</f>
        <v>0.05</v>
      </c>
      <c r="BN852" s="6" t="n">
        <f aca="false">IF(R852="-","",IFERROR(VALUE(LEFT(Q852,LEN(Q852)-2)),""))</f>
        <v>0.5</v>
      </c>
      <c r="BO852" s="6" t="n">
        <f aca="false">IF(R852="-","",IFERROR(VALUE(LEFT(R852,LEN(R852)-5)),""))</f>
        <v>0.1</v>
      </c>
      <c r="BP852" s="6" t="n">
        <f aca="false">IF(R852="-","",IFERROR(VALUE(F852),""))</f>
        <v>0.05</v>
      </c>
      <c r="BQ852" s="4" t="n">
        <f aca="false">IF(R852="-",1,0)</f>
        <v>0</v>
      </c>
    </row>
    <row r="853" customFormat="false" ht="15" hidden="false" customHeight="false" outlineLevel="0" collapsed="false">
      <c r="A853" s="0" t="s">
        <v>3407</v>
      </c>
      <c r="B853" s="0" t="s">
        <v>3408</v>
      </c>
      <c r="C853" s="0" t="s">
        <v>70</v>
      </c>
      <c r="D853" s="0" t="s">
        <v>3412</v>
      </c>
      <c r="E853" s="3" t="n">
        <v>46274</v>
      </c>
      <c r="F853" s="4" t="s">
        <v>3413</v>
      </c>
      <c r="G853" s="5" t="n">
        <v>0.3184375</v>
      </c>
      <c r="H853" s="5" t="n">
        <v>0.283113425925926</v>
      </c>
      <c r="I853" s="5" t="n">
        <v>4.62962962962963E-005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5" t="n">
        <v>0</v>
      </c>
      <c r="P853" s="5" t="n">
        <v>0</v>
      </c>
      <c r="Q853" s="4" t="s">
        <v>3414</v>
      </c>
      <c r="R853" s="4" t="s">
        <v>515</v>
      </c>
      <c r="S853" s="5" t="n">
        <v>0.000810185185185185</v>
      </c>
      <c r="T853" s="5" t="n">
        <v>0.146296296296296</v>
      </c>
      <c r="U853" s="5" t="n">
        <v>0.142939814814815</v>
      </c>
      <c r="V853" s="5" t="n">
        <v>0.00428240740740741</v>
      </c>
      <c r="W853" s="5" t="n">
        <v>0</v>
      </c>
      <c r="X853" s="5" t="n">
        <v>0</v>
      </c>
      <c r="Y853" s="5" t="n">
        <v>0</v>
      </c>
      <c r="Z853" s="0" t="n">
        <v>0</v>
      </c>
      <c r="AA853" s="0" t="n">
        <v>0</v>
      </c>
      <c r="AB853" s="0" t="n">
        <v>0</v>
      </c>
      <c r="AC853" s="4" t="s">
        <v>74</v>
      </c>
      <c r="AD853" s="4" t="s">
        <v>228</v>
      </c>
      <c r="AE853" s="4" t="s">
        <v>3411</v>
      </c>
      <c r="AF853" s="4" t="s">
        <v>3415</v>
      </c>
      <c r="AG853" s="5" t="n">
        <v>0.265277777777778</v>
      </c>
      <c r="AH853" s="5" t="n">
        <v>0.11193287037037</v>
      </c>
      <c r="AI853" s="5" t="n">
        <v>0</v>
      </c>
      <c r="AJ853" s="5" t="n">
        <v>0</v>
      </c>
      <c r="AK853" s="5" t="n">
        <v>0</v>
      </c>
      <c r="AL853" s="5" t="n">
        <v>0</v>
      </c>
      <c r="AM853" s="4" t="s">
        <v>78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  <c r="AU853" s="0" t="n">
        <v>5</v>
      </c>
      <c r="AV853" s="0" t="n">
        <v>0</v>
      </c>
      <c r="AW853" s="0" t="n">
        <v>0</v>
      </c>
      <c r="AX853" s="0" t="n">
        <v>0</v>
      </c>
      <c r="AY853" s="0" t="n">
        <v>0</v>
      </c>
      <c r="AZ853" s="0" t="n">
        <v>0</v>
      </c>
      <c r="BA853" s="0" t="n">
        <v>0</v>
      </c>
      <c r="BB853" s="0" t="n">
        <v>0</v>
      </c>
      <c r="BC853" s="0" t="n">
        <v>0</v>
      </c>
      <c r="BD853" s="0" t="n">
        <v>0</v>
      </c>
      <c r="BE853" s="0" t="n">
        <v>0</v>
      </c>
      <c r="BF853" s="0" t="n">
        <v>0</v>
      </c>
      <c r="BG853" s="0" t="n">
        <v>0</v>
      </c>
      <c r="BH853" s="0" t="n">
        <v>0</v>
      </c>
      <c r="BI853" s="0" t="n">
        <v>0</v>
      </c>
      <c r="BJ853" s="0" t="n">
        <v>0</v>
      </c>
      <c r="BK853" s="0" t="n">
        <v>0</v>
      </c>
      <c r="BM853" s="6" t="n">
        <f aca="false">IFERROR(VALUE(F853),"")</f>
        <v>213.19</v>
      </c>
      <c r="BN853" s="6" t="n">
        <f aca="false">IF(R853="-","",IFERROR(VALUE(LEFT(Q853,LEN(Q853)-2)),""))</f>
        <v>79</v>
      </c>
      <c r="BO853" s="6" t="n">
        <f aca="false">IF(R853="-","",IFERROR(VALUE(LEFT(R853,LEN(R853)-5)),""))</f>
        <v>2.7</v>
      </c>
      <c r="BP853" s="6" t="n">
        <f aca="false">IF(R853="-","",IFERROR(VALUE(F853),""))</f>
        <v>213.19</v>
      </c>
      <c r="BQ853" s="4" t="n">
        <f aca="false">IF(R853="-",1,0)</f>
        <v>0</v>
      </c>
    </row>
    <row r="854" customFormat="false" ht="15" hidden="false" customHeight="false" outlineLevel="0" collapsed="false">
      <c r="A854" s="0" t="s">
        <v>3407</v>
      </c>
      <c r="B854" s="0" t="s">
        <v>3408</v>
      </c>
      <c r="C854" s="0" t="s">
        <v>70</v>
      </c>
      <c r="E854" s="3" t="n">
        <v>46275</v>
      </c>
      <c r="F854" s="4" t="s">
        <v>3416</v>
      </c>
      <c r="G854" s="5" t="n">
        <v>0.0292708333333333</v>
      </c>
      <c r="H854" s="5" t="n">
        <v>0</v>
      </c>
      <c r="I854" s="5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5" t="n">
        <v>0</v>
      </c>
      <c r="P854" s="5" t="n">
        <v>0.00741898148148148</v>
      </c>
      <c r="Q854" s="4" t="s">
        <v>3417</v>
      </c>
      <c r="R854" s="4" t="s">
        <v>2524</v>
      </c>
      <c r="S854" s="5" t="n">
        <v>0</v>
      </c>
      <c r="T854" s="5" t="n">
        <v>0.0189814814814815</v>
      </c>
      <c r="U854" s="5" t="n">
        <v>0.000231481481481482</v>
      </c>
      <c r="V854" s="5" t="n">
        <v>0</v>
      </c>
      <c r="W854" s="5" t="n">
        <v>0</v>
      </c>
      <c r="X854" s="5" t="n">
        <v>0</v>
      </c>
      <c r="Y854" s="5" t="n">
        <v>0</v>
      </c>
      <c r="Z854" s="0" t="n">
        <v>0</v>
      </c>
      <c r="AA854" s="0" t="n">
        <v>0</v>
      </c>
      <c r="AB854" s="0" t="n">
        <v>0</v>
      </c>
      <c r="AC854" s="4" t="s">
        <v>75</v>
      </c>
      <c r="AD854" s="4" t="s">
        <v>228</v>
      </c>
      <c r="AE854" s="4" t="s">
        <v>3415</v>
      </c>
      <c r="AF854" s="4" t="s">
        <v>3418</v>
      </c>
      <c r="AG854" s="5" t="n">
        <v>0.00646990740740741</v>
      </c>
      <c r="AH854" s="5" t="n">
        <v>0.115891203703704</v>
      </c>
      <c r="AI854" s="5" t="n">
        <v>0</v>
      </c>
      <c r="AJ854" s="5" t="n">
        <v>0</v>
      </c>
      <c r="AK854" s="5" t="n">
        <v>0</v>
      </c>
      <c r="AL854" s="5" t="n">
        <v>0</v>
      </c>
      <c r="AM854" s="4" t="s">
        <v>78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0</v>
      </c>
      <c r="AZ854" s="0" t="n">
        <v>0</v>
      </c>
      <c r="BA854" s="0" t="n">
        <v>0</v>
      </c>
      <c r="BB854" s="0" t="n">
        <v>0</v>
      </c>
      <c r="BC854" s="0" t="n">
        <v>0</v>
      </c>
      <c r="BD854" s="0" t="n">
        <v>0</v>
      </c>
      <c r="BE854" s="0" t="n">
        <v>0</v>
      </c>
      <c r="BF854" s="0" t="n">
        <v>0</v>
      </c>
      <c r="BG854" s="0" t="n">
        <v>0</v>
      </c>
      <c r="BH854" s="0" t="n">
        <v>0</v>
      </c>
      <c r="BI854" s="0" t="n">
        <v>0</v>
      </c>
      <c r="BJ854" s="0" t="n">
        <v>0</v>
      </c>
      <c r="BK854" s="0" t="n">
        <v>0</v>
      </c>
      <c r="BM854" s="6" t="n">
        <f aca="false">IFERROR(VALUE(F854),"")</f>
        <v>0.28</v>
      </c>
      <c r="BN854" s="6" t="n">
        <f aca="false">IF(R854="-","",IFERROR(VALUE(LEFT(Q854,LEN(Q854)-2)),""))</f>
        <v>1</v>
      </c>
      <c r="BO854" s="6" t="n">
        <f aca="false">IF(R854="-","",IFERROR(VALUE(LEFT(R854,LEN(R854)-5)),""))</f>
        <v>0.28</v>
      </c>
      <c r="BP854" s="6" t="n">
        <f aca="false">IF(R854="-","",IFERROR(VALUE(F854),""))</f>
        <v>0.28</v>
      </c>
      <c r="BQ854" s="4" t="n">
        <f aca="false">IF(R854="-",1,0)</f>
        <v>0</v>
      </c>
    </row>
    <row r="855" customFormat="false" ht="15" hidden="false" customHeight="false" outlineLevel="0" collapsed="false">
      <c r="A855" s="0" t="s">
        <v>3407</v>
      </c>
      <c r="B855" s="0" t="s">
        <v>3408</v>
      </c>
      <c r="C855" s="0" t="s">
        <v>70</v>
      </c>
      <c r="D855" s="0" t="s">
        <v>3419</v>
      </c>
      <c r="E855" s="3" t="n">
        <v>46276</v>
      </c>
      <c r="F855" s="4" t="s">
        <v>3420</v>
      </c>
      <c r="G855" s="5" t="n">
        <v>0.159282407407407</v>
      </c>
      <c r="H855" s="5" t="n">
        <v>0.15275462962963</v>
      </c>
      <c r="I855" s="5" t="n">
        <v>0.000289351851851852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5" t="n">
        <v>0</v>
      </c>
      <c r="P855" s="5" t="n">
        <v>0</v>
      </c>
      <c r="Q855" s="4" t="s">
        <v>3005</v>
      </c>
      <c r="R855" s="4" t="s">
        <v>325</v>
      </c>
      <c r="S855" s="5" t="n">
        <v>0.000231481481481482</v>
      </c>
      <c r="T855" s="5" t="n">
        <v>0.0733796296296296</v>
      </c>
      <c r="U855" s="5" t="n">
        <v>0.0596064814814815</v>
      </c>
      <c r="V855" s="5" t="n">
        <v>0.0140046296296296</v>
      </c>
      <c r="W855" s="5" t="n">
        <v>0</v>
      </c>
      <c r="X855" s="5" t="n">
        <v>0</v>
      </c>
      <c r="Y855" s="5" t="n">
        <v>0</v>
      </c>
      <c r="Z855" s="0" t="n">
        <v>0</v>
      </c>
      <c r="AA855" s="0" t="n">
        <v>0</v>
      </c>
      <c r="AB855" s="0" t="n">
        <v>0</v>
      </c>
      <c r="AC855" s="4" t="s">
        <v>228</v>
      </c>
      <c r="AD855" s="4" t="s">
        <v>1725</v>
      </c>
      <c r="AE855" s="4" t="s">
        <v>3418</v>
      </c>
      <c r="AF855" s="4" t="s">
        <v>3421</v>
      </c>
      <c r="AG855" s="5" t="n">
        <v>0.121053240740741</v>
      </c>
      <c r="AH855" s="5" t="n">
        <v>0.046412037037037</v>
      </c>
      <c r="AI855" s="5" t="n">
        <v>0</v>
      </c>
      <c r="AJ855" s="5" t="n">
        <v>0</v>
      </c>
      <c r="AK855" s="5" t="n">
        <v>0</v>
      </c>
      <c r="AL855" s="5" t="n">
        <v>0</v>
      </c>
      <c r="AM855" s="4" t="s">
        <v>78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1</v>
      </c>
      <c r="AV855" s="0" t="n">
        <v>0</v>
      </c>
      <c r="AW855" s="0" t="n">
        <v>0</v>
      </c>
      <c r="AX855" s="0" t="n">
        <v>0</v>
      </c>
      <c r="AY855" s="0" t="n">
        <v>0</v>
      </c>
      <c r="AZ855" s="0" t="n">
        <v>0</v>
      </c>
      <c r="BA855" s="0" t="n">
        <v>0</v>
      </c>
      <c r="BB855" s="0" t="n">
        <v>0</v>
      </c>
      <c r="BC855" s="0" t="n">
        <v>0</v>
      </c>
      <c r="BD855" s="0" t="n">
        <v>0</v>
      </c>
      <c r="BE855" s="0" t="n">
        <v>0</v>
      </c>
      <c r="BF855" s="0" t="n">
        <v>0</v>
      </c>
      <c r="BG855" s="0" t="n">
        <v>0</v>
      </c>
      <c r="BH855" s="0" t="n">
        <v>0</v>
      </c>
      <c r="BI855" s="0" t="n">
        <v>0</v>
      </c>
      <c r="BJ855" s="0" t="n">
        <v>0</v>
      </c>
      <c r="BK855" s="0" t="n">
        <v>0</v>
      </c>
      <c r="BM855" s="6" t="n">
        <f aca="false">IFERROR(VALUE(F855),"")</f>
        <v>129.08</v>
      </c>
      <c r="BN855" s="6" t="n">
        <f aca="false">IF(R855="-","",IFERROR(VALUE(LEFT(Q855,LEN(Q855)-2)),""))</f>
        <v>45.01</v>
      </c>
      <c r="BO855" s="6" t="n">
        <f aca="false">IF(R855="-","",IFERROR(VALUE(LEFT(R855,LEN(R855)-5)),""))</f>
        <v>2.87</v>
      </c>
      <c r="BP855" s="6" t="n">
        <f aca="false">IF(R855="-","",IFERROR(VALUE(F855),""))</f>
        <v>129.08</v>
      </c>
      <c r="BQ855" s="4" t="n">
        <f aca="false">IF(R855="-",1,0)</f>
        <v>0</v>
      </c>
    </row>
    <row r="856" customFormat="false" ht="15" hidden="false" customHeight="false" outlineLevel="0" collapsed="false">
      <c r="A856" s="0" t="s">
        <v>3407</v>
      </c>
      <c r="B856" s="0" t="s">
        <v>3408</v>
      </c>
      <c r="C856" s="0" t="s">
        <v>70</v>
      </c>
      <c r="D856" s="0" t="s">
        <v>3422</v>
      </c>
      <c r="E856" s="3" t="n">
        <v>46277</v>
      </c>
      <c r="F856" s="4" t="s">
        <v>3423</v>
      </c>
      <c r="G856" s="5" t="n">
        <v>0.436759259259259</v>
      </c>
      <c r="H856" s="5" t="n">
        <v>0.403483796296296</v>
      </c>
      <c r="I856" s="5" t="n">
        <v>0.00118055555555556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1</v>
      </c>
      <c r="O856" s="5" t="n">
        <v>0</v>
      </c>
      <c r="P856" s="5" t="n">
        <v>0</v>
      </c>
      <c r="Q856" s="4" t="s">
        <v>3424</v>
      </c>
      <c r="R856" s="4" t="s">
        <v>1887</v>
      </c>
      <c r="S856" s="5" t="n">
        <v>0.000578703703703704</v>
      </c>
      <c r="T856" s="5" t="n">
        <v>0.149421296296296</v>
      </c>
      <c r="U856" s="5" t="n">
        <v>0.236805555555556</v>
      </c>
      <c r="V856" s="5" t="n">
        <v>0.0212962962962963</v>
      </c>
      <c r="W856" s="5" t="n">
        <v>0</v>
      </c>
      <c r="X856" s="5" t="n">
        <v>0</v>
      </c>
      <c r="Y856" s="5" t="n">
        <v>0</v>
      </c>
      <c r="Z856" s="0" t="n">
        <v>0</v>
      </c>
      <c r="AA856" s="0" t="n">
        <v>0</v>
      </c>
      <c r="AB856" s="0" t="n">
        <v>0</v>
      </c>
      <c r="AC856" s="4" t="s">
        <v>1725</v>
      </c>
      <c r="AD856" s="4" t="s">
        <v>432</v>
      </c>
      <c r="AE856" s="4" t="s">
        <v>3421</v>
      </c>
      <c r="AF856" s="4" t="s">
        <v>3425</v>
      </c>
      <c r="AG856" s="5" t="n">
        <v>0.348877314814815</v>
      </c>
      <c r="AH856" s="5" t="n">
        <v>0.150902777777778</v>
      </c>
      <c r="AI856" s="5" t="n">
        <v>0</v>
      </c>
      <c r="AJ856" s="5" t="n">
        <v>0</v>
      </c>
      <c r="AK856" s="5" t="n">
        <v>0</v>
      </c>
      <c r="AL856" s="5" t="n">
        <v>0</v>
      </c>
      <c r="AM856" s="4" t="s">
        <v>78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5</v>
      </c>
      <c r="AV856" s="0" t="n">
        <v>0</v>
      </c>
      <c r="AW856" s="0" t="n">
        <v>0</v>
      </c>
      <c r="AX856" s="0" t="n">
        <v>0</v>
      </c>
      <c r="AY856" s="0" t="n">
        <v>0</v>
      </c>
      <c r="AZ856" s="0" t="n">
        <v>0</v>
      </c>
      <c r="BA856" s="0" t="n">
        <v>0</v>
      </c>
      <c r="BB856" s="0" t="n">
        <v>0</v>
      </c>
      <c r="BC856" s="0" t="n">
        <v>0</v>
      </c>
      <c r="BD856" s="0" t="n">
        <v>0</v>
      </c>
      <c r="BE856" s="0" t="n">
        <v>0</v>
      </c>
      <c r="BF856" s="0" t="n">
        <v>0</v>
      </c>
      <c r="BG856" s="0" t="n">
        <v>0</v>
      </c>
      <c r="BH856" s="0" t="n">
        <v>0</v>
      </c>
      <c r="BI856" s="0" t="n">
        <v>0</v>
      </c>
      <c r="BJ856" s="0" t="n">
        <v>0</v>
      </c>
      <c r="BK856" s="0" t="n">
        <v>0</v>
      </c>
      <c r="BM856" s="6" t="n">
        <f aca="false">IFERROR(VALUE(F856),"")</f>
        <v>430.69</v>
      </c>
      <c r="BN856" s="6" t="n">
        <f aca="false">IF(R856="-","",IFERROR(VALUE(LEFT(Q856,LEN(Q856)-2)),""))</f>
        <v>138.5</v>
      </c>
      <c r="BO856" s="6" t="n">
        <f aca="false">IF(R856="-","",IFERROR(VALUE(LEFT(R856,LEN(R856)-5)),""))</f>
        <v>3.11</v>
      </c>
      <c r="BP856" s="6" t="n">
        <f aca="false">IF(R856="-","",IFERROR(VALUE(F856),""))</f>
        <v>430.69</v>
      </c>
      <c r="BQ856" s="4" t="n">
        <f aca="false">IF(R856="-",1,0)</f>
        <v>0</v>
      </c>
    </row>
    <row r="857" customFormat="false" ht="15" hidden="false" customHeight="false" outlineLevel="0" collapsed="false">
      <c r="A857" s="0" t="s">
        <v>3407</v>
      </c>
      <c r="B857" s="0" t="s">
        <v>3408</v>
      </c>
      <c r="C857" s="0" t="s">
        <v>70</v>
      </c>
      <c r="D857" s="0" t="s">
        <v>3426</v>
      </c>
      <c r="E857" s="3" t="n">
        <v>46278</v>
      </c>
      <c r="F857" s="4" t="s">
        <v>3427</v>
      </c>
      <c r="G857" s="5" t="n">
        <v>0.544259259259259</v>
      </c>
      <c r="H857" s="5" t="n">
        <v>0.537662037037037</v>
      </c>
      <c r="I857" s="5" t="n">
        <v>0.00488425925925926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1</v>
      </c>
      <c r="O857" s="5" t="n">
        <v>0</v>
      </c>
      <c r="P857" s="5" t="n">
        <v>0</v>
      </c>
      <c r="Q857" s="4" t="s">
        <v>3428</v>
      </c>
      <c r="R857" s="4" t="s">
        <v>3429</v>
      </c>
      <c r="S857" s="5" t="n">
        <v>0.000462962962962963</v>
      </c>
      <c r="T857" s="5" t="n">
        <v>0.127430555555556</v>
      </c>
      <c r="U857" s="5" t="n">
        <v>0.338773148148148</v>
      </c>
      <c r="V857" s="5" t="n">
        <v>0.0400462962962963</v>
      </c>
      <c r="W857" s="5" t="n">
        <v>0</v>
      </c>
      <c r="X857" s="5" t="n">
        <v>0</v>
      </c>
      <c r="Y857" s="5" t="n">
        <v>0</v>
      </c>
      <c r="Z857" s="0" t="n">
        <v>0</v>
      </c>
      <c r="AA857" s="0" t="n">
        <v>0</v>
      </c>
      <c r="AB857" s="0" t="n">
        <v>0</v>
      </c>
      <c r="AC857" s="4" t="s">
        <v>432</v>
      </c>
      <c r="AD857" s="4" t="s">
        <v>3430</v>
      </c>
      <c r="AE857" s="4" t="s">
        <v>3425</v>
      </c>
      <c r="AF857" s="4" t="s">
        <v>3431</v>
      </c>
      <c r="AG857" s="5" t="n">
        <v>0.461388888888889</v>
      </c>
      <c r="AH857" s="5" t="n">
        <v>0.158969907407407</v>
      </c>
      <c r="AI857" s="5" t="n">
        <v>0</v>
      </c>
      <c r="AJ857" s="5" t="n">
        <v>0</v>
      </c>
      <c r="AK857" s="5" t="n">
        <v>0</v>
      </c>
      <c r="AL857" s="5" t="n">
        <v>0</v>
      </c>
      <c r="AM857" s="4" t="s">
        <v>78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  <c r="AU857" s="0" t="n">
        <v>5</v>
      </c>
      <c r="AV857" s="0" t="n">
        <v>0</v>
      </c>
      <c r="AW857" s="0" t="n">
        <v>0</v>
      </c>
      <c r="AX857" s="0" t="n">
        <v>0</v>
      </c>
      <c r="AY857" s="0" t="n">
        <v>0</v>
      </c>
      <c r="AZ857" s="0" t="n">
        <v>0</v>
      </c>
      <c r="BA857" s="0" t="n">
        <v>0</v>
      </c>
      <c r="BB857" s="0" t="n">
        <v>0</v>
      </c>
      <c r="BC857" s="0" t="n">
        <v>0</v>
      </c>
      <c r="BD857" s="0" t="n">
        <v>0</v>
      </c>
      <c r="BE857" s="0" t="n">
        <v>0</v>
      </c>
      <c r="BF857" s="0" t="n">
        <v>0</v>
      </c>
      <c r="BG857" s="0" t="n">
        <v>0</v>
      </c>
      <c r="BH857" s="0" t="n">
        <v>0</v>
      </c>
      <c r="BI857" s="0" t="n">
        <v>0</v>
      </c>
      <c r="BJ857" s="0" t="n">
        <v>0</v>
      </c>
      <c r="BK857" s="0" t="n">
        <v>0</v>
      </c>
      <c r="BM857" s="6" t="n">
        <f aca="false">IFERROR(VALUE(F857),"")</f>
        <v>644.92</v>
      </c>
      <c r="BN857" s="6" t="n">
        <f aca="false">IF(R857="-","",IFERROR(VALUE(LEFT(Q857,LEN(Q857)-2)),""))</f>
        <v>190</v>
      </c>
      <c r="BO857" s="6" t="n">
        <f aca="false">IF(R857="-","",IFERROR(VALUE(LEFT(R857,LEN(R857)-5)),""))</f>
        <v>3.39</v>
      </c>
      <c r="BP857" s="6" t="n">
        <f aca="false">IF(R857="-","",IFERROR(VALUE(F857),""))</f>
        <v>644.92</v>
      </c>
      <c r="BQ857" s="4" t="n">
        <f aca="false">IF(R857="-",1,0)</f>
        <v>0</v>
      </c>
    </row>
    <row r="858" customFormat="false" ht="15" hidden="false" customHeight="false" outlineLevel="0" collapsed="false">
      <c r="A858" s="0" t="s">
        <v>3407</v>
      </c>
      <c r="B858" s="0" t="s">
        <v>3408</v>
      </c>
      <c r="C858" s="0" t="s">
        <v>70</v>
      </c>
      <c r="D858" s="0" t="s">
        <v>3432</v>
      </c>
      <c r="E858" s="3" t="n">
        <v>46279</v>
      </c>
      <c r="F858" s="4" t="s">
        <v>3433</v>
      </c>
      <c r="G858" s="5" t="n">
        <v>0.730069444444444</v>
      </c>
      <c r="H858" s="5" t="n">
        <v>0.2765625</v>
      </c>
      <c r="I858" s="5" t="n">
        <v>0.00108796296296296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5" t="n">
        <v>0</v>
      </c>
      <c r="P858" s="5" t="n">
        <v>0</v>
      </c>
      <c r="Q858" s="4" t="s">
        <v>3434</v>
      </c>
      <c r="R858" s="4" t="s">
        <v>2910</v>
      </c>
      <c r="S858" s="5" t="n">
        <v>0.000462962962962963</v>
      </c>
      <c r="T858" s="5" t="n">
        <v>0.135416666666667</v>
      </c>
      <c r="U858" s="5" t="n">
        <v>0.283564814814815</v>
      </c>
      <c r="V858" s="5" t="n">
        <v>0.0109953703703704</v>
      </c>
      <c r="W858" s="5" t="n">
        <v>0</v>
      </c>
      <c r="X858" s="5" t="n">
        <v>0</v>
      </c>
      <c r="Y858" s="5" t="n">
        <v>0</v>
      </c>
      <c r="Z858" s="0" t="n">
        <v>0</v>
      </c>
      <c r="AA858" s="0" t="n">
        <v>0</v>
      </c>
      <c r="AB858" s="0" t="n">
        <v>0</v>
      </c>
      <c r="AC858" s="4" t="s">
        <v>3430</v>
      </c>
      <c r="AD858" s="4" t="s">
        <v>864</v>
      </c>
      <c r="AE858" s="4" t="s">
        <v>3435</v>
      </c>
      <c r="AF858" s="4" t="s">
        <v>3436</v>
      </c>
      <c r="AG858" s="5" t="n">
        <v>0.360231481481482</v>
      </c>
      <c r="AH858" s="5" t="n">
        <v>0.41244212962963</v>
      </c>
      <c r="AI858" s="5" t="n">
        <v>0</v>
      </c>
      <c r="AJ858" s="5" t="n">
        <v>0</v>
      </c>
      <c r="AK858" s="5" t="n">
        <v>0</v>
      </c>
      <c r="AL858" s="5" t="n">
        <v>0</v>
      </c>
      <c r="AM858" s="4" t="s">
        <v>78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  <c r="AU858" s="0" t="n">
        <v>1</v>
      </c>
      <c r="AV858" s="0" t="n">
        <v>0</v>
      </c>
      <c r="AW858" s="0" t="n">
        <v>1</v>
      </c>
      <c r="AX858" s="0" t="n">
        <v>0</v>
      </c>
      <c r="AY858" s="0" t="n">
        <v>0</v>
      </c>
      <c r="AZ858" s="0" t="n">
        <v>0</v>
      </c>
      <c r="BA858" s="0" t="n">
        <v>0</v>
      </c>
      <c r="BB858" s="0" t="n">
        <v>0</v>
      </c>
      <c r="BC858" s="0" t="n">
        <v>0</v>
      </c>
      <c r="BD858" s="0" t="n">
        <v>0</v>
      </c>
      <c r="BE858" s="0" t="n">
        <v>0</v>
      </c>
      <c r="BF858" s="0" t="n">
        <v>0</v>
      </c>
      <c r="BG858" s="0" t="n">
        <v>0</v>
      </c>
      <c r="BH858" s="0" t="n">
        <v>0</v>
      </c>
      <c r="BI858" s="0" t="n">
        <v>0</v>
      </c>
      <c r="BJ858" s="0" t="n">
        <v>0</v>
      </c>
      <c r="BK858" s="0" t="n">
        <v>0</v>
      </c>
      <c r="BM858" s="6" t="n">
        <f aca="false">IFERROR(VALUE(F858),"")</f>
        <v>493.32</v>
      </c>
      <c r="BN858" s="6" t="n">
        <f aca="false">IF(R858="-","",IFERROR(VALUE(LEFT(Q858,LEN(Q858)-2)),""))</f>
        <v>159</v>
      </c>
      <c r="BO858" s="6" t="n">
        <f aca="false">IF(R858="-","",IFERROR(VALUE(LEFT(R858,LEN(R858)-5)),""))</f>
        <v>3.1</v>
      </c>
      <c r="BP858" s="6" t="n">
        <f aca="false">IF(R858="-","",IFERROR(VALUE(F858),""))</f>
        <v>493.32</v>
      </c>
      <c r="BQ858" s="4" t="n">
        <f aca="false">IF(R858="-",1,0)</f>
        <v>0</v>
      </c>
    </row>
    <row r="859" customFormat="false" ht="15" hidden="false" customHeight="false" outlineLevel="0" collapsed="false">
      <c r="A859" s="0" t="s">
        <v>3437</v>
      </c>
      <c r="B859" s="0" t="s">
        <v>3438</v>
      </c>
      <c r="C859" s="0" t="s">
        <v>70</v>
      </c>
      <c r="D859" s="0" t="s">
        <v>3439</v>
      </c>
      <c r="E859" s="3" t="n">
        <v>46273</v>
      </c>
      <c r="F859" s="4" t="s">
        <v>3440</v>
      </c>
      <c r="G859" s="5" t="n">
        <v>0.443622685185185</v>
      </c>
      <c r="H859" s="5" t="n">
        <v>0.396782407407407</v>
      </c>
      <c r="I859" s="5" t="n">
        <v>0.000266203703703704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5" t="n">
        <v>0</v>
      </c>
      <c r="P859" s="5" t="n">
        <v>0</v>
      </c>
      <c r="Q859" s="4" t="s">
        <v>3441</v>
      </c>
      <c r="R859" s="4" t="s">
        <v>426</v>
      </c>
      <c r="S859" s="5" t="n">
        <v>0.000231481481481482</v>
      </c>
      <c r="T859" s="5" t="n">
        <v>0.119328703703704</v>
      </c>
      <c r="U859" s="5" t="n">
        <v>0.260069444444445</v>
      </c>
      <c r="V859" s="5" t="n">
        <v>0.0166666666666667</v>
      </c>
      <c r="W859" s="5" t="n">
        <v>0</v>
      </c>
      <c r="X859" s="5" t="n">
        <v>0</v>
      </c>
      <c r="Y859" s="5" t="n">
        <v>0</v>
      </c>
      <c r="Z859" s="0" t="n">
        <v>0</v>
      </c>
      <c r="AA859" s="0" t="n">
        <v>0</v>
      </c>
      <c r="AB859" s="0" t="n">
        <v>0</v>
      </c>
      <c r="AC859" s="4" t="s">
        <v>432</v>
      </c>
      <c r="AD859" s="4" t="s">
        <v>864</v>
      </c>
      <c r="AE859" s="4" t="s">
        <v>3442</v>
      </c>
      <c r="AF859" s="4" t="s">
        <v>3443</v>
      </c>
      <c r="AG859" s="5" t="n">
        <v>0.352708333333333</v>
      </c>
      <c r="AH859" s="5" t="n">
        <v>0.168854166666667</v>
      </c>
      <c r="AI859" s="5" t="n">
        <v>0</v>
      </c>
      <c r="AJ859" s="5" t="n">
        <v>0</v>
      </c>
      <c r="AK859" s="5" t="n">
        <v>0</v>
      </c>
      <c r="AL859" s="5" t="n">
        <v>0</v>
      </c>
      <c r="AM859" s="4" t="s">
        <v>78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  <c r="AU859" s="0" t="n">
        <v>3</v>
      </c>
      <c r="AV859" s="0" t="n">
        <v>0</v>
      </c>
      <c r="AW859" s="0" t="n">
        <v>0</v>
      </c>
      <c r="AX859" s="0" t="n">
        <v>0</v>
      </c>
      <c r="AY859" s="0" t="n">
        <v>0</v>
      </c>
      <c r="AZ859" s="0" t="n">
        <v>0</v>
      </c>
      <c r="BA859" s="0" t="n">
        <v>0</v>
      </c>
      <c r="BB859" s="0" t="n">
        <v>0</v>
      </c>
      <c r="BC859" s="0" t="n">
        <v>0</v>
      </c>
      <c r="BD859" s="0" t="n">
        <v>0</v>
      </c>
      <c r="BE859" s="0" t="n">
        <v>0</v>
      </c>
      <c r="BF859" s="0" t="n">
        <v>0</v>
      </c>
      <c r="BG859" s="0" t="n">
        <v>0</v>
      </c>
      <c r="BH859" s="0" t="n">
        <v>0</v>
      </c>
      <c r="BI859" s="0" t="n">
        <v>0</v>
      </c>
      <c r="BJ859" s="0" t="n">
        <v>0</v>
      </c>
      <c r="BK859" s="0" t="n">
        <v>0</v>
      </c>
      <c r="BM859" s="6" t="n">
        <f aca="false">IFERROR(VALUE(F859),"")</f>
        <v>472.19</v>
      </c>
      <c r="BN859" s="6" t="n">
        <f aca="false">IF(R859="-","",IFERROR(VALUE(LEFT(Q859,LEN(Q859)-2)),""))</f>
        <v>168</v>
      </c>
      <c r="BO859" s="6" t="n">
        <f aca="false">IF(R859="-","",IFERROR(VALUE(LEFT(R859,LEN(R859)-5)),""))</f>
        <v>2.81</v>
      </c>
      <c r="BP859" s="6" t="n">
        <f aca="false">IF(R859="-","",IFERROR(VALUE(F859),""))</f>
        <v>472.19</v>
      </c>
      <c r="BQ859" s="4" t="n">
        <f aca="false">IF(R859="-",1,0)</f>
        <v>0</v>
      </c>
    </row>
    <row r="860" customFormat="false" ht="15" hidden="false" customHeight="false" outlineLevel="0" collapsed="false">
      <c r="A860" s="0" t="s">
        <v>3437</v>
      </c>
      <c r="B860" s="0" t="s">
        <v>3438</v>
      </c>
      <c r="C860" s="0" t="s">
        <v>70</v>
      </c>
      <c r="D860" s="0" t="s">
        <v>3257</v>
      </c>
      <c r="E860" s="3" t="n">
        <v>46274</v>
      </c>
      <c r="F860" s="4" t="s">
        <v>3444</v>
      </c>
      <c r="G860" s="5" t="n">
        <v>0.197268518518519</v>
      </c>
      <c r="H860" s="5" t="n">
        <v>0.179756944444445</v>
      </c>
      <c r="I860" s="5" t="n">
        <v>0.000231481481481482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5" t="n">
        <v>0</v>
      </c>
      <c r="P860" s="5" t="n">
        <v>0</v>
      </c>
      <c r="Q860" s="4" t="s">
        <v>3445</v>
      </c>
      <c r="R860" s="4" t="s">
        <v>487</v>
      </c>
      <c r="S860" s="5" t="n">
        <v>0.000347222222222222</v>
      </c>
      <c r="T860" s="5" t="n">
        <v>0.0685185185185185</v>
      </c>
      <c r="U860" s="5" t="n">
        <v>0.100694444444444</v>
      </c>
      <c r="V860" s="5" t="n">
        <v>0.00648148148148148</v>
      </c>
      <c r="W860" s="5" t="n">
        <v>0</v>
      </c>
      <c r="X860" s="5" t="n">
        <v>0</v>
      </c>
      <c r="Y860" s="5" t="n">
        <v>0</v>
      </c>
      <c r="Z860" s="0" t="n">
        <v>0</v>
      </c>
      <c r="AA860" s="0" t="n">
        <v>0</v>
      </c>
      <c r="AB860" s="0" t="n">
        <v>0</v>
      </c>
      <c r="AC860" s="4" t="s">
        <v>871</v>
      </c>
      <c r="AD860" s="4" t="s">
        <v>228</v>
      </c>
      <c r="AE860" s="4" t="s">
        <v>3443</v>
      </c>
      <c r="AF860" s="4" t="s">
        <v>3446</v>
      </c>
      <c r="AG860" s="5" t="n">
        <v>0.15</v>
      </c>
      <c r="AH860" s="5" t="n">
        <v>0.131180555555556</v>
      </c>
      <c r="AI860" s="5" t="n">
        <v>0</v>
      </c>
      <c r="AJ860" s="5" t="n">
        <v>0</v>
      </c>
      <c r="AK860" s="5" t="n">
        <v>0</v>
      </c>
      <c r="AL860" s="5" t="n">
        <v>0</v>
      </c>
      <c r="AM860" s="4" t="s">
        <v>78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  <c r="AU860" s="0" t="n">
        <v>5</v>
      </c>
      <c r="AV860" s="0" t="n">
        <v>0</v>
      </c>
      <c r="AW860" s="0" t="n">
        <v>0</v>
      </c>
      <c r="AX860" s="0" t="n">
        <v>0</v>
      </c>
      <c r="AY860" s="0" t="n">
        <v>0</v>
      </c>
      <c r="AZ860" s="0" t="n">
        <v>0</v>
      </c>
      <c r="BA860" s="0" t="n">
        <v>0</v>
      </c>
      <c r="BB860" s="0" t="n">
        <v>0</v>
      </c>
      <c r="BC860" s="0" t="n">
        <v>0</v>
      </c>
      <c r="BD860" s="0" t="n">
        <v>0</v>
      </c>
      <c r="BE860" s="0" t="n">
        <v>0</v>
      </c>
      <c r="BF860" s="0" t="n">
        <v>0</v>
      </c>
      <c r="BG860" s="0" t="n">
        <v>0</v>
      </c>
      <c r="BH860" s="0" t="n">
        <v>0</v>
      </c>
      <c r="BI860" s="0" t="n">
        <v>0</v>
      </c>
      <c r="BJ860" s="0" t="n">
        <v>0</v>
      </c>
      <c r="BK860" s="0" t="n">
        <v>0</v>
      </c>
      <c r="BM860" s="6" t="n">
        <f aca="false">IFERROR(VALUE(F860),"")</f>
        <v>182.44</v>
      </c>
      <c r="BN860" s="6" t="n">
        <f aca="false">IF(R860="-","",IFERROR(VALUE(LEFT(Q860,LEN(Q860)-2)),""))</f>
        <v>67.01</v>
      </c>
      <c r="BO860" s="6" t="n">
        <f aca="false">IF(R860="-","",IFERROR(VALUE(LEFT(R860,LEN(R860)-5)),""))</f>
        <v>2.72</v>
      </c>
      <c r="BP860" s="6" t="n">
        <f aca="false">IF(R860="-","",IFERROR(VALUE(F860),""))</f>
        <v>182.44</v>
      </c>
      <c r="BQ860" s="4" t="n">
        <f aca="false">IF(R860="-",1,0)</f>
        <v>0</v>
      </c>
    </row>
    <row r="861" customFormat="false" ht="15" hidden="false" customHeight="false" outlineLevel="0" collapsed="false">
      <c r="A861" s="0" t="s">
        <v>3437</v>
      </c>
      <c r="B861" s="0" t="s">
        <v>3438</v>
      </c>
      <c r="C861" s="0" t="s">
        <v>70</v>
      </c>
      <c r="D861" s="0" t="s">
        <v>3447</v>
      </c>
      <c r="E861" s="3" t="n">
        <v>46275</v>
      </c>
      <c r="F861" s="4" t="s">
        <v>3448</v>
      </c>
      <c r="G861" s="5" t="n">
        <v>0.158298611111111</v>
      </c>
      <c r="H861" s="5" t="n">
        <v>0.116388888888889</v>
      </c>
      <c r="I861" s="5" t="n">
        <v>0.000277777777777778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5" t="n">
        <v>0</v>
      </c>
      <c r="P861" s="5" t="n">
        <v>0.010787037037037</v>
      </c>
      <c r="Q861" s="4" t="s">
        <v>3449</v>
      </c>
      <c r="R861" s="4" t="s">
        <v>1685</v>
      </c>
      <c r="S861" s="5" t="n">
        <v>0</v>
      </c>
      <c r="T861" s="5" t="n">
        <v>0.0851851851851852</v>
      </c>
      <c r="U861" s="5" t="n">
        <v>0.0650462962962963</v>
      </c>
      <c r="V861" s="5" t="n">
        <v>0.00405092592592593</v>
      </c>
      <c r="W861" s="5" t="n">
        <v>0</v>
      </c>
      <c r="X861" s="5" t="n">
        <v>0</v>
      </c>
      <c r="Y861" s="5" t="n">
        <v>0</v>
      </c>
      <c r="Z861" s="0" t="n">
        <v>0</v>
      </c>
      <c r="AA861" s="0" t="n">
        <v>0</v>
      </c>
      <c r="AB861" s="0" t="n">
        <v>0</v>
      </c>
      <c r="AC861" s="4" t="s">
        <v>75</v>
      </c>
      <c r="AD861" s="4" t="s">
        <v>3450</v>
      </c>
      <c r="AE861" s="4" t="s">
        <v>3446</v>
      </c>
      <c r="AF861" s="4" t="s">
        <v>3451</v>
      </c>
      <c r="AG861" s="5" t="n">
        <v>0.108391203703704</v>
      </c>
      <c r="AH861" s="5" t="n">
        <v>0.116770833333333</v>
      </c>
      <c r="AI861" s="5" t="n">
        <v>0</v>
      </c>
      <c r="AJ861" s="5" t="n">
        <v>0</v>
      </c>
      <c r="AK861" s="5" t="n">
        <v>0</v>
      </c>
      <c r="AL861" s="5" t="n">
        <v>0</v>
      </c>
      <c r="AM861" s="4" t="s">
        <v>78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  <c r="AU861" s="0" t="n">
        <v>0</v>
      </c>
      <c r="AV861" s="0" t="n">
        <v>0</v>
      </c>
      <c r="AW861" s="0" t="n">
        <v>0</v>
      </c>
      <c r="AX861" s="0" t="n">
        <v>0</v>
      </c>
      <c r="AY861" s="0" t="n">
        <v>0</v>
      </c>
      <c r="AZ861" s="0" t="n">
        <v>0</v>
      </c>
      <c r="BA861" s="0" t="n">
        <v>0</v>
      </c>
      <c r="BB861" s="0" t="n">
        <v>0</v>
      </c>
      <c r="BC861" s="0" t="n">
        <v>0</v>
      </c>
      <c r="BD861" s="0" t="n">
        <v>0</v>
      </c>
      <c r="BE861" s="0" t="n">
        <v>0</v>
      </c>
      <c r="BF861" s="0" t="n">
        <v>0</v>
      </c>
      <c r="BG861" s="0" t="n">
        <v>0</v>
      </c>
      <c r="BH861" s="0" t="n">
        <v>0</v>
      </c>
      <c r="BI861" s="0" t="n">
        <v>0</v>
      </c>
      <c r="BJ861" s="0" t="n">
        <v>0</v>
      </c>
      <c r="BK861" s="0" t="n">
        <v>0</v>
      </c>
      <c r="BM861" s="6" t="n">
        <f aca="false">IFERROR(VALUE(F861),"")</f>
        <v>111.94</v>
      </c>
      <c r="BN861" s="6" t="n">
        <f aca="false">IF(R861="-","",IFERROR(VALUE(LEFT(Q861,LEN(Q861)-2)),""))</f>
        <v>42.99</v>
      </c>
      <c r="BO861" s="6" t="n">
        <f aca="false">IF(R861="-","",IFERROR(VALUE(LEFT(R861,LEN(R861)-5)),""))</f>
        <v>2.6</v>
      </c>
      <c r="BP861" s="6" t="n">
        <f aca="false">IF(R861="-","",IFERROR(VALUE(F861),""))</f>
        <v>111.94</v>
      </c>
      <c r="BQ861" s="4" t="n">
        <f aca="false">IF(R861="-",1,0)</f>
        <v>0</v>
      </c>
    </row>
    <row r="862" customFormat="false" ht="15" hidden="false" customHeight="false" outlineLevel="0" collapsed="false">
      <c r="A862" s="0" t="s">
        <v>3437</v>
      </c>
      <c r="B862" s="0" t="s">
        <v>3438</v>
      </c>
      <c r="C862" s="0" t="s">
        <v>70</v>
      </c>
      <c r="D862" s="0" t="s">
        <v>3452</v>
      </c>
      <c r="E862" s="3" t="n">
        <v>46276</v>
      </c>
      <c r="F862" s="4" t="s">
        <v>3453</v>
      </c>
      <c r="G862" s="5" t="n">
        <v>0.510775462962963</v>
      </c>
      <c r="H862" s="5" t="n">
        <v>0.45931712962963</v>
      </c>
      <c r="I862" s="5" t="n">
        <v>0.000277777777777778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5" t="n">
        <v>0</v>
      </c>
      <c r="P862" s="5" t="n">
        <v>0.00700231481481482</v>
      </c>
      <c r="Q862" s="4" t="s">
        <v>3454</v>
      </c>
      <c r="R862" s="4" t="s">
        <v>524</v>
      </c>
      <c r="S862" s="5" t="n">
        <v>0.000694444444444445</v>
      </c>
      <c r="T862" s="5" t="n">
        <v>0.197337962962963</v>
      </c>
      <c r="U862" s="5" t="n">
        <v>0.256712962962963</v>
      </c>
      <c r="V862" s="5" t="n">
        <v>0.0148148148148148</v>
      </c>
      <c r="W862" s="5" t="n">
        <v>0</v>
      </c>
      <c r="X862" s="5" t="n">
        <v>0</v>
      </c>
      <c r="Y862" s="5" t="n">
        <v>0</v>
      </c>
      <c r="Z862" s="0" t="n">
        <v>0</v>
      </c>
      <c r="AA862" s="0" t="n">
        <v>0</v>
      </c>
      <c r="AB862" s="0" t="n">
        <v>0</v>
      </c>
      <c r="AC862" s="4" t="s">
        <v>3450</v>
      </c>
      <c r="AD862" s="4" t="s">
        <v>3450</v>
      </c>
      <c r="AE862" s="4" t="s">
        <v>3451</v>
      </c>
      <c r="AF862" s="4" t="s">
        <v>3455</v>
      </c>
      <c r="AG862" s="5" t="n">
        <v>0.416018518518519</v>
      </c>
      <c r="AH862" s="5" t="n">
        <v>0.150231481481482</v>
      </c>
      <c r="AI862" s="5" t="n">
        <v>0</v>
      </c>
      <c r="AJ862" s="5" t="n">
        <v>0</v>
      </c>
      <c r="AK862" s="5" t="n">
        <v>0</v>
      </c>
      <c r="AL862" s="5" t="n">
        <v>0</v>
      </c>
      <c r="AM862" s="4" t="s">
        <v>78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  <c r="AU862" s="0" t="n">
        <v>0</v>
      </c>
      <c r="AV862" s="0" t="n">
        <v>0</v>
      </c>
      <c r="AW862" s="0" t="n">
        <v>0</v>
      </c>
      <c r="AX862" s="0" t="n">
        <v>0</v>
      </c>
      <c r="AY862" s="0" t="n">
        <v>0</v>
      </c>
      <c r="AZ862" s="0" t="n">
        <v>0</v>
      </c>
      <c r="BA862" s="0" t="n">
        <v>0</v>
      </c>
      <c r="BB862" s="0" t="n">
        <v>0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0</v>
      </c>
      <c r="BH862" s="0" t="n">
        <v>0</v>
      </c>
      <c r="BI862" s="0" t="n">
        <v>0</v>
      </c>
      <c r="BJ862" s="0" t="n">
        <v>0</v>
      </c>
      <c r="BK862" s="0" t="n">
        <v>0</v>
      </c>
      <c r="BM862" s="6" t="n">
        <f aca="false">IFERROR(VALUE(F862),"")</f>
        <v>439.11</v>
      </c>
      <c r="BN862" s="6" t="n">
        <f aca="false">IF(R862="-","",IFERROR(VALUE(LEFT(Q862,LEN(Q862)-2)),""))</f>
        <v>157.5</v>
      </c>
      <c r="BO862" s="6" t="n">
        <f aca="false">IF(R862="-","",IFERROR(VALUE(LEFT(R862,LEN(R862)-5)),""))</f>
        <v>2.79</v>
      </c>
      <c r="BP862" s="6" t="n">
        <f aca="false">IF(R862="-","",IFERROR(VALUE(F862),""))</f>
        <v>439.11</v>
      </c>
      <c r="BQ862" s="4" t="n">
        <f aca="false">IF(R862="-",1,0)</f>
        <v>0</v>
      </c>
    </row>
    <row r="863" customFormat="false" ht="15" hidden="false" customHeight="false" outlineLevel="0" collapsed="false">
      <c r="A863" s="0" t="s">
        <v>3437</v>
      </c>
      <c r="B863" s="0" t="s">
        <v>3438</v>
      </c>
      <c r="C863" s="0" t="s">
        <v>70</v>
      </c>
      <c r="D863" s="0" t="s">
        <v>3456</v>
      </c>
      <c r="E863" s="3" t="n">
        <v>46277</v>
      </c>
      <c r="F863" s="4" t="s">
        <v>3457</v>
      </c>
      <c r="G863" s="5" t="n">
        <v>0.413333333333333</v>
      </c>
      <c r="H863" s="5" t="n">
        <v>0.391469907407407</v>
      </c>
      <c r="I863" s="5" t="n">
        <v>0.000590277777777778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2</v>
      </c>
      <c r="O863" s="5" t="n">
        <v>0</v>
      </c>
      <c r="P863" s="5" t="n">
        <v>0</v>
      </c>
      <c r="Q863" s="4" t="s">
        <v>3458</v>
      </c>
      <c r="R863" s="4" t="s">
        <v>1199</v>
      </c>
      <c r="S863" s="5" t="n">
        <v>0.000347222222222222</v>
      </c>
      <c r="T863" s="5" t="n">
        <v>0.1625</v>
      </c>
      <c r="U863" s="5" t="n">
        <v>0.233101851851852</v>
      </c>
      <c r="V863" s="5" t="n">
        <v>0.00844907407407407</v>
      </c>
      <c r="W863" s="5" t="n">
        <v>0</v>
      </c>
      <c r="X863" s="5" t="n">
        <v>0</v>
      </c>
      <c r="Y863" s="5" t="n">
        <v>0</v>
      </c>
      <c r="Z863" s="0" t="n">
        <v>0</v>
      </c>
      <c r="AA863" s="0" t="n">
        <v>0</v>
      </c>
      <c r="AB863" s="0" t="n">
        <v>0</v>
      </c>
      <c r="AC863" s="4" t="s">
        <v>3450</v>
      </c>
      <c r="AD863" s="4" t="s">
        <v>320</v>
      </c>
      <c r="AE863" s="4" t="s">
        <v>3455</v>
      </c>
      <c r="AF863" s="4" t="s">
        <v>3459</v>
      </c>
      <c r="AG863" s="5" t="n">
        <v>0.370393518518519</v>
      </c>
      <c r="AH863" s="5" t="n">
        <v>0.0865740740740741</v>
      </c>
      <c r="AI863" s="5" t="n">
        <v>0</v>
      </c>
      <c r="AJ863" s="5" t="n">
        <v>0</v>
      </c>
      <c r="AK863" s="5" t="n">
        <v>0</v>
      </c>
      <c r="AL863" s="5" t="n">
        <v>0</v>
      </c>
      <c r="AM863" s="4" t="s">
        <v>78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  <c r="AU863" s="0" t="n">
        <v>0</v>
      </c>
      <c r="AV863" s="0" t="n">
        <v>0</v>
      </c>
      <c r="AW863" s="0" t="n">
        <v>0</v>
      </c>
      <c r="AX863" s="0" t="n">
        <v>0</v>
      </c>
      <c r="AY863" s="0" t="n">
        <v>0</v>
      </c>
      <c r="AZ863" s="0" t="n">
        <v>0</v>
      </c>
      <c r="BA863" s="0" t="n">
        <v>0</v>
      </c>
      <c r="BB863" s="0" t="n">
        <v>0</v>
      </c>
      <c r="BC863" s="0" t="n">
        <v>0</v>
      </c>
      <c r="BD863" s="0" t="n">
        <v>0</v>
      </c>
      <c r="BE863" s="0" t="n">
        <v>0</v>
      </c>
      <c r="BF863" s="0" t="n">
        <v>0</v>
      </c>
      <c r="BG863" s="0" t="n">
        <v>0</v>
      </c>
      <c r="BH863" s="0" t="n">
        <v>0</v>
      </c>
      <c r="BI863" s="0" t="n">
        <v>0</v>
      </c>
      <c r="BJ863" s="0" t="n">
        <v>0</v>
      </c>
      <c r="BK863" s="0" t="n">
        <v>0</v>
      </c>
      <c r="BM863" s="6" t="n">
        <f aca="false">IFERROR(VALUE(F863),"")</f>
        <v>376.26</v>
      </c>
      <c r="BN863" s="6" t="n">
        <f aca="false">IF(R863="-","",IFERROR(VALUE(LEFT(Q863,LEN(Q863)-2)),""))</f>
        <v>130</v>
      </c>
      <c r="BO863" s="6" t="n">
        <f aca="false">IF(R863="-","",IFERROR(VALUE(LEFT(R863,LEN(R863)-5)),""))</f>
        <v>2.89</v>
      </c>
      <c r="BP863" s="6" t="n">
        <f aca="false">IF(R863="-","",IFERROR(VALUE(F863),""))</f>
        <v>376.26</v>
      </c>
      <c r="BQ863" s="4" t="n">
        <f aca="false">IF(R863="-",1,0)</f>
        <v>0</v>
      </c>
    </row>
    <row r="864" customFormat="false" ht="15" hidden="false" customHeight="false" outlineLevel="0" collapsed="false">
      <c r="A864" s="0" t="s">
        <v>3437</v>
      </c>
      <c r="B864" s="0" t="s">
        <v>3438</v>
      </c>
      <c r="C864" s="0" t="s">
        <v>70</v>
      </c>
      <c r="D864" s="0" t="s">
        <v>3460</v>
      </c>
      <c r="E864" s="3" t="n">
        <v>46279</v>
      </c>
      <c r="F864" s="4" t="s">
        <v>3461</v>
      </c>
      <c r="G864" s="5" t="n">
        <v>0.399652777777778</v>
      </c>
      <c r="H864" s="5" t="n">
        <v>0.377060185185185</v>
      </c>
      <c r="I864" s="5" t="n">
        <v>0.000300925925925926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2</v>
      </c>
      <c r="O864" s="5" t="n">
        <v>0</v>
      </c>
      <c r="P864" s="5" t="n">
        <v>0</v>
      </c>
      <c r="Q864" s="4" t="s">
        <v>3462</v>
      </c>
      <c r="R864" s="4" t="s">
        <v>1561</v>
      </c>
      <c r="S864" s="5" t="n">
        <v>0.00115740740740741</v>
      </c>
      <c r="T864" s="5" t="n">
        <v>0.194560185185185</v>
      </c>
      <c r="U864" s="5" t="n">
        <v>0.152083333333333</v>
      </c>
      <c r="V864" s="5" t="n">
        <v>0.0166666666666667</v>
      </c>
      <c r="W864" s="5" t="n">
        <v>0</v>
      </c>
      <c r="X864" s="5" t="n">
        <v>0</v>
      </c>
      <c r="Y864" s="5" t="n">
        <v>0</v>
      </c>
      <c r="Z864" s="0" t="n">
        <v>0</v>
      </c>
      <c r="AA864" s="0" t="n">
        <v>0</v>
      </c>
      <c r="AB864" s="0" t="n">
        <v>0</v>
      </c>
      <c r="AC864" s="4" t="s">
        <v>320</v>
      </c>
      <c r="AD864" s="4" t="s">
        <v>74</v>
      </c>
      <c r="AE864" s="4" t="s">
        <v>3459</v>
      </c>
      <c r="AF864" s="4" t="s">
        <v>3463</v>
      </c>
      <c r="AG864" s="5" t="n">
        <v>0.325775462962963</v>
      </c>
      <c r="AH864" s="5" t="n">
        <v>0.149340277777778</v>
      </c>
      <c r="AI864" s="5" t="n">
        <v>0</v>
      </c>
      <c r="AJ864" s="5" t="n">
        <v>0</v>
      </c>
      <c r="AK864" s="5" t="n">
        <v>0</v>
      </c>
      <c r="AL864" s="5" t="n">
        <v>0</v>
      </c>
      <c r="AM864" s="4" t="s">
        <v>78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  <c r="AU864" s="0" t="n">
        <v>4</v>
      </c>
      <c r="AV864" s="0" t="n">
        <v>0</v>
      </c>
      <c r="AW864" s="0" t="n">
        <v>0</v>
      </c>
      <c r="AX864" s="0" t="n">
        <v>0</v>
      </c>
      <c r="AY864" s="0" t="n">
        <v>0</v>
      </c>
      <c r="AZ864" s="0" t="n">
        <v>0</v>
      </c>
      <c r="BA864" s="0" t="n">
        <v>0</v>
      </c>
      <c r="BB864" s="0" t="n">
        <v>0</v>
      </c>
      <c r="BC864" s="0" t="n">
        <v>0</v>
      </c>
      <c r="BD864" s="0" t="n">
        <v>0</v>
      </c>
      <c r="BE864" s="0" t="n">
        <v>0</v>
      </c>
      <c r="BF864" s="0" t="n">
        <v>0</v>
      </c>
      <c r="BG864" s="0" t="n">
        <v>0</v>
      </c>
      <c r="BH864" s="0" t="n">
        <v>0</v>
      </c>
      <c r="BI864" s="0" t="n">
        <v>0</v>
      </c>
      <c r="BJ864" s="0" t="n">
        <v>0</v>
      </c>
      <c r="BK864" s="0" t="n">
        <v>0</v>
      </c>
      <c r="BM864" s="6" t="n">
        <f aca="false">IFERROR(VALUE(F864),"")</f>
        <v>257.85</v>
      </c>
      <c r="BN864" s="6" t="n">
        <f aca="false">IF(R864="-","",IFERROR(VALUE(LEFT(Q864,LEN(Q864)-2)),""))</f>
        <v>102.5</v>
      </c>
      <c r="BO864" s="6" t="n">
        <f aca="false">IF(R864="-","",IFERROR(VALUE(LEFT(R864,LEN(R864)-5)),""))</f>
        <v>2.52</v>
      </c>
      <c r="BP864" s="6" t="n">
        <f aca="false">IF(R864="-","",IFERROR(VALUE(F864),""))</f>
        <v>257.85</v>
      </c>
      <c r="BQ864" s="4" t="n">
        <f aca="false">IF(R864="-",1,0)</f>
        <v>0</v>
      </c>
    </row>
    <row r="865" customFormat="false" ht="15" hidden="false" customHeight="false" outlineLevel="0" collapsed="false">
      <c r="A865" s="0" t="s">
        <v>3464</v>
      </c>
      <c r="B865" s="0" t="s">
        <v>3465</v>
      </c>
      <c r="C865" s="0" t="s">
        <v>70</v>
      </c>
      <c r="D865" s="0" t="s">
        <v>3466</v>
      </c>
      <c r="E865" s="3" t="n">
        <v>46273</v>
      </c>
      <c r="F865" s="4" t="s">
        <v>3467</v>
      </c>
      <c r="G865" s="5" t="n">
        <v>0.424039351851852</v>
      </c>
      <c r="H865" s="5" t="n">
        <v>0.413946759259259</v>
      </c>
      <c r="I865" s="5" t="n">
        <v>0.000659722222222222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3</v>
      </c>
      <c r="O865" s="5" t="n">
        <v>0</v>
      </c>
      <c r="P865" s="5" t="n">
        <v>0.00712962962962963</v>
      </c>
      <c r="Q865" s="4" t="s">
        <v>2351</v>
      </c>
      <c r="R865" s="4" t="s">
        <v>497</v>
      </c>
      <c r="S865" s="5" t="n">
        <v>0.000810185185185185</v>
      </c>
      <c r="T865" s="5" t="n">
        <v>0.153703703703704</v>
      </c>
      <c r="U865" s="5" t="n">
        <v>0.251851851851852</v>
      </c>
      <c r="V865" s="5" t="n">
        <v>0.0144675925925926</v>
      </c>
      <c r="W865" s="5" t="n">
        <v>0</v>
      </c>
      <c r="X865" s="5" t="n">
        <v>0</v>
      </c>
      <c r="Y865" s="5" t="n">
        <v>0</v>
      </c>
      <c r="Z865" s="0" t="n">
        <v>0</v>
      </c>
      <c r="AA865" s="0" t="n">
        <v>0</v>
      </c>
      <c r="AB865" s="0" t="n">
        <v>0</v>
      </c>
      <c r="AC865" s="4" t="s">
        <v>614</v>
      </c>
      <c r="AD865" s="4" t="s">
        <v>1076</v>
      </c>
      <c r="AE865" s="4" t="s">
        <v>3468</v>
      </c>
      <c r="AF865" s="4" t="s">
        <v>3469</v>
      </c>
      <c r="AG865" s="5" t="n">
        <v>0.370798611111111</v>
      </c>
      <c r="AH865" s="5" t="n">
        <v>0.138402777777778</v>
      </c>
      <c r="AI865" s="5" t="n">
        <v>0</v>
      </c>
      <c r="AJ865" s="5" t="n">
        <v>0</v>
      </c>
      <c r="AK865" s="5" t="n">
        <v>0</v>
      </c>
      <c r="AL865" s="5" t="n">
        <v>0</v>
      </c>
      <c r="AM865" s="4" t="s">
        <v>78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  <c r="AU865" s="0" t="n">
        <v>5</v>
      </c>
      <c r="AV865" s="0" t="n">
        <v>0</v>
      </c>
      <c r="AW865" s="0" t="n">
        <v>0</v>
      </c>
      <c r="AX865" s="0" t="n">
        <v>0</v>
      </c>
      <c r="AY865" s="0" t="n">
        <v>0</v>
      </c>
      <c r="AZ865" s="0" t="n">
        <v>0</v>
      </c>
      <c r="BA865" s="0" t="n">
        <v>0</v>
      </c>
      <c r="BB865" s="0" t="n">
        <v>0</v>
      </c>
      <c r="BC865" s="0" t="n">
        <v>0</v>
      </c>
      <c r="BD865" s="0" t="n">
        <v>0</v>
      </c>
      <c r="BE865" s="0" t="n">
        <v>0</v>
      </c>
      <c r="BF865" s="0" t="n">
        <v>0</v>
      </c>
      <c r="BG865" s="0" t="n">
        <v>0</v>
      </c>
      <c r="BH865" s="0" t="n">
        <v>0</v>
      </c>
      <c r="BI865" s="0" t="n">
        <v>0</v>
      </c>
      <c r="BJ865" s="0" t="n">
        <v>0</v>
      </c>
      <c r="BK865" s="0" t="n">
        <v>0</v>
      </c>
      <c r="BM865" s="6" t="n">
        <f aca="false">IFERROR(VALUE(F865),"")</f>
        <v>429.61</v>
      </c>
      <c r="BN865" s="6" t="n">
        <f aca="false">IF(R865="-","",IFERROR(VALUE(LEFT(Q865,LEN(Q865)-2)),""))</f>
        <v>144</v>
      </c>
      <c r="BO865" s="6" t="n">
        <f aca="false">IF(R865="-","",IFERROR(VALUE(LEFT(R865,LEN(R865)-5)),""))</f>
        <v>2.98</v>
      </c>
      <c r="BP865" s="6" t="n">
        <f aca="false">IF(R865="-","",IFERROR(VALUE(F865),""))</f>
        <v>429.61</v>
      </c>
      <c r="BQ865" s="4" t="n">
        <f aca="false">IF(R865="-",1,0)</f>
        <v>0</v>
      </c>
    </row>
    <row r="866" customFormat="false" ht="15" hidden="false" customHeight="false" outlineLevel="0" collapsed="false">
      <c r="A866" s="0" t="s">
        <v>3464</v>
      </c>
      <c r="B866" s="0" t="s">
        <v>3465</v>
      </c>
      <c r="C866" s="0" t="s">
        <v>70</v>
      </c>
      <c r="E866" s="3" t="n">
        <v>46274</v>
      </c>
      <c r="F866" s="4" t="s">
        <v>2395</v>
      </c>
      <c r="G866" s="5" t="n">
        <v>0.00315972222222222</v>
      </c>
      <c r="H866" s="5" t="n">
        <v>0</v>
      </c>
      <c r="I866" s="5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5" t="n">
        <v>0</v>
      </c>
      <c r="P866" s="5" t="n">
        <v>0</v>
      </c>
      <c r="Q866" s="4" t="s">
        <v>971</v>
      </c>
      <c r="R866" s="4" t="s">
        <v>559</v>
      </c>
      <c r="S866" s="5" t="n">
        <v>0</v>
      </c>
      <c r="T866" s="5" t="n">
        <v>0.00277777777777778</v>
      </c>
      <c r="U866" s="5" t="n">
        <v>0</v>
      </c>
      <c r="V866" s="5" t="n">
        <v>0</v>
      </c>
      <c r="W866" s="5" t="n">
        <v>0</v>
      </c>
      <c r="X866" s="5" t="n">
        <v>0</v>
      </c>
      <c r="Y866" s="5" t="n">
        <v>0</v>
      </c>
      <c r="Z866" s="0" t="n">
        <v>0</v>
      </c>
      <c r="AA866" s="0" t="n">
        <v>0</v>
      </c>
      <c r="AB866" s="0" t="n">
        <v>0</v>
      </c>
      <c r="AC866" s="4" t="s">
        <v>1076</v>
      </c>
      <c r="AD866" s="4" t="s">
        <v>1076</v>
      </c>
      <c r="AE866" s="4" t="s">
        <v>3469</v>
      </c>
      <c r="AF866" s="4" t="s">
        <v>3470</v>
      </c>
      <c r="AG866" s="5" t="n">
        <v>0.00112268518518519</v>
      </c>
      <c r="AH866" s="5" t="n">
        <v>0.00987268518518519</v>
      </c>
      <c r="AI866" s="5" t="n">
        <v>0</v>
      </c>
      <c r="AJ866" s="5" t="n">
        <v>0</v>
      </c>
      <c r="AK866" s="5" t="n">
        <v>0</v>
      </c>
      <c r="AL866" s="5" t="n">
        <v>0</v>
      </c>
      <c r="AM866" s="4" t="s">
        <v>78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0</v>
      </c>
      <c r="AV866" s="0" t="n">
        <v>0</v>
      </c>
      <c r="AW866" s="0" t="n">
        <v>0</v>
      </c>
      <c r="AX866" s="0" t="n">
        <v>0</v>
      </c>
      <c r="AY866" s="0" t="n">
        <v>0</v>
      </c>
      <c r="AZ866" s="0" t="n">
        <v>0</v>
      </c>
      <c r="BA866" s="0" t="n">
        <v>0</v>
      </c>
      <c r="BB866" s="0" t="n">
        <v>0</v>
      </c>
      <c r="BC866" s="0" t="n">
        <v>0</v>
      </c>
      <c r="BD866" s="0" t="n">
        <v>0</v>
      </c>
      <c r="BE866" s="0" t="n">
        <v>0</v>
      </c>
      <c r="BF866" s="0" t="n">
        <v>0</v>
      </c>
      <c r="BG866" s="0" t="n">
        <v>0</v>
      </c>
      <c r="BH866" s="0" t="n">
        <v>0</v>
      </c>
      <c r="BI866" s="0" t="n">
        <v>0</v>
      </c>
      <c r="BJ866" s="0" t="n">
        <v>0</v>
      </c>
      <c r="BK866" s="0" t="n">
        <v>0</v>
      </c>
      <c r="BM866" s="6" t="n">
        <f aca="false">IFERROR(VALUE(F866),"")</f>
        <v>0.06</v>
      </c>
      <c r="BN866" s="6" t="n">
        <f aca="false">IF(R866="-","",IFERROR(VALUE(LEFT(Q866,LEN(Q866)-2)),""))</f>
        <v>0.5</v>
      </c>
      <c r="BO866" s="6" t="n">
        <f aca="false">IF(R866="-","",IFERROR(VALUE(LEFT(R866,LEN(R866)-5)),""))</f>
        <v>0.12</v>
      </c>
      <c r="BP866" s="6" t="n">
        <f aca="false">IF(R866="-","",IFERROR(VALUE(F866),""))</f>
        <v>0.06</v>
      </c>
      <c r="BQ866" s="4" t="n">
        <f aca="false">IF(R866="-",1,0)</f>
        <v>0</v>
      </c>
    </row>
    <row r="867" customFormat="false" ht="15" hidden="false" customHeight="false" outlineLevel="0" collapsed="false">
      <c r="A867" s="0" t="s">
        <v>3464</v>
      </c>
      <c r="B867" s="0" t="s">
        <v>3465</v>
      </c>
      <c r="C867" s="0" t="s">
        <v>70</v>
      </c>
      <c r="E867" s="3" t="n">
        <v>46275</v>
      </c>
      <c r="F867" s="4" t="s">
        <v>95</v>
      </c>
      <c r="G867" s="5" t="n">
        <v>8.10185185185185E-005</v>
      </c>
      <c r="H867" s="5" t="n">
        <v>0</v>
      </c>
      <c r="I867" s="5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5" t="n">
        <v>0</v>
      </c>
      <c r="P867" s="5" t="n">
        <v>0</v>
      </c>
      <c r="Q867" s="4" t="s">
        <v>73</v>
      </c>
      <c r="R867" s="4" t="s">
        <v>73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0</v>
      </c>
      <c r="Y867" s="5" t="n">
        <v>0</v>
      </c>
      <c r="Z867" s="0" t="n">
        <v>0</v>
      </c>
      <c r="AA867" s="0" t="n">
        <v>0</v>
      </c>
      <c r="AB867" s="0" t="n">
        <v>0</v>
      </c>
      <c r="AE867" s="4" t="s">
        <v>3470</v>
      </c>
      <c r="AF867" s="4" t="s">
        <v>3470</v>
      </c>
      <c r="AG867" s="5" t="n">
        <v>0</v>
      </c>
      <c r="AH867" s="5" t="n">
        <v>0.000520833333333333</v>
      </c>
      <c r="AI867" s="5" t="n">
        <v>0</v>
      </c>
      <c r="AJ867" s="5" t="n">
        <v>0</v>
      </c>
      <c r="AK867" s="5" t="n">
        <v>0</v>
      </c>
      <c r="AL867" s="5" t="n">
        <v>0</v>
      </c>
      <c r="AM867" s="4" t="s">
        <v>78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0</v>
      </c>
      <c r="AZ867" s="0" t="n">
        <v>0</v>
      </c>
      <c r="BA867" s="0" t="n">
        <v>0</v>
      </c>
      <c r="BB867" s="0" t="n">
        <v>0</v>
      </c>
      <c r="BC867" s="0" t="n">
        <v>0</v>
      </c>
      <c r="BD867" s="0" t="n">
        <v>0</v>
      </c>
      <c r="BE867" s="0" t="n">
        <v>0</v>
      </c>
      <c r="BF867" s="0" t="n">
        <v>0</v>
      </c>
      <c r="BG867" s="0" t="n">
        <v>0</v>
      </c>
      <c r="BH867" s="0" t="n">
        <v>0</v>
      </c>
      <c r="BI867" s="0" t="n">
        <v>0</v>
      </c>
      <c r="BJ867" s="0" t="n">
        <v>0</v>
      </c>
      <c r="BK867" s="0" t="n">
        <v>0</v>
      </c>
      <c r="BM867" s="6" t="n">
        <f aca="false">IFERROR(VALUE(F867),"")</f>
        <v>0</v>
      </c>
      <c r="BN867" s="6" t="str">
        <f aca="false">IF(R867="-","",IFERROR(VALUE(LEFT(Q867,LEN(Q867)-2)),""))</f>
        <v/>
      </c>
      <c r="BO867" s="6" t="str">
        <f aca="false">IF(R867="-","",IFERROR(VALUE(LEFT(R867,LEN(R867)-5)),""))</f>
        <v/>
      </c>
      <c r="BP867" s="6" t="str">
        <f aca="false">IF(R867="-","",IFERROR(VALUE(F867),""))</f>
        <v/>
      </c>
      <c r="BQ867" s="4" t="n">
        <f aca="false">IF(R867="-",1,0)</f>
        <v>1</v>
      </c>
    </row>
    <row r="868" customFormat="false" ht="15" hidden="false" customHeight="false" outlineLevel="0" collapsed="false">
      <c r="A868" s="0" t="s">
        <v>3464</v>
      </c>
      <c r="B868" s="0" t="s">
        <v>3465</v>
      </c>
      <c r="C868" s="0" t="s">
        <v>70</v>
      </c>
      <c r="E868" s="3" t="n">
        <v>46276</v>
      </c>
      <c r="F868" s="4" t="s">
        <v>95</v>
      </c>
      <c r="G868" s="5" t="n">
        <v>0.00165509259259259</v>
      </c>
      <c r="H868" s="5" t="n">
        <v>0</v>
      </c>
      <c r="I868" s="5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5" t="n">
        <v>0</v>
      </c>
      <c r="P868" s="5" t="n">
        <v>0</v>
      </c>
      <c r="Q868" s="4" t="s">
        <v>73</v>
      </c>
      <c r="R868" s="4" t="s">
        <v>73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0</v>
      </c>
      <c r="Z868" s="0" t="n">
        <v>0</v>
      </c>
      <c r="AA868" s="0" t="n">
        <v>0</v>
      </c>
      <c r="AB868" s="0" t="n">
        <v>0</v>
      </c>
      <c r="AC868" s="4" t="s">
        <v>1076</v>
      </c>
      <c r="AD868" s="4" t="s">
        <v>1076</v>
      </c>
      <c r="AE868" s="4" t="s">
        <v>3470</v>
      </c>
      <c r="AF868" s="4" t="s">
        <v>3470</v>
      </c>
      <c r="AG868" s="5" t="n">
        <v>0</v>
      </c>
      <c r="AH868" s="5" t="n">
        <v>0.0021412037037037</v>
      </c>
      <c r="AI868" s="5" t="n">
        <v>0</v>
      </c>
      <c r="AJ868" s="5" t="n">
        <v>0</v>
      </c>
      <c r="AK868" s="5" t="n">
        <v>0</v>
      </c>
      <c r="AL868" s="5" t="n">
        <v>0</v>
      </c>
      <c r="AM868" s="4" t="s">
        <v>78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0</v>
      </c>
      <c r="AZ868" s="0" t="n">
        <v>0</v>
      </c>
      <c r="BA868" s="0" t="n">
        <v>0</v>
      </c>
      <c r="BB868" s="0" t="n">
        <v>0</v>
      </c>
      <c r="BC868" s="0" t="n">
        <v>0</v>
      </c>
      <c r="BD868" s="0" t="n">
        <v>0</v>
      </c>
      <c r="BE868" s="0" t="n">
        <v>0</v>
      </c>
      <c r="BF868" s="0" t="n">
        <v>0</v>
      </c>
      <c r="BG868" s="0" t="n">
        <v>0</v>
      </c>
      <c r="BH868" s="0" t="n">
        <v>0</v>
      </c>
      <c r="BI868" s="0" t="n">
        <v>0</v>
      </c>
      <c r="BJ868" s="0" t="n">
        <v>0</v>
      </c>
      <c r="BK868" s="0" t="n">
        <v>0</v>
      </c>
      <c r="BM868" s="6" t="n">
        <f aca="false">IFERROR(VALUE(F868),"")</f>
        <v>0</v>
      </c>
      <c r="BN868" s="6" t="str">
        <f aca="false">IF(R868="-","",IFERROR(VALUE(LEFT(Q868,LEN(Q868)-2)),""))</f>
        <v/>
      </c>
      <c r="BO868" s="6" t="str">
        <f aca="false">IF(R868="-","",IFERROR(VALUE(LEFT(R868,LEN(R868)-5)),""))</f>
        <v/>
      </c>
      <c r="BP868" s="6" t="str">
        <f aca="false">IF(R868="-","",IFERROR(VALUE(F868),""))</f>
        <v/>
      </c>
      <c r="BQ868" s="4" t="n">
        <f aca="false">IF(R868="-",1,0)</f>
        <v>1</v>
      </c>
    </row>
    <row r="869" customFormat="false" ht="15" hidden="false" customHeight="false" outlineLevel="0" collapsed="false">
      <c r="A869" s="0" t="s">
        <v>3464</v>
      </c>
      <c r="B869" s="0" t="s">
        <v>3465</v>
      </c>
      <c r="C869" s="0" t="s">
        <v>70</v>
      </c>
      <c r="E869" s="3" t="n">
        <v>46278</v>
      </c>
      <c r="F869" s="4" t="s">
        <v>95</v>
      </c>
      <c r="G869" s="5" t="n">
        <v>0.000162037037037037</v>
      </c>
      <c r="H869" s="5" t="n">
        <v>0</v>
      </c>
      <c r="I869" s="5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5" t="n">
        <v>0</v>
      </c>
      <c r="P869" s="5" t="n">
        <v>0</v>
      </c>
      <c r="Q869" s="4" t="s">
        <v>73</v>
      </c>
      <c r="R869" s="4" t="s">
        <v>73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0</v>
      </c>
      <c r="Y869" s="5" t="n">
        <v>0</v>
      </c>
      <c r="Z869" s="0" t="n">
        <v>0</v>
      </c>
      <c r="AA869" s="0" t="n">
        <v>0</v>
      </c>
      <c r="AB869" s="0" t="n">
        <v>0</v>
      </c>
      <c r="AE869" s="4" t="s">
        <v>3470</v>
      </c>
      <c r="AF869" s="4" t="s">
        <v>3470</v>
      </c>
      <c r="AG869" s="5" t="n">
        <v>0</v>
      </c>
      <c r="AH869" s="5" t="n">
        <v>0.000601851851851852</v>
      </c>
      <c r="AI869" s="5" t="n">
        <v>0</v>
      </c>
      <c r="AJ869" s="5" t="n">
        <v>0</v>
      </c>
      <c r="AK869" s="5" t="n">
        <v>0</v>
      </c>
      <c r="AL869" s="5" t="n">
        <v>0</v>
      </c>
      <c r="AM869" s="4" t="s">
        <v>78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  <c r="AU869" s="0" t="n">
        <v>0</v>
      </c>
      <c r="AV869" s="0" t="n">
        <v>0</v>
      </c>
      <c r="AW869" s="0" t="n">
        <v>0</v>
      </c>
      <c r="AX869" s="0" t="n">
        <v>0</v>
      </c>
      <c r="AY869" s="0" t="n">
        <v>0</v>
      </c>
      <c r="AZ869" s="0" t="n">
        <v>0</v>
      </c>
      <c r="BA869" s="0" t="n">
        <v>0</v>
      </c>
      <c r="BB869" s="0" t="n">
        <v>0</v>
      </c>
      <c r="BC869" s="0" t="n">
        <v>0</v>
      </c>
      <c r="BD869" s="0" t="n">
        <v>0</v>
      </c>
      <c r="BE869" s="0" t="n">
        <v>0</v>
      </c>
      <c r="BF869" s="0" t="n">
        <v>0</v>
      </c>
      <c r="BG869" s="0" t="n">
        <v>0</v>
      </c>
      <c r="BH869" s="0" t="n">
        <v>0</v>
      </c>
      <c r="BI869" s="0" t="n">
        <v>0</v>
      </c>
      <c r="BJ869" s="0" t="n">
        <v>0</v>
      </c>
      <c r="BK869" s="0" t="n">
        <v>0</v>
      </c>
      <c r="BM869" s="6" t="n">
        <f aca="false">IFERROR(VALUE(F869),"")</f>
        <v>0</v>
      </c>
      <c r="BN869" s="6" t="str">
        <f aca="false">IF(R869="-","",IFERROR(VALUE(LEFT(Q869,LEN(Q869)-2)),""))</f>
        <v/>
      </c>
      <c r="BO869" s="6" t="str">
        <f aca="false">IF(R869="-","",IFERROR(VALUE(LEFT(R869,LEN(R869)-5)),""))</f>
        <v/>
      </c>
      <c r="BP869" s="6" t="str">
        <f aca="false">IF(R869="-","",IFERROR(VALUE(F869),""))</f>
        <v/>
      </c>
      <c r="BQ869" s="4" t="n">
        <f aca="false">IF(R869="-",1,0)</f>
        <v>1</v>
      </c>
    </row>
    <row r="870" customFormat="false" ht="15" hidden="false" customHeight="false" outlineLevel="0" collapsed="false">
      <c r="A870" s="0" t="s">
        <v>3464</v>
      </c>
      <c r="B870" s="0" t="s">
        <v>3465</v>
      </c>
      <c r="C870" s="0" t="s">
        <v>70</v>
      </c>
      <c r="E870" s="3" t="n">
        <v>46279</v>
      </c>
      <c r="F870" s="4" t="s">
        <v>1153</v>
      </c>
      <c r="G870" s="5" t="n">
        <v>0.0362152777777778</v>
      </c>
      <c r="H870" s="5" t="n">
        <v>0</v>
      </c>
      <c r="I870" s="5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5" t="n">
        <v>0</v>
      </c>
      <c r="P870" s="5" t="n">
        <v>0.0294212962962963</v>
      </c>
      <c r="Q870" s="4" t="s">
        <v>2676</v>
      </c>
      <c r="R870" s="4" t="s">
        <v>2732</v>
      </c>
      <c r="S870" s="5" t="n">
        <v>0</v>
      </c>
      <c r="T870" s="5" t="n">
        <v>0.0350694444444444</v>
      </c>
      <c r="U870" s="5" t="n">
        <v>0</v>
      </c>
      <c r="V870" s="5" t="n">
        <v>0.000347222222222222</v>
      </c>
      <c r="W870" s="5" t="n">
        <v>0</v>
      </c>
      <c r="X870" s="5" t="n">
        <v>0</v>
      </c>
      <c r="Y870" s="5" t="n">
        <v>0</v>
      </c>
      <c r="Z870" s="0" t="n">
        <v>0</v>
      </c>
      <c r="AA870" s="0" t="n">
        <v>0</v>
      </c>
      <c r="AB870" s="0" t="n">
        <v>0</v>
      </c>
      <c r="AC870" s="4" t="s">
        <v>1076</v>
      </c>
      <c r="AD870" s="4" t="s">
        <v>1076</v>
      </c>
      <c r="AE870" s="4" t="s">
        <v>3470</v>
      </c>
      <c r="AF870" s="4" t="s">
        <v>3471</v>
      </c>
      <c r="AG870" s="5" t="n">
        <v>0.00177083333333333</v>
      </c>
      <c r="AH870" s="5" t="n">
        <v>0.0359027777777778</v>
      </c>
      <c r="AI870" s="5" t="n">
        <v>0</v>
      </c>
      <c r="AJ870" s="5" t="n">
        <v>0</v>
      </c>
      <c r="AK870" s="5" t="n">
        <v>0</v>
      </c>
      <c r="AL870" s="5" t="n">
        <v>0</v>
      </c>
      <c r="AM870" s="4" t="s">
        <v>78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  <c r="AU870" s="0" t="n">
        <v>0</v>
      </c>
      <c r="AV870" s="0" t="n">
        <v>0</v>
      </c>
      <c r="AW870" s="0" t="n">
        <v>0</v>
      </c>
      <c r="AX870" s="0" t="n">
        <v>0</v>
      </c>
      <c r="AY870" s="0" t="n">
        <v>0</v>
      </c>
      <c r="AZ870" s="0" t="n">
        <v>0</v>
      </c>
      <c r="BA870" s="0" t="n">
        <v>0</v>
      </c>
      <c r="BB870" s="0" t="n">
        <v>0</v>
      </c>
      <c r="BC870" s="0" t="n">
        <v>0</v>
      </c>
      <c r="BD870" s="0" t="n">
        <v>0</v>
      </c>
      <c r="BE870" s="0" t="n">
        <v>0</v>
      </c>
      <c r="BF870" s="0" t="n">
        <v>0</v>
      </c>
      <c r="BG870" s="0" t="n">
        <v>0</v>
      </c>
      <c r="BH870" s="0" t="n">
        <v>0</v>
      </c>
      <c r="BI870" s="0" t="n">
        <v>0</v>
      </c>
      <c r="BJ870" s="0" t="n">
        <v>0</v>
      </c>
      <c r="BK870" s="0" t="n">
        <v>0</v>
      </c>
      <c r="BM870" s="6" t="n">
        <f aca="false">IFERROR(VALUE(F870),"")</f>
        <v>0.15</v>
      </c>
      <c r="BN870" s="6" t="n">
        <f aca="false">IF(R870="-","",IFERROR(VALUE(LEFT(Q870,LEN(Q870)-2)),""))</f>
        <v>2</v>
      </c>
      <c r="BO870" s="6" t="n">
        <f aca="false">IF(R870="-","",IFERROR(VALUE(LEFT(R870,LEN(R870)-5)),""))</f>
        <v>0.08</v>
      </c>
      <c r="BP870" s="6" t="n">
        <f aca="false">IF(R870="-","",IFERROR(VALUE(F870),""))</f>
        <v>0.15</v>
      </c>
      <c r="BQ870" s="4" t="n">
        <f aca="false">IF(R870="-",1,0)</f>
        <v>0</v>
      </c>
    </row>
    <row r="871" customFormat="false" ht="15" hidden="false" customHeight="false" outlineLevel="0" collapsed="false">
      <c r="A871" s="0" t="s">
        <v>3472</v>
      </c>
      <c r="B871" s="0" t="s">
        <v>3473</v>
      </c>
      <c r="C871" s="0" t="s">
        <v>70</v>
      </c>
      <c r="D871" s="0" t="s">
        <v>1001</v>
      </c>
      <c r="E871" s="3" t="n">
        <v>46273</v>
      </c>
      <c r="F871" s="4" t="s">
        <v>3474</v>
      </c>
      <c r="G871" s="5" t="n">
        <v>0.36625</v>
      </c>
      <c r="H871" s="5" t="n">
        <v>0.323483796296296</v>
      </c>
      <c r="I871" s="5" t="n">
        <v>0.000381944444444445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3</v>
      </c>
      <c r="O871" s="5" t="n">
        <v>0</v>
      </c>
      <c r="P871" s="5" t="n">
        <v>0</v>
      </c>
      <c r="Q871" s="4" t="s">
        <v>3475</v>
      </c>
      <c r="R871" s="4" t="s">
        <v>420</v>
      </c>
      <c r="S871" s="5" t="n">
        <v>0.000925925925925926</v>
      </c>
      <c r="T871" s="5" t="n">
        <v>0.138541666666667</v>
      </c>
      <c r="U871" s="5" t="n">
        <v>0.188657407407407</v>
      </c>
      <c r="V871" s="5" t="n">
        <v>0.000578703703703704</v>
      </c>
      <c r="W871" s="5" t="n">
        <v>0</v>
      </c>
      <c r="X871" s="5" t="n">
        <v>0</v>
      </c>
      <c r="Y871" s="5" t="n">
        <v>0</v>
      </c>
      <c r="Z871" s="0" t="n">
        <v>0</v>
      </c>
      <c r="AA871" s="0" t="n">
        <v>0</v>
      </c>
      <c r="AB871" s="0" t="n">
        <v>0</v>
      </c>
      <c r="AC871" s="4" t="s">
        <v>75</v>
      </c>
      <c r="AD871" s="4" t="s">
        <v>75</v>
      </c>
      <c r="AE871" s="4" t="s">
        <v>3476</v>
      </c>
      <c r="AF871" s="4" t="s">
        <v>3477</v>
      </c>
      <c r="AG871" s="5" t="n">
        <v>0.293611111111111</v>
      </c>
      <c r="AH871" s="5" t="n">
        <v>0.082037037037037</v>
      </c>
      <c r="AI871" s="5" t="n">
        <v>0</v>
      </c>
      <c r="AJ871" s="5" t="n">
        <v>0</v>
      </c>
      <c r="AK871" s="5" t="n">
        <v>0</v>
      </c>
      <c r="AL871" s="5" t="n">
        <v>0</v>
      </c>
      <c r="AM871" s="4" t="s">
        <v>78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  <c r="BA871" s="0" t="n">
        <v>0</v>
      </c>
      <c r="BB871" s="0" t="n">
        <v>0</v>
      </c>
      <c r="BC871" s="0" t="n">
        <v>0</v>
      </c>
      <c r="BD871" s="0" t="n">
        <v>0</v>
      </c>
      <c r="BE871" s="0" t="n">
        <v>0</v>
      </c>
      <c r="BF871" s="0" t="n">
        <v>0</v>
      </c>
      <c r="BG871" s="0" t="n">
        <v>0</v>
      </c>
      <c r="BH871" s="0" t="n">
        <v>0</v>
      </c>
      <c r="BI871" s="0" t="n">
        <v>0</v>
      </c>
      <c r="BJ871" s="0" t="n">
        <v>0</v>
      </c>
      <c r="BK871" s="0" t="n">
        <v>0</v>
      </c>
      <c r="BM871" s="6" t="n">
        <f aca="false">IFERROR(VALUE(F871),"")</f>
        <v>342.68</v>
      </c>
      <c r="BN871" s="6" t="n">
        <f aca="false">IF(R871="-","",IFERROR(VALUE(LEFT(Q871,LEN(Q871)-2)),""))</f>
        <v>104.99</v>
      </c>
      <c r="BO871" s="6" t="n">
        <f aca="false">IF(R871="-","",IFERROR(VALUE(LEFT(R871,LEN(R871)-5)),""))</f>
        <v>3.26</v>
      </c>
      <c r="BP871" s="6" t="n">
        <f aca="false">IF(R871="-","",IFERROR(VALUE(F871),""))</f>
        <v>342.68</v>
      </c>
      <c r="BQ871" s="4" t="n">
        <f aca="false">IF(R871="-",1,0)</f>
        <v>0</v>
      </c>
    </row>
    <row r="872" customFormat="false" ht="15" hidden="false" customHeight="false" outlineLevel="0" collapsed="false">
      <c r="A872" s="0" t="s">
        <v>3472</v>
      </c>
      <c r="B872" s="0" t="s">
        <v>3473</v>
      </c>
      <c r="C872" s="0" t="s">
        <v>70</v>
      </c>
      <c r="D872" s="0" t="s">
        <v>3478</v>
      </c>
      <c r="E872" s="3" t="n">
        <v>46274</v>
      </c>
      <c r="F872" s="4" t="s">
        <v>3479</v>
      </c>
      <c r="G872" s="5" t="n">
        <v>0.515972222222222</v>
      </c>
      <c r="H872" s="5" t="n">
        <v>0.489027777777778</v>
      </c>
      <c r="I872" s="5" t="n">
        <v>0.00138888888888889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1</v>
      </c>
      <c r="O872" s="5" t="n">
        <v>0</v>
      </c>
      <c r="P872" s="5" t="n">
        <v>0</v>
      </c>
      <c r="Q872" s="4" t="s">
        <v>3480</v>
      </c>
      <c r="R872" s="4" t="s">
        <v>1341</v>
      </c>
      <c r="S872" s="5" t="n">
        <v>0.000462962962962963</v>
      </c>
      <c r="T872" s="5" t="n">
        <v>0.172916666666667</v>
      </c>
      <c r="U872" s="5" t="n">
        <v>0.2715625</v>
      </c>
      <c r="V872" s="5" t="n">
        <v>0.0212384259259259</v>
      </c>
      <c r="W872" s="5" t="n">
        <v>0.000613425925925926</v>
      </c>
      <c r="X872" s="5" t="n">
        <v>0</v>
      </c>
      <c r="Y872" s="5" t="n">
        <v>0.0003125</v>
      </c>
      <c r="Z872" s="0" t="n">
        <v>0</v>
      </c>
      <c r="AA872" s="0" t="n">
        <v>0</v>
      </c>
      <c r="AB872" s="0" t="n">
        <v>0</v>
      </c>
      <c r="AC872" s="4" t="s">
        <v>228</v>
      </c>
      <c r="AD872" s="4" t="s">
        <v>842</v>
      </c>
      <c r="AE872" s="4" t="s">
        <v>3477</v>
      </c>
      <c r="AF872" s="4" t="s">
        <v>3481</v>
      </c>
      <c r="AG872" s="5" t="n">
        <v>0.402280092592593</v>
      </c>
      <c r="AH872" s="5" t="n">
        <v>0.12005787037037</v>
      </c>
      <c r="AI872" s="5" t="n">
        <v>0</v>
      </c>
      <c r="AJ872" s="5" t="n">
        <v>0</v>
      </c>
      <c r="AK872" s="5" t="n">
        <v>0</v>
      </c>
      <c r="AL872" s="5" t="n">
        <v>0</v>
      </c>
      <c r="AM872" s="4" t="s">
        <v>78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  <c r="AU872" s="0" t="n">
        <v>1</v>
      </c>
      <c r="AV872" s="0" t="n">
        <v>0</v>
      </c>
      <c r="AW872" s="0" t="n">
        <v>0</v>
      </c>
      <c r="AX872" s="0" t="n">
        <v>0</v>
      </c>
      <c r="AY872" s="0" t="n">
        <v>0</v>
      </c>
      <c r="AZ872" s="0" t="n">
        <v>0</v>
      </c>
      <c r="BA872" s="0" t="n">
        <v>0</v>
      </c>
      <c r="BB872" s="0" t="n">
        <v>0</v>
      </c>
      <c r="BC872" s="0" t="n">
        <v>0</v>
      </c>
      <c r="BD872" s="0" t="n">
        <v>0</v>
      </c>
      <c r="BE872" s="0" t="n">
        <v>0</v>
      </c>
      <c r="BF872" s="0" t="n">
        <v>0</v>
      </c>
      <c r="BG872" s="0" t="n">
        <v>0</v>
      </c>
      <c r="BH872" s="0" t="n">
        <v>0</v>
      </c>
      <c r="BI872" s="0" t="n">
        <v>0</v>
      </c>
      <c r="BJ872" s="0" t="n">
        <v>0</v>
      </c>
      <c r="BK872" s="0" t="n">
        <v>0</v>
      </c>
      <c r="BM872" s="6" t="n">
        <f aca="false">IFERROR(VALUE(F872),"")</f>
        <v>471.78</v>
      </c>
      <c r="BN872" s="6" t="n">
        <f aca="false">IF(R872="-","",IFERROR(VALUE(LEFT(Q872,LEN(Q872)-2)),""))</f>
        <v>157.49</v>
      </c>
      <c r="BO872" s="6" t="n">
        <f aca="false">IF(R872="-","",IFERROR(VALUE(LEFT(R872,LEN(R872)-5)),""))</f>
        <v>3</v>
      </c>
      <c r="BP872" s="6" t="n">
        <f aca="false">IF(R872="-","",IFERROR(VALUE(F872),""))</f>
        <v>471.78</v>
      </c>
      <c r="BQ872" s="4" t="n">
        <f aca="false">IF(R872="-",1,0)</f>
        <v>0</v>
      </c>
    </row>
    <row r="873" customFormat="false" ht="15" hidden="false" customHeight="false" outlineLevel="0" collapsed="false">
      <c r="A873" s="0" t="s">
        <v>3472</v>
      </c>
      <c r="B873" s="0" t="s">
        <v>3473</v>
      </c>
      <c r="C873" s="0" t="s">
        <v>70</v>
      </c>
      <c r="D873" s="0" t="s">
        <v>3482</v>
      </c>
      <c r="E873" s="3" t="n">
        <v>46275</v>
      </c>
      <c r="F873" s="4" t="s">
        <v>3483</v>
      </c>
      <c r="G873" s="5" t="n">
        <v>0.285706018518519</v>
      </c>
      <c r="H873" s="5" t="n">
        <v>0.215740740740741</v>
      </c>
      <c r="I873" s="5" t="n">
        <v>0.00121527777777778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5" t="n">
        <v>0</v>
      </c>
      <c r="P873" s="5" t="n">
        <v>0</v>
      </c>
      <c r="Q873" s="4" t="s">
        <v>3484</v>
      </c>
      <c r="R873" s="4" t="s">
        <v>426</v>
      </c>
      <c r="S873" s="5" t="n">
        <v>0.000347222222222222</v>
      </c>
      <c r="T873" s="5" t="n">
        <v>0.0946759259259259</v>
      </c>
      <c r="U873" s="5" t="n">
        <v>0.123148148148148</v>
      </c>
      <c r="V873" s="5" t="n">
        <v>0.0168287037037037</v>
      </c>
      <c r="W873" s="5" t="n">
        <v>0.00025462962962963</v>
      </c>
      <c r="X873" s="5" t="n">
        <v>0</v>
      </c>
      <c r="Y873" s="5" t="n">
        <v>0.000138888888888889</v>
      </c>
      <c r="Z873" s="0" t="n">
        <v>0</v>
      </c>
      <c r="AA873" s="0" t="n">
        <v>0</v>
      </c>
      <c r="AB873" s="0" t="n">
        <v>0</v>
      </c>
      <c r="AC873" s="4" t="s">
        <v>3485</v>
      </c>
      <c r="AD873" s="4" t="s">
        <v>864</v>
      </c>
      <c r="AE873" s="4" t="s">
        <v>3481</v>
      </c>
      <c r="AF873" s="4" t="s">
        <v>3486</v>
      </c>
      <c r="AG873" s="5" t="n">
        <v>0.199652777777778</v>
      </c>
      <c r="AH873" s="5" t="n">
        <v>0.0953009259259259</v>
      </c>
      <c r="AI873" s="5" t="n">
        <v>0</v>
      </c>
      <c r="AJ873" s="5" t="n">
        <v>0</v>
      </c>
      <c r="AK873" s="5" t="n">
        <v>0</v>
      </c>
      <c r="AL873" s="5" t="n">
        <v>0</v>
      </c>
      <c r="AM873" s="4" t="s">
        <v>78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  <c r="AU873" s="0" t="n">
        <v>0</v>
      </c>
      <c r="AV873" s="0" t="n">
        <v>0</v>
      </c>
      <c r="AW873" s="0" t="n">
        <v>0</v>
      </c>
      <c r="AX873" s="0" t="n">
        <v>0</v>
      </c>
      <c r="AY873" s="0" t="n">
        <v>0</v>
      </c>
      <c r="AZ873" s="0" t="n">
        <v>0</v>
      </c>
      <c r="BA873" s="0" t="n">
        <v>0</v>
      </c>
      <c r="BB873" s="0" t="n">
        <v>0</v>
      </c>
      <c r="BC873" s="0" t="n">
        <v>0</v>
      </c>
      <c r="BD873" s="0" t="n">
        <v>0</v>
      </c>
      <c r="BE873" s="0" t="n">
        <v>0</v>
      </c>
      <c r="BF873" s="0" t="n">
        <v>0</v>
      </c>
      <c r="BG873" s="0" t="n">
        <v>0</v>
      </c>
      <c r="BH873" s="0" t="n">
        <v>0</v>
      </c>
      <c r="BI873" s="0" t="n">
        <v>0</v>
      </c>
      <c r="BJ873" s="0" t="n">
        <v>0</v>
      </c>
      <c r="BK873" s="0" t="n">
        <v>0</v>
      </c>
      <c r="BM873" s="6" t="n">
        <f aca="false">IFERROR(VALUE(F873),"")</f>
        <v>221.8</v>
      </c>
      <c r="BN873" s="6" t="n">
        <f aca="false">IF(R873="-","",IFERROR(VALUE(LEFT(Q873,LEN(Q873)-2)),""))</f>
        <v>79.01</v>
      </c>
      <c r="BO873" s="6" t="n">
        <f aca="false">IF(R873="-","",IFERROR(VALUE(LEFT(R873,LEN(R873)-5)),""))</f>
        <v>2.81</v>
      </c>
      <c r="BP873" s="6" t="n">
        <f aca="false">IF(R873="-","",IFERROR(VALUE(F873),""))</f>
        <v>221.8</v>
      </c>
      <c r="BQ873" s="4" t="n">
        <f aca="false">IF(R873="-",1,0)</f>
        <v>0</v>
      </c>
    </row>
    <row r="874" customFormat="false" ht="15" hidden="false" customHeight="false" outlineLevel="0" collapsed="false">
      <c r="A874" s="0" t="s">
        <v>3472</v>
      </c>
      <c r="B874" s="0" t="s">
        <v>3473</v>
      </c>
      <c r="C874" s="0" t="s">
        <v>70</v>
      </c>
      <c r="D874" s="0" t="s">
        <v>2009</v>
      </c>
      <c r="E874" s="3" t="n">
        <v>46276</v>
      </c>
      <c r="F874" s="4" t="s">
        <v>3487</v>
      </c>
      <c r="G874" s="5" t="n">
        <v>0.166689814814815</v>
      </c>
      <c r="H874" s="5" t="n">
        <v>0.126469907407407</v>
      </c>
      <c r="I874" s="5" t="n">
        <v>0.000219907407407407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1</v>
      </c>
      <c r="O874" s="5" t="n">
        <v>0</v>
      </c>
      <c r="P874" s="5" t="n">
        <v>0</v>
      </c>
      <c r="Q874" s="4" t="s">
        <v>3488</v>
      </c>
      <c r="R874" s="4" t="s">
        <v>3489</v>
      </c>
      <c r="S874" s="5" t="n">
        <v>0.000810185185185185</v>
      </c>
      <c r="T874" s="5" t="n">
        <v>0.0717592592592593</v>
      </c>
      <c r="U874" s="5" t="n">
        <v>0.0460648148148148</v>
      </c>
      <c r="V874" s="5" t="n">
        <v>0.0145833333333333</v>
      </c>
      <c r="W874" s="5" t="n">
        <v>0</v>
      </c>
      <c r="X874" s="5" t="n">
        <v>0</v>
      </c>
      <c r="Y874" s="5" t="n">
        <v>0</v>
      </c>
      <c r="Z874" s="0" t="n">
        <v>0</v>
      </c>
      <c r="AA874" s="0" t="n">
        <v>0</v>
      </c>
      <c r="AB874" s="0" t="n">
        <v>0</v>
      </c>
      <c r="AC874" s="4" t="s">
        <v>158</v>
      </c>
      <c r="AD874" s="4" t="s">
        <v>158</v>
      </c>
      <c r="AE874" s="4" t="s">
        <v>3486</v>
      </c>
      <c r="AF874" s="4" t="s">
        <v>3490</v>
      </c>
      <c r="AG874" s="5" t="n">
        <v>0.105266203703704</v>
      </c>
      <c r="AH874" s="5" t="n">
        <v>0.0636805555555556</v>
      </c>
      <c r="AI874" s="5" t="n">
        <v>0</v>
      </c>
      <c r="AJ874" s="5" t="n">
        <v>0</v>
      </c>
      <c r="AK874" s="5" t="n">
        <v>0</v>
      </c>
      <c r="AL874" s="5" t="n">
        <v>0</v>
      </c>
      <c r="AM874" s="4" t="s">
        <v>78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  <c r="AU874" s="0" t="n">
        <v>4</v>
      </c>
      <c r="AV874" s="0" t="n">
        <v>0</v>
      </c>
      <c r="AW874" s="0" t="n">
        <v>0</v>
      </c>
      <c r="AX874" s="0" t="n">
        <v>0</v>
      </c>
      <c r="AY874" s="0" t="n">
        <v>0</v>
      </c>
      <c r="AZ874" s="0" t="n">
        <v>0</v>
      </c>
      <c r="BA874" s="0" t="n">
        <v>0</v>
      </c>
      <c r="BB874" s="0" t="n">
        <v>0</v>
      </c>
      <c r="BC874" s="0" t="n">
        <v>0</v>
      </c>
      <c r="BD874" s="0" t="n">
        <v>0</v>
      </c>
      <c r="BE874" s="0" t="n">
        <v>0</v>
      </c>
      <c r="BF874" s="0" t="n">
        <v>0</v>
      </c>
      <c r="BG874" s="0" t="n">
        <v>0</v>
      </c>
      <c r="BH874" s="0" t="n">
        <v>0</v>
      </c>
      <c r="BI874" s="0" t="n">
        <v>0</v>
      </c>
      <c r="BJ874" s="0" t="n">
        <v>0</v>
      </c>
      <c r="BK874" s="0" t="n">
        <v>0</v>
      </c>
      <c r="BM874" s="6" t="n">
        <f aca="false">IFERROR(VALUE(F874),"")</f>
        <v>81.32</v>
      </c>
      <c r="BN874" s="6" t="n">
        <f aca="false">IF(R874="-","",IFERROR(VALUE(LEFT(Q874,LEN(Q874)-2)),""))</f>
        <v>43.01</v>
      </c>
      <c r="BO874" s="6" t="n">
        <f aca="false">IF(R874="-","",IFERROR(VALUE(LEFT(R874,LEN(R874)-5)),""))</f>
        <v>1.89</v>
      </c>
      <c r="BP874" s="6" t="n">
        <f aca="false">IF(R874="-","",IFERROR(VALUE(F874),""))</f>
        <v>81.32</v>
      </c>
      <c r="BQ874" s="4" t="n">
        <f aca="false">IF(R874="-",1,0)</f>
        <v>0</v>
      </c>
    </row>
    <row r="875" customFormat="false" ht="15" hidden="false" customHeight="false" outlineLevel="0" collapsed="false">
      <c r="A875" s="0" t="s">
        <v>3472</v>
      </c>
      <c r="B875" s="0" t="s">
        <v>3473</v>
      </c>
      <c r="C875" s="0" t="s">
        <v>70</v>
      </c>
      <c r="D875" s="0" t="s">
        <v>3491</v>
      </c>
      <c r="E875" s="3" t="n">
        <v>46277</v>
      </c>
      <c r="F875" s="4" t="s">
        <v>3492</v>
      </c>
      <c r="G875" s="5" t="n">
        <v>0.195868055555556</v>
      </c>
      <c r="H875" s="5" t="n">
        <v>0.159826388888889</v>
      </c>
      <c r="I875" s="5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5" t="n">
        <v>0</v>
      </c>
      <c r="P875" s="5" t="n">
        <v>0</v>
      </c>
      <c r="Q875" s="4" t="s">
        <v>3493</v>
      </c>
      <c r="R875" s="4" t="s">
        <v>3494</v>
      </c>
      <c r="S875" s="5" t="n">
        <v>0</v>
      </c>
      <c r="T875" s="5" t="n">
        <v>0.080787037037037</v>
      </c>
      <c r="U875" s="5" t="n">
        <v>0.0886574074074074</v>
      </c>
      <c r="V875" s="5" t="n">
        <v>0.00405092592592593</v>
      </c>
      <c r="W875" s="5" t="n">
        <v>0</v>
      </c>
      <c r="X875" s="5" t="n">
        <v>0</v>
      </c>
      <c r="Y875" s="5" t="n">
        <v>0</v>
      </c>
      <c r="Z875" s="0" t="n">
        <v>0</v>
      </c>
      <c r="AA875" s="0" t="n">
        <v>0</v>
      </c>
      <c r="AB875" s="0" t="n">
        <v>0</v>
      </c>
      <c r="AC875" s="4" t="s">
        <v>158</v>
      </c>
      <c r="AD875" s="4" t="s">
        <v>864</v>
      </c>
      <c r="AE875" s="4" t="s">
        <v>3490</v>
      </c>
      <c r="AF875" s="4" t="s">
        <v>3495</v>
      </c>
      <c r="AG875" s="5" t="n">
        <v>0.147071759259259</v>
      </c>
      <c r="AH875" s="5" t="n">
        <v>0.0541550925925926</v>
      </c>
      <c r="AI875" s="5" t="n">
        <v>0</v>
      </c>
      <c r="AJ875" s="5" t="n">
        <v>0</v>
      </c>
      <c r="AK875" s="5" t="n">
        <v>0</v>
      </c>
      <c r="AL875" s="5" t="n">
        <v>0</v>
      </c>
      <c r="AM875" s="4" t="s">
        <v>78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  <c r="AU875" s="0" t="n">
        <v>0</v>
      </c>
      <c r="AV875" s="0" t="n">
        <v>0</v>
      </c>
      <c r="AW875" s="0" t="n">
        <v>0</v>
      </c>
      <c r="AX875" s="0" t="n">
        <v>0</v>
      </c>
      <c r="AY875" s="0" t="n">
        <v>0</v>
      </c>
      <c r="AZ875" s="0" t="n">
        <v>0</v>
      </c>
      <c r="BA875" s="0" t="n">
        <v>0</v>
      </c>
      <c r="BB875" s="0" t="n">
        <v>0</v>
      </c>
      <c r="BC875" s="0" t="n">
        <v>0</v>
      </c>
      <c r="BD875" s="0" t="n">
        <v>0</v>
      </c>
      <c r="BE875" s="0" t="n">
        <v>0</v>
      </c>
      <c r="BF875" s="0" t="n">
        <v>0</v>
      </c>
      <c r="BG875" s="0" t="n">
        <v>0</v>
      </c>
      <c r="BH875" s="0" t="n">
        <v>0</v>
      </c>
      <c r="BI875" s="0" t="n">
        <v>0</v>
      </c>
      <c r="BJ875" s="0" t="n">
        <v>0</v>
      </c>
      <c r="BK875" s="0" t="n">
        <v>0</v>
      </c>
      <c r="BM875" s="6" t="n">
        <f aca="false">IFERROR(VALUE(F875),"")</f>
        <v>164.93</v>
      </c>
      <c r="BN875" s="6" t="n">
        <f aca="false">IF(R875="-","",IFERROR(VALUE(LEFT(Q875,LEN(Q875)-2)),""))</f>
        <v>40.5</v>
      </c>
      <c r="BO875" s="6" t="n">
        <f aca="false">IF(R875="-","",IFERROR(VALUE(LEFT(R875,LEN(R875)-5)),""))</f>
        <v>4.07</v>
      </c>
      <c r="BP875" s="6" t="n">
        <f aca="false">IF(R875="-","",IFERROR(VALUE(F875),""))</f>
        <v>164.93</v>
      </c>
      <c r="BQ875" s="4" t="n">
        <f aca="false">IF(R875="-",1,0)</f>
        <v>0</v>
      </c>
    </row>
    <row r="876" customFormat="false" ht="15" hidden="false" customHeight="false" outlineLevel="0" collapsed="false">
      <c r="A876" s="0" t="s">
        <v>3472</v>
      </c>
      <c r="B876" s="0" t="s">
        <v>3473</v>
      </c>
      <c r="C876" s="0" t="s">
        <v>70</v>
      </c>
      <c r="D876" s="0" t="s">
        <v>3496</v>
      </c>
      <c r="E876" s="3" t="n">
        <v>46278</v>
      </c>
      <c r="F876" s="4" t="s">
        <v>3497</v>
      </c>
      <c r="G876" s="5" t="n">
        <v>0.192569444444444</v>
      </c>
      <c r="H876" s="5" t="n">
        <v>0.18380787037037</v>
      </c>
      <c r="I876" s="5" t="n">
        <v>2.31481481481482E-005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5" t="n">
        <v>0</v>
      </c>
      <c r="P876" s="5" t="n">
        <v>0</v>
      </c>
      <c r="Q876" s="4" t="s">
        <v>3498</v>
      </c>
      <c r="R876" s="4" t="s">
        <v>325</v>
      </c>
      <c r="S876" s="5" t="n">
        <v>0.000347222222222222</v>
      </c>
      <c r="T876" s="5" t="n">
        <v>0.0746527777777778</v>
      </c>
      <c r="U876" s="5" t="n">
        <v>0.100231481481482</v>
      </c>
      <c r="V876" s="5" t="n">
        <v>0.00844907407407407</v>
      </c>
      <c r="W876" s="5" t="n">
        <v>0</v>
      </c>
      <c r="X876" s="5" t="n">
        <v>0</v>
      </c>
      <c r="Y876" s="5" t="n">
        <v>0</v>
      </c>
      <c r="Z876" s="0" t="n">
        <v>0</v>
      </c>
      <c r="AA876" s="0" t="n">
        <v>0</v>
      </c>
      <c r="AB876" s="0" t="n">
        <v>0</v>
      </c>
      <c r="AC876" s="4" t="s">
        <v>871</v>
      </c>
      <c r="AD876" s="4" t="s">
        <v>159</v>
      </c>
      <c r="AE876" s="4" t="s">
        <v>3495</v>
      </c>
      <c r="AF876" s="4" t="s">
        <v>3499</v>
      </c>
      <c r="AG876" s="5" t="n">
        <v>0.162708333333333</v>
      </c>
      <c r="AH876" s="5" t="n">
        <v>0.0355555555555556</v>
      </c>
      <c r="AI876" s="5" t="n">
        <v>0</v>
      </c>
      <c r="AJ876" s="5" t="n">
        <v>0</v>
      </c>
      <c r="AK876" s="5" t="n">
        <v>0</v>
      </c>
      <c r="AL876" s="5" t="n">
        <v>0</v>
      </c>
      <c r="AM876" s="4" t="s">
        <v>78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  <c r="AU876" s="0" t="n">
        <v>0</v>
      </c>
      <c r="AV876" s="0" t="n">
        <v>0</v>
      </c>
      <c r="AW876" s="0" t="n">
        <v>0</v>
      </c>
      <c r="AX876" s="0" t="n">
        <v>0</v>
      </c>
      <c r="AY876" s="0" t="n">
        <v>0</v>
      </c>
      <c r="AZ876" s="0" t="n">
        <v>0</v>
      </c>
      <c r="BA876" s="0" t="n">
        <v>0</v>
      </c>
      <c r="BB876" s="0" t="n">
        <v>0</v>
      </c>
      <c r="BC876" s="0" t="n">
        <v>0</v>
      </c>
      <c r="BD876" s="0" t="n">
        <v>0</v>
      </c>
      <c r="BE876" s="0" t="n">
        <v>0</v>
      </c>
      <c r="BF876" s="0" t="n">
        <v>0</v>
      </c>
      <c r="BG876" s="0" t="n">
        <v>0</v>
      </c>
      <c r="BH876" s="0" t="n">
        <v>0</v>
      </c>
      <c r="BI876" s="0" t="n">
        <v>0</v>
      </c>
      <c r="BJ876" s="0" t="n">
        <v>0</v>
      </c>
      <c r="BK876" s="0" t="n">
        <v>0</v>
      </c>
      <c r="BM876" s="6" t="n">
        <f aca="false">IFERROR(VALUE(F876),"")</f>
        <v>164.89</v>
      </c>
      <c r="BN876" s="6" t="n">
        <f aca="false">IF(R876="-","",IFERROR(VALUE(LEFT(Q876,LEN(Q876)-2)),""))</f>
        <v>57.5</v>
      </c>
      <c r="BO876" s="6" t="n">
        <f aca="false">IF(R876="-","",IFERROR(VALUE(LEFT(R876,LEN(R876)-5)),""))</f>
        <v>2.87</v>
      </c>
      <c r="BP876" s="6" t="n">
        <f aca="false">IF(R876="-","",IFERROR(VALUE(F876),""))</f>
        <v>164.89</v>
      </c>
      <c r="BQ876" s="4" t="n">
        <f aca="false">IF(R876="-",1,0)</f>
        <v>0</v>
      </c>
    </row>
    <row r="877" customFormat="false" ht="15" hidden="false" customHeight="false" outlineLevel="0" collapsed="false">
      <c r="A877" s="0" t="s">
        <v>3472</v>
      </c>
      <c r="B877" s="0" t="s">
        <v>3473</v>
      </c>
      <c r="C877" s="0" t="s">
        <v>70</v>
      </c>
      <c r="D877" s="0" t="s">
        <v>3093</v>
      </c>
      <c r="E877" s="3" t="n">
        <v>46279</v>
      </c>
      <c r="F877" s="4" t="s">
        <v>3500</v>
      </c>
      <c r="G877" s="5" t="n">
        <v>0.0506134259259259</v>
      </c>
      <c r="H877" s="5" t="n">
        <v>0.00792824074074074</v>
      </c>
      <c r="I877" s="5" t="n">
        <v>0.000104166666666667</v>
      </c>
      <c r="J877" s="0" t="n">
        <v>0</v>
      </c>
      <c r="K877" s="0" t="n">
        <v>1</v>
      </c>
      <c r="L877" s="0" t="n">
        <v>0</v>
      </c>
      <c r="M877" s="0" t="n">
        <v>0</v>
      </c>
      <c r="N877" s="0" t="n">
        <v>0</v>
      </c>
      <c r="O877" s="5" t="n">
        <v>0</v>
      </c>
      <c r="P877" s="5" t="n">
        <v>0</v>
      </c>
      <c r="Q877" s="4" t="s">
        <v>3501</v>
      </c>
      <c r="R877" s="4" t="s">
        <v>3502</v>
      </c>
      <c r="S877" s="5" t="n">
        <v>0.000347222222222222</v>
      </c>
      <c r="T877" s="5" t="n">
        <v>0.031712962962963</v>
      </c>
      <c r="U877" s="5" t="n">
        <v>0.00555555555555556</v>
      </c>
      <c r="V877" s="5" t="n">
        <v>0</v>
      </c>
      <c r="W877" s="5" t="n">
        <v>0</v>
      </c>
      <c r="X877" s="5" t="n">
        <v>0</v>
      </c>
      <c r="Y877" s="5" t="n">
        <v>0</v>
      </c>
      <c r="Z877" s="0" t="n">
        <v>0</v>
      </c>
      <c r="AA877" s="0" t="n">
        <v>0</v>
      </c>
      <c r="AB877" s="0" t="n">
        <v>0</v>
      </c>
      <c r="AC877" s="4" t="s">
        <v>159</v>
      </c>
      <c r="AD877" s="4" t="s">
        <v>158</v>
      </c>
      <c r="AE877" s="4" t="s">
        <v>3499</v>
      </c>
      <c r="AF877" s="4" t="s">
        <v>3503</v>
      </c>
      <c r="AG877" s="5" t="n">
        <v>0.0180555555555556</v>
      </c>
      <c r="AH877" s="5" t="n">
        <v>0.0364583333333333</v>
      </c>
      <c r="AI877" s="5" t="n">
        <v>0</v>
      </c>
      <c r="AJ877" s="5" t="n">
        <v>0</v>
      </c>
      <c r="AK877" s="5" t="n">
        <v>0</v>
      </c>
      <c r="AL877" s="5" t="n">
        <v>0</v>
      </c>
      <c r="AM877" s="4" t="s">
        <v>78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  <c r="AU877" s="0" t="n">
        <v>0</v>
      </c>
      <c r="AV877" s="0" t="n">
        <v>0</v>
      </c>
      <c r="AW877" s="0" t="n">
        <v>0</v>
      </c>
      <c r="AX877" s="0" t="n">
        <v>0</v>
      </c>
      <c r="AY877" s="0" t="n">
        <v>0</v>
      </c>
      <c r="AZ877" s="0" t="n">
        <v>0</v>
      </c>
      <c r="BA877" s="0" t="n">
        <v>0</v>
      </c>
      <c r="BB877" s="0" t="n">
        <v>0</v>
      </c>
      <c r="BC877" s="0" t="n">
        <v>0</v>
      </c>
      <c r="BD877" s="0" t="n">
        <v>0</v>
      </c>
      <c r="BE877" s="0" t="n">
        <v>0</v>
      </c>
      <c r="BF877" s="0" t="n">
        <v>0</v>
      </c>
      <c r="BG877" s="0" t="n">
        <v>0</v>
      </c>
      <c r="BH877" s="0" t="n">
        <v>0</v>
      </c>
      <c r="BI877" s="0" t="n">
        <v>0</v>
      </c>
      <c r="BJ877" s="0" t="n">
        <v>0</v>
      </c>
      <c r="BK877" s="0" t="n">
        <v>0</v>
      </c>
      <c r="BM877" s="6" t="n">
        <f aca="false">IFERROR(VALUE(F877),"")</f>
        <v>6</v>
      </c>
      <c r="BN877" s="6" t="n">
        <f aca="false">IF(R877="-","",IFERROR(VALUE(LEFT(Q877,LEN(Q877)-2)),""))</f>
        <v>4.5</v>
      </c>
      <c r="BO877" s="6" t="n">
        <f aca="false">IF(R877="-","",IFERROR(VALUE(LEFT(R877,LEN(R877)-5)),""))</f>
        <v>1.33</v>
      </c>
      <c r="BP877" s="6" t="n">
        <f aca="false">IF(R877="-","",IFERROR(VALUE(F877),""))</f>
        <v>6</v>
      </c>
      <c r="BQ877" s="4" t="n">
        <f aca="false">IF(R877="-",1,0)</f>
        <v>0</v>
      </c>
    </row>
    <row r="878" customFormat="false" ht="15" hidden="false" customHeight="false" outlineLevel="0" collapsed="false">
      <c r="A878" s="0" t="s">
        <v>3504</v>
      </c>
      <c r="B878" s="0" t="s">
        <v>3505</v>
      </c>
      <c r="C878" s="0" t="s">
        <v>70</v>
      </c>
      <c r="D878" s="0" t="s">
        <v>3506</v>
      </c>
      <c r="E878" s="3" t="n">
        <v>46273</v>
      </c>
      <c r="F878" s="4" t="s">
        <v>3507</v>
      </c>
      <c r="G878" s="5" t="n">
        <v>0.4025</v>
      </c>
      <c r="H878" s="5" t="n">
        <v>0.177939814814815</v>
      </c>
      <c r="I878" s="5" t="n">
        <v>0.00346064814814815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5" t="n">
        <v>0</v>
      </c>
      <c r="P878" s="5" t="n">
        <v>0</v>
      </c>
      <c r="Q878" s="4" t="s">
        <v>3508</v>
      </c>
      <c r="R878" s="4" t="s">
        <v>3509</v>
      </c>
      <c r="S878" s="5" t="n">
        <v>0.00104166666666667</v>
      </c>
      <c r="T878" s="5" t="n">
        <v>0.158217592592593</v>
      </c>
      <c r="U878" s="5" t="n">
        <v>0.165625</v>
      </c>
      <c r="V878" s="5" t="n">
        <v>0.0336805555555556</v>
      </c>
      <c r="W878" s="5" t="n">
        <v>0.000115740740740741</v>
      </c>
      <c r="X878" s="5" t="n">
        <v>0</v>
      </c>
      <c r="Y878" s="5" t="n">
        <v>0</v>
      </c>
      <c r="Z878" s="0" t="n">
        <v>0</v>
      </c>
      <c r="AA878" s="0" t="n">
        <v>0</v>
      </c>
      <c r="AB878" s="0" t="n">
        <v>0</v>
      </c>
      <c r="AC878" s="4" t="s">
        <v>75</v>
      </c>
      <c r="AD878" s="4" t="s">
        <v>3510</v>
      </c>
      <c r="AE878" s="4" t="s">
        <v>3511</v>
      </c>
      <c r="AF878" s="4" t="s">
        <v>3512</v>
      </c>
      <c r="AG878" s="5" t="n">
        <v>0.316990740740741</v>
      </c>
      <c r="AH878" s="5" t="n">
        <v>0.183252314814815</v>
      </c>
      <c r="AI878" s="5" t="n">
        <v>0</v>
      </c>
      <c r="AJ878" s="5" t="n">
        <v>0</v>
      </c>
      <c r="AK878" s="5" t="n">
        <v>0</v>
      </c>
      <c r="AL878" s="5" t="n">
        <v>0</v>
      </c>
      <c r="AM878" s="4" t="s">
        <v>78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  <c r="AU878" s="0" t="n">
        <v>1</v>
      </c>
      <c r="AV878" s="0" t="n">
        <v>0</v>
      </c>
      <c r="AW878" s="0" t="n">
        <v>0</v>
      </c>
      <c r="AX878" s="0" t="n">
        <v>0</v>
      </c>
      <c r="AY878" s="0" t="n">
        <v>0</v>
      </c>
      <c r="AZ878" s="0" t="n">
        <v>0</v>
      </c>
      <c r="BA878" s="0" t="n">
        <v>0</v>
      </c>
      <c r="BB878" s="0" t="n">
        <v>0</v>
      </c>
      <c r="BC878" s="0" t="n">
        <v>0</v>
      </c>
      <c r="BD878" s="0" t="n">
        <v>0</v>
      </c>
      <c r="BE878" s="0" t="n">
        <v>0</v>
      </c>
      <c r="BF878" s="0" t="n">
        <v>0</v>
      </c>
      <c r="BG878" s="0" t="n">
        <v>0</v>
      </c>
      <c r="BH878" s="0" t="n">
        <v>0</v>
      </c>
      <c r="BI878" s="0" t="n">
        <v>0</v>
      </c>
      <c r="BJ878" s="0" t="n">
        <v>0</v>
      </c>
      <c r="BK878" s="0" t="n">
        <v>0</v>
      </c>
      <c r="BM878" s="6" t="n">
        <f aca="false">IFERROR(VALUE(F878),"")</f>
        <v>163.51</v>
      </c>
      <c r="BN878" s="6" t="n">
        <f aca="false">IF(R878="-","",IFERROR(VALUE(LEFT(Q878,LEN(Q878)-2)),""))</f>
        <v>46.27</v>
      </c>
      <c r="BO878" s="6" t="n">
        <f aca="false">IF(R878="-","",IFERROR(VALUE(LEFT(R878,LEN(R878)-5)),""))</f>
        <v>3.53</v>
      </c>
      <c r="BP878" s="6" t="n">
        <f aca="false">IF(R878="-","",IFERROR(VALUE(F878),""))</f>
        <v>163.51</v>
      </c>
      <c r="BQ878" s="4" t="n">
        <f aca="false">IF(R878="-",1,0)</f>
        <v>0</v>
      </c>
    </row>
    <row r="879" customFormat="false" ht="15" hidden="false" customHeight="false" outlineLevel="0" collapsed="false">
      <c r="A879" s="0" t="s">
        <v>3504</v>
      </c>
      <c r="B879" s="0" t="s">
        <v>3505</v>
      </c>
      <c r="C879" s="0" t="s">
        <v>70</v>
      </c>
      <c r="D879" s="0" t="s">
        <v>3506</v>
      </c>
      <c r="E879" s="3" t="n">
        <v>46274</v>
      </c>
      <c r="F879" s="4" t="s">
        <v>3513</v>
      </c>
      <c r="G879" s="5" t="n">
        <v>0.442222222222222</v>
      </c>
      <c r="H879" s="5" t="n">
        <v>0.193831018518519</v>
      </c>
      <c r="I879" s="5" t="n">
        <v>0.00172453703703704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5" t="n">
        <v>0</v>
      </c>
      <c r="P879" s="5" t="n">
        <v>0.00707175925925926</v>
      </c>
      <c r="Q879" s="4" t="s">
        <v>3514</v>
      </c>
      <c r="R879" s="4" t="s">
        <v>953</v>
      </c>
      <c r="S879" s="5" t="n">
        <v>0.000578703703703704</v>
      </c>
      <c r="T879" s="5" t="n">
        <v>0.171180555555556</v>
      </c>
      <c r="U879" s="5" t="n">
        <v>0.168865740740741</v>
      </c>
      <c r="V879" s="5" t="n">
        <v>0.0556712962962963</v>
      </c>
      <c r="W879" s="5" t="n">
        <v>0.000231481481481482</v>
      </c>
      <c r="X879" s="5" t="n">
        <v>0</v>
      </c>
      <c r="Y879" s="5" t="n">
        <v>0</v>
      </c>
      <c r="Z879" s="0" t="n">
        <v>0</v>
      </c>
      <c r="AA879" s="0" t="n">
        <v>0</v>
      </c>
      <c r="AB879" s="0" t="n">
        <v>0</v>
      </c>
      <c r="AC879" s="4" t="s">
        <v>111</v>
      </c>
      <c r="AD879" s="4" t="s">
        <v>3510</v>
      </c>
      <c r="AE879" s="4" t="s">
        <v>3515</v>
      </c>
      <c r="AF879" s="4" t="s">
        <v>3516</v>
      </c>
      <c r="AG879" s="5" t="n">
        <v>0.339189814814815</v>
      </c>
      <c r="AH879" s="5" t="n">
        <v>0.194606481481482</v>
      </c>
      <c r="AI879" s="5" t="n">
        <v>0</v>
      </c>
      <c r="AJ879" s="5" t="n">
        <v>0</v>
      </c>
      <c r="AK879" s="5" t="n">
        <v>0</v>
      </c>
      <c r="AL879" s="5" t="n">
        <v>0</v>
      </c>
      <c r="AM879" s="4" t="s">
        <v>78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  <c r="AU879" s="0" t="n">
        <v>4</v>
      </c>
      <c r="AV879" s="0" t="n">
        <v>0</v>
      </c>
      <c r="AW879" s="0" t="n">
        <v>0</v>
      </c>
      <c r="AX879" s="0" t="n">
        <v>0</v>
      </c>
      <c r="AY879" s="0" t="n">
        <v>0</v>
      </c>
      <c r="AZ879" s="0" t="n">
        <v>0</v>
      </c>
      <c r="BA879" s="0" t="n">
        <v>0</v>
      </c>
      <c r="BB879" s="0" t="n">
        <v>0</v>
      </c>
      <c r="BC879" s="0" t="n">
        <v>0</v>
      </c>
      <c r="BD879" s="0" t="n">
        <v>0</v>
      </c>
      <c r="BE879" s="0" t="n">
        <v>0</v>
      </c>
      <c r="BF879" s="0" t="n">
        <v>0</v>
      </c>
      <c r="BG879" s="0" t="n">
        <v>0</v>
      </c>
      <c r="BH879" s="0" t="n">
        <v>0</v>
      </c>
      <c r="BI879" s="0" t="n">
        <v>0</v>
      </c>
      <c r="BJ879" s="0" t="n">
        <v>0</v>
      </c>
      <c r="BK879" s="0" t="n">
        <v>0</v>
      </c>
      <c r="BM879" s="6" t="n">
        <f aca="false">IFERROR(VALUE(F879),"")</f>
        <v>193.13</v>
      </c>
      <c r="BN879" s="6" t="n">
        <f aca="false">IF(R879="-","",IFERROR(VALUE(LEFT(Q879,LEN(Q879)-2)),""))</f>
        <v>56.86</v>
      </c>
      <c r="BO879" s="6" t="n">
        <f aca="false">IF(R879="-","",IFERROR(VALUE(LEFT(R879,LEN(R879)-5)),""))</f>
        <v>3.4</v>
      </c>
      <c r="BP879" s="6" t="n">
        <f aca="false">IF(R879="-","",IFERROR(VALUE(F879),""))</f>
        <v>193.13</v>
      </c>
      <c r="BQ879" s="4" t="n">
        <f aca="false">IF(R879="-",1,0)</f>
        <v>0</v>
      </c>
    </row>
    <row r="880" customFormat="false" ht="15" hidden="false" customHeight="false" outlineLevel="0" collapsed="false">
      <c r="A880" s="0" t="s">
        <v>3504</v>
      </c>
      <c r="B880" s="0" t="s">
        <v>3505</v>
      </c>
      <c r="C880" s="0" t="s">
        <v>70</v>
      </c>
      <c r="D880" s="0" t="s">
        <v>3517</v>
      </c>
      <c r="E880" s="3" t="n">
        <v>46275</v>
      </c>
      <c r="F880" s="4" t="s">
        <v>3518</v>
      </c>
      <c r="G880" s="5" t="n">
        <v>0.497488425925926</v>
      </c>
      <c r="H880" s="5" t="n">
        <v>0.16287037037037</v>
      </c>
      <c r="I880" s="5" t="n">
        <v>0.00273148148148148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5" t="n">
        <v>0</v>
      </c>
      <c r="P880" s="5" t="n">
        <v>0</v>
      </c>
      <c r="Q880" s="4" t="s">
        <v>3519</v>
      </c>
      <c r="R880" s="4" t="s">
        <v>570</v>
      </c>
      <c r="S880" s="5" t="n">
        <v>0.00104166666666667</v>
      </c>
      <c r="T880" s="5" t="n">
        <v>0.203009259259259</v>
      </c>
      <c r="U880" s="5" t="n">
        <v>0.209606481481482</v>
      </c>
      <c r="V880" s="5" t="n">
        <v>0.0426388888888889</v>
      </c>
      <c r="W880" s="5" t="n">
        <v>0.000752314814814815</v>
      </c>
      <c r="X880" s="5" t="n">
        <v>0</v>
      </c>
      <c r="Y880" s="5" t="n">
        <v>5.78703703703704E-005</v>
      </c>
      <c r="Z880" s="0" t="n">
        <v>0</v>
      </c>
      <c r="AA880" s="0" t="n">
        <v>0</v>
      </c>
      <c r="AB880" s="0" t="n">
        <v>0</v>
      </c>
      <c r="AC880" s="4" t="s">
        <v>81</v>
      </c>
      <c r="AD880" s="4" t="s">
        <v>3510</v>
      </c>
      <c r="AE880" s="4" t="s">
        <v>3520</v>
      </c>
      <c r="AF880" s="4" t="s">
        <v>3521</v>
      </c>
      <c r="AG880" s="5" t="n">
        <v>0.396469907407407</v>
      </c>
      <c r="AH880" s="5" t="n">
        <v>0.270081018518519</v>
      </c>
      <c r="AI880" s="5" t="n">
        <v>0</v>
      </c>
      <c r="AJ880" s="5" t="n">
        <v>0</v>
      </c>
      <c r="AK880" s="5" t="n">
        <v>0</v>
      </c>
      <c r="AL880" s="5" t="n">
        <v>0</v>
      </c>
      <c r="AM880" s="4" t="s">
        <v>78</v>
      </c>
      <c r="AN880" s="0" t="n">
        <v>0</v>
      </c>
      <c r="AO880" s="0" t="n">
        <v>0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  <c r="AU880" s="0" t="n">
        <v>10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0" t="n">
        <v>0</v>
      </c>
      <c r="BE880" s="0" t="n">
        <v>0</v>
      </c>
      <c r="BF880" s="0" t="n">
        <v>0</v>
      </c>
      <c r="BG880" s="0" t="n">
        <v>0</v>
      </c>
      <c r="BH880" s="0" t="n">
        <v>0</v>
      </c>
      <c r="BI880" s="0" t="n">
        <v>0</v>
      </c>
      <c r="BJ880" s="0" t="n">
        <v>0</v>
      </c>
      <c r="BK880" s="0" t="n">
        <v>0</v>
      </c>
      <c r="BM880" s="6" t="n">
        <f aca="false">IFERROR(VALUE(F880),"")</f>
        <v>211.07</v>
      </c>
      <c r="BN880" s="6" t="n">
        <f aca="false">IF(R880="-","",IFERROR(VALUE(LEFT(Q880,LEN(Q880)-2)),""))</f>
        <v>58.57</v>
      </c>
      <c r="BO880" s="6" t="n">
        <f aca="false">IF(R880="-","",IFERROR(VALUE(LEFT(R880,LEN(R880)-5)),""))</f>
        <v>3.6</v>
      </c>
      <c r="BP880" s="6" t="n">
        <f aca="false">IF(R880="-","",IFERROR(VALUE(F880),""))</f>
        <v>211.07</v>
      </c>
      <c r="BQ880" s="4" t="n">
        <f aca="false">IF(R880="-",1,0)</f>
        <v>0</v>
      </c>
    </row>
    <row r="881" customFormat="false" ht="15" hidden="false" customHeight="false" outlineLevel="0" collapsed="false">
      <c r="A881" s="0" t="s">
        <v>3504</v>
      </c>
      <c r="B881" s="0" t="s">
        <v>3505</v>
      </c>
      <c r="C881" s="0" t="s">
        <v>70</v>
      </c>
      <c r="D881" s="0" t="s">
        <v>3517</v>
      </c>
      <c r="E881" s="3" t="n">
        <v>46276</v>
      </c>
      <c r="F881" s="4" t="s">
        <v>3522</v>
      </c>
      <c r="G881" s="5" t="n">
        <v>0.41337962962963</v>
      </c>
      <c r="H881" s="5" t="n">
        <v>0.212835648148148</v>
      </c>
      <c r="I881" s="5" t="n">
        <v>0.00268518518518519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5" t="n">
        <v>0</v>
      </c>
      <c r="P881" s="5" t="n">
        <v>0.00711805555555556</v>
      </c>
      <c r="Q881" s="4" t="s">
        <v>200</v>
      </c>
      <c r="R881" s="4" t="s">
        <v>1712</v>
      </c>
      <c r="S881" s="5" t="n">
        <v>0.000925925925925926</v>
      </c>
      <c r="T881" s="5" t="n">
        <v>0.167361111111111</v>
      </c>
      <c r="U881" s="5" t="n">
        <v>0.194560185185185</v>
      </c>
      <c r="V881" s="5" t="n">
        <v>0.0349537037037037</v>
      </c>
      <c r="W881" s="5" t="n">
        <v>0</v>
      </c>
      <c r="X881" s="5" t="n">
        <v>0</v>
      </c>
      <c r="Y881" s="5" t="n">
        <v>0</v>
      </c>
      <c r="Z881" s="0" t="n">
        <v>0</v>
      </c>
      <c r="AA881" s="0" t="n">
        <v>0</v>
      </c>
      <c r="AB881" s="0" t="n">
        <v>0</v>
      </c>
      <c r="AC881" s="4" t="s">
        <v>111</v>
      </c>
      <c r="AD881" s="4" t="s">
        <v>3510</v>
      </c>
      <c r="AE881" s="4" t="s">
        <v>3523</v>
      </c>
      <c r="AF881" s="4" t="s">
        <v>3524</v>
      </c>
      <c r="AG881" s="5" t="n">
        <v>0.345196759259259</v>
      </c>
      <c r="AH881" s="5" t="n">
        <v>0.182361111111111</v>
      </c>
      <c r="AI881" s="5" t="n">
        <v>0</v>
      </c>
      <c r="AJ881" s="5" t="n">
        <v>0</v>
      </c>
      <c r="AK881" s="5" t="n">
        <v>0</v>
      </c>
      <c r="AL881" s="5" t="n">
        <v>0</v>
      </c>
      <c r="AM881" s="4" t="s">
        <v>78</v>
      </c>
      <c r="AN881" s="0" t="n">
        <v>0</v>
      </c>
      <c r="AO881" s="0" t="n">
        <v>0</v>
      </c>
      <c r="AP881" s="0" t="n">
        <v>0</v>
      </c>
      <c r="AQ881" s="0" t="n">
        <v>0</v>
      </c>
      <c r="AR881" s="0" t="n">
        <v>0</v>
      </c>
      <c r="AS881" s="0" t="n">
        <v>0</v>
      </c>
      <c r="AT881" s="0" t="n">
        <v>0</v>
      </c>
      <c r="AU881" s="0" t="n">
        <v>7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  <c r="BA881" s="0" t="n">
        <v>0</v>
      </c>
      <c r="BB881" s="0" t="n">
        <v>0</v>
      </c>
      <c r="BC881" s="0" t="n">
        <v>0</v>
      </c>
      <c r="BD881" s="0" t="n">
        <v>0</v>
      </c>
      <c r="BE881" s="0" t="n">
        <v>0</v>
      </c>
      <c r="BF881" s="0" t="n">
        <v>0</v>
      </c>
      <c r="BG881" s="0" t="n">
        <v>0</v>
      </c>
      <c r="BH881" s="0" t="n">
        <v>0</v>
      </c>
      <c r="BI881" s="0" t="n">
        <v>0</v>
      </c>
      <c r="BJ881" s="0" t="n">
        <v>0</v>
      </c>
      <c r="BK881" s="0" t="n">
        <v>0</v>
      </c>
      <c r="BM881" s="6" t="n">
        <f aca="false">IFERROR(VALUE(F881),"")</f>
        <v>197.79</v>
      </c>
      <c r="BN881" s="6" t="n">
        <f aca="false">IF(R881="-","",IFERROR(VALUE(LEFT(Q881,LEN(Q881)-2)),""))</f>
        <v>53.17</v>
      </c>
      <c r="BO881" s="6" t="n">
        <f aca="false">IF(R881="-","",IFERROR(VALUE(LEFT(R881,LEN(R881)-5)),""))</f>
        <v>3.72</v>
      </c>
      <c r="BP881" s="6" t="n">
        <f aca="false">IF(R881="-","",IFERROR(VALUE(F881),""))</f>
        <v>197.79</v>
      </c>
      <c r="BQ881" s="4" t="n">
        <f aca="false">IF(R881="-",1,0)</f>
        <v>0</v>
      </c>
    </row>
    <row r="882" customFormat="false" ht="15" hidden="false" customHeight="false" outlineLevel="0" collapsed="false">
      <c r="A882" s="0" t="s">
        <v>3504</v>
      </c>
      <c r="B882" s="0" t="s">
        <v>3505</v>
      </c>
      <c r="C882" s="0" t="s">
        <v>70</v>
      </c>
      <c r="D882" s="0" t="s">
        <v>3525</v>
      </c>
      <c r="E882" s="3" t="n">
        <v>46277</v>
      </c>
      <c r="F882" s="4" t="s">
        <v>3526</v>
      </c>
      <c r="G882" s="5" t="n">
        <v>0.418229166666667</v>
      </c>
      <c r="H882" s="5" t="n">
        <v>0.222800925925926</v>
      </c>
      <c r="I882" s="5" t="n">
        <v>0.00335648148148148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5" t="n">
        <v>0</v>
      </c>
      <c r="P882" s="5" t="n">
        <v>0</v>
      </c>
      <c r="Q882" s="4" t="s">
        <v>3527</v>
      </c>
      <c r="R882" s="4" t="s">
        <v>3528</v>
      </c>
      <c r="S882" s="5" t="n">
        <v>0.000462962962962963</v>
      </c>
      <c r="T882" s="5" t="n">
        <v>0.118634259259259</v>
      </c>
      <c r="U882" s="5" t="n">
        <v>0.137962962962963</v>
      </c>
      <c r="V882" s="5" t="n">
        <v>0.0469907407407407</v>
      </c>
      <c r="W882" s="5" t="n">
        <v>0</v>
      </c>
      <c r="X882" s="5" t="n">
        <v>0</v>
      </c>
      <c r="Y882" s="5" t="n">
        <v>0</v>
      </c>
      <c r="Z882" s="0" t="n">
        <v>0</v>
      </c>
      <c r="AA882" s="0" t="n">
        <v>0</v>
      </c>
      <c r="AB882" s="0" t="n">
        <v>0</v>
      </c>
      <c r="AC882" s="4" t="s">
        <v>3529</v>
      </c>
      <c r="AD882" s="4" t="s">
        <v>228</v>
      </c>
      <c r="AE882" s="4" t="s">
        <v>3530</v>
      </c>
      <c r="AF882" s="4" t="s">
        <v>3531</v>
      </c>
      <c r="AG882" s="5" t="n">
        <v>0.266701388888889</v>
      </c>
      <c r="AH882" s="5" t="n">
        <v>0.260706018518519</v>
      </c>
      <c r="AI882" s="5" t="n">
        <v>0</v>
      </c>
      <c r="AJ882" s="5" t="n">
        <v>0</v>
      </c>
      <c r="AK882" s="5" t="n">
        <v>0</v>
      </c>
      <c r="AL882" s="5" t="n">
        <v>0</v>
      </c>
      <c r="AM882" s="4" t="s">
        <v>78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0</v>
      </c>
      <c r="AT882" s="0" t="n">
        <v>0</v>
      </c>
      <c r="AU882" s="0" t="n">
        <v>4</v>
      </c>
      <c r="AV882" s="0" t="n">
        <v>0</v>
      </c>
      <c r="AW882" s="0" t="n">
        <v>0</v>
      </c>
      <c r="AX882" s="0" t="n">
        <v>0</v>
      </c>
      <c r="AY882" s="0" t="n">
        <v>0</v>
      </c>
      <c r="AZ882" s="0" t="n">
        <v>0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0</v>
      </c>
      <c r="BF882" s="0" t="n">
        <v>0</v>
      </c>
      <c r="BG882" s="0" t="n">
        <v>0</v>
      </c>
      <c r="BH882" s="0" t="n">
        <v>0</v>
      </c>
      <c r="BI882" s="0" t="n">
        <v>0</v>
      </c>
      <c r="BJ882" s="0" t="n">
        <v>0</v>
      </c>
      <c r="BK882" s="0" t="n">
        <v>0</v>
      </c>
      <c r="BM882" s="6" t="n">
        <f aca="false">IFERROR(VALUE(F882),"")</f>
        <v>149.17</v>
      </c>
      <c r="BN882" s="6" t="n">
        <f aca="false">IF(R882="-","",IFERROR(VALUE(LEFT(Q882,LEN(Q882)-2)),""))</f>
        <v>42.45</v>
      </c>
      <c r="BO882" s="6" t="n">
        <f aca="false">IF(R882="-","",IFERROR(VALUE(LEFT(R882,LEN(R882)-5)),""))</f>
        <v>3.51</v>
      </c>
      <c r="BP882" s="6" t="n">
        <f aca="false">IF(R882="-","",IFERROR(VALUE(F882),""))</f>
        <v>149.17</v>
      </c>
      <c r="BQ882" s="4" t="n">
        <f aca="false">IF(R882="-",1,0)</f>
        <v>0</v>
      </c>
    </row>
    <row r="883" customFormat="false" ht="15" hidden="false" customHeight="false" outlineLevel="0" collapsed="false">
      <c r="A883" s="0" t="s">
        <v>3504</v>
      </c>
      <c r="B883" s="0" t="s">
        <v>3505</v>
      </c>
      <c r="C883" s="0" t="s">
        <v>70</v>
      </c>
      <c r="D883" s="0" t="s">
        <v>3532</v>
      </c>
      <c r="E883" s="3" t="n">
        <v>46278</v>
      </c>
      <c r="F883" s="4" t="s">
        <v>3533</v>
      </c>
      <c r="G883" s="5" t="n">
        <v>0.384039351851852</v>
      </c>
      <c r="H883" s="5" t="n">
        <v>0.365902777777778</v>
      </c>
      <c r="I883" s="5" t="n">
        <v>0.00449074074074074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5" t="n">
        <v>0</v>
      </c>
      <c r="P883" s="5" t="n">
        <v>0</v>
      </c>
      <c r="Q883" s="4" t="s">
        <v>3534</v>
      </c>
      <c r="R883" s="4" t="s">
        <v>3535</v>
      </c>
      <c r="S883" s="5" t="n">
        <v>0.000231481481481482</v>
      </c>
      <c r="T883" s="5" t="n">
        <v>0.0825231481481482</v>
      </c>
      <c r="U883" s="5" t="n">
        <v>0.113078703703704</v>
      </c>
      <c r="V883" s="5" t="n">
        <v>0.173784722222222</v>
      </c>
      <c r="W883" s="5" t="n">
        <v>0.000497685185185185</v>
      </c>
      <c r="X883" s="5" t="n">
        <v>0</v>
      </c>
      <c r="Y883" s="5" t="n">
        <v>0</v>
      </c>
      <c r="Z883" s="0" t="n">
        <v>0</v>
      </c>
      <c r="AA883" s="0" t="n">
        <v>0</v>
      </c>
      <c r="AB883" s="0" t="n">
        <v>0</v>
      </c>
      <c r="AC883" s="4" t="s">
        <v>228</v>
      </c>
      <c r="AD883" s="4" t="s">
        <v>75</v>
      </c>
      <c r="AE883" s="4" t="s">
        <v>3531</v>
      </c>
      <c r="AF883" s="4" t="s">
        <v>3536</v>
      </c>
      <c r="AG883" s="5" t="n">
        <v>0.349108796296296</v>
      </c>
      <c r="AH883" s="5" t="n">
        <v>0.0702314814814815</v>
      </c>
      <c r="AI883" s="5" t="n">
        <v>0</v>
      </c>
      <c r="AJ883" s="5" t="n">
        <v>0</v>
      </c>
      <c r="AK883" s="5" t="n">
        <v>0</v>
      </c>
      <c r="AL883" s="5" t="n">
        <v>0</v>
      </c>
      <c r="AM883" s="4" t="s">
        <v>78</v>
      </c>
      <c r="AN883" s="0" t="n">
        <v>0</v>
      </c>
      <c r="AO883" s="0" t="n">
        <v>0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0</v>
      </c>
      <c r="AU883" s="0" t="n">
        <v>8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  <c r="BA883" s="0" t="n">
        <v>0</v>
      </c>
      <c r="BB883" s="0" t="n">
        <v>0</v>
      </c>
      <c r="BC883" s="0" t="n">
        <v>0</v>
      </c>
      <c r="BD883" s="0" t="n">
        <v>0</v>
      </c>
      <c r="BE883" s="0" t="n">
        <v>0</v>
      </c>
      <c r="BF883" s="0" t="n">
        <v>0</v>
      </c>
      <c r="BG883" s="0" t="n">
        <v>0</v>
      </c>
      <c r="BH883" s="0" t="n">
        <v>0</v>
      </c>
      <c r="BI883" s="0" t="n">
        <v>0</v>
      </c>
      <c r="BJ883" s="0" t="n">
        <v>0</v>
      </c>
      <c r="BK883" s="0" t="n">
        <v>0</v>
      </c>
      <c r="BM883" s="6" t="n">
        <f aca="false">IFERROR(VALUE(F883),"")</f>
        <v>350.57</v>
      </c>
      <c r="BN883" s="6" t="n">
        <f aca="false">IF(R883="-","",IFERROR(VALUE(LEFT(Q883,LEN(Q883)-2)),""))</f>
        <v>79.19</v>
      </c>
      <c r="BO883" s="6" t="n">
        <f aca="false">IF(R883="-","",IFERROR(VALUE(LEFT(R883,LEN(R883)-5)),""))</f>
        <v>4.43</v>
      </c>
      <c r="BP883" s="6" t="n">
        <f aca="false">IF(R883="-","",IFERROR(VALUE(F883),""))</f>
        <v>350.57</v>
      </c>
      <c r="BQ883" s="4" t="n">
        <f aca="false">IF(R883="-",1,0)</f>
        <v>0</v>
      </c>
    </row>
    <row r="884" customFormat="false" ht="15" hidden="false" customHeight="false" outlineLevel="0" collapsed="false">
      <c r="A884" s="0" t="s">
        <v>3504</v>
      </c>
      <c r="B884" s="0" t="s">
        <v>3505</v>
      </c>
      <c r="C884" s="0" t="s">
        <v>70</v>
      </c>
      <c r="D884" s="0" t="s">
        <v>3537</v>
      </c>
      <c r="E884" s="3" t="n">
        <v>46279</v>
      </c>
      <c r="F884" s="4" t="s">
        <v>3538</v>
      </c>
      <c r="G884" s="5" t="n">
        <v>0.314907407407407</v>
      </c>
      <c r="H884" s="5" t="n">
        <v>0.299224537037037</v>
      </c>
      <c r="I884" s="5" t="n">
        <v>0.00372685185185185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5" t="n">
        <v>0</v>
      </c>
      <c r="P884" s="5" t="n">
        <v>0</v>
      </c>
      <c r="Q884" s="4" t="s">
        <v>3539</v>
      </c>
      <c r="R884" s="4" t="s">
        <v>3540</v>
      </c>
      <c r="S884" s="5" t="n">
        <v>0.000578703703703704</v>
      </c>
      <c r="T884" s="5" t="n">
        <v>0.111805555555556</v>
      </c>
      <c r="U884" s="5" t="n">
        <v>0.144791666666667</v>
      </c>
      <c r="V884" s="5" t="n">
        <v>0.0481481481481482</v>
      </c>
      <c r="W884" s="5" t="n">
        <v>0.000231481481481482</v>
      </c>
      <c r="X884" s="5" t="n">
        <v>0</v>
      </c>
      <c r="Y884" s="5" t="n">
        <v>0</v>
      </c>
      <c r="Z884" s="0" t="n">
        <v>0</v>
      </c>
      <c r="AA884" s="0" t="n">
        <v>0</v>
      </c>
      <c r="AB884" s="0" t="n">
        <v>0</v>
      </c>
      <c r="AC884" s="4" t="s">
        <v>228</v>
      </c>
      <c r="AD884" s="4" t="s">
        <v>3541</v>
      </c>
      <c r="AE884" s="4" t="s">
        <v>3542</v>
      </c>
      <c r="AF884" s="4" t="s">
        <v>3543</v>
      </c>
      <c r="AG884" s="5" t="n">
        <v>0.278958333333333</v>
      </c>
      <c r="AH884" s="5" t="n">
        <v>0.135335648148148</v>
      </c>
      <c r="AI884" s="5" t="n">
        <v>0</v>
      </c>
      <c r="AJ884" s="5" t="n">
        <v>0</v>
      </c>
      <c r="AK884" s="5" t="n">
        <v>0</v>
      </c>
      <c r="AL884" s="5" t="n">
        <v>0</v>
      </c>
      <c r="AM884" s="4" t="s">
        <v>78</v>
      </c>
      <c r="AN884" s="0" t="n">
        <v>0</v>
      </c>
      <c r="AO884" s="0" t="n">
        <v>1</v>
      </c>
      <c r="AP884" s="0" t="n">
        <v>0</v>
      </c>
      <c r="AQ884" s="0" t="n">
        <v>0</v>
      </c>
      <c r="AR884" s="0" t="n">
        <v>1</v>
      </c>
      <c r="AS884" s="0" t="n">
        <v>0</v>
      </c>
      <c r="AT884" s="0" t="n">
        <v>0</v>
      </c>
      <c r="AU884" s="0" t="n">
        <v>7</v>
      </c>
      <c r="AV884" s="0" t="n">
        <v>0</v>
      </c>
      <c r="AW884" s="0" t="n">
        <v>0</v>
      </c>
      <c r="AX884" s="0" t="n">
        <v>0</v>
      </c>
      <c r="AY884" s="0" t="n">
        <v>0</v>
      </c>
      <c r="AZ884" s="0" t="n">
        <v>0</v>
      </c>
      <c r="BA884" s="0" t="n">
        <v>0</v>
      </c>
      <c r="BB884" s="0" t="n">
        <v>0</v>
      </c>
      <c r="BC884" s="0" t="n">
        <v>0</v>
      </c>
      <c r="BD884" s="0" t="n">
        <v>0</v>
      </c>
      <c r="BE884" s="0" t="n">
        <v>0</v>
      </c>
      <c r="BF884" s="0" t="n">
        <v>0</v>
      </c>
      <c r="BG884" s="0" t="n">
        <v>0</v>
      </c>
      <c r="BH884" s="0" t="n">
        <v>0</v>
      </c>
      <c r="BI884" s="0" t="n">
        <v>0</v>
      </c>
      <c r="BJ884" s="0" t="n">
        <v>0</v>
      </c>
      <c r="BK884" s="0" t="n">
        <v>0</v>
      </c>
      <c r="BM884" s="6" t="n">
        <f aca="false">IFERROR(VALUE(F884),"")</f>
        <v>156.31</v>
      </c>
      <c r="BN884" s="6" t="n">
        <f aca="false">IF(R884="-","",IFERROR(VALUE(LEFT(Q884,LEN(Q884)-2)),""))</f>
        <v>42.7</v>
      </c>
      <c r="BO884" s="6" t="n">
        <f aca="false">IF(R884="-","",IFERROR(VALUE(LEFT(R884,LEN(R884)-5)),""))</f>
        <v>3.66</v>
      </c>
      <c r="BP884" s="6" t="n">
        <f aca="false">IF(R884="-","",IFERROR(VALUE(F884),""))</f>
        <v>156.31</v>
      </c>
      <c r="BQ884" s="4" t="n">
        <f aca="false">IF(R884="-",1,0)</f>
        <v>0</v>
      </c>
    </row>
    <row r="885" customFormat="false" ht="15" hidden="false" customHeight="false" outlineLevel="0" collapsed="false">
      <c r="A885" s="0" t="s">
        <v>3544</v>
      </c>
      <c r="B885" s="0" t="s">
        <v>3545</v>
      </c>
      <c r="C885" s="0" t="s">
        <v>70</v>
      </c>
      <c r="D885" s="0" t="s">
        <v>3546</v>
      </c>
      <c r="E885" s="3" t="n">
        <v>46273</v>
      </c>
      <c r="F885" s="4" t="s">
        <v>3547</v>
      </c>
      <c r="G885" s="5" t="n">
        <v>0.536354166666667</v>
      </c>
      <c r="H885" s="5" t="n">
        <v>0.444525462962963</v>
      </c>
      <c r="I885" s="5" t="n">
        <v>0.000543981481481481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5" t="n">
        <v>0</v>
      </c>
      <c r="P885" s="5" t="n">
        <v>0.0297222222222222</v>
      </c>
      <c r="Q885" s="4" t="s">
        <v>3548</v>
      </c>
      <c r="R885" s="4" t="s">
        <v>473</v>
      </c>
      <c r="S885" s="5" t="n">
        <v>0.000231481481481482</v>
      </c>
      <c r="T885" s="5" t="n">
        <v>0.178009259259259</v>
      </c>
      <c r="U885" s="5" t="n">
        <v>0.206597222222222</v>
      </c>
      <c r="V885" s="5" t="n">
        <v>0.0951388888888889</v>
      </c>
      <c r="W885" s="5" t="n">
        <v>0</v>
      </c>
      <c r="X885" s="5" t="n">
        <v>0</v>
      </c>
      <c r="Y885" s="5" t="n">
        <v>0</v>
      </c>
      <c r="Z885" s="0" t="n">
        <v>0</v>
      </c>
      <c r="AA885" s="0" t="n">
        <v>0</v>
      </c>
      <c r="AB885" s="0" t="n">
        <v>0</v>
      </c>
      <c r="AC885" s="4" t="s">
        <v>842</v>
      </c>
      <c r="AD885" s="4" t="s">
        <v>75</v>
      </c>
      <c r="AE885" s="4" t="s">
        <v>3549</v>
      </c>
      <c r="AF885" s="4" t="s">
        <v>3550</v>
      </c>
      <c r="AG885" s="5" t="n">
        <v>0.405486111111111</v>
      </c>
      <c r="AH885" s="5" t="n">
        <v>0.179675925925926</v>
      </c>
      <c r="AI885" s="5" t="n">
        <v>0</v>
      </c>
      <c r="AJ885" s="5" t="n">
        <v>0</v>
      </c>
      <c r="AK885" s="5" t="n">
        <v>0</v>
      </c>
      <c r="AL885" s="5" t="n">
        <v>0</v>
      </c>
      <c r="AM885" s="4" t="s">
        <v>78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  <c r="AU885" s="0" t="n">
        <v>1</v>
      </c>
      <c r="AV885" s="0" t="n">
        <v>0</v>
      </c>
      <c r="AW885" s="0" t="n">
        <v>1</v>
      </c>
      <c r="AX885" s="0" t="n">
        <v>0</v>
      </c>
      <c r="AY885" s="0" t="n">
        <v>0</v>
      </c>
      <c r="AZ885" s="0" t="n">
        <v>0</v>
      </c>
      <c r="BA885" s="0" t="n">
        <v>0</v>
      </c>
      <c r="BB885" s="0" t="n">
        <v>0</v>
      </c>
      <c r="BC885" s="0" t="n">
        <v>0</v>
      </c>
      <c r="BD885" s="0" t="n">
        <v>0</v>
      </c>
      <c r="BE885" s="0" t="n">
        <v>0</v>
      </c>
      <c r="BF885" s="0" t="n">
        <v>0</v>
      </c>
      <c r="BG885" s="0" t="n">
        <v>0</v>
      </c>
      <c r="BH885" s="0" t="n">
        <v>0</v>
      </c>
      <c r="BI885" s="0" t="n">
        <v>0</v>
      </c>
      <c r="BJ885" s="0" t="n">
        <v>0</v>
      </c>
      <c r="BK885" s="0" t="n">
        <v>0</v>
      </c>
      <c r="BM885" s="6" t="n">
        <f aca="false">IFERROR(VALUE(F885),"")</f>
        <v>469.5</v>
      </c>
      <c r="BN885" s="6" t="n">
        <f aca="false">IF(R885="-","",IFERROR(VALUE(LEFT(Q885,LEN(Q885)-2)),""))</f>
        <v>169.72</v>
      </c>
      <c r="BO885" s="6" t="n">
        <f aca="false">IF(R885="-","",IFERROR(VALUE(LEFT(R885,LEN(R885)-5)),""))</f>
        <v>2.77</v>
      </c>
      <c r="BP885" s="6" t="n">
        <f aca="false">IF(R885="-","",IFERROR(VALUE(F885),""))</f>
        <v>469.5</v>
      </c>
      <c r="BQ885" s="4" t="n">
        <f aca="false">IF(R885="-",1,0)</f>
        <v>0</v>
      </c>
    </row>
    <row r="886" customFormat="false" ht="15" hidden="false" customHeight="false" outlineLevel="0" collapsed="false">
      <c r="A886" s="0" t="s">
        <v>3544</v>
      </c>
      <c r="B886" s="0" t="s">
        <v>3545</v>
      </c>
      <c r="C886" s="0" t="s">
        <v>70</v>
      </c>
      <c r="D886" s="0" t="s">
        <v>3551</v>
      </c>
      <c r="E886" s="3" t="n">
        <v>46274</v>
      </c>
      <c r="F886" s="4" t="s">
        <v>3552</v>
      </c>
      <c r="G886" s="5" t="n">
        <v>0.74775462962963</v>
      </c>
      <c r="H886" s="5" t="n">
        <v>0.502708333333333</v>
      </c>
      <c r="I886" s="5" t="n">
        <v>0.000185185185185185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5" t="n">
        <v>0</v>
      </c>
      <c r="P886" s="5" t="n">
        <v>0.00780092592592593</v>
      </c>
      <c r="Q886" s="4" t="s">
        <v>3553</v>
      </c>
      <c r="R886" s="4" t="s">
        <v>948</v>
      </c>
      <c r="S886" s="5" t="n">
        <v>0.000347222222222222</v>
      </c>
      <c r="T886" s="5" t="n">
        <v>0.156365740740741</v>
      </c>
      <c r="U886" s="5" t="n">
        <v>0.27037037037037</v>
      </c>
      <c r="V886" s="5" t="n">
        <v>0.075462962962963</v>
      </c>
      <c r="W886" s="5" t="n">
        <v>0</v>
      </c>
      <c r="X886" s="5" t="n">
        <v>0</v>
      </c>
      <c r="Y886" s="5" t="n">
        <v>0</v>
      </c>
      <c r="Z886" s="0" t="n">
        <v>0</v>
      </c>
      <c r="AA886" s="0" t="n">
        <v>0</v>
      </c>
      <c r="AB886" s="0" t="n">
        <v>0</v>
      </c>
      <c r="AC886" s="4" t="s">
        <v>81</v>
      </c>
      <c r="AD886" s="4" t="s">
        <v>152</v>
      </c>
      <c r="AE886" s="4" t="s">
        <v>3550</v>
      </c>
      <c r="AF886" s="4" t="s">
        <v>3554</v>
      </c>
      <c r="AG886" s="5" t="n">
        <v>0.469502314814815</v>
      </c>
      <c r="AH886" s="5" t="n">
        <v>0.143715277777778</v>
      </c>
      <c r="AI886" s="5" t="n">
        <v>0</v>
      </c>
      <c r="AJ886" s="5" t="n">
        <v>0</v>
      </c>
      <c r="AK886" s="5" t="n">
        <v>0</v>
      </c>
      <c r="AL886" s="5" t="n">
        <v>0</v>
      </c>
      <c r="AM886" s="4" t="s">
        <v>78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  <c r="AU886" s="0" t="n">
        <v>1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0</v>
      </c>
      <c r="BA886" s="0" t="n">
        <v>0</v>
      </c>
      <c r="BB886" s="0" t="n">
        <v>0</v>
      </c>
      <c r="BC886" s="0" t="n">
        <v>0</v>
      </c>
      <c r="BD886" s="0" t="n">
        <v>0</v>
      </c>
      <c r="BE886" s="0" t="n">
        <v>0</v>
      </c>
      <c r="BF886" s="0" t="n">
        <v>0</v>
      </c>
      <c r="BG886" s="0" t="n">
        <v>0</v>
      </c>
      <c r="BH886" s="0" t="n">
        <v>0</v>
      </c>
      <c r="BI886" s="0" t="n">
        <v>0</v>
      </c>
      <c r="BJ886" s="0" t="n">
        <v>0</v>
      </c>
      <c r="BK886" s="0" t="n">
        <v>0</v>
      </c>
      <c r="BM886" s="6" t="n">
        <f aca="false">IFERROR(VALUE(F886),"")</f>
        <v>562.7</v>
      </c>
      <c r="BN886" s="6" t="n">
        <f aca="false">IF(R886="-","",IFERROR(VALUE(LEFT(Q886,LEN(Q886)-2)),""))</f>
        <v>173.91</v>
      </c>
      <c r="BO886" s="6" t="n">
        <f aca="false">IF(R886="-","",IFERROR(VALUE(LEFT(R886,LEN(R886)-5)),""))</f>
        <v>3.24</v>
      </c>
      <c r="BP886" s="6" t="n">
        <f aca="false">IF(R886="-","",IFERROR(VALUE(F886),""))</f>
        <v>562.7</v>
      </c>
      <c r="BQ886" s="4" t="n">
        <f aca="false">IF(R886="-",1,0)</f>
        <v>0</v>
      </c>
    </row>
    <row r="887" customFormat="false" ht="15" hidden="false" customHeight="false" outlineLevel="0" collapsed="false">
      <c r="A887" s="0" t="s">
        <v>3544</v>
      </c>
      <c r="B887" s="0" t="s">
        <v>3545</v>
      </c>
      <c r="C887" s="0" t="s">
        <v>70</v>
      </c>
      <c r="D887" s="0" t="s">
        <v>3555</v>
      </c>
      <c r="E887" s="3" t="n">
        <v>46275</v>
      </c>
      <c r="F887" s="4" t="s">
        <v>3556</v>
      </c>
      <c r="G887" s="5" t="n">
        <v>0.502592592592593</v>
      </c>
      <c r="H887" s="5" t="n">
        <v>0.47369212962963</v>
      </c>
      <c r="I887" s="5" t="n">
        <v>0.000185185185185185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5" t="n">
        <v>0</v>
      </c>
      <c r="P887" s="5" t="n">
        <v>0.00842592592592593</v>
      </c>
      <c r="Q887" s="4" t="s">
        <v>3557</v>
      </c>
      <c r="R887" s="4" t="s">
        <v>1061</v>
      </c>
      <c r="S887" s="5" t="n">
        <v>0.000115740740740741</v>
      </c>
      <c r="T887" s="5" t="n">
        <v>0.162037037037037</v>
      </c>
      <c r="U887" s="5" t="n">
        <v>0.242708333333333</v>
      </c>
      <c r="V887" s="5" t="n">
        <v>0.062037037037037</v>
      </c>
      <c r="W887" s="5" t="n">
        <v>0</v>
      </c>
      <c r="X887" s="5" t="n">
        <v>0</v>
      </c>
      <c r="Y887" s="5" t="n">
        <v>0</v>
      </c>
      <c r="Z887" s="0" t="n">
        <v>0</v>
      </c>
      <c r="AA887" s="0" t="n">
        <v>0</v>
      </c>
      <c r="AB887" s="0" t="n">
        <v>0</v>
      </c>
      <c r="AC887" s="4" t="s">
        <v>152</v>
      </c>
      <c r="AD887" s="4" t="s">
        <v>75</v>
      </c>
      <c r="AE887" s="4" t="s">
        <v>3554</v>
      </c>
      <c r="AF887" s="4" t="s">
        <v>3558</v>
      </c>
      <c r="AG887" s="5" t="n">
        <v>0.415069444444444</v>
      </c>
      <c r="AH887" s="5" t="n">
        <v>0.161921296296296</v>
      </c>
      <c r="AI887" s="5" t="n">
        <v>0</v>
      </c>
      <c r="AJ887" s="5" t="n">
        <v>0</v>
      </c>
      <c r="AK887" s="5" t="n">
        <v>0</v>
      </c>
      <c r="AL887" s="5" t="n">
        <v>0</v>
      </c>
      <c r="AM887" s="4" t="s">
        <v>78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  <c r="AU887" s="0" t="n">
        <v>7</v>
      </c>
      <c r="AV887" s="0" t="n">
        <v>0</v>
      </c>
      <c r="AW887" s="0" t="n">
        <v>0</v>
      </c>
      <c r="AX887" s="0" t="n">
        <v>0</v>
      </c>
      <c r="AY887" s="0" t="n">
        <v>0</v>
      </c>
      <c r="AZ887" s="0" t="n">
        <v>0</v>
      </c>
      <c r="BA887" s="0" t="n">
        <v>0</v>
      </c>
      <c r="BB887" s="0" t="n">
        <v>0</v>
      </c>
      <c r="BC887" s="0" t="n">
        <v>0</v>
      </c>
      <c r="BD887" s="0" t="n">
        <v>0</v>
      </c>
      <c r="BE887" s="0" t="n">
        <v>0</v>
      </c>
      <c r="BF887" s="0" t="n">
        <v>0</v>
      </c>
      <c r="BG887" s="0" t="n">
        <v>0</v>
      </c>
      <c r="BH887" s="0" t="n">
        <v>0</v>
      </c>
      <c r="BI887" s="0" t="n">
        <v>0</v>
      </c>
      <c r="BJ887" s="0" t="n">
        <v>0</v>
      </c>
      <c r="BK887" s="0" t="n">
        <v>0</v>
      </c>
      <c r="BM887" s="6" t="n">
        <f aca="false">IFERROR(VALUE(F887),"")</f>
        <v>462.01</v>
      </c>
      <c r="BN887" s="6" t="n">
        <f aca="false">IF(R887="-","",IFERROR(VALUE(LEFT(Q887,LEN(Q887)-2)),""))</f>
        <v>152.08</v>
      </c>
      <c r="BO887" s="6" t="n">
        <f aca="false">IF(R887="-","",IFERROR(VALUE(LEFT(R887,LEN(R887)-5)),""))</f>
        <v>3.04</v>
      </c>
      <c r="BP887" s="6" t="n">
        <f aca="false">IF(R887="-","",IFERROR(VALUE(F887),""))</f>
        <v>462.01</v>
      </c>
      <c r="BQ887" s="4" t="n">
        <f aca="false">IF(R887="-",1,0)</f>
        <v>0</v>
      </c>
    </row>
    <row r="888" customFormat="false" ht="15" hidden="false" customHeight="false" outlineLevel="0" collapsed="false">
      <c r="A888" s="0" t="s">
        <v>3544</v>
      </c>
      <c r="B888" s="0" t="s">
        <v>3545</v>
      </c>
      <c r="C888" s="0" t="s">
        <v>70</v>
      </c>
      <c r="D888" s="0" t="s">
        <v>3559</v>
      </c>
      <c r="E888" s="3" t="n">
        <v>46276</v>
      </c>
      <c r="F888" s="4" t="s">
        <v>3560</v>
      </c>
      <c r="G888" s="5" t="n">
        <v>0.675162037037037</v>
      </c>
      <c r="H888" s="5" t="n">
        <v>0.106701388888889</v>
      </c>
      <c r="I888" s="5" t="n">
        <v>0.000393518518518519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5" t="n">
        <v>0</v>
      </c>
      <c r="P888" s="5" t="n">
        <v>0</v>
      </c>
      <c r="Q888" s="4" t="s">
        <v>3561</v>
      </c>
      <c r="R888" s="4" t="s">
        <v>2448</v>
      </c>
      <c r="S888" s="5" t="n">
        <v>0</v>
      </c>
      <c r="T888" s="5" t="n">
        <v>0.0241898148148148</v>
      </c>
      <c r="U888" s="5" t="n">
        <v>0.0332175925925926</v>
      </c>
      <c r="V888" s="5" t="n">
        <v>0.0478009259259259</v>
      </c>
      <c r="W888" s="5" t="n">
        <v>0</v>
      </c>
      <c r="X888" s="5" t="n">
        <v>0</v>
      </c>
      <c r="Y888" s="5" t="n">
        <v>0</v>
      </c>
      <c r="Z888" s="0" t="n">
        <v>0</v>
      </c>
      <c r="AA888" s="0" t="n">
        <v>0</v>
      </c>
      <c r="AB888" s="0" t="n">
        <v>0</v>
      </c>
      <c r="AC888" s="4" t="s">
        <v>81</v>
      </c>
      <c r="AD888" s="4" t="s">
        <v>864</v>
      </c>
      <c r="AE888" s="4" t="s">
        <v>3558</v>
      </c>
      <c r="AF888" s="4" t="s">
        <v>3562</v>
      </c>
      <c r="AG888" s="5" t="n">
        <v>0.0975115740740741</v>
      </c>
      <c r="AH888" s="5" t="n">
        <v>0.595960648148148</v>
      </c>
      <c r="AI888" s="5" t="n">
        <v>0</v>
      </c>
      <c r="AJ888" s="5" t="n">
        <v>0</v>
      </c>
      <c r="AK888" s="5" t="n">
        <v>0</v>
      </c>
      <c r="AL888" s="5" t="n">
        <v>0</v>
      </c>
      <c r="AM888" s="4" t="s">
        <v>78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  <c r="AU888" s="0" t="n">
        <v>1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0" t="n">
        <v>0</v>
      </c>
      <c r="BE888" s="0" t="n">
        <v>0</v>
      </c>
      <c r="BF888" s="0" t="n">
        <v>0</v>
      </c>
      <c r="BG888" s="0" t="n">
        <v>0</v>
      </c>
      <c r="BH888" s="0" t="n">
        <v>0</v>
      </c>
      <c r="BI888" s="0" t="n">
        <v>0</v>
      </c>
      <c r="BJ888" s="0" t="n">
        <v>0</v>
      </c>
      <c r="BK888" s="0" t="n">
        <v>0</v>
      </c>
      <c r="BM888" s="6" t="n">
        <f aca="false">IFERROR(VALUE(F888),"")</f>
        <v>138.34</v>
      </c>
      <c r="BN888" s="6" t="n">
        <f aca="false">IF(R888="-","",IFERROR(VALUE(LEFT(Q888,LEN(Q888)-2)),""))</f>
        <v>40.57</v>
      </c>
      <c r="BO888" s="6" t="n">
        <f aca="false">IF(R888="-","",IFERROR(VALUE(LEFT(R888,LEN(R888)-5)),""))</f>
        <v>3.41</v>
      </c>
      <c r="BP888" s="6" t="n">
        <f aca="false">IF(R888="-","",IFERROR(VALUE(F888),""))</f>
        <v>138.34</v>
      </c>
      <c r="BQ888" s="4" t="n">
        <f aca="false">IF(R888="-",1,0)</f>
        <v>0</v>
      </c>
    </row>
    <row r="889" customFormat="false" ht="15" hidden="false" customHeight="false" outlineLevel="0" collapsed="false">
      <c r="A889" s="0" t="s">
        <v>3544</v>
      </c>
      <c r="B889" s="0" t="s">
        <v>3545</v>
      </c>
      <c r="C889" s="0" t="s">
        <v>70</v>
      </c>
      <c r="E889" s="3" t="n">
        <v>46277</v>
      </c>
      <c r="F889" s="4" t="s">
        <v>95</v>
      </c>
      <c r="G889" s="5" t="n">
        <v>0.463217592592593</v>
      </c>
      <c r="H889" s="5" t="n">
        <v>0</v>
      </c>
      <c r="I889" s="5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5" t="n">
        <v>0</v>
      </c>
      <c r="P889" s="5" t="n">
        <v>0</v>
      </c>
      <c r="Q889" s="4" t="s">
        <v>73</v>
      </c>
      <c r="R889" s="4" t="s">
        <v>73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0</v>
      </c>
      <c r="X889" s="5" t="n">
        <v>0</v>
      </c>
      <c r="Y889" s="5" t="n">
        <v>0</v>
      </c>
      <c r="Z889" s="0" t="n">
        <v>0</v>
      </c>
      <c r="AA889" s="0" t="n">
        <v>0</v>
      </c>
      <c r="AB889" s="0" t="n">
        <v>0</v>
      </c>
      <c r="AC889" s="4" t="s">
        <v>864</v>
      </c>
      <c r="AD889" s="4" t="s">
        <v>864</v>
      </c>
      <c r="AE889" s="4" t="s">
        <v>3562</v>
      </c>
      <c r="AF889" s="4" t="s">
        <v>3562</v>
      </c>
      <c r="AG889" s="5" t="n">
        <v>0</v>
      </c>
      <c r="AH889" s="5" t="n">
        <v>0.463229166666667</v>
      </c>
      <c r="AI889" s="5" t="n">
        <v>0</v>
      </c>
      <c r="AJ889" s="5" t="n">
        <v>0</v>
      </c>
      <c r="AK889" s="5" t="n">
        <v>0</v>
      </c>
      <c r="AL889" s="5" t="n">
        <v>0</v>
      </c>
      <c r="AM889" s="4" t="s">
        <v>78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  <c r="AU889" s="0" t="n">
        <v>0</v>
      </c>
      <c r="AV889" s="0" t="n">
        <v>0</v>
      </c>
      <c r="AW889" s="0" t="n">
        <v>0</v>
      </c>
      <c r="AX889" s="0" t="n">
        <v>0</v>
      </c>
      <c r="AY889" s="0" t="n">
        <v>0</v>
      </c>
      <c r="AZ889" s="0" t="n">
        <v>0</v>
      </c>
      <c r="BA889" s="0" t="n">
        <v>0</v>
      </c>
      <c r="BB889" s="0" t="n">
        <v>0</v>
      </c>
      <c r="BC889" s="0" t="n">
        <v>0</v>
      </c>
      <c r="BD889" s="0" t="n">
        <v>0</v>
      </c>
      <c r="BE889" s="0" t="n">
        <v>0</v>
      </c>
      <c r="BF889" s="0" t="n">
        <v>0</v>
      </c>
      <c r="BG889" s="0" t="n">
        <v>0</v>
      </c>
      <c r="BH889" s="0" t="n">
        <v>0</v>
      </c>
      <c r="BI889" s="0" t="n">
        <v>0</v>
      </c>
      <c r="BJ889" s="0" t="n">
        <v>0</v>
      </c>
      <c r="BK889" s="0" t="n">
        <v>0</v>
      </c>
      <c r="BM889" s="6" t="n">
        <f aca="false">IFERROR(VALUE(F889),"")</f>
        <v>0</v>
      </c>
      <c r="BN889" s="6" t="str">
        <f aca="false">IF(R889="-","",IFERROR(VALUE(LEFT(Q889,LEN(Q889)-2)),""))</f>
        <v/>
      </c>
      <c r="BO889" s="6" t="str">
        <f aca="false">IF(R889="-","",IFERROR(VALUE(LEFT(R889,LEN(R889)-5)),""))</f>
        <v/>
      </c>
      <c r="BP889" s="6" t="str">
        <f aca="false">IF(R889="-","",IFERROR(VALUE(F889),""))</f>
        <v/>
      </c>
      <c r="BQ889" s="4" t="n">
        <f aca="false">IF(R889="-",1,0)</f>
        <v>1</v>
      </c>
    </row>
    <row r="890" customFormat="false" ht="15" hidden="false" customHeight="false" outlineLevel="0" collapsed="false">
      <c r="A890" s="0" t="s">
        <v>3544</v>
      </c>
      <c r="B890" s="0" t="s">
        <v>3545</v>
      </c>
      <c r="C890" s="0" t="s">
        <v>70</v>
      </c>
      <c r="E890" s="3" t="n">
        <v>46279</v>
      </c>
      <c r="F890" s="4" t="s">
        <v>95</v>
      </c>
      <c r="G890" s="5" t="n">
        <v>0.0025462962962963</v>
      </c>
      <c r="H890" s="5" t="n">
        <v>0</v>
      </c>
      <c r="I890" s="5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5" t="n">
        <v>0</v>
      </c>
      <c r="P890" s="5" t="n">
        <v>0</v>
      </c>
      <c r="Q890" s="4" t="s">
        <v>73</v>
      </c>
      <c r="R890" s="4" t="s">
        <v>73</v>
      </c>
      <c r="S890" s="5" t="n">
        <v>0</v>
      </c>
      <c r="T890" s="5" t="n">
        <v>0</v>
      </c>
      <c r="U890" s="5" t="n">
        <v>0</v>
      </c>
      <c r="V890" s="5" t="n">
        <v>0</v>
      </c>
      <c r="W890" s="5" t="n">
        <v>0</v>
      </c>
      <c r="X890" s="5" t="n">
        <v>0</v>
      </c>
      <c r="Y890" s="5" t="n">
        <v>0</v>
      </c>
      <c r="Z890" s="0" t="n">
        <v>0</v>
      </c>
      <c r="AA890" s="0" t="n">
        <v>0</v>
      </c>
      <c r="AB890" s="0" t="n">
        <v>0</v>
      </c>
      <c r="AC890" s="4" t="s">
        <v>864</v>
      </c>
      <c r="AD890" s="4" t="s">
        <v>864</v>
      </c>
      <c r="AE890" s="4" t="s">
        <v>3562</v>
      </c>
      <c r="AF890" s="4" t="s">
        <v>3562</v>
      </c>
      <c r="AG890" s="5" t="n">
        <v>0</v>
      </c>
      <c r="AH890" s="5" t="n">
        <v>0.00702546296296296</v>
      </c>
      <c r="AI890" s="5" t="n">
        <v>0</v>
      </c>
      <c r="AJ890" s="5" t="n">
        <v>0</v>
      </c>
      <c r="AK890" s="5" t="n">
        <v>0</v>
      </c>
      <c r="AL890" s="5" t="n">
        <v>0</v>
      </c>
      <c r="AM890" s="4" t="s">
        <v>78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  <c r="AU890" s="0" t="n">
        <v>0</v>
      </c>
      <c r="AV890" s="0" t="n">
        <v>0</v>
      </c>
      <c r="AW890" s="0" t="n">
        <v>0</v>
      </c>
      <c r="AX890" s="0" t="n">
        <v>0</v>
      </c>
      <c r="AY890" s="0" t="n">
        <v>0</v>
      </c>
      <c r="AZ890" s="0" t="n">
        <v>0</v>
      </c>
      <c r="BA890" s="0" t="n">
        <v>0</v>
      </c>
      <c r="BB890" s="0" t="n">
        <v>0</v>
      </c>
      <c r="BC890" s="0" t="n">
        <v>0</v>
      </c>
      <c r="BD890" s="0" t="n">
        <v>0</v>
      </c>
      <c r="BE890" s="0" t="n">
        <v>0</v>
      </c>
      <c r="BF890" s="0" t="n">
        <v>0</v>
      </c>
      <c r="BG890" s="0" t="n">
        <v>0</v>
      </c>
      <c r="BH890" s="0" t="n">
        <v>0</v>
      </c>
      <c r="BI890" s="0" t="n">
        <v>0</v>
      </c>
      <c r="BJ890" s="0" t="n">
        <v>0</v>
      </c>
      <c r="BK890" s="0" t="n">
        <v>0</v>
      </c>
      <c r="BM890" s="6" t="n">
        <f aca="false">IFERROR(VALUE(F890),"")</f>
        <v>0</v>
      </c>
      <c r="BN890" s="6" t="str">
        <f aca="false">IF(R890="-","",IFERROR(VALUE(LEFT(Q890,LEN(Q890)-2)),""))</f>
        <v/>
      </c>
      <c r="BO890" s="6" t="str">
        <f aca="false">IF(R890="-","",IFERROR(VALUE(LEFT(R890,LEN(R890)-5)),""))</f>
        <v/>
      </c>
      <c r="BP890" s="6" t="str">
        <f aca="false">IF(R890="-","",IFERROR(VALUE(F890),""))</f>
        <v/>
      </c>
      <c r="BQ890" s="4" t="n">
        <f aca="false">IF(R890="-",1,0)</f>
        <v>1</v>
      </c>
    </row>
    <row r="891" customFormat="false" ht="15" hidden="false" customHeight="false" outlineLevel="0" collapsed="false">
      <c r="A891" s="0" t="s">
        <v>3563</v>
      </c>
      <c r="B891" s="0" t="s">
        <v>3564</v>
      </c>
      <c r="C891" s="0" t="s">
        <v>70</v>
      </c>
      <c r="D891" s="0" t="s">
        <v>3565</v>
      </c>
      <c r="E891" s="3" t="n">
        <v>46273</v>
      </c>
      <c r="F891" s="4" t="s">
        <v>3566</v>
      </c>
      <c r="G891" s="5" t="n">
        <v>0.0807986111111111</v>
      </c>
      <c r="H891" s="5" t="n">
        <v>0.0600925925925926</v>
      </c>
      <c r="I891" s="5" t="n">
        <v>0.0003125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5" t="n">
        <v>0</v>
      </c>
      <c r="P891" s="5" t="n">
        <v>0</v>
      </c>
      <c r="Q891" s="4" t="s">
        <v>3567</v>
      </c>
      <c r="R891" s="4" t="s">
        <v>1666</v>
      </c>
      <c r="S891" s="5" t="n">
        <v>0.000694444444444445</v>
      </c>
      <c r="T891" s="5" t="n">
        <v>0.0347453703703704</v>
      </c>
      <c r="U891" s="5" t="n">
        <v>0.019224537037037</v>
      </c>
      <c r="V891" s="5" t="n">
        <v>0.00826388888888889</v>
      </c>
      <c r="W891" s="5" t="n">
        <v>0.000763888888888889</v>
      </c>
      <c r="X891" s="5" t="n">
        <v>0</v>
      </c>
      <c r="Y891" s="5" t="n">
        <v>0.000185185185185185</v>
      </c>
      <c r="Z891" s="0" t="n">
        <v>0</v>
      </c>
      <c r="AA891" s="0" t="n">
        <v>0</v>
      </c>
      <c r="AB891" s="0" t="n">
        <v>0</v>
      </c>
      <c r="AC891" s="4" t="s">
        <v>828</v>
      </c>
      <c r="AD891" s="4" t="s">
        <v>228</v>
      </c>
      <c r="AE891" s="4" t="s">
        <v>3568</v>
      </c>
      <c r="AF891" s="4" t="s">
        <v>3569</v>
      </c>
      <c r="AG891" s="5" t="n">
        <v>0.0455092592592593</v>
      </c>
      <c r="AH891" s="5" t="n">
        <v>0.171574074074074</v>
      </c>
      <c r="AI891" s="5" t="n">
        <v>0</v>
      </c>
      <c r="AJ891" s="5" t="n">
        <v>0</v>
      </c>
      <c r="AK891" s="5" t="n">
        <v>0</v>
      </c>
      <c r="AL891" s="5" t="n">
        <v>0</v>
      </c>
      <c r="AM891" s="4" t="s">
        <v>78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  <c r="AU891" s="0" t="n">
        <v>0</v>
      </c>
      <c r="AV891" s="0" t="n">
        <v>0</v>
      </c>
      <c r="AW891" s="0" t="n">
        <v>0</v>
      </c>
      <c r="AX891" s="0" t="n">
        <v>0</v>
      </c>
      <c r="AY891" s="0" t="n">
        <v>0</v>
      </c>
      <c r="AZ891" s="0" t="n">
        <v>0</v>
      </c>
      <c r="BA891" s="0" t="n">
        <v>0</v>
      </c>
      <c r="BB891" s="0" t="n">
        <v>0</v>
      </c>
      <c r="BC891" s="0" t="n">
        <v>0</v>
      </c>
      <c r="BD891" s="0" t="n">
        <v>0</v>
      </c>
      <c r="BE891" s="0" t="n">
        <v>0</v>
      </c>
      <c r="BF891" s="0" t="n">
        <v>0</v>
      </c>
      <c r="BG891" s="0" t="n">
        <v>0</v>
      </c>
      <c r="BH891" s="0" t="n">
        <v>0</v>
      </c>
      <c r="BI891" s="0" t="n">
        <v>0</v>
      </c>
      <c r="BJ891" s="0" t="n">
        <v>0</v>
      </c>
      <c r="BK891" s="0" t="n">
        <v>0</v>
      </c>
      <c r="BM891" s="6" t="n">
        <f aca="false">IFERROR(VALUE(F891),"")</f>
        <v>33.59</v>
      </c>
      <c r="BN891" s="6" t="n">
        <f aca="false">IF(R891="-","",IFERROR(VALUE(LEFT(Q891,LEN(Q891)-2)),""))</f>
        <v>15.99</v>
      </c>
      <c r="BO891" s="6" t="n">
        <f aca="false">IF(R891="-","",IFERROR(VALUE(LEFT(R891,LEN(R891)-5)),""))</f>
        <v>2.1</v>
      </c>
      <c r="BP891" s="6" t="n">
        <f aca="false">IF(R891="-","",IFERROR(VALUE(F891),""))</f>
        <v>33.59</v>
      </c>
      <c r="BQ891" s="4" t="n">
        <f aca="false">IF(R891="-",1,0)</f>
        <v>0</v>
      </c>
    </row>
    <row r="892" customFormat="false" ht="15" hidden="false" customHeight="false" outlineLevel="0" collapsed="false">
      <c r="A892" s="0" t="s">
        <v>3563</v>
      </c>
      <c r="B892" s="0" t="s">
        <v>3564</v>
      </c>
      <c r="C892" s="0" t="s">
        <v>70</v>
      </c>
      <c r="E892" s="3" t="n">
        <v>46274</v>
      </c>
      <c r="F892" s="4" t="s">
        <v>95</v>
      </c>
      <c r="G892" s="5" t="n">
        <v>0.00563657407407407</v>
      </c>
      <c r="H892" s="5" t="n">
        <v>0</v>
      </c>
      <c r="I892" s="5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5" t="n">
        <v>0</v>
      </c>
      <c r="P892" s="5" t="n">
        <v>0</v>
      </c>
      <c r="Q892" s="4" t="s">
        <v>73</v>
      </c>
      <c r="R892" s="4" t="s">
        <v>73</v>
      </c>
      <c r="S892" s="5" t="n">
        <v>0</v>
      </c>
      <c r="T892" s="5" t="n">
        <v>0</v>
      </c>
      <c r="U892" s="5" t="n">
        <v>0</v>
      </c>
      <c r="V892" s="5" t="n">
        <v>0</v>
      </c>
      <c r="W892" s="5" t="n">
        <v>0</v>
      </c>
      <c r="X892" s="5" t="n">
        <v>0</v>
      </c>
      <c r="Y892" s="5" t="n">
        <v>0</v>
      </c>
      <c r="Z892" s="0" t="n">
        <v>0</v>
      </c>
      <c r="AA892" s="0" t="n">
        <v>0</v>
      </c>
      <c r="AB892" s="0" t="n">
        <v>0</v>
      </c>
      <c r="AE892" s="4" t="s">
        <v>3569</v>
      </c>
      <c r="AF892" s="4" t="s">
        <v>3569</v>
      </c>
      <c r="AG892" s="5" t="n">
        <v>0</v>
      </c>
      <c r="AH892" s="5" t="n">
        <v>0.00824074074074074</v>
      </c>
      <c r="AI892" s="5" t="n">
        <v>0</v>
      </c>
      <c r="AJ892" s="5" t="n">
        <v>0</v>
      </c>
      <c r="AK892" s="5" t="n">
        <v>0</v>
      </c>
      <c r="AL892" s="5" t="n">
        <v>0</v>
      </c>
      <c r="AM892" s="4" t="s">
        <v>78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  <c r="AU892" s="0" t="n">
        <v>0</v>
      </c>
      <c r="AV892" s="0" t="n">
        <v>0</v>
      </c>
      <c r="AW892" s="0" t="n">
        <v>0</v>
      </c>
      <c r="AX892" s="0" t="n">
        <v>0</v>
      </c>
      <c r="AY892" s="0" t="n">
        <v>0</v>
      </c>
      <c r="AZ892" s="0" t="n">
        <v>0</v>
      </c>
      <c r="BA892" s="0" t="n">
        <v>0</v>
      </c>
      <c r="BB892" s="0" t="n">
        <v>0</v>
      </c>
      <c r="BC892" s="0" t="n">
        <v>0</v>
      </c>
      <c r="BD892" s="0" t="n">
        <v>0</v>
      </c>
      <c r="BE892" s="0" t="n">
        <v>0</v>
      </c>
      <c r="BF892" s="0" t="n">
        <v>0</v>
      </c>
      <c r="BG892" s="0" t="n">
        <v>0</v>
      </c>
      <c r="BH892" s="0" t="n">
        <v>0</v>
      </c>
      <c r="BI892" s="0" t="n">
        <v>0</v>
      </c>
      <c r="BJ892" s="0" t="n">
        <v>0</v>
      </c>
      <c r="BK892" s="0" t="n">
        <v>0</v>
      </c>
      <c r="BM892" s="6" t="n">
        <f aca="false">IFERROR(VALUE(F892),"")</f>
        <v>0</v>
      </c>
      <c r="BN892" s="6" t="str">
        <f aca="false">IF(R892="-","",IFERROR(VALUE(LEFT(Q892,LEN(Q892)-2)),""))</f>
        <v/>
      </c>
      <c r="BO892" s="6" t="str">
        <f aca="false">IF(R892="-","",IFERROR(VALUE(LEFT(R892,LEN(R892)-5)),""))</f>
        <v/>
      </c>
      <c r="BP892" s="6" t="str">
        <f aca="false">IF(R892="-","",IFERROR(VALUE(F892),""))</f>
        <v/>
      </c>
      <c r="BQ892" s="4" t="n">
        <f aca="false">IF(R892="-",1,0)</f>
        <v>1</v>
      </c>
    </row>
    <row r="893" customFormat="false" ht="15" hidden="false" customHeight="false" outlineLevel="0" collapsed="false">
      <c r="A893" s="0" t="s">
        <v>3563</v>
      </c>
      <c r="B893" s="0" t="s">
        <v>3564</v>
      </c>
      <c r="C893" s="0" t="s">
        <v>70</v>
      </c>
      <c r="E893" s="3" t="n">
        <v>46275</v>
      </c>
      <c r="F893" s="4" t="s">
        <v>3570</v>
      </c>
      <c r="G893" s="5" t="n">
        <v>0.0461574074074074</v>
      </c>
      <c r="H893" s="5" t="n">
        <v>0</v>
      </c>
      <c r="I893" s="5" t="n">
        <v>0.000613425925925926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5" t="n">
        <v>0</v>
      </c>
      <c r="P893" s="5" t="n">
        <v>0</v>
      </c>
      <c r="Q893" s="4" t="s">
        <v>3571</v>
      </c>
      <c r="R893" s="4" t="s">
        <v>2386</v>
      </c>
      <c r="S893" s="5" t="n">
        <v>0.000115740740740741</v>
      </c>
      <c r="T893" s="5" t="n">
        <v>0.0166666666666667</v>
      </c>
      <c r="U893" s="5" t="n">
        <v>0.0244212962962963</v>
      </c>
      <c r="V893" s="5" t="n">
        <v>0.00310185185185185</v>
      </c>
      <c r="W893" s="5" t="n">
        <v>0.000381944444444445</v>
      </c>
      <c r="X893" s="5" t="n">
        <v>0</v>
      </c>
      <c r="Y893" s="5" t="n">
        <v>0.00025462962962963</v>
      </c>
      <c r="Z893" s="0" t="n">
        <v>0</v>
      </c>
      <c r="AA893" s="0" t="n">
        <v>0</v>
      </c>
      <c r="AB893" s="0" t="n">
        <v>0</v>
      </c>
      <c r="AC893" s="4" t="s">
        <v>994</v>
      </c>
      <c r="AD893" s="4" t="s">
        <v>228</v>
      </c>
      <c r="AE893" s="4" t="s">
        <v>3569</v>
      </c>
      <c r="AF893" s="4" t="s">
        <v>3572</v>
      </c>
      <c r="AG893" s="5" t="n">
        <v>0.0383680555555556</v>
      </c>
      <c r="AH893" s="5" t="n">
        <v>0.057974537037037</v>
      </c>
      <c r="AI893" s="5" t="n">
        <v>0</v>
      </c>
      <c r="AJ893" s="5" t="n">
        <v>0</v>
      </c>
      <c r="AK893" s="5" t="n">
        <v>0</v>
      </c>
      <c r="AL893" s="5" t="n">
        <v>0</v>
      </c>
      <c r="AM893" s="4" t="s">
        <v>78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  <c r="AU893" s="0" t="n">
        <v>1</v>
      </c>
      <c r="AV893" s="0" t="n">
        <v>0</v>
      </c>
      <c r="AW893" s="0" t="n">
        <v>0</v>
      </c>
      <c r="AX893" s="0" t="n">
        <v>0</v>
      </c>
      <c r="AY893" s="0" t="n">
        <v>0</v>
      </c>
      <c r="AZ893" s="0" t="n">
        <v>0</v>
      </c>
      <c r="BA893" s="0" t="n">
        <v>0</v>
      </c>
      <c r="BB893" s="0" t="n">
        <v>0</v>
      </c>
      <c r="BC893" s="0" t="n">
        <v>0</v>
      </c>
      <c r="BD893" s="0" t="n">
        <v>0</v>
      </c>
      <c r="BE893" s="0" t="n">
        <v>0</v>
      </c>
      <c r="BF893" s="0" t="n">
        <v>0</v>
      </c>
      <c r="BG893" s="0" t="n">
        <v>0</v>
      </c>
      <c r="BH893" s="0" t="n">
        <v>0</v>
      </c>
      <c r="BI893" s="0" t="n">
        <v>0</v>
      </c>
      <c r="BJ893" s="0" t="n">
        <v>0</v>
      </c>
      <c r="BK893" s="0" t="n">
        <v>0</v>
      </c>
      <c r="BM893" s="6" t="n">
        <f aca="false">IFERROR(VALUE(F893),"")</f>
        <v>44.67</v>
      </c>
      <c r="BN893" s="6" t="n">
        <f aca="false">IF(R893="-","",IFERROR(VALUE(LEFT(Q893,LEN(Q893)-2)),""))</f>
        <v>13.01</v>
      </c>
      <c r="BO893" s="6" t="n">
        <f aca="false">IF(R893="-","",IFERROR(VALUE(LEFT(R893,LEN(R893)-5)),""))</f>
        <v>3.43</v>
      </c>
      <c r="BP893" s="6" t="n">
        <f aca="false">IF(R893="-","",IFERROR(VALUE(F893),""))</f>
        <v>44.67</v>
      </c>
      <c r="BQ893" s="4" t="n">
        <f aca="false">IF(R893="-",1,0)</f>
        <v>0</v>
      </c>
    </row>
    <row r="894" customFormat="false" ht="15" hidden="false" customHeight="false" outlineLevel="0" collapsed="false">
      <c r="A894" s="0" t="s">
        <v>3563</v>
      </c>
      <c r="B894" s="0" t="s">
        <v>3564</v>
      </c>
      <c r="C894" s="0" t="s">
        <v>70</v>
      </c>
      <c r="D894" s="0" t="s">
        <v>3573</v>
      </c>
      <c r="E894" s="3" t="n">
        <v>46276</v>
      </c>
      <c r="F894" s="4" t="s">
        <v>3574</v>
      </c>
      <c r="G894" s="5" t="n">
        <v>0.14505787037037</v>
      </c>
      <c r="H894" s="5" t="n">
        <v>0.103842592592593</v>
      </c>
      <c r="I894" s="5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5" t="n">
        <v>0</v>
      </c>
      <c r="P894" s="5" t="n">
        <v>0.0309143518518519</v>
      </c>
      <c r="Q894" s="4" t="s">
        <v>2150</v>
      </c>
      <c r="R894" s="4" t="s">
        <v>414</v>
      </c>
      <c r="S894" s="5" t="n">
        <v>0</v>
      </c>
      <c r="T894" s="5" t="n">
        <v>0.0850694444444445</v>
      </c>
      <c r="U894" s="5" t="n">
        <v>0.050462962962963</v>
      </c>
      <c r="V894" s="5" t="n">
        <v>0.0056712962962963</v>
      </c>
      <c r="W894" s="5" t="n">
        <v>0</v>
      </c>
      <c r="X894" s="5" t="n">
        <v>0</v>
      </c>
      <c r="Y894" s="5" t="n">
        <v>0</v>
      </c>
      <c r="Z894" s="0" t="n">
        <v>0</v>
      </c>
      <c r="AA894" s="0" t="n">
        <v>0</v>
      </c>
      <c r="AB894" s="0" t="n">
        <v>0</v>
      </c>
      <c r="AC894" s="4" t="s">
        <v>74</v>
      </c>
      <c r="AD894" s="4" t="s">
        <v>3575</v>
      </c>
      <c r="AE894" s="4" t="s">
        <v>3572</v>
      </c>
      <c r="AF894" s="4" t="s">
        <v>3576</v>
      </c>
      <c r="AG894" s="5" t="n">
        <v>0.0879282407407407</v>
      </c>
      <c r="AH894" s="5" t="n">
        <v>0.0835185185185185</v>
      </c>
      <c r="AI894" s="5" t="n">
        <v>0</v>
      </c>
      <c r="AJ894" s="5" t="n">
        <v>0</v>
      </c>
      <c r="AK894" s="5" t="n">
        <v>0</v>
      </c>
      <c r="AL894" s="5" t="n">
        <v>0</v>
      </c>
      <c r="AM894" s="4" t="s">
        <v>78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  <c r="AU894" s="0" t="n">
        <v>2</v>
      </c>
      <c r="AV894" s="0" t="n">
        <v>0</v>
      </c>
      <c r="AW894" s="0" t="n">
        <v>0</v>
      </c>
      <c r="AX894" s="0" t="n">
        <v>0</v>
      </c>
      <c r="AY894" s="0" t="n">
        <v>0</v>
      </c>
      <c r="AZ894" s="0" t="n">
        <v>0</v>
      </c>
      <c r="BA894" s="0" t="n">
        <v>0</v>
      </c>
      <c r="BB894" s="0" t="n">
        <v>0</v>
      </c>
      <c r="BC894" s="0" t="n">
        <v>0</v>
      </c>
      <c r="BD894" s="0" t="n">
        <v>0</v>
      </c>
      <c r="BE894" s="0" t="n">
        <v>0</v>
      </c>
      <c r="BF894" s="0" t="n">
        <v>0</v>
      </c>
      <c r="BG894" s="0" t="n">
        <v>0</v>
      </c>
      <c r="BH894" s="0" t="n">
        <v>0</v>
      </c>
      <c r="BI894" s="0" t="n">
        <v>0</v>
      </c>
      <c r="BJ894" s="0" t="n">
        <v>0</v>
      </c>
      <c r="BK894" s="0" t="n">
        <v>0</v>
      </c>
      <c r="BM894" s="6" t="n">
        <f aca="false">IFERROR(VALUE(F894),"")</f>
        <v>64.68</v>
      </c>
      <c r="BN894" s="6" t="n">
        <f aca="false">IF(R894="-","",IFERROR(VALUE(LEFT(Q894,LEN(Q894)-2)),""))</f>
        <v>27.5</v>
      </c>
      <c r="BO894" s="6" t="n">
        <f aca="false">IF(R894="-","",IFERROR(VALUE(LEFT(R894,LEN(R894)-5)),""))</f>
        <v>2.35</v>
      </c>
      <c r="BP894" s="6" t="n">
        <f aca="false">IF(R894="-","",IFERROR(VALUE(F894),""))</f>
        <v>64.68</v>
      </c>
      <c r="BQ894" s="4" t="n">
        <f aca="false">IF(R894="-",1,0)</f>
        <v>0</v>
      </c>
    </row>
    <row r="895" customFormat="false" ht="15" hidden="false" customHeight="false" outlineLevel="0" collapsed="false">
      <c r="A895" s="0" t="s">
        <v>3563</v>
      </c>
      <c r="B895" s="0" t="s">
        <v>3564</v>
      </c>
      <c r="C895" s="0" t="s">
        <v>70</v>
      </c>
      <c r="E895" s="3" t="n">
        <v>46277</v>
      </c>
      <c r="F895" s="4" t="s">
        <v>95</v>
      </c>
      <c r="G895" s="5" t="n">
        <v>0</v>
      </c>
      <c r="H895" s="5" t="n">
        <v>0</v>
      </c>
      <c r="I895" s="5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5" t="n">
        <v>0</v>
      </c>
      <c r="P895" s="5" t="n">
        <v>0</v>
      </c>
      <c r="Q895" s="4" t="s">
        <v>73</v>
      </c>
      <c r="R895" s="4" t="s">
        <v>73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0</v>
      </c>
      <c r="X895" s="5" t="n">
        <v>0</v>
      </c>
      <c r="Y895" s="5" t="n">
        <v>0</v>
      </c>
      <c r="Z895" s="0" t="n">
        <v>0</v>
      </c>
      <c r="AA895" s="0" t="n">
        <v>0</v>
      </c>
      <c r="AB895" s="0" t="n">
        <v>0</v>
      </c>
      <c r="AE895" s="4" t="s">
        <v>3576</v>
      </c>
      <c r="AF895" s="4" t="s">
        <v>3576</v>
      </c>
      <c r="AG895" s="5" t="n">
        <v>0</v>
      </c>
      <c r="AH895" s="5" t="n">
        <v>0</v>
      </c>
      <c r="AI895" s="5" t="n">
        <v>0</v>
      </c>
      <c r="AJ895" s="5" t="n">
        <v>0</v>
      </c>
      <c r="AK895" s="5" t="n">
        <v>0</v>
      </c>
      <c r="AL895" s="5" t="n">
        <v>0</v>
      </c>
      <c r="AM895" s="4" t="s">
        <v>78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  <c r="AU895" s="0" t="n">
        <v>0</v>
      </c>
      <c r="AV895" s="0" t="n">
        <v>0</v>
      </c>
      <c r="AW895" s="0" t="n">
        <v>0</v>
      </c>
      <c r="AX895" s="0" t="n">
        <v>0</v>
      </c>
      <c r="AY895" s="0" t="n">
        <v>0</v>
      </c>
      <c r="AZ895" s="0" t="n">
        <v>0</v>
      </c>
      <c r="BA895" s="0" t="n">
        <v>0</v>
      </c>
      <c r="BB895" s="0" t="n">
        <v>0</v>
      </c>
      <c r="BC895" s="0" t="n">
        <v>0</v>
      </c>
      <c r="BD895" s="0" t="n">
        <v>0</v>
      </c>
      <c r="BE895" s="0" t="n">
        <v>0</v>
      </c>
      <c r="BF895" s="0" t="n">
        <v>0</v>
      </c>
      <c r="BG895" s="0" t="n">
        <v>0</v>
      </c>
      <c r="BH895" s="0" t="n">
        <v>0</v>
      </c>
      <c r="BI895" s="0" t="n">
        <v>0</v>
      </c>
      <c r="BJ895" s="0" t="n">
        <v>0</v>
      </c>
      <c r="BK895" s="0" t="n">
        <v>0</v>
      </c>
      <c r="BM895" s="6" t="n">
        <f aca="false">IFERROR(VALUE(F895),"")</f>
        <v>0</v>
      </c>
      <c r="BN895" s="6" t="str">
        <f aca="false">IF(R895="-","",IFERROR(VALUE(LEFT(Q895,LEN(Q895)-2)),""))</f>
        <v/>
      </c>
      <c r="BO895" s="6" t="str">
        <f aca="false">IF(R895="-","",IFERROR(VALUE(LEFT(R895,LEN(R895)-5)),""))</f>
        <v/>
      </c>
      <c r="BP895" s="6" t="str">
        <f aca="false">IF(R895="-","",IFERROR(VALUE(F895),""))</f>
        <v/>
      </c>
      <c r="BQ895" s="4" t="n">
        <f aca="false">IF(R895="-",1,0)</f>
        <v>1</v>
      </c>
    </row>
    <row r="896" customFormat="false" ht="15" hidden="false" customHeight="false" outlineLevel="0" collapsed="false">
      <c r="A896" s="0" t="s">
        <v>3563</v>
      </c>
      <c r="B896" s="0" t="s">
        <v>3564</v>
      </c>
      <c r="C896" s="0" t="s">
        <v>70</v>
      </c>
      <c r="D896" s="0" t="s">
        <v>3577</v>
      </c>
      <c r="E896" s="3" t="n">
        <v>46278</v>
      </c>
      <c r="F896" s="4" t="s">
        <v>3578</v>
      </c>
      <c r="G896" s="5" t="n">
        <v>0.0630439814814815</v>
      </c>
      <c r="H896" s="5" t="n">
        <v>0.0489814814814815</v>
      </c>
      <c r="I896" s="5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5" t="n">
        <v>0</v>
      </c>
      <c r="P896" s="5" t="n">
        <v>0</v>
      </c>
      <c r="Q896" s="4" t="s">
        <v>2731</v>
      </c>
      <c r="R896" s="4" t="s">
        <v>2910</v>
      </c>
      <c r="S896" s="5" t="n">
        <v>0.000115740740740741</v>
      </c>
      <c r="T896" s="5" t="n">
        <v>0.0296296296296296</v>
      </c>
      <c r="U896" s="5" t="n">
        <v>0.0268518518518519</v>
      </c>
      <c r="V896" s="5" t="n">
        <v>0.000347222222222222</v>
      </c>
      <c r="W896" s="5" t="n">
        <v>0</v>
      </c>
      <c r="X896" s="5" t="n">
        <v>0</v>
      </c>
      <c r="Y896" s="5" t="n">
        <v>0</v>
      </c>
      <c r="Z896" s="0" t="n">
        <v>0</v>
      </c>
      <c r="AA896" s="0" t="n">
        <v>0</v>
      </c>
      <c r="AB896" s="0" t="n">
        <v>0</v>
      </c>
      <c r="AC896" s="4" t="s">
        <v>3575</v>
      </c>
      <c r="AD896" s="4" t="s">
        <v>74</v>
      </c>
      <c r="AE896" s="4" t="s">
        <v>3576</v>
      </c>
      <c r="AF896" s="4" t="s">
        <v>3579</v>
      </c>
      <c r="AG896" s="5" t="n">
        <v>0.0477083333333333</v>
      </c>
      <c r="AH896" s="5" t="n">
        <v>0.0445601851851852</v>
      </c>
      <c r="AI896" s="5" t="n">
        <v>0</v>
      </c>
      <c r="AJ896" s="5" t="n">
        <v>0</v>
      </c>
      <c r="AK896" s="5" t="n">
        <v>0</v>
      </c>
      <c r="AL896" s="5" t="n">
        <v>0</v>
      </c>
      <c r="AM896" s="4" t="s">
        <v>78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  <c r="AU896" s="0" t="n">
        <v>0</v>
      </c>
      <c r="AV896" s="0" t="n">
        <v>0</v>
      </c>
      <c r="AW896" s="0" t="n">
        <v>0</v>
      </c>
      <c r="AX896" s="0" t="n">
        <v>0</v>
      </c>
      <c r="AY896" s="0" t="n">
        <v>0</v>
      </c>
      <c r="AZ896" s="0" t="n">
        <v>0</v>
      </c>
      <c r="BA896" s="0" t="n">
        <v>0</v>
      </c>
      <c r="BB896" s="0" t="n">
        <v>0</v>
      </c>
      <c r="BC896" s="0" t="n">
        <v>0</v>
      </c>
      <c r="BD896" s="0" t="n">
        <v>0</v>
      </c>
      <c r="BE896" s="0" t="n">
        <v>0</v>
      </c>
      <c r="BF896" s="0" t="n">
        <v>0</v>
      </c>
      <c r="BG896" s="0" t="n">
        <v>0</v>
      </c>
      <c r="BH896" s="0" t="n">
        <v>0</v>
      </c>
      <c r="BI896" s="0" t="n">
        <v>0</v>
      </c>
      <c r="BJ896" s="0" t="n">
        <v>0</v>
      </c>
      <c r="BK896" s="0" t="n">
        <v>0</v>
      </c>
      <c r="BM896" s="6" t="n">
        <f aca="false">IFERROR(VALUE(F896),"")</f>
        <v>32.55</v>
      </c>
      <c r="BN896" s="6" t="n">
        <f aca="false">IF(R896="-","",IFERROR(VALUE(LEFT(Q896,LEN(Q896)-2)),""))</f>
        <v>10.5</v>
      </c>
      <c r="BO896" s="6" t="n">
        <f aca="false">IF(R896="-","",IFERROR(VALUE(LEFT(R896,LEN(R896)-5)),""))</f>
        <v>3.1</v>
      </c>
      <c r="BP896" s="6" t="n">
        <f aca="false">IF(R896="-","",IFERROR(VALUE(F896),""))</f>
        <v>32.55</v>
      </c>
      <c r="BQ896" s="4" t="n">
        <f aca="false">IF(R896="-",1,0)</f>
        <v>0</v>
      </c>
    </row>
    <row r="897" customFormat="false" ht="15" hidden="false" customHeight="false" outlineLevel="0" collapsed="false">
      <c r="A897" s="0" t="s">
        <v>3563</v>
      </c>
      <c r="B897" s="0" t="s">
        <v>3564</v>
      </c>
      <c r="C897" s="0" t="s">
        <v>70</v>
      </c>
      <c r="D897" s="0" t="s">
        <v>1033</v>
      </c>
      <c r="E897" s="3" t="n">
        <v>46279</v>
      </c>
      <c r="F897" s="4" t="s">
        <v>3580</v>
      </c>
      <c r="G897" s="5" t="n">
        <v>0.436851851851852</v>
      </c>
      <c r="H897" s="5" t="n">
        <v>0.10400462962963</v>
      </c>
      <c r="I897" s="5" t="n">
        <v>0.00142361111111111</v>
      </c>
      <c r="J897" s="0" t="n">
        <v>0</v>
      </c>
      <c r="K897" s="0" t="n">
        <v>2</v>
      </c>
      <c r="L897" s="0" t="n">
        <v>0</v>
      </c>
      <c r="M897" s="0" t="n">
        <v>0</v>
      </c>
      <c r="N897" s="0" t="n">
        <v>0</v>
      </c>
      <c r="O897" s="5" t="n">
        <v>0</v>
      </c>
      <c r="P897" s="5" t="n">
        <v>0</v>
      </c>
      <c r="Q897" s="4" t="s">
        <v>3581</v>
      </c>
      <c r="R897" s="4" t="s">
        <v>325</v>
      </c>
      <c r="S897" s="5" t="n">
        <v>0.00150462962962963</v>
      </c>
      <c r="T897" s="5" t="n">
        <v>0.0806712962962963</v>
      </c>
      <c r="U897" s="5" t="n">
        <v>0.104976851851852</v>
      </c>
      <c r="V897" s="5" t="n">
        <v>0.0114583333333333</v>
      </c>
      <c r="W897" s="5" t="n">
        <v>0</v>
      </c>
      <c r="X897" s="5" t="n">
        <v>0</v>
      </c>
      <c r="Y897" s="5" t="n">
        <v>0</v>
      </c>
      <c r="Z897" s="0" t="n">
        <v>0</v>
      </c>
      <c r="AA897" s="0" t="n">
        <v>0</v>
      </c>
      <c r="AB897" s="0" t="n">
        <v>0</v>
      </c>
      <c r="AC897" s="4" t="s">
        <v>81</v>
      </c>
      <c r="AD897" s="4" t="s">
        <v>228</v>
      </c>
      <c r="AE897" s="4" t="s">
        <v>3579</v>
      </c>
      <c r="AF897" s="4" t="s">
        <v>3582</v>
      </c>
      <c r="AG897" s="5" t="n">
        <v>0.159826388888889</v>
      </c>
      <c r="AH897" s="5" t="n">
        <v>0.355625</v>
      </c>
      <c r="AI897" s="5" t="n">
        <v>0</v>
      </c>
      <c r="AJ897" s="5" t="n">
        <v>0</v>
      </c>
      <c r="AK897" s="5" t="n">
        <v>0</v>
      </c>
      <c r="AL897" s="5" t="n">
        <v>0</v>
      </c>
      <c r="AM897" s="4" t="s">
        <v>78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  <c r="AU897" s="0" t="n">
        <v>1</v>
      </c>
      <c r="AV897" s="0" t="n">
        <v>0</v>
      </c>
      <c r="AW897" s="0" t="n">
        <v>0</v>
      </c>
      <c r="AX897" s="0" t="n">
        <v>0</v>
      </c>
      <c r="AY897" s="0" t="n">
        <v>0</v>
      </c>
      <c r="AZ897" s="0" t="n">
        <v>0</v>
      </c>
      <c r="BA897" s="0" t="n">
        <v>0</v>
      </c>
      <c r="BB897" s="0" t="n">
        <v>0</v>
      </c>
      <c r="BC897" s="0" t="n">
        <v>0</v>
      </c>
      <c r="BD897" s="0" t="n">
        <v>0</v>
      </c>
      <c r="BE897" s="0" t="n">
        <v>0</v>
      </c>
      <c r="BF897" s="0" t="n">
        <v>0</v>
      </c>
      <c r="BG897" s="0" t="n">
        <v>0</v>
      </c>
      <c r="BH897" s="0" t="n">
        <v>0</v>
      </c>
      <c r="BI897" s="0" t="n">
        <v>0</v>
      </c>
      <c r="BJ897" s="0" t="n">
        <v>0</v>
      </c>
      <c r="BK897" s="0" t="n">
        <v>0</v>
      </c>
      <c r="BM897" s="6" t="n">
        <f aca="false">IFERROR(VALUE(F897),"")</f>
        <v>173.71</v>
      </c>
      <c r="BN897" s="6" t="n">
        <f aca="false">IF(R897="-","",IFERROR(VALUE(LEFT(Q897,LEN(Q897)-2)),""))</f>
        <v>60.5</v>
      </c>
      <c r="BO897" s="6" t="n">
        <f aca="false">IF(R897="-","",IFERROR(VALUE(LEFT(R897,LEN(R897)-5)),""))</f>
        <v>2.87</v>
      </c>
      <c r="BP897" s="6" t="n">
        <f aca="false">IF(R897="-","",IFERROR(VALUE(F897),""))</f>
        <v>173.71</v>
      </c>
      <c r="BQ897" s="4" t="n">
        <f aca="false">IF(R897="-",1,0)</f>
        <v>0</v>
      </c>
    </row>
    <row r="898" customFormat="false" ht="15" hidden="false" customHeight="false" outlineLevel="0" collapsed="false">
      <c r="A898" s="0" t="s">
        <v>3583</v>
      </c>
      <c r="B898" s="0" t="s">
        <v>3584</v>
      </c>
      <c r="C898" s="0" t="s">
        <v>70</v>
      </c>
      <c r="D898" s="0" t="s">
        <v>3585</v>
      </c>
      <c r="E898" s="3" t="n">
        <v>46273</v>
      </c>
      <c r="F898" s="4" t="s">
        <v>3586</v>
      </c>
      <c r="G898" s="5" t="n">
        <v>0.569548611111111</v>
      </c>
      <c r="H898" s="5" t="n">
        <v>0.483414351851852</v>
      </c>
      <c r="I898" s="5" t="n">
        <v>0.0021875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5" t="n">
        <v>0</v>
      </c>
      <c r="P898" s="5" t="n">
        <v>0</v>
      </c>
      <c r="Q898" s="4" t="s">
        <v>3587</v>
      </c>
      <c r="R898" s="4" t="s">
        <v>1199</v>
      </c>
      <c r="S898" s="5" t="n">
        <v>0.000578703703703704</v>
      </c>
      <c r="T898" s="5" t="n">
        <v>0.152777777777778</v>
      </c>
      <c r="U898" s="5" t="n">
        <v>0.327939814814815</v>
      </c>
      <c r="V898" s="5" t="n">
        <v>0.0266319444444444</v>
      </c>
      <c r="W898" s="5" t="n">
        <v>9.25925925925926E-005</v>
      </c>
      <c r="X898" s="5" t="n">
        <v>0</v>
      </c>
      <c r="Y898" s="5" t="n">
        <v>9.25925925925926E-005</v>
      </c>
      <c r="Z898" s="0" t="n">
        <v>0</v>
      </c>
      <c r="AA898" s="0" t="n">
        <v>0</v>
      </c>
      <c r="AB898" s="0" t="n">
        <v>0</v>
      </c>
      <c r="AC898" s="4" t="s">
        <v>208</v>
      </c>
      <c r="AD898" s="4" t="s">
        <v>208</v>
      </c>
      <c r="AE898" s="4" t="s">
        <v>3588</v>
      </c>
      <c r="AF898" s="4" t="s">
        <v>3589</v>
      </c>
      <c r="AG898" s="5" t="n">
        <v>0.452986111111111</v>
      </c>
      <c r="AH898" s="5" t="n">
        <v>0.233923611111111</v>
      </c>
      <c r="AI898" s="5" t="n">
        <v>0</v>
      </c>
      <c r="AJ898" s="5" t="n">
        <v>0</v>
      </c>
      <c r="AK898" s="5" t="n">
        <v>0</v>
      </c>
      <c r="AL898" s="5" t="n">
        <v>0</v>
      </c>
      <c r="AM898" s="4" t="s">
        <v>78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  <c r="AU898" s="0" t="n">
        <v>4</v>
      </c>
      <c r="AV898" s="0" t="n">
        <v>0</v>
      </c>
      <c r="AW898" s="0" t="n">
        <v>0</v>
      </c>
      <c r="AX898" s="0" t="n">
        <v>0</v>
      </c>
      <c r="AY898" s="0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0" t="n">
        <v>0</v>
      </c>
      <c r="BE898" s="0" t="n">
        <v>0</v>
      </c>
      <c r="BF898" s="0" t="n">
        <v>0</v>
      </c>
      <c r="BG898" s="0" t="n">
        <v>0</v>
      </c>
      <c r="BH898" s="0" t="n">
        <v>0</v>
      </c>
      <c r="BI898" s="0" t="n">
        <v>0</v>
      </c>
      <c r="BJ898" s="0" t="n">
        <v>0</v>
      </c>
      <c r="BK898" s="0" t="n">
        <v>0</v>
      </c>
      <c r="BM898" s="6" t="n">
        <f aca="false">IFERROR(VALUE(F898),"")</f>
        <v>557.14</v>
      </c>
      <c r="BN898" s="6" t="n">
        <f aca="false">IF(R898="-","",IFERROR(VALUE(LEFT(Q898,LEN(Q898)-2)),""))</f>
        <v>192.51</v>
      </c>
      <c r="BO898" s="6" t="n">
        <f aca="false">IF(R898="-","",IFERROR(VALUE(LEFT(R898,LEN(R898)-5)),""))</f>
        <v>2.89</v>
      </c>
      <c r="BP898" s="6" t="n">
        <f aca="false">IF(R898="-","",IFERROR(VALUE(F898),""))</f>
        <v>557.14</v>
      </c>
      <c r="BQ898" s="4" t="n">
        <f aca="false">IF(R898="-",1,0)</f>
        <v>0</v>
      </c>
    </row>
    <row r="899" customFormat="false" ht="15" hidden="false" customHeight="false" outlineLevel="0" collapsed="false">
      <c r="A899" s="0" t="s">
        <v>3583</v>
      </c>
      <c r="B899" s="0" t="s">
        <v>3584</v>
      </c>
      <c r="C899" s="0" t="s">
        <v>70</v>
      </c>
      <c r="D899" s="0" t="s">
        <v>3590</v>
      </c>
      <c r="E899" s="3" t="n">
        <v>46274</v>
      </c>
      <c r="F899" s="4" t="s">
        <v>3591</v>
      </c>
      <c r="G899" s="5" t="n">
        <v>0.549050925925926</v>
      </c>
      <c r="H899" s="5" t="n">
        <v>0.511712962962963</v>
      </c>
      <c r="I899" s="5" t="n">
        <v>0.0127314814814815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13</v>
      </c>
      <c r="O899" s="5" t="n">
        <v>0</v>
      </c>
      <c r="P899" s="5" t="n">
        <v>0.00998842592592593</v>
      </c>
      <c r="Q899" s="4" t="s">
        <v>3592</v>
      </c>
      <c r="R899" s="4" t="s">
        <v>1341</v>
      </c>
      <c r="S899" s="5" t="n">
        <v>0.000578703703703704</v>
      </c>
      <c r="T899" s="5" t="n">
        <v>0.129166666666667</v>
      </c>
      <c r="U899" s="5" t="n">
        <v>0.353009259259259</v>
      </c>
      <c r="V899" s="5" t="n">
        <v>0.0302083333333333</v>
      </c>
      <c r="W899" s="5" t="n">
        <v>0</v>
      </c>
      <c r="X899" s="5" t="n">
        <v>0</v>
      </c>
      <c r="Y899" s="5" t="n">
        <v>0</v>
      </c>
      <c r="Z899" s="0" t="n">
        <v>0</v>
      </c>
      <c r="AA899" s="0" t="n">
        <v>0</v>
      </c>
      <c r="AB899" s="0" t="n">
        <v>0</v>
      </c>
      <c r="AC899" s="4" t="s">
        <v>208</v>
      </c>
      <c r="AD899" s="4" t="s">
        <v>208</v>
      </c>
      <c r="AE899" s="4" t="s">
        <v>3589</v>
      </c>
      <c r="AF899" s="4" t="s">
        <v>3593</v>
      </c>
      <c r="AG899" s="5" t="n">
        <v>0.461678240740741</v>
      </c>
      <c r="AH899" s="5" t="n">
        <v>0.244201388888889</v>
      </c>
      <c r="AI899" s="5" t="n">
        <v>0</v>
      </c>
      <c r="AJ899" s="5" t="n">
        <v>0</v>
      </c>
      <c r="AK899" s="5" t="n">
        <v>0</v>
      </c>
      <c r="AL899" s="5" t="n">
        <v>0</v>
      </c>
      <c r="AM899" s="4" t="s">
        <v>78</v>
      </c>
      <c r="AN899" s="0" t="n">
        <v>0</v>
      </c>
      <c r="AO899" s="0" t="n">
        <v>2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  <c r="AU899" s="0" t="n">
        <v>11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  <c r="BA899" s="0" t="n">
        <v>0</v>
      </c>
      <c r="BB899" s="0" t="n">
        <v>0</v>
      </c>
      <c r="BC899" s="0" t="n">
        <v>0</v>
      </c>
      <c r="BD899" s="0" t="n">
        <v>0</v>
      </c>
      <c r="BE899" s="0" t="n">
        <v>0</v>
      </c>
      <c r="BF899" s="0" t="n">
        <v>0</v>
      </c>
      <c r="BG899" s="0" t="n">
        <v>0</v>
      </c>
      <c r="BH899" s="0" t="n">
        <v>0</v>
      </c>
      <c r="BI899" s="0" t="n">
        <v>0</v>
      </c>
      <c r="BJ899" s="0" t="n">
        <v>0</v>
      </c>
      <c r="BK899" s="0" t="n">
        <v>0</v>
      </c>
      <c r="BM899" s="6" t="n">
        <f aca="false">IFERROR(VALUE(F899),"")</f>
        <v>649.53</v>
      </c>
      <c r="BN899" s="6" t="n">
        <f aca="false">IF(R899="-","",IFERROR(VALUE(LEFT(Q899,LEN(Q899)-2)),""))</f>
        <v>216.5</v>
      </c>
      <c r="BO899" s="6" t="n">
        <f aca="false">IF(R899="-","",IFERROR(VALUE(LEFT(R899,LEN(R899)-5)),""))</f>
        <v>3</v>
      </c>
      <c r="BP899" s="6" t="n">
        <f aca="false">IF(R899="-","",IFERROR(VALUE(F899),""))</f>
        <v>649.53</v>
      </c>
      <c r="BQ899" s="4" t="n">
        <f aca="false">IF(R899="-",1,0)</f>
        <v>0</v>
      </c>
    </row>
    <row r="900" customFormat="false" ht="15" hidden="false" customHeight="false" outlineLevel="0" collapsed="false">
      <c r="A900" s="0" t="s">
        <v>3583</v>
      </c>
      <c r="B900" s="0" t="s">
        <v>3584</v>
      </c>
      <c r="C900" s="0" t="s">
        <v>70</v>
      </c>
      <c r="D900" s="0" t="s">
        <v>3594</v>
      </c>
      <c r="E900" s="3" t="n">
        <v>46275</v>
      </c>
      <c r="F900" s="4" t="s">
        <v>3595</v>
      </c>
      <c r="G900" s="5" t="n">
        <v>0.624988425925926</v>
      </c>
      <c r="H900" s="5" t="n">
        <v>0.558402777777778</v>
      </c>
      <c r="I900" s="5" t="n">
        <v>0.00289351851851852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5" t="n">
        <v>0</v>
      </c>
      <c r="P900" s="5" t="n">
        <v>0.00783564814814815</v>
      </c>
      <c r="Q900" s="4" t="s">
        <v>3596</v>
      </c>
      <c r="R900" s="4" t="s">
        <v>3597</v>
      </c>
      <c r="S900" s="5" t="n">
        <v>0.000578703703703704</v>
      </c>
      <c r="T900" s="5" t="n">
        <v>0.157986111111111</v>
      </c>
      <c r="U900" s="5" t="n">
        <v>0.368055555555556</v>
      </c>
      <c r="V900" s="5" t="n">
        <v>0.00844907407407407</v>
      </c>
      <c r="W900" s="5" t="n">
        <v>0</v>
      </c>
      <c r="X900" s="5" t="n">
        <v>0</v>
      </c>
      <c r="Y900" s="5" t="n">
        <v>0</v>
      </c>
      <c r="Z900" s="0" t="n">
        <v>0</v>
      </c>
      <c r="AA900" s="0" t="n">
        <v>0</v>
      </c>
      <c r="AB900" s="0" t="n">
        <v>0</v>
      </c>
      <c r="AC900" s="4" t="s">
        <v>208</v>
      </c>
      <c r="AD900" s="4" t="s">
        <v>208</v>
      </c>
      <c r="AE900" s="4" t="s">
        <v>3593</v>
      </c>
      <c r="AF900" s="4" t="s">
        <v>3598</v>
      </c>
      <c r="AG900" s="5" t="n">
        <v>0.481446759259259</v>
      </c>
      <c r="AH900" s="5" t="n">
        <v>0.23650462962963</v>
      </c>
      <c r="AI900" s="5" t="n">
        <v>0</v>
      </c>
      <c r="AJ900" s="5" t="n">
        <v>0</v>
      </c>
      <c r="AK900" s="5" t="n">
        <v>0</v>
      </c>
      <c r="AL900" s="5" t="n">
        <v>0</v>
      </c>
      <c r="AM900" s="4" t="s">
        <v>78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  <c r="AU900" s="0" t="n">
        <v>5</v>
      </c>
      <c r="AV900" s="0" t="n">
        <v>0</v>
      </c>
      <c r="AW900" s="0" t="n">
        <v>1</v>
      </c>
      <c r="AX900" s="0" t="n">
        <v>0</v>
      </c>
      <c r="AY900" s="0" t="n">
        <v>0</v>
      </c>
      <c r="AZ900" s="0" t="n">
        <v>0</v>
      </c>
      <c r="BA900" s="0" t="n">
        <v>0</v>
      </c>
      <c r="BB900" s="0" t="n">
        <v>0</v>
      </c>
      <c r="BC900" s="0" t="n">
        <v>0</v>
      </c>
      <c r="BD900" s="0" t="n">
        <v>0</v>
      </c>
      <c r="BE900" s="0" t="n">
        <v>0</v>
      </c>
      <c r="BF900" s="0" t="n">
        <v>0</v>
      </c>
      <c r="BG900" s="0" t="n">
        <v>0</v>
      </c>
      <c r="BH900" s="0" t="n">
        <v>0</v>
      </c>
      <c r="BI900" s="0" t="n">
        <v>0</v>
      </c>
      <c r="BJ900" s="0" t="n">
        <v>0</v>
      </c>
      <c r="BK900" s="0" t="n">
        <v>0</v>
      </c>
      <c r="BM900" s="6" t="n">
        <f aca="false">IFERROR(VALUE(F900),"")</f>
        <v>644.37</v>
      </c>
      <c r="BN900" s="6" t="n">
        <f aca="false">IF(R900="-","",IFERROR(VALUE(LEFT(Q900,LEN(Q900)-2)),""))</f>
        <v>198.5</v>
      </c>
      <c r="BO900" s="6" t="n">
        <f aca="false">IF(R900="-","",IFERROR(VALUE(LEFT(R900,LEN(R900)-5)),""))</f>
        <v>3.25</v>
      </c>
      <c r="BP900" s="6" t="n">
        <f aca="false">IF(R900="-","",IFERROR(VALUE(F900),""))</f>
        <v>644.37</v>
      </c>
      <c r="BQ900" s="4" t="n">
        <f aca="false">IF(R900="-",1,0)</f>
        <v>0</v>
      </c>
    </row>
    <row r="901" customFormat="false" ht="15" hidden="false" customHeight="false" outlineLevel="0" collapsed="false">
      <c r="A901" s="0" t="s">
        <v>3583</v>
      </c>
      <c r="B901" s="0" t="s">
        <v>3584</v>
      </c>
      <c r="C901" s="0" t="s">
        <v>70</v>
      </c>
      <c r="D901" s="0" t="s">
        <v>3599</v>
      </c>
      <c r="E901" s="3" t="n">
        <v>46276</v>
      </c>
      <c r="F901" s="4" t="s">
        <v>3600</v>
      </c>
      <c r="G901" s="5" t="n">
        <v>0.545196759259259</v>
      </c>
      <c r="H901" s="5" t="n">
        <v>0.482094907407407</v>
      </c>
      <c r="I901" s="5" t="n">
        <v>0.000914351851851852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1</v>
      </c>
      <c r="O901" s="5" t="n">
        <v>0</v>
      </c>
      <c r="P901" s="5" t="n">
        <v>0</v>
      </c>
      <c r="Q901" s="4" t="s">
        <v>2596</v>
      </c>
      <c r="R901" s="4" t="s">
        <v>391</v>
      </c>
      <c r="S901" s="5" t="n">
        <v>0.000347222222222222</v>
      </c>
      <c r="T901" s="5" t="n">
        <v>0.136689814814815</v>
      </c>
      <c r="U901" s="5" t="n">
        <v>0.328472222222222</v>
      </c>
      <c r="V901" s="5" t="n">
        <v>0.0313657407407407</v>
      </c>
      <c r="W901" s="5" t="n">
        <v>0</v>
      </c>
      <c r="X901" s="5" t="n">
        <v>0</v>
      </c>
      <c r="Y901" s="5" t="n">
        <v>0</v>
      </c>
      <c r="Z901" s="0" t="n">
        <v>0</v>
      </c>
      <c r="AA901" s="0" t="n">
        <v>0</v>
      </c>
      <c r="AB901" s="0" t="n">
        <v>0</v>
      </c>
      <c r="AC901" s="4" t="s">
        <v>208</v>
      </c>
      <c r="AD901" s="4" t="s">
        <v>208</v>
      </c>
      <c r="AE901" s="4" t="s">
        <v>3598</v>
      </c>
      <c r="AF901" s="4" t="s">
        <v>3601</v>
      </c>
      <c r="AG901" s="5" t="n">
        <v>0.450775462962963</v>
      </c>
      <c r="AH901" s="5" t="n">
        <v>0.163391203703704</v>
      </c>
      <c r="AI901" s="5" t="n">
        <v>0</v>
      </c>
      <c r="AJ901" s="5" t="n">
        <v>0</v>
      </c>
      <c r="AK901" s="5" t="n">
        <v>0</v>
      </c>
      <c r="AL901" s="5" t="n">
        <v>0</v>
      </c>
      <c r="AM901" s="4" t="s">
        <v>78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2</v>
      </c>
      <c r="AS901" s="0" t="n">
        <v>0</v>
      </c>
      <c r="AT901" s="0" t="n">
        <v>0</v>
      </c>
      <c r="AU901" s="0" t="n">
        <v>6</v>
      </c>
      <c r="AV901" s="0" t="n">
        <v>0</v>
      </c>
      <c r="AW901" s="0" t="n">
        <v>0</v>
      </c>
      <c r="AX901" s="0" t="n">
        <v>0</v>
      </c>
      <c r="AY901" s="0" t="n">
        <v>0</v>
      </c>
      <c r="AZ901" s="0" t="n">
        <v>0</v>
      </c>
      <c r="BA901" s="0" t="n">
        <v>0</v>
      </c>
      <c r="BB901" s="0" t="n">
        <v>0</v>
      </c>
      <c r="BC901" s="0" t="n">
        <v>0</v>
      </c>
      <c r="BD901" s="0" t="n">
        <v>0</v>
      </c>
      <c r="BE901" s="0" t="n">
        <v>0</v>
      </c>
      <c r="BF901" s="0" t="n">
        <v>0</v>
      </c>
      <c r="BG901" s="0" t="n">
        <v>0</v>
      </c>
      <c r="BH901" s="0" t="n">
        <v>0</v>
      </c>
      <c r="BI901" s="0" t="n">
        <v>0</v>
      </c>
      <c r="BJ901" s="0" t="n">
        <v>0</v>
      </c>
      <c r="BK901" s="0" t="n">
        <v>0</v>
      </c>
      <c r="BM901" s="6" t="n">
        <f aca="false">IFERROR(VALUE(F901),"")</f>
        <v>560.61</v>
      </c>
      <c r="BN901" s="6" t="n">
        <f aca="false">IF(R901="-","",IFERROR(VALUE(LEFT(Q901,LEN(Q901)-2)),""))</f>
        <v>186.02</v>
      </c>
      <c r="BO901" s="6" t="n">
        <f aca="false">IF(R901="-","",IFERROR(VALUE(LEFT(R901,LEN(R901)-5)),""))</f>
        <v>3.01</v>
      </c>
      <c r="BP901" s="6" t="n">
        <f aca="false">IF(R901="-","",IFERROR(VALUE(F901),""))</f>
        <v>560.61</v>
      </c>
      <c r="BQ901" s="4" t="n">
        <f aca="false">IF(R901="-",1,0)</f>
        <v>0</v>
      </c>
    </row>
    <row r="902" customFormat="false" ht="15" hidden="false" customHeight="false" outlineLevel="0" collapsed="false">
      <c r="A902" s="0" t="s">
        <v>3583</v>
      </c>
      <c r="B902" s="0" t="s">
        <v>3584</v>
      </c>
      <c r="C902" s="0" t="s">
        <v>70</v>
      </c>
      <c r="D902" s="0" t="s">
        <v>3602</v>
      </c>
      <c r="E902" s="3" t="n">
        <v>46277</v>
      </c>
      <c r="F902" s="4" t="s">
        <v>3603</v>
      </c>
      <c r="G902" s="5" t="n">
        <v>0.521701388888889</v>
      </c>
      <c r="H902" s="5" t="n">
        <v>0.505335648148148</v>
      </c>
      <c r="I902" s="5" t="n">
        <v>0.000277777777777778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5" t="n">
        <v>0</v>
      </c>
      <c r="P902" s="5" t="n">
        <v>0</v>
      </c>
      <c r="Q902" s="4" t="s">
        <v>3604</v>
      </c>
      <c r="R902" s="4" t="s">
        <v>365</v>
      </c>
      <c r="S902" s="5" t="n">
        <v>0.000347222222222222</v>
      </c>
      <c r="T902" s="5" t="n">
        <v>0.114351851851852</v>
      </c>
      <c r="U902" s="5" t="n">
        <v>0.324884259259259</v>
      </c>
      <c r="V902" s="5" t="n">
        <v>0.028587962962963</v>
      </c>
      <c r="W902" s="5" t="n">
        <v>0</v>
      </c>
      <c r="X902" s="5" t="n">
        <v>0</v>
      </c>
      <c r="Y902" s="5" t="n">
        <v>0</v>
      </c>
      <c r="Z902" s="0" t="n">
        <v>0</v>
      </c>
      <c r="AA902" s="0" t="n">
        <v>0</v>
      </c>
      <c r="AB902" s="0" t="n">
        <v>0</v>
      </c>
      <c r="AC902" s="4" t="s">
        <v>208</v>
      </c>
      <c r="AD902" s="4" t="s">
        <v>208</v>
      </c>
      <c r="AE902" s="4" t="s">
        <v>3601</v>
      </c>
      <c r="AF902" s="4" t="s">
        <v>3605</v>
      </c>
      <c r="AG902" s="5" t="n">
        <v>0.434791666666667</v>
      </c>
      <c r="AH902" s="5" t="n">
        <v>0.171296296296296</v>
      </c>
      <c r="AI902" s="5" t="n">
        <v>0</v>
      </c>
      <c r="AJ902" s="5" t="n">
        <v>0</v>
      </c>
      <c r="AK902" s="5" t="n">
        <v>0</v>
      </c>
      <c r="AL902" s="5" t="n">
        <v>0</v>
      </c>
      <c r="AM902" s="4" t="s">
        <v>78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  <c r="AU902" s="0" t="n">
        <v>2</v>
      </c>
      <c r="AV902" s="0" t="n">
        <v>0</v>
      </c>
      <c r="AW902" s="0" t="n">
        <v>1</v>
      </c>
      <c r="AX902" s="0" t="n">
        <v>0</v>
      </c>
      <c r="AY902" s="0" t="n">
        <v>0</v>
      </c>
      <c r="AZ902" s="0" t="n">
        <v>0</v>
      </c>
      <c r="BA902" s="0" t="n">
        <v>0</v>
      </c>
      <c r="BB902" s="0" t="n">
        <v>0</v>
      </c>
      <c r="BC902" s="0" t="n">
        <v>0</v>
      </c>
      <c r="BD902" s="0" t="n">
        <v>0</v>
      </c>
      <c r="BE902" s="0" t="n">
        <v>0</v>
      </c>
      <c r="BF902" s="0" t="n">
        <v>0</v>
      </c>
      <c r="BG902" s="0" t="n">
        <v>0</v>
      </c>
      <c r="BH902" s="0" t="n">
        <v>0</v>
      </c>
      <c r="BI902" s="0" t="n">
        <v>0</v>
      </c>
      <c r="BJ902" s="0" t="n">
        <v>0</v>
      </c>
      <c r="BK902" s="0" t="n">
        <v>0</v>
      </c>
      <c r="BM902" s="6" t="n">
        <f aca="false">IFERROR(VALUE(F902),"")</f>
        <v>559.2</v>
      </c>
      <c r="BN902" s="6" t="n">
        <f aca="false">IF(R902="-","",IFERROR(VALUE(LEFT(Q902,LEN(Q902)-2)),""))</f>
        <v>174.99</v>
      </c>
      <c r="BO902" s="6" t="n">
        <f aca="false">IF(R902="-","",IFERROR(VALUE(LEFT(R902,LEN(R902)-5)),""))</f>
        <v>3.2</v>
      </c>
      <c r="BP902" s="6" t="n">
        <f aca="false">IF(R902="-","",IFERROR(VALUE(F902),""))</f>
        <v>559.2</v>
      </c>
      <c r="BQ902" s="4" t="n">
        <f aca="false">IF(R902="-",1,0)</f>
        <v>0</v>
      </c>
    </row>
    <row r="903" customFormat="false" ht="15" hidden="false" customHeight="false" outlineLevel="0" collapsed="false">
      <c r="A903" s="0" t="s">
        <v>3583</v>
      </c>
      <c r="B903" s="0" t="s">
        <v>3584</v>
      </c>
      <c r="C903" s="0" t="s">
        <v>70</v>
      </c>
      <c r="D903" s="0" t="s">
        <v>3606</v>
      </c>
      <c r="E903" s="3" t="n">
        <v>46278</v>
      </c>
      <c r="F903" s="4" t="s">
        <v>3607</v>
      </c>
      <c r="G903" s="5" t="n">
        <v>0.592523148148148</v>
      </c>
      <c r="H903" s="5" t="n">
        <v>0.535300925925926</v>
      </c>
      <c r="I903" s="5" t="n">
        <v>0.00373842592592593</v>
      </c>
      <c r="J903" s="0" t="n">
        <v>0</v>
      </c>
      <c r="K903" s="0" t="n">
        <v>1</v>
      </c>
      <c r="L903" s="0" t="n">
        <v>0</v>
      </c>
      <c r="M903" s="0" t="n">
        <v>0</v>
      </c>
      <c r="N903" s="0" t="n">
        <v>2</v>
      </c>
      <c r="O903" s="5" t="n">
        <v>0</v>
      </c>
      <c r="P903" s="5" t="n">
        <v>0.0315393518518519</v>
      </c>
      <c r="Q903" s="4" t="s">
        <v>3608</v>
      </c>
      <c r="R903" s="4" t="s">
        <v>1396</v>
      </c>
      <c r="S903" s="5" t="n">
        <v>0.000694444444444445</v>
      </c>
      <c r="T903" s="5" t="n">
        <v>0.159027777777778</v>
      </c>
      <c r="U903" s="5" t="n">
        <v>0.373032407407407</v>
      </c>
      <c r="V903" s="5" t="n">
        <v>0.00902777777777778</v>
      </c>
      <c r="W903" s="5" t="n">
        <v>0</v>
      </c>
      <c r="X903" s="5" t="n">
        <v>0</v>
      </c>
      <c r="Y903" s="5" t="n">
        <v>0</v>
      </c>
      <c r="Z903" s="0" t="n">
        <v>0</v>
      </c>
      <c r="AA903" s="0" t="n">
        <v>0</v>
      </c>
      <c r="AB903" s="0" t="n">
        <v>0</v>
      </c>
      <c r="AC903" s="4" t="s">
        <v>208</v>
      </c>
      <c r="AD903" s="4" t="s">
        <v>208</v>
      </c>
      <c r="AE903" s="4" t="s">
        <v>3605</v>
      </c>
      <c r="AF903" s="4" t="s">
        <v>3609</v>
      </c>
      <c r="AG903" s="5" t="n">
        <v>0.465555555555556</v>
      </c>
      <c r="AH903" s="5" t="n">
        <v>0.200208333333333</v>
      </c>
      <c r="AI903" s="5" t="n">
        <v>0</v>
      </c>
      <c r="AJ903" s="5" t="n">
        <v>0</v>
      </c>
      <c r="AK903" s="5" t="n">
        <v>0</v>
      </c>
      <c r="AL903" s="5" t="n">
        <v>0</v>
      </c>
      <c r="AM903" s="4" t="s">
        <v>78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  <c r="AU903" s="0" t="n">
        <v>12</v>
      </c>
      <c r="AV903" s="0" t="n">
        <v>0</v>
      </c>
      <c r="AW903" s="0" t="n">
        <v>0</v>
      </c>
      <c r="AX903" s="0" t="n">
        <v>0</v>
      </c>
      <c r="AY903" s="0" t="n">
        <v>0</v>
      </c>
      <c r="AZ903" s="0" t="n">
        <v>0</v>
      </c>
      <c r="BA903" s="0" t="n">
        <v>0</v>
      </c>
      <c r="BB903" s="0" t="n">
        <v>0</v>
      </c>
      <c r="BC903" s="0" t="n">
        <v>0</v>
      </c>
      <c r="BD903" s="0" t="n">
        <v>0</v>
      </c>
      <c r="BE903" s="0" t="n">
        <v>0</v>
      </c>
      <c r="BF903" s="0" t="n">
        <v>0</v>
      </c>
      <c r="BG903" s="0" t="n">
        <v>0</v>
      </c>
      <c r="BH903" s="0" t="n">
        <v>0</v>
      </c>
      <c r="BI903" s="0" t="n">
        <v>0</v>
      </c>
      <c r="BJ903" s="0" t="n">
        <v>0</v>
      </c>
      <c r="BK903" s="0" t="n">
        <v>0</v>
      </c>
      <c r="BM903" s="6" t="n">
        <f aca="false">IFERROR(VALUE(F903),"")</f>
        <v>652.27</v>
      </c>
      <c r="BN903" s="6" t="n">
        <f aca="false">IF(R903="-","",IFERROR(VALUE(LEFT(Q903,LEN(Q903)-2)),""))</f>
        <v>205.01</v>
      </c>
      <c r="BO903" s="6" t="n">
        <f aca="false">IF(R903="-","",IFERROR(VALUE(LEFT(R903,LEN(R903)-5)),""))</f>
        <v>3.18</v>
      </c>
      <c r="BP903" s="6" t="n">
        <f aca="false">IF(R903="-","",IFERROR(VALUE(F903),""))</f>
        <v>652.27</v>
      </c>
      <c r="BQ903" s="4" t="n">
        <f aca="false">IF(R903="-",1,0)</f>
        <v>0</v>
      </c>
    </row>
    <row r="904" customFormat="false" ht="15" hidden="false" customHeight="false" outlineLevel="0" collapsed="false">
      <c r="A904" s="0" t="s">
        <v>3583</v>
      </c>
      <c r="B904" s="0" t="s">
        <v>3584</v>
      </c>
      <c r="C904" s="0" t="s">
        <v>70</v>
      </c>
      <c r="D904" s="0" t="s">
        <v>3610</v>
      </c>
      <c r="E904" s="3" t="n">
        <v>46279</v>
      </c>
      <c r="F904" s="4" t="s">
        <v>3611</v>
      </c>
      <c r="G904" s="5" t="n">
        <v>0.637453703703704</v>
      </c>
      <c r="H904" s="5" t="n">
        <v>0.555497685185185</v>
      </c>
      <c r="I904" s="5" t="n">
        <v>0.00270833333333333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5" t="n">
        <v>0</v>
      </c>
      <c r="P904" s="5" t="n">
        <v>0</v>
      </c>
      <c r="Q904" s="4" t="s">
        <v>3612</v>
      </c>
      <c r="R904" s="4" t="s">
        <v>1396</v>
      </c>
      <c r="S904" s="5" t="n">
        <v>0.000578703703703704</v>
      </c>
      <c r="T904" s="5" t="n">
        <v>0.168865740740741</v>
      </c>
      <c r="U904" s="5" t="n">
        <v>0.376388888888889</v>
      </c>
      <c r="V904" s="5" t="n">
        <v>0.00613425925925926</v>
      </c>
      <c r="W904" s="5" t="n">
        <v>0</v>
      </c>
      <c r="X904" s="5" t="n">
        <v>0</v>
      </c>
      <c r="Y904" s="5" t="n">
        <v>0</v>
      </c>
      <c r="Z904" s="0" t="n">
        <v>0</v>
      </c>
      <c r="AA904" s="0" t="n">
        <v>0</v>
      </c>
      <c r="AB904" s="0" t="n">
        <v>0</v>
      </c>
      <c r="AC904" s="4" t="s">
        <v>208</v>
      </c>
      <c r="AD904" s="4" t="s">
        <v>208</v>
      </c>
      <c r="AE904" s="4" t="s">
        <v>3609</v>
      </c>
      <c r="AF904" s="4" t="s">
        <v>3613</v>
      </c>
      <c r="AG904" s="5" t="n">
        <v>0.49068287037037</v>
      </c>
      <c r="AH904" s="5" t="n">
        <v>0.254861111111111</v>
      </c>
      <c r="AI904" s="5" t="n">
        <v>0</v>
      </c>
      <c r="AJ904" s="5" t="n">
        <v>0</v>
      </c>
      <c r="AK904" s="5" t="n">
        <v>0</v>
      </c>
      <c r="AL904" s="5" t="n">
        <v>0</v>
      </c>
      <c r="AM904" s="4" t="s">
        <v>78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  <c r="AU904" s="0" t="n">
        <v>6</v>
      </c>
      <c r="AV904" s="0" t="n">
        <v>0</v>
      </c>
      <c r="AW904" s="0" t="n">
        <v>0</v>
      </c>
      <c r="AX904" s="0" t="n">
        <v>0</v>
      </c>
      <c r="AY904" s="0" t="n">
        <v>0</v>
      </c>
      <c r="AZ904" s="0" t="n">
        <v>0</v>
      </c>
      <c r="BA904" s="0" t="n">
        <v>0</v>
      </c>
      <c r="BB904" s="0" t="n">
        <v>0</v>
      </c>
      <c r="BC904" s="0" t="n">
        <v>0</v>
      </c>
      <c r="BD904" s="0" t="n">
        <v>0</v>
      </c>
      <c r="BE904" s="0" t="n">
        <v>0</v>
      </c>
      <c r="BF904" s="0" t="n">
        <v>0</v>
      </c>
      <c r="BG904" s="0" t="n">
        <v>0</v>
      </c>
      <c r="BH904" s="0" t="n">
        <v>0</v>
      </c>
      <c r="BI904" s="0" t="n">
        <v>0</v>
      </c>
      <c r="BJ904" s="0" t="n">
        <v>0</v>
      </c>
      <c r="BK904" s="0" t="n">
        <v>0</v>
      </c>
      <c r="BM904" s="6" t="n">
        <f aca="false">IFERROR(VALUE(F904),"")</f>
        <v>644.74</v>
      </c>
      <c r="BN904" s="6" t="n">
        <f aca="false">IF(R904="-","",IFERROR(VALUE(LEFT(Q904,LEN(Q904)-2)),""))</f>
        <v>202.5</v>
      </c>
      <c r="BO904" s="6" t="n">
        <f aca="false">IF(R904="-","",IFERROR(VALUE(LEFT(R904,LEN(R904)-5)),""))</f>
        <v>3.18</v>
      </c>
      <c r="BP904" s="6" t="n">
        <f aca="false">IF(R904="-","",IFERROR(VALUE(F904),""))</f>
        <v>644.74</v>
      </c>
      <c r="BQ904" s="4" t="n">
        <f aca="false">IF(R904="-",1,0)</f>
        <v>0</v>
      </c>
    </row>
    <row r="905" customFormat="false" ht="15" hidden="false" customHeight="false" outlineLevel="0" collapsed="false">
      <c r="A905" s="0" t="s">
        <v>3614</v>
      </c>
      <c r="B905" s="0" t="s">
        <v>3615</v>
      </c>
      <c r="C905" s="0" t="s">
        <v>70</v>
      </c>
      <c r="D905" s="0" t="s">
        <v>3616</v>
      </c>
      <c r="E905" s="3" t="n">
        <v>46273</v>
      </c>
      <c r="F905" s="4" t="s">
        <v>3617</v>
      </c>
      <c r="G905" s="5" t="n">
        <v>0.183391203703704</v>
      </c>
      <c r="H905" s="5" t="n">
        <v>0.178703703703704</v>
      </c>
      <c r="I905" s="5" t="n">
        <v>0.000243055555555556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5" t="n">
        <v>0</v>
      </c>
      <c r="P905" s="5" t="n">
        <v>0</v>
      </c>
      <c r="Q905" s="4" t="s">
        <v>3618</v>
      </c>
      <c r="R905" s="4" t="s">
        <v>1014</v>
      </c>
      <c r="S905" s="5" t="n">
        <v>0.000115740740740741</v>
      </c>
      <c r="T905" s="5" t="n">
        <v>0.0672453703703704</v>
      </c>
      <c r="U905" s="5" t="n">
        <v>0.0796296296296296</v>
      </c>
      <c r="V905" s="5" t="n">
        <v>0.0326388888888889</v>
      </c>
      <c r="W905" s="5" t="n">
        <v>0</v>
      </c>
      <c r="X905" s="5" t="n">
        <v>0</v>
      </c>
      <c r="Y905" s="5" t="n">
        <v>0</v>
      </c>
      <c r="Z905" s="0" t="n">
        <v>0</v>
      </c>
      <c r="AA905" s="0" t="n">
        <v>0</v>
      </c>
      <c r="AB905" s="0" t="n">
        <v>0</v>
      </c>
      <c r="AC905" s="4" t="s">
        <v>159</v>
      </c>
      <c r="AD905" s="4" t="s">
        <v>159</v>
      </c>
      <c r="AE905" s="4" t="s">
        <v>3619</v>
      </c>
      <c r="AF905" s="4" t="s">
        <v>3620</v>
      </c>
      <c r="AG905" s="5" t="n">
        <v>0.167094907407407</v>
      </c>
      <c r="AH905" s="5" t="n">
        <v>0.0638888888888889</v>
      </c>
      <c r="AI905" s="5" t="n">
        <v>0</v>
      </c>
      <c r="AJ905" s="5" t="n">
        <v>0</v>
      </c>
      <c r="AK905" s="5" t="n">
        <v>0</v>
      </c>
      <c r="AL905" s="5" t="n">
        <v>0</v>
      </c>
      <c r="AM905" s="4" t="s">
        <v>78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  <c r="BA905" s="0" t="n">
        <v>0</v>
      </c>
      <c r="BB905" s="0" t="n">
        <v>0</v>
      </c>
      <c r="BC905" s="0" t="n">
        <v>0</v>
      </c>
      <c r="BD905" s="0" t="n">
        <v>0</v>
      </c>
      <c r="BE905" s="0" t="n">
        <v>0</v>
      </c>
      <c r="BF905" s="0" t="n">
        <v>0</v>
      </c>
      <c r="BG905" s="0" t="n">
        <v>0</v>
      </c>
      <c r="BH905" s="0" t="n">
        <v>0</v>
      </c>
      <c r="BI905" s="0" t="n">
        <v>0</v>
      </c>
      <c r="BJ905" s="0" t="n">
        <v>0</v>
      </c>
      <c r="BK905" s="0" t="n">
        <v>0</v>
      </c>
      <c r="BM905" s="6" t="n">
        <f aca="false">IFERROR(VALUE(F905),"")</f>
        <v>106.35</v>
      </c>
      <c r="BN905" s="6" t="n">
        <f aca="false">IF(R905="-","",IFERROR(VALUE(LEFT(Q905,LEN(Q905)-2)),""))</f>
        <v>20.34</v>
      </c>
      <c r="BO905" s="6" t="n">
        <f aca="false">IF(R905="-","",IFERROR(VALUE(LEFT(R905,LEN(R905)-5)),""))</f>
        <v>5.23</v>
      </c>
      <c r="BP905" s="6" t="n">
        <f aca="false">IF(R905="-","",IFERROR(VALUE(F905),""))</f>
        <v>106.35</v>
      </c>
      <c r="BQ905" s="4" t="n">
        <f aca="false">IF(R905="-",1,0)</f>
        <v>0</v>
      </c>
    </row>
    <row r="906" customFormat="false" ht="15" hidden="false" customHeight="false" outlineLevel="0" collapsed="false">
      <c r="A906" s="0" t="s">
        <v>3614</v>
      </c>
      <c r="B906" s="0" t="s">
        <v>3615</v>
      </c>
      <c r="C906" s="0" t="s">
        <v>70</v>
      </c>
      <c r="D906" s="0" t="s">
        <v>3616</v>
      </c>
      <c r="E906" s="3" t="n">
        <v>46274</v>
      </c>
      <c r="F906" s="4" t="s">
        <v>3621</v>
      </c>
      <c r="G906" s="5" t="n">
        <v>0.16806712962963</v>
      </c>
      <c r="H906" s="5" t="n">
        <v>0.159814814814815</v>
      </c>
      <c r="I906" s="5" t="n">
        <v>0.000497685185185185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5" t="n">
        <v>0</v>
      </c>
      <c r="P906" s="5" t="n">
        <v>0</v>
      </c>
      <c r="Q906" s="4" t="s">
        <v>3622</v>
      </c>
      <c r="R906" s="4" t="s">
        <v>3623</v>
      </c>
      <c r="S906" s="5" t="n">
        <v>0</v>
      </c>
      <c r="T906" s="5" t="n">
        <v>0.0584490740740741</v>
      </c>
      <c r="U906" s="5" t="n">
        <v>0.0752314814814815</v>
      </c>
      <c r="V906" s="5" t="n">
        <v>0.030787037037037</v>
      </c>
      <c r="W906" s="5" t="n">
        <v>0</v>
      </c>
      <c r="X906" s="5" t="n">
        <v>0</v>
      </c>
      <c r="Y906" s="5" t="n">
        <v>0</v>
      </c>
      <c r="Z906" s="0" t="n">
        <v>0</v>
      </c>
      <c r="AA906" s="0" t="n">
        <v>0</v>
      </c>
      <c r="AB906" s="0" t="n">
        <v>0</v>
      </c>
      <c r="AC906" s="4" t="s">
        <v>159</v>
      </c>
      <c r="AD906" s="4" t="s">
        <v>159</v>
      </c>
      <c r="AE906" s="4" t="s">
        <v>3620</v>
      </c>
      <c r="AF906" s="4" t="s">
        <v>3624</v>
      </c>
      <c r="AG906" s="5" t="n">
        <v>0.149074074074074</v>
      </c>
      <c r="AH906" s="5" t="n">
        <v>0.0790162037037037</v>
      </c>
      <c r="AI906" s="5" t="n">
        <v>0</v>
      </c>
      <c r="AJ906" s="5" t="n">
        <v>0</v>
      </c>
      <c r="AK906" s="5" t="n">
        <v>0</v>
      </c>
      <c r="AL906" s="5" t="n">
        <v>0</v>
      </c>
      <c r="AM906" s="4" t="s">
        <v>78</v>
      </c>
      <c r="AN906" s="0" t="n">
        <v>0</v>
      </c>
      <c r="AO906" s="0" t="n">
        <v>1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  <c r="AU906" s="0" t="n">
        <v>1</v>
      </c>
      <c r="AV906" s="0" t="n">
        <v>0</v>
      </c>
      <c r="AW906" s="0" t="n">
        <v>0</v>
      </c>
      <c r="AX906" s="0" t="n">
        <v>0</v>
      </c>
      <c r="AY906" s="0" t="n">
        <v>0</v>
      </c>
      <c r="AZ906" s="0" t="n">
        <v>0</v>
      </c>
      <c r="BA906" s="0" t="n">
        <v>0</v>
      </c>
      <c r="BB906" s="0" t="n">
        <v>0</v>
      </c>
      <c r="BC906" s="0" t="n">
        <v>0</v>
      </c>
      <c r="BD906" s="0" t="n">
        <v>0</v>
      </c>
      <c r="BE906" s="0" t="n">
        <v>0</v>
      </c>
      <c r="BF906" s="0" t="n">
        <v>0</v>
      </c>
      <c r="BG906" s="0" t="n">
        <v>0</v>
      </c>
      <c r="BH906" s="0" t="n">
        <v>0</v>
      </c>
      <c r="BI906" s="0" t="n">
        <v>0</v>
      </c>
      <c r="BJ906" s="0" t="n">
        <v>0</v>
      </c>
      <c r="BK906" s="0" t="n">
        <v>0</v>
      </c>
      <c r="BM906" s="6" t="n">
        <f aca="false">IFERROR(VALUE(F906),"")</f>
        <v>99.86</v>
      </c>
      <c r="BN906" s="6" t="n">
        <f aca="false">IF(R906="-","",IFERROR(VALUE(LEFT(Q906,LEN(Q906)-2)),""))</f>
        <v>18.75</v>
      </c>
      <c r="BO906" s="6" t="n">
        <f aca="false">IF(R906="-","",IFERROR(VALUE(LEFT(R906,LEN(R906)-5)),""))</f>
        <v>5.32</v>
      </c>
      <c r="BP906" s="6" t="n">
        <f aca="false">IF(R906="-","",IFERROR(VALUE(F906),""))</f>
        <v>99.86</v>
      </c>
      <c r="BQ906" s="4" t="n">
        <f aca="false">IF(R906="-",1,0)</f>
        <v>0</v>
      </c>
    </row>
    <row r="907" customFormat="false" ht="15" hidden="false" customHeight="false" outlineLevel="0" collapsed="false">
      <c r="A907" s="0" t="s">
        <v>3614</v>
      </c>
      <c r="B907" s="0" t="s">
        <v>3615</v>
      </c>
      <c r="C907" s="0" t="s">
        <v>70</v>
      </c>
      <c r="D907" s="0" t="s">
        <v>3616</v>
      </c>
      <c r="E907" s="3" t="n">
        <v>46275</v>
      </c>
      <c r="F907" s="4" t="s">
        <v>3625</v>
      </c>
      <c r="G907" s="5" t="n">
        <v>0.163055555555556</v>
      </c>
      <c r="H907" s="5" t="n">
        <v>0.142615740740741</v>
      </c>
      <c r="I907" s="5" t="n">
        <v>0.000208333333333333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5" t="n">
        <v>0</v>
      </c>
      <c r="P907" s="5" t="n">
        <v>0.00730324074074074</v>
      </c>
      <c r="Q907" s="4" t="s">
        <v>3626</v>
      </c>
      <c r="R907" s="4" t="s">
        <v>3627</v>
      </c>
      <c r="S907" s="5" t="n">
        <v>0.000115740740740741</v>
      </c>
      <c r="T907" s="5" t="n">
        <v>0.0571759259259259</v>
      </c>
      <c r="U907" s="5" t="n">
        <v>0.0696759259259259</v>
      </c>
      <c r="V907" s="5" t="n">
        <v>0.0324074074074074</v>
      </c>
      <c r="W907" s="5" t="n">
        <v>0</v>
      </c>
      <c r="X907" s="5" t="n">
        <v>0</v>
      </c>
      <c r="Y907" s="5" t="n">
        <v>0</v>
      </c>
      <c r="Z907" s="0" t="n">
        <v>0</v>
      </c>
      <c r="AA907" s="0" t="n">
        <v>0</v>
      </c>
      <c r="AB907" s="0" t="n">
        <v>0</v>
      </c>
      <c r="AC907" s="4" t="s">
        <v>158</v>
      </c>
      <c r="AD907" s="4" t="s">
        <v>159</v>
      </c>
      <c r="AE907" s="4" t="s">
        <v>3624</v>
      </c>
      <c r="AF907" s="4" t="s">
        <v>3628</v>
      </c>
      <c r="AG907" s="5" t="n">
        <v>0.141550925925926</v>
      </c>
      <c r="AH907" s="5" t="n">
        <v>0.119247685185185</v>
      </c>
      <c r="AI907" s="5" t="n">
        <v>0</v>
      </c>
      <c r="AJ907" s="5" t="n">
        <v>0</v>
      </c>
      <c r="AK907" s="5" t="n">
        <v>0</v>
      </c>
      <c r="AL907" s="5" t="n">
        <v>0</v>
      </c>
      <c r="AM907" s="4" t="s">
        <v>78</v>
      </c>
      <c r="AN907" s="0" t="n">
        <v>0</v>
      </c>
      <c r="AO907" s="0" t="n">
        <v>0</v>
      </c>
      <c r="AP907" s="0" t="n">
        <v>0</v>
      </c>
      <c r="AQ907" s="0" t="n">
        <v>0</v>
      </c>
      <c r="AR907" s="0" t="n">
        <v>0</v>
      </c>
      <c r="AS907" s="0" t="n">
        <v>0</v>
      </c>
      <c r="AT907" s="0" t="n">
        <v>0</v>
      </c>
      <c r="AU907" s="0" t="n">
        <v>0</v>
      </c>
      <c r="AV907" s="0" t="n">
        <v>0</v>
      </c>
      <c r="AW907" s="0" t="n">
        <v>0</v>
      </c>
      <c r="AX907" s="0" t="n">
        <v>0</v>
      </c>
      <c r="AY907" s="0" t="n">
        <v>0</v>
      </c>
      <c r="AZ907" s="0" t="n">
        <v>0</v>
      </c>
      <c r="BA907" s="0" t="n">
        <v>0</v>
      </c>
      <c r="BB907" s="0" t="n">
        <v>0</v>
      </c>
      <c r="BC907" s="0" t="n">
        <v>0</v>
      </c>
      <c r="BD907" s="0" t="n">
        <v>0</v>
      </c>
      <c r="BE907" s="0" t="n">
        <v>0</v>
      </c>
      <c r="BF907" s="0" t="n">
        <v>0</v>
      </c>
      <c r="BG907" s="0" t="n">
        <v>0</v>
      </c>
      <c r="BH907" s="0" t="n">
        <v>0</v>
      </c>
      <c r="BI907" s="0" t="n">
        <v>0</v>
      </c>
      <c r="BJ907" s="0" t="n">
        <v>0</v>
      </c>
      <c r="BK907" s="0" t="n">
        <v>0</v>
      </c>
      <c r="BM907" s="6" t="n">
        <f aca="false">IFERROR(VALUE(F907),"")</f>
        <v>99.53</v>
      </c>
      <c r="BN907" s="6" t="n">
        <f aca="false">IF(R907="-","",IFERROR(VALUE(LEFT(Q907,LEN(Q907)-2)),""))</f>
        <v>19.17</v>
      </c>
      <c r="BO907" s="6" t="n">
        <f aca="false">IF(R907="-","",IFERROR(VALUE(LEFT(R907,LEN(R907)-5)),""))</f>
        <v>5.19</v>
      </c>
      <c r="BP907" s="6" t="n">
        <f aca="false">IF(R907="-","",IFERROR(VALUE(F907),""))</f>
        <v>99.53</v>
      </c>
      <c r="BQ907" s="4" t="n">
        <f aca="false">IF(R907="-",1,0)</f>
        <v>0</v>
      </c>
    </row>
    <row r="908" customFormat="false" ht="15" hidden="false" customHeight="false" outlineLevel="0" collapsed="false">
      <c r="A908" s="0" t="s">
        <v>3614</v>
      </c>
      <c r="B908" s="0" t="s">
        <v>3615</v>
      </c>
      <c r="C908" s="0" t="s">
        <v>70</v>
      </c>
      <c r="D908" s="0" t="s">
        <v>3616</v>
      </c>
      <c r="E908" s="3" t="n">
        <v>46276</v>
      </c>
      <c r="F908" s="4" t="s">
        <v>3629</v>
      </c>
      <c r="G908" s="5" t="n">
        <v>0.174479166666667</v>
      </c>
      <c r="H908" s="5" t="n">
        <v>0.156400462962963</v>
      </c>
      <c r="I908" s="5" t="n">
        <v>0.000393518518518519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5" t="n">
        <v>0</v>
      </c>
      <c r="P908" s="5" t="n">
        <v>0.00717592592592593</v>
      </c>
      <c r="Q908" s="4" t="s">
        <v>2542</v>
      </c>
      <c r="R908" s="4" t="s">
        <v>3630</v>
      </c>
      <c r="S908" s="5" t="n">
        <v>0</v>
      </c>
      <c r="T908" s="5" t="n">
        <v>0.0649305555555556</v>
      </c>
      <c r="U908" s="5" t="n">
        <v>0.077662037037037</v>
      </c>
      <c r="V908" s="5" t="n">
        <v>0.0273148148148148</v>
      </c>
      <c r="W908" s="5" t="n">
        <v>0</v>
      </c>
      <c r="X908" s="5" t="n">
        <v>0</v>
      </c>
      <c r="Y908" s="5" t="n">
        <v>0</v>
      </c>
      <c r="Z908" s="0" t="n">
        <v>0</v>
      </c>
      <c r="AA908" s="0" t="n">
        <v>0</v>
      </c>
      <c r="AB908" s="0" t="n">
        <v>0</v>
      </c>
      <c r="AC908" s="4" t="s">
        <v>864</v>
      </c>
      <c r="AD908" s="4" t="s">
        <v>159</v>
      </c>
      <c r="AE908" s="4" t="s">
        <v>3628</v>
      </c>
      <c r="AF908" s="4" t="s">
        <v>3631</v>
      </c>
      <c r="AG908" s="5" t="n">
        <v>0.142939814814815</v>
      </c>
      <c r="AH908" s="5" t="n">
        <v>0.1275</v>
      </c>
      <c r="AI908" s="5" t="n">
        <v>0</v>
      </c>
      <c r="AJ908" s="5" t="n">
        <v>0</v>
      </c>
      <c r="AK908" s="5" t="n">
        <v>0</v>
      </c>
      <c r="AL908" s="5" t="n">
        <v>0</v>
      </c>
      <c r="AM908" s="4" t="s">
        <v>78</v>
      </c>
      <c r="AN908" s="0" t="n">
        <v>0</v>
      </c>
      <c r="AO908" s="0" t="n">
        <v>0</v>
      </c>
      <c r="AP908" s="0" t="n">
        <v>0</v>
      </c>
      <c r="AQ908" s="0" t="n">
        <v>0</v>
      </c>
      <c r="AR908" s="0" t="n">
        <v>0</v>
      </c>
      <c r="AS908" s="0" t="n">
        <v>0</v>
      </c>
      <c r="AT908" s="0" t="n">
        <v>0</v>
      </c>
      <c r="AU908" s="0" t="n">
        <v>0</v>
      </c>
      <c r="AV908" s="0" t="n">
        <v>0</v>
      </c>
      <c r="AW908" s="0" t="n">
        <v>0</v>
      </c>
      <c r="AX908" s="0" t="n">
        <v>0</v>
      </c>
      <c r="AY908" s="0" t="n">
        <v>0</v>
      </c>
      <c r="AZ908" s="0" t="n">
        <v>0</v>
      </c>
      <c r="BA908" s="0" t="n">
        <v>0</v>
      </c>
      <c r="BB908" s="0" t="n">
        <v>0</v>
      </c>
      <c r="BC908" s="0" t="n">
        <v>0</v>
      </c>
      <c r="BD908" s="0" t="n">
        <v>0</v>
      </c>
      <c r="BE908" s="0" t="n">
        <v>0</v>
      </c>
      <c r="BF908" s="0" t="n">
        <v>0</v>
      </c>
      <c r="BG908" s="0" t="n">
        <v>0</v>
      </c>
      <c r="BH908" s="0" t="n">
        <v>0</v>
      </c>
      <c r="BI908" s="0" t="n">
        <v>0</v>
      </c>
      <c r="BJ908" s="0" t="n">
        <v>0</v>
      </c>
      <c r="BK908" s="0" t="n">
        <v>0</v>
      </c>
      <c r="BM908" s="6" t="n">
        <f aca="false">IFERROR(VALUE(F908),"")</f>
        <v>99.95</v>
      </c>
      <c r="BN908" s="6" t="n">
        <f aca="false">IF(R908="-","",IFERROR(VALUE(LEFT(Q908,LEN(Q908)-2)),""))</f>
        <v>19.04</v>
      </c>
      <c r="BO908" s="6" t="n">
        <f aca="false">IF(R908="-","",IFERROR(VALUE(LEFT(R908,LEN(R908)-5)),""))</f>
        <v>5.25</v>
      </c>
      <c r="BP908" s="6" t="n">
        <f aca="false">IF(R908="-","",IFERROR(VALUE(F908),""))</f>
        <v>99.95</v>
      </c>
      <c r="BQ908" s="4" t="n">
        <f aca="false">IF(R908="-",1,0)</f>
        <v>0</v>
      </c>
    </row>
    <row r="909" customFormat="false" ht="15" hidden="false" customHeight="false" outlineLevel="0" collapsed="false">
      <c r="A909" s="0" t="s">
        <v>3614</v>
      </c>
      <c r="B909" s="0" t="s">
        <v>3615</v>
      </c>
      <c r="C909" s="0" t="s">
        <v>70</v>
      </c>
      <c r="E909" s="3" t="n">
        <v>46277</v>
      </c>
      <c r="F909" s="4" t="s">
        <v>1449</v>
      </c>
      <c r="G909" s="5" t="n">
        <v>0.00186342592592593</v>
      </c>
      <c r="H909" s="5" t="n">
        <v>0</v>
      </c>
      <c r="I909" s="5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5" t="n">
        <v>0</v>
      </c>
      <c r="P909" s="5" t="n">
        <v>0</v>
      </c>
      <c r="Q909" s="4" t="s">
        <v>3632</v>
      </c>
      <c r="R909" s="4" t="s">
        <v>3633</v>
      </c>
      <c r="S909" s="5" t="n">
        <v>0</v>
      </c>
      <c r="T909" s="5" t="n">
        <v>0.00150462962962963</v>
      </c>
      <c r="U909" s="5" t="n">
        <v>0.000231481481481482</v>
      </c>
      <c r="V909" s="5" t="n">
        <v>0</v>
      </c>
      <c r="W909" s="5" t="n">
        <v>0</v>
      </c>
      <c r="X909" s="5" t="n">
        <v>0</v>
      </c>
      <c r="Y909" s="5" t="n">
        <v>0</v>
      </c>
      <c r="Z909" s="0" t="n">
        <v>0</v>
      </c>
      <c r="AA909" s="0" t="n">
        <v>0</v>
      </c>
      <c r="AB909" s="0" t="n">
        <v>0</v>
      </c>
      <c r="AC909" s="4" t="s">
        <v>159</v>
      </c>
      <c r="AD909" s="4" t="s">
        <v>159</v>
      </c>
      <c r="AE909" s="4" t="s">
        <v>3631</v>
      </c>
      <c r="AF909" s="4" t="s">
        <v>3634</v>
      </c>
      <c r="AG909" s="5" t="n">
        <v>0.000856481481481482</v>
      </c>
      <c r="AH909" s="5" t="n">
        <v>0.00196759259259259</v>
      </c>
      <c r="AI909" s="5" t="n">
        <v>0</v>
      </c>
      <c r="AJ909" s="5" t="n">
        <v>0</v>
      </c>
      <c r="AK909" s="5" t="n">
        <v>0</v>
      </c>
      <c r="AL909" s="5" t="n">
        <v>0</v>
      </c>
      <c r="AM909" s="4" t="s">
        <v>78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0" t="n">
        <v>0</v>
      </c>
      <c r="BE909" s="0" t="n">
        <v>0</v>
      </c>
      <c r="BF909" s="0" t="n">
        <v>0</v>
      </c>
      <c r="BG909" s="0" t="n">
        <v>0</v>
      </c>
      <c r="BH909" s="0" t="n">
        <v>0</v>
      </c>
      <c r="BI909" s="0" t="n">
        <v>0</v>
      </c>
      <c r="BJ909" s="0" t="n">
        <v>0</v>
      </c>
      <c r="BK909" s="0" t="n">
        <v>0</v>
      </c>
      <c r="BM909" s="6" t="n">
        <f aca="false">IFERROR(VALUE(F909),"")</f>
        <v>0.05</v>
      </c>
      <c r="BN909" s="6" t="n">
        <f aca="false">IF(R909="-","",IFERROR(VALUE(LEFT(Q909,LEN(Q909)-2)),""))</f>
        <v>0.09</v>
      </c>
      <c r="BO909" s="6" t="n">
        <f aca="false">IF(R909="-","",IFERROR(VALUE(LEFT(R909,LEN(R909)-5)),""))</f>
        <v>0.53</v>
      </c>
      <c r="BP909" s="6" t="n">
        <f aca="false">IF(R909="-","",IFERROR(VALUE(F909),""))</f>
        <v>0.05</v>
      </c>
      <c r="BQ909" s="4" t="n">
        <f aca="false">IF(R909="-",1,0)</f>
        <v>0</v>
      </c>
    </row>
    <row r="910" customFormat="false" ht="15" hidden="false" customHeight="false" outlineLevel="0" collapsed="false">
      <c r="A910" s="0" t="s">
        <v>3614</v>
      </c>
      <c r="B910" s="0" t="s">
        <v>3615</v>
      </c>
      <c r="C910" s="0" t="s">
        <v>70</v>
      </c>
      <c r="D910" s="0" t="s">
        <v>3616</v>
      </c>
      <c r="E910" s="3" t="n">
        <v>46279</v>
      </c>
      <c r="F910" s="4" t="s">
        <v>3635</v>
      </c>
      <c r="G910" s="5" t="n">
        <v>0.181759259259259</v>
      </c>
      <c r="H910" s="5" t="n">
        <v>0.15744212962963</v>
      </c>
      <c r="I910" s="5" t="n">
        <v>0.000393518518518519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5" t="n">
        <v>0</v>
      </c>
      <c r="P910" s="5" t="n">
        <v>0.00707175925925926</v>
      </c>
      <c r="Q910" s="4" t="s">
        <v>3636</v>
      </c>
      <c r="R910" s="4" t="s">
        <v>3637</v>
      </c>
      <c r="S910" s="5" t="n">
        <v>0</v>
      </c>
      <c r="T910" s="5" t="n">
        <v>0.0744212962962963</v>
      </c>
      <c r="U910" s="5" t="n">
        <v>0.0748842592592593</v>
      </c>
      <c r="V910" s="5" t="n">
        <v>0.0277777777777778</v>
      </c>
      <c r="W910" s="5" t="n">
        <v>0</v>
      </c>
      <c r="X910" s="5" t="n">
        <v>0</v>
      </c>
      <c r="Y910" s="5" t="n">
        <v>0</v>
      </c>
      <c r="Z910" s="0" t="n">
        <v>0</v>
      </c>
      <c r="AA910" s="0" t="n">
        <v>0</v>
      </c>
      <c r="AB910" s="0" t="n">
        <v>0</v>
      </c>
      <c r="AC910" s="4" t="s">
        <v>3638</v>
      </c>
      <c r="AD910" s="4" t="s">
        <v>159</v>
      </c>
      <c r="AE910" s="4" t="s">
        <v>3634</v>
      </c>
      <c r="AF910" s="4" t="s">
        <v>3639</v>
      </c>
      <c r="AG910" s="5" t="n">
        <v>0.145543981481482</v>
      </c>
      <c r="AH910" s="5" t="n">
        <v>0.109444444444444</v>
      </c>
      <c r="AI910" s="5" t="n">
        <v>0</v>
      </c>
      <c r="AJ910" s="5" t="n">
        <v>0</v>
      </c>
      <c r="AK910" s="5" t="n">
        <v>0</v>
      </c>
      <c r="AL910" s="5" t="n">
        <v>0</v>
      </c>
      <c r="AM910" s="4" t="s">
        <v>78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  <c r="AU910" s="0" t="n">
        <v>0</v>
      </c>
      <c r="AV910" s="0" t="n">
        <v>0</v>
      </c>
      <c r="AW910" s="0" t="n">
        <v>0</v>
      </c>
      <c r="AX910" s="0" t="n">
        <v>0</v>
      </c>
      <c r="AY910" s="0" t="n">
        <v>0</v>
      </c>
      <c r="AZ910" s="0" t="n">
        <v>0</v>
      </c>
      <c r="BA910" s="0" t="n">
        <v>0</v>
      </c>
      <c r="BB910" s="0" t="n">
        <v>0</v>
      </c>
      <c r="BC910" s="0" t="n">
        <v>2</v>
      </c>
      <c r="BD910" s="0" t="n">
        <v>4</v>
      </c>
      <c r="BE910" s="0" t="n">
        <v>0</v>
      </c>
      <c r="BF910" s="0" t="n">
        <v>0</v>
      </c>
      <c r="BG910" s="0" t="n">
        <v>0</v>
      </c>
      <c r="BH910" s="0" t="n">
        <v>0</v>
      </c>
      <c r="BI910" s="0" t="n">
        <v>0</v>
      </c>
      <c r="BJ910" s="0" t="n">
        <v>0</v>
      </c>
      <c r="BK910" s="0" t="n">
        <v>0</v>
      </c>
      <c r="BM910" s="6" t="n">
        <f aca="false">IFERROR(VALUE(F910),"")</f>
        <v>99.36</v>
      </c>
      <c r="BN910" s="6" t="n">
        <f aca="false">IF(R910="-","",IFERROR(VALUE(LEFT(Q910,LEN(Q910)-2)),""))</f>
        <v>20.14</v>
      </c>
      <c r="BO910" s="6" t="n">
        <f aca="false">IF(R910="-","",IFERROR(VALUE(LEFT(R910,LEN(R910)-5)),""))</f>
        <v>4.93</v>
      </c>
      <c r="BP910" s="6" t="n">
        <f aca="false">IF(R910="-","",IFERROR(VALUE(F910),""))</f>
        <v>99.36</v>
      </c>
      <c r="BQ910" s="4" t="n">
        <f aca="false">IF(R910="-",1,0)</f>
        <v>0</v>
      </c>
    </row>
    <row r="911" customFormat="false" ht="15" hidden="false" customHeight="false" outlineLevel="0" collapsed="false">
      <c r="A911" s="0" t="s">
        <v>3640</v>
      </c>
      <c r="B911" s="0" t="s">
        <v>3641</v>
      </c>
      <c r="C911" s="0" t="s">
        <v>70</v>
      </c>
      <c r="D911" s="0" t="s">
        <v>3642</v>
      </c>
      <c r="E911" s="3" t="n">
        <v>46273</v>
      </c>
      <c r="F911" s="4" t="s">
        <v>3643</v>
      </c>
      <c r="G911" s="5" t="n">
        <v>0.353125</v>
      </c>
      <c r="H911" s="5" t="n">
        <v>0.215983796296296</v>
      </c>
      <c r="I911" s="5" t="n">
        <v>0.00229166666666667</v>
      </c>
      <c r="J911" s="0" t="n">
        <v>0</v>
      </c>
      <c r="K911" s="0" t="n">
        <v>1</v>
      </c>
      <c r="L911" s="0" t="n">
        <v>0</v>
      </c>
      <c r="M911" s="0" t="n">
        <v>0</v>
      </c>
      <c r="N911" s="0" t="n">
        <v>10</v>
      </c>
      <c r="O911" s="5" t="n">
        <v>0</v>
      </c>
      <c r="P911" s="5" t="n">
        <v>0</v>
      </c>
      <c r="Q911" s="4" t="s">
        <v>3644</v>
      </c>
      <c r="R911" s="4" t="s">
        <v>3645</v>
      </c>
      <c r="S911" s="5" t="n">
        <v>0.000347222222222222</v>
      </c>
      <c r="T911" s="5" t="n">
        <v>0.138310185185185</v>
      </c>
      <c r="U911" s="5" t="n">
        <v>0.145949074074074</v>
      </c>
      <c r="V911" s="5" t="n">
        <v>0.0483796296296296</v>
      </c>
      <c r="W911" s="5" t="n">
        <v>0</v>
      </c>
      <c r="X911" s="5" t="n">
        <v>0</v>
      </c>
      <c r="Y911" s="5" t="n">
        <v>0</v>
      </c>
      <c r="Z911" s="0" t="n">
        <v>0</v>
      </c>
      <c r="AA911" s="0" t="n">
        <v>0</v>
      </c>
      <c r="AB911" s="0" t="n">
        <v>0</v>
      </c>
      <c r="AC911" s="4" t="s">
        <v>81</v>
      </c>
      <c r="AD911" s="4" t="s">
        <v>81</v>
      </c>
      <c r="AE911" s="4" t="s">
        <v>3646</v>
      </c>
      <c r="AF911" s="4" t="s">
        <v>3647</v>
      </c>
      <c r="AG911" s="5" t="n">
        <v>0.297569444444444</v>
      </c>
      <c r="AH911" s="5" t="n">
        <v>0.223171296296296</v>
      </c>
      <c r="AI911" s="5" t="n">
        <v>0</v>
      </c>
      <c r="AJ911" s="5" t="n">
        <v>0</v>
      </c>
      <c r="AK911" s="5" t="n">
        <v>0</v>
      </c>
      <c r="AL911" s="5" t="n">
        <v>0</v>
      </c>
      <c r="AM911" s="4" t="s">
        <v>78</v>
      </c>
      <c r="AN911" s="0" t="n">
        <v>0</v>
      </c>
      <c r="AO911" s="0" t="n">
        <v>5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  <c r="AU911" s="0" t="n">
        <v>11</v>
      </c>
      <c r="AV911" s="0" t="n">
        <v>0</v>
      </c>
      <c r="AW911" s="0" t="n">
        <v>0</v>
      </c>
      <c r="AX911" s="0" t="n">
        <v>0</v>
      </c>
      <c r="AY911" s="0" t="n">
        <v>0</v>
      </c>
      <c r="AZ911" s="0" t="n">
        <v>0</v>
      </c>
      <c r="BA911" s="0" t="n">
        <v>0</v>
      </c>
      <c r="BB911" s="0" t="n">
        <v>0</v>
      </c>
      <c r="BC911" s="0" t="n">
        <v>0</v>
      </c>
      <c r="BD911" s="0" t="n">
        <v>0</v>
      </c>
      <c r="BE911" s="0" t="n">
        <v>0</v>
      </c>
      <c r="BF911" s="0" t="n">
        <v>0</v>
      </c>
      <c r="BG911" s="0" t="n">
        <v>0</v>
      </c>
      <c r="BH911" s="0" t="n">
        <v>0</v>
      </c>
      <c r="BI911" s="0" t="n">
        <v>0</v>
      </c>
      <c r="BJ911" s="0" t="n">
        <v>0</v>
      </c>
      <c r="BK911" s="0" t="n">
        <v>0</v>
      </c>
      <c r="BM911" s="6" t="n">
        <f aca="false">IFERROR(VALUE(F911),"")</f>
        <v>163.24</v>
      </c>
      <c r="BN911" s="6" t="n">
        <f aca="false">IF(R911="-","",IFERROR(VALUE(LEFT(Q911,LEN(Q911)-2)),""))</f>
        <v>43.67</v>
      </c>
      <c r="BO911" s="6" t="n">
        <f aca="false">IF(R911="-","",IFERROR(VALUE(LEFT(R911,LEN(R911)-5)),""))</f>
        <v>3.74</v>
      </c>
      <c r="BP911" s="6" t="n">
        <f aca="false">IF(R911="-","",IFERROR(VALUE(F911),""))</f>
        <v>163.24</v>
      </c>
      <c r="BQ911" s="4" t="n">
        <f aca="false">IF(R911="-",1,0)</f>
        <v>0</v>
      </c>
    </row>
    <row r="912" customFormat="false" ht="15" hidden="false" customHeight="false" outlineLevel="0" collapsed="false">
      <c r="A912" s="0" t="s">
        <v>3640</v>
      </c>
      <c r="B912" s="0" t="s">
        <v>3641</v>
      </c>
      <c r="C912" s="0" t="s">
        <v>70</v>
      </c>
      <c r="D912" s="0" t="s">
        <v>3648</v>
      </c>
      <c r="E912" s="3" t="n">
        <v>46274</v>
      </c>
      <c r="F912" s="4" t="s">
        <v>3649</v>
      </c>
      <c r="G912" s="5" t="n">
        <v>0.497002314814815</v>
      </c>
      <c r="H912" s="5" t="n">
        <v>0.171990740740741</v>
      </c>
      <c r="I912" s="5" t="n">
        <v>0.00393518518518519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17</v>
      </c>
      <c r="O912" s="5" t="n">
        <v>0</v>
      </c>
      <c r="P912" s="5" t="n">
        <v>0</v>
      </c>
      <c r="Q912" s="4" t="s">
        <v>3650</v>
      </c>
      <c r="R912" s="4" t="s">
        <v>3651</v>
      </c>
      <c r="S912" s="5" t="n">
        <v>0.000347222222222222</v>
      </c>
      <c r="T912" s="5" t="n">
        <v>0.145613425925926</v>
      </c>
      <c r="U912" s="5" t="n">
        <v>0.164606481481482</v>
      </c>
      <c r="V912" s="5" t="n">
        <v>0.0536111111111111</v>
      </c>
      <c r="W912" s="5" t="n">
        <v>0.000219907407407407</v>
      </c>
      <c r="X912" s="5" t="n">
        <v>0</v>
      </c>
      <c r="Y912" s="5" t="n">
        <v>0.000115740740740741</v>
      </c>
      <c r="Z912" s="0" t="n">
        <v>0</v>
      </c>
      <c r="AA912" s="0" t="n">
        <v>0</v>
      </c>
      <c r="AB912" s="0" t="n">
        <v>0</v>
      </c>
      <c r="AC912" s="4" t="s">
        <v>75</v>
      </c>
      <c r="AD912" s="4" t="s">
        <v>81</v>
      </c>
      <c r="AE912" s="4" t="s">
        <v>3647</v>
      </c>
      <c r="AF912" s="4" t="s">
        <v>3652</v>
      </c>
      <c r="AG912" s="5" t="n">
        <v>0.325347222222222</v>
      </c>
      <c r="AH912" s="5" t="n">
        <v>0.344247685185185</v>
      </c>
      <c r="AI912" s="5" t="n">
        <v>0</v>
      </c>
      <c r="AJ912" s="5" t="n">
        <v>0</v>
      </c>
      <c r="AK912" s="5" t="n">
        <v>0</v>
      </c>
      <c r="AL912" s="5" t="n">
        <v>0</v>
      </c>
      <c r="AM912" s="4" t="s">
        <v>78</v>
      </c>
      <c r="AN912" s="0" t="n">
        <v>0</v>
      </c>
      <c r="AO912" s="0" t="n">
        <v>2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  <c r="AU912" s="0" t="n">
        <v>5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0" t="n">
        <v>0</v>
      </c>
      <c r="BE912" s="0" t="n">
        <v>0</v>
      </c>
      <c r="BF912" s="0" t="n">
        <v>0</v>
      </c>
      <c r="BG912" s="0" t="n">
        <v>0</v>
      </c>
      <c r="BH912" s="0" t="n">
        <v>0</v>
      </c>
      <c r="BI912" s="0" t="n">
        <v>0</v>
      </c>
      <c r="BJ912" s="0" t="n">
        <v>0</v>
      </c>
      <c r="BK912" s="0" t="n">
        <v>0</v>
      </c>
      <c r="BM912" s="6" t="n">
        <f aca="false">IFERROR(VALUE(F912),"")</f>
        <v>174.64</v>
      </c>
      <c r="BN912" s="6" t="n">
        <f aca="false">IF(R912="-","",IFERROR(VALUE(LEFT(Q912,LEN(Q912)-2)),""))</f>
        <v>49.3</v>
      </c>
      <c r="BO912" s="6" t="n">
        <f aca="false">IF(R912="-","",IFERROR(VALUE(LEFT(R912,LEN(R912)-5)),""))</f>
        <v>3.54</v>
      </c>
      <c r="BP912" s="6" t="n">
        <f aca="false">IF(R912="-","",IFERROR(VALUE(F912),""))</f>
        <v>174.64</v>
      </c>
      <c r="BQ912" s="4" t="n">
        <f aca="false">IF(R912="-",1,0)</f>
        <v>0</v>
      </c>
    </row>
    <row r="913" customFormat="false" ht="15" hidden="false" customHeight="false" outlineLevel="0" collapsed="false">
      <c r="A913" s="0" t="s">
        <v>3640</v>
      </c>
      <c r="B913" s="0" t="s">
        <v>3641</v>
      </c>
      <c r="C913" s="0" t="s">
        <v>70</v>
      </c>
      <c r="D913" s="0" t="s">
        <v>3653</v>
      </c>
      <c r="E913" s="3" t="n">
        <v>46275</v>
      </c>
      <c r="F913" s="4" t="s">
        <v>3654</v>
      </c>
      <c r="G913" s="5" t="n">
        <v>0.35962962962963</v>
      </c>
      <c r="H913" s="5" t="n">
        <v>0.128530092592593</v>
      </c>
      <c r="I913" s="5" t="n">
        <v>0.000347222222222222</v>
      </c>
      <c r="J913" s="0" t="n">
        <v>0</v>
      </c>
      <c r="K913" s="0" t="n">
        <v>1</v>
      </c>
      <c r="L913" s="0" t="n">
        <v>0</v>
      </c>
      <c r="M913" s="0" t="n">
        <v>0</v>
      </c>
      <c r="N913" s="0" t="n">
        <v>4</v>
      </c>
      <c r="O913" s="5" t="n">
        <v>0</v>
      </c>
      <c r="P913" s="5" t="n">
        <v>0</v>
      </c>
      <c r="Q913" s="4" t="s">
        <v>3655</v>
      </c>
      <c r="R913" s="4" t="s">
        <v>3656</v>
      </c>
      <c r="S913" s="5" t="n">
        <v>0.000347222222222222</v>
      </c>
      <c r="T913" s="5" t="n">
        <v>0.127893518518519</v>
      </c>
      <c r="U913" s="5" t="n">
        <v>0.135648148148148</v>
      </c>
      <c r="V913" s="5" t="n">
        <v>0.0646990740740741</v>
      </c>
      <c r="W913" s="5" t="n">
        <v>0.000115740740740741</v>
      </c>
      <c r="X913" s="5" t="n">
        <v>0</v>
      </c>
      <c r="Y913" s="5" t="n">
        <v>0</v>
      </c>
      <c r="Z913" s="0" t="n">
        <v>0</v>
      </c>
      <c r="AA913" s="0" t="n">
        <v>0</v>
      </c>
      <c r="AB913" s="0" t="n">
        <v>0</v>
      </c>
      <c r="AC913" s="4" t="s">
        <v>75</v>
      </c>
      <c r="AD913" s="4" t="s">
        <v>81</v>
      </c>
      <c r="AE913" s="4" t="s">
        <v>3652</v>
      </c>
      <c r="AF913" s="4" t="s">
        <v>3657</v>
      </c>
      <c r="AG913" s="5" t="n">
        <v>0.288530092592593</v>
      </c>
      <c r="AH913" s="5" t="n">
        <v>0.177361111111111</v>
      </c>
      <c r="AI913" s="5" t="n">
        <v>0</v>
      </c>
      <c r="AJ913" s="5" t="n">
        <v>0</v>
      </c>
      <c r="AK913" s="5" t="n">
        <v>0</v>
      </c>
      <c r="AL913" s="5" t="n">
        <v>0</v>
      </c>
      <c r="AM913" s="4" t="s">
        <v>78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  <c r="AU913" s="0" t="n">
        <v>4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0</v>
      </c>
      <c r="BA913" s="0" t="n">
        <v>0</v>
      </c>
      <c r="BB913" s="0" t="n">
        <v>0</v>
      </c>
      <c r="BC913" s="0" t="n">
        <v>0</v>
      </c>
      <c r="BD913" s="0" t="n">
        <v>0</v>
      </c>
      <c r="BE913" s="0" t="n">
        <v>0</v>
      </c>
      <c r="BF913" s="0" t="n">
        <v>0</v>
      </c>
      <c r="BG913" s="0" t="n">
        <v>0</v>
      </c>
      <c r="BH913" s="0" t="n">
        <v>0</v>
      </c>
      <c r="BI913" s="0" t="n">
        <v>0</v>
      </c>
      <c r="BJ913" s="0" t="n">
        <v>0</v>
      </c>
      <c r="BK913" s="0" t="n">
        <v>0</v>
      </c>
      <c r="BM913" s="6" t="n">
        <f aca="false">IFERROR(VALUE(F913),"")</f>
        <v>171.24</v>
      </c>
      <c r="BN913" s="6" t="n">
        <f aca="false">IF(R913="-","",IFERROR(VALUE(LEFT(Q913,LEN(Q913)-2)),""))</f>
        <v>47.83</v>
      </c>
      <c r="BO913" s="6" t="n">
        <f aca="false">IF(R913="-","",IFERROR(VALUE(LEFT(R913,LEN(R913)-5)),""))</f>
        <v>3.58</v>
      </c>
      <c r="BP913" s="6" t="n">
        <f aca="false">IF(R913="-","",IFERROR(VALUE(F913),""))</f>
        <v>171.24</v>
      </c>
      <c r="BQ913" s="4" t="n">
        <f aca="false">IF(R913="-",1,0)</f>
        <v>0</v>
      </c>
    </row>
    <row r="914" customFormat="false" ht="15" hidden="false" customHeight="false" outlineLevel="0" collapsed="false">
      <c r="A914" s="0" t="s">
        <v>3640</v>
      </c>
      <c r="B914" s="0" t="s">
        <v>3641</v>
      </c>
      <c r="C914" s="0" t="s">
        <v>70</v>
      </c>
      <c r="D914" s="0" t="s">
        <v>3658</v>
      </c>
      <c r="E914" s="3" t="n">
        <v>46276</v>
      </c>
      <c r="F914" s="4" t="s">
        <v>3659</v>
      </c>
      <c r="G914" s="5" t="n">
        <v>0.3803125</v>
      </c>
      <c r="H914" s="5" t="n">
        <v>0.118645833333333</v>
      </c>
      <c r="I914" s="5" t="n">
        <v>0.00138888888888889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15</v>
      </c>
      <c r="O914" s="5" t="n">
        <v>0</v>
      </c>
      <c r="P914" s="5" t="n">
        <v>0</v>
      </c>
      <c r="Q914" s="4" t="s">
        <v>3660</v>
      </c>
      <c r="R914" s="4" t="s">
        <v>3661</v>
      </c>
      <c r="S914" s="5" t="n">
        <v>0.000115740740740741</v>
      </c>
      <c r="T914" s="5" t="n">
        <v>0.127893518518519</v>
      </c>
      <c r="U914" s="5" t="n">
        <v>0.151157407407407</v>
      </c>
      <c r="V914" s="5" t="n">
        <v>0.0653935185185185</v>
      </c>
      <c r="W914" s="5" t="n">
        <v>0</v>
      </c>
      <c r="X914" s="5" t="n">
        <v>0</v>
      </c>
      <c r="Y914" s="5" t="n">
        <v>0</v>
      </c>
      <c r="Z914" s="0" t="n">
        <v>0</v>
      </c>
      <c r="AA914" s="0" t="n">
        <v>0</v>
      </c>
      <c r="AB914" s="0" t="n">
        <v>0</v>
      </c>
      <c r="AC914" s="4" t="s">
        <v>81</v>
      </c>
      <c r="AD914" s="4" t="s">
        <v>228</v>
      </c>
      <c r="AE914" s="4" t="s">
        <v>3657</v>
      </c>
      <c r="AF914" s="4" t="s">
        <v>3662</v>
      </c>
      <c r="AG914" s="5" t="n">
        <v>0.312268518518519</v>
      </c>
      <c r="AH914" s="5" t="n">
        <v>0.228599537037037</v>
      </c>
      <c r="AI914" s="5" t="n">
        <v>0</v>
      </c>
      <c r="AJ914" s="5" t="n">
        <v>0</v>
      </c>
      <c r="AK914" s="5" t="n">
        <v>0</v>
      </c>
      <c r="AL914" s="5" t="n">
        <v>0</v>
      </c>
      <c r="AM914" s="4" t="s">
        <v>78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  <c r="AU914" s="0" t="n">
        <v>7</v>
      </c>
      <c r="AV914" s="0" t="n">
        <v>0</v>
      </c>
      <c r="AW914" s="0" t="n">
        <v>0</v>
      </c>
      <c r="AX914" s="0" t="n">
        <v>0</v>
      </c>
      <c r="AY914" s="0" t="n">
        <v>0</v>
      </c>
      <c r="AZ914" s="0" t="n">
        <v>0</v>
      </c>
      <c r="BA914" s="0" t="n">
        <v>0</v>
      </c>
      <c r="BB914" s="0" t="n">
        <v>0</v>
      </c>
      <c r="BC914" s="0" t="n">
        <v>0</v>
      </c>
      <c r="BD914" s="0" t="n">
        <v>0</v>
      </c>
      <c r="BE914" s="0" t="n">
        <v>0</v>
      </c>
      <c r="BF914" s="0" t="n">
        <v>0</v>
      </c>
      <c r="BG914" s="0" t="n">
        <v>0</v>
      </c>
      <c r="BH914" s="0" t="n">
        <v>0</v>
      </c>
      <c r="BI914" s="0" t="n">
        <v>0</v>
      </c>
      <c r="BJ914" s="0" t="n">
        <v>0</v>
      </c>
      <c r="BK914" s="0" t="n">
        <v>0</v>
      </c>
      <c r="BM914" s="6" t="n">
        <f aca="false">IFERROR(VALUE(F914),"")</f>
        <v>183.14</v>
      </c>
      <c r="BN914" s="6" t="n">
        <f aca="false">IF(R914="-","",IFERROR(VALUE(LEFT(Q914,LEN(Q914)-2)),""))</f>
        <v>50.76</v>
      </c>
      <c r="BO914" s="6" t="n">
        <f aca="false">IF(R914="-","",IFERROR(VALUE(LEFT(R914,LEN(R914)-5)),""))</f>
        <v>3.61</v>
      </c>
      <c r="BP914" s="6" t="n">
        <f aca="false">IF(R914="-","",IFERROR(VALUE(F914),""))</f>
        <v>183.14</v>
      </c>
      <c r="BQ914" s="4" t="n">
        <f aca="false">IF(R914="-",1,0)</f>
        <v>0</v>
      </c>
    </row>
    <row r="915" customFormat="false" ht="15" hidden="false" customHeight="false" outlineLevel="0" collapsed="false">
      <c r="A915" s="0" t="s">
        <v>3640</v>
      </c>
      <c r="B915" s="0" t="s">
        <v>3641</v>
      </c>
      <c r="C915" s="0" t="s">
        <v>70</v>
      </c>
      <c r="D915" s="0" t="s">
        <v>3663</v>
      </c>
      <c r="E915" s="3" t="n">
        <v>46277</v>
      </c>
      <c r="F915" s="4" t="s">
        <v>3664</v>
      </c>
      <c r="G915" s="5" t="n">
        <v>0.231631944444444</v>
      </c>
      <c r="H915" s="5" t="n">
        <v>0.134872685185185</v>
      </c>
      <c r="I915" s="5" t="n">
        <v>0.00101851851851852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4</v>
      </c>
      <c r="O915" s="5" t="n">
        <v>0</v>
      </c>
      <c r="P915" s="5" t="n">
        <v>0.00710648148148148</v>
      </c>
      <c r="Q915" s="4" t="s">
        <v>3665</v>
      </c>
      <c r="R915" s="4" t="s">
        <v>3666</v>
      </c>
      <c r="S915" s="5" t="n">
        <v>0.000115740740740741</v>
      </c>
      <c r="T915" s="5" t="n">
        <v>0.08125</v>
      </c>
      <c r="U915" s="5" t="n">
        <v>0.104398148148148</v>
      </c>
      <c r="V915" s="5" t="n">
        <v>0.025</v>
      </c>
      <c r="W915" s="5" t="n">
        <v>0.000115740740740741</v>
      </c>
      <c r="X915" s="5" t="n">
        <v>0</v>
      </c>
      <c r="Y915" s="5" t="n">
        <v>0</v>
      </c>
      <c r="Z915" s="0" t="n">
        <v>0</v>
      </c>
      <c r="AA915" s="0" t="n">
        <v>0</v>
      </c>
      <c r="AB915" s="0" t="n">
        <v>0</v>
      </c>
      <c r="AC915" s="4" t="s">
        <v>81</v>
      </c>
      <c r="AD915" s="4" t="s">
        <v>3510</v>
      </c>
      <c r="AE915" s="4" t="s">
        <v>3662</v>
      </c>
      <c r="AF915" s="4" t="s">
        <v>3667</v>
      </c>
      <c r="AG915" s="5" t="n">
        <v>0.190196759259259</v>
      </c>
      <c r="AH915" s="5" t="n">
        <v>0.0793518518518519</v>
      </c>
      <c r="AI915" s="5" t="n">
        <v>0</v>
      </c>
      <c r="AJ915" s="5" t="n">
        <v>0</v>
      </c>
      <c r="AK915" s="5" t="n">
        <v>0</v>
      </c>
      <c r="AL915" s="5" t="n">
        <v>0</v>
      </c>
      <c r="AM915" s="4" t="s">
        <v>78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  <c r="AU915" s="0" t="n">
        <v>0</v>
      </c>
      <c r="AV915" s="0" t="n">
        <v>0</v>
      </c>
      <c r="AW915" s="0" t="n">
        <v>0</v>
      </c>
      <c r="AX915" s="0" t="n">
        <v>0</v>
      </c>
      <c r="AY915" s="0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0</v>
      </c>
      <c r="BH915" s="0" t="n">
        <v>0</v>
      </c>
      <c r="BI915" s="0" t="n">
        <v>0</v>
      </c>
      <c r="BJ915" s="0" t="n">
        <v>0</v>
      </c>
      <c r="BK915" s="0" t="n">
        <v>0</v>
      </c>
      <c r="BM915" s="6" t="n">
        <f aca="false">IFERROR(VALUE(F915),"")</f>
        <v>103.55</v>
      </c>
      <c r="BN915" s="6" t="n">
        <f aca="false">IF(R915="-","",IFERROR(VALUE(LEFT(Q915,LEN(Q915)-2)),""))</f>
        <v>28.1</v>
      </c>
      <c r="BO915" s="6" t="n">
        <f aca="false">IF(R915="-","",IFERROR(VALUE(LEFT(R915,LEN(R915)-5)),""))</f>
        <v>3.68</v>
      </c>
      <c r="BP915" s="6" t="n">
        <f aca="false">IF(R915="-","",IFERROR(VALUE(F915),""))</f>
        <v>103.55</v>
      </c>
      <c r="BQ915" s="4" t="n">
        <f aca="false">IF(R915="-",1,0)</f>
        <v>0</v>
      </c>
    </row>
    <row r="916" customFormat="false" ht="15" hidden="false" customHeight="false" outlineLevel="0" collapsed="false">
      <c r="A916" s="0" t="s">
        <v>3640</v>
      </c>
      <c r="B916" s="0" t="s">
        <v>3641</v>
      </c>
      <c r="C916" s="0" t="s">
        <v>70</v>
      </c>
      <c r="D916" s="0" t="s">
        <v>3668</v>
      </c>
      <c r="E916" s="3" t="n">
        <v>46278</v>
      </c>
      <c r="F916" s="4" t="s">
        <v>3669</v>
      </c>
      <c r="G916" s="5" t="n">
        <v>0.312280092592593</v>
      </c>
      <c r="H916" s="5" t="n">
        <v>0.144178240740741</v>
      </c>
      <c r="I916" s="5" t="n">
        <v>0.00164351851851852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16</v>
      </c>
      <c r="O916" s="5" t="n">
        <v>0</v>
      </c>
      <c r="P916" s="5" t="n">
        <v>0</v>
      </c>
      <c r="Q916" s="4" t="s">
        <v>3670</v>
      </c>
      <c r="R916" s="4" t="s">
        <v>953</v>
      </c>
      <c r="S916" s="5" t="n">
        <v>0.000347222222222222</v>
      </c>
      <c r="T916" s="5" t="n">
        <v>0.0953703703703704</v>
      </c>
      <c r="U916" s="5" t="n">
        <v>0.119560185185185</v>
      </c>
      <c r="V916" s="5" t="n">
        <v>0.043287037037037</v>
      </c>
      <c r="W916" s="5" t="n">
        <v>0</v>
      </c>
      <c r="X916" s="5" t="n">
        <v>0</v>
      </c>
      <c r="Y916" s="5" t="n">
        <v>0</v>
      </c>
      <c r="Z916" s="0" t="n">
        <v>0</v>
      </c>
      <c r="AA916" s="0" t="n">
        <v>0</v>
      </c>
      <c r="AB916" s="0" t="n">
        <v>0</v>
      </c>
      <c r="AC916" s="4" t="s">
        <v>81</v>
      </c>
      <c r="AD916" s="4" t="s">
        <v>81</v>
      </c>
      <c r="AE916" s="4" t="s">
        <v>3671</v>
      </c>
      <c r="AF916" s="4" t="s">
        <v>3672</v>
      </c>
      <c r="AG916" s="5" t="n">
        <v>0.227546296296296</v>
      </c>
      <c r="AH916" s="5" t="n">
        <v>0.155520833333333</v>
      </c>
      <c r="AI916" s="5" t="n">
        <v>0</v>
      </c>
      <c r="AJ916" s="5" t="n">
        <v>0</v>
      </c>
      <c r="AK916" s="5" t="n">
        <v>0</v>
      </c>
      <c r="AL916" s="5" t="n">
        <v>0</v>
      </c>
      <c r="AM916" s="4" t="s">
        <v>78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  <c r="AU916" s="0" t="n">
        <v>3</v>
      </c>
      <c r="AV916" s="0" t="n">
        <v>0</v>
      </c>
      <c r="AW916" s="0" t="n">
        <v>0</v>
      </c>
      <c r="AX916" s="0" t="n">
        <v>0</v>
      </c>
      <c r="AY916" s="0" t="n">
        <v>0</v>
      </c>
      <c r="AZ916" s="0" t="n">
        <v>0</v>
      </c>
      <c r="BA916" s="0" t="n">
        <v>0</v>
      </c>
      <c r="BB916" s="0" t="n">
        <v>0</v>
      </c>
      <c r="BC916" s="0" t="n">
        <v>0</v>
      </c>
      <c r="BD916" s="0" t="n">
        <v>0</v>
      </c>
      <c r="BE916" s="0" t="n">
        <v>0</v>
      </c>
      <c r="BF916" s="0" t="n">
        <v>0</v>
      </c>
      <c r="BG916" s="0" t="n">
        <v>0</v>
      </c>
      <c r="BH916" s="0" t="n">
        <v>0</v>
      </c>
      <c r="BI916" s="0" t="n">
        <v>0</v>
      </c>
      <c r="BJ916" s="0" t="n">
        <v>0</v>
      </c>
      <c r="BK916" s="0" t="n">
        <v>0</v>
      </c>
      <c r="BM916" s="6" t="n">
        <f aca="false">IFERROR(VALUE(F916),"")</f>
        <v>125.6</v>
      </c>
      <c r="BN916" s="6" t="n">
        <f aca="false">IF(R916="-","",IFERROR(VALUE(LEFT(Q916,LEN(Q916)-2)),""))</f>
        <v>36.97</v>
      </c>
      <c r="BO916" s="6" t="n">
        <f aca="false">IF(R916="-","",IFERROR(VALUE(LEFT(R916,LEN(R916)-5)),""))</f>
        <v>3.4</v>
      </c>
      <c r="BP916" s="6" t="n">
        <f aca="false">IF(R916="-","",IFERROR(VALUE(F916),""))</f>
        <v>125.6</v>
      </c>
      <c r="BQ916" s="4" t="n">
        <f aca="false">IF(R916="-",1,0)</f>
        <v>0</v>
      </c>
    </row>
    <row r="917" customFormat="false" ht="15" hidden="false" customHeight="false" outlineLevel="0" collapsed="false">
      <c r="A917" s="0" t="s">
        <v>3640</v>
      </c>
      <c r="B917" s="0" t="s">
        <v>3641</v>
      </c>
      <c r="C917" s="0" t="s">
        <v>70</v>
      </c>
      <c r="D917" s="0" t="s">
        <v>3673</v>
      </c>
      <c r="E917" s="3" t="n">
        <v>46279</v>
      </c>
      <c r="F917" s="4" t="s">
        <v>3674</v>
      </c>
      <c r="G917" s="5" t="n">
        <v>0.407060185185185</v>
      </c>
      <c r="H917" s="5" t="n">
        <v>0.306875</v>
      </c>
      <c r="I917" s="5" t="n">
        <v>0.00270833333333333</v>
      </c>
      <c r="J917" s="0" t="n">
        <v>0</v>
      </c>
      <c r="K917" s="0" t="n">
        <v>2</v>
      </c>
      <c r="L917" s="0" t="n">
        <v>0</v>
      </c>
      <c r="M917" s="0" t="n">
        <v>0</v>
      </c>
      <c r="N917" s="0" t="n">
        <v>15</v>
      </c>
      <c r="O917" s="5" t="n">
        <v>0</v>
      </c>
      <c r="P917" s="5" t="n">
        <v>0</v>
      </c>
      <c r="Q917" s="4" t="s">
        <v>3675</v>
      </c>
      <c r="R917" s="4" t="s">
        <v>3676</v>
      </c>
      <c r="S917" s="5" t="n">
        <v>0.000347222222222222</v>
      </c>
      <c r="T917" s="5" t="n">
        <v>0.159606481481482</v>
      </c>
      <c r="U917" s="5" t="n">
        <v>0.187268518518519</v>
      </c>
      <c r="V917" s="5" t="n">
        <v>0.0520833333333333</v>
      </c>
      <c r="W917" s="5" t="n">
        <v>0</v>
      </c>
      <c r="X917" s="5" t="n">
        <v>0</v>
      </c>
      <c r="Y917" s="5" t="n">
        <v>0</v>
      </c>
      <c r="Z917" s="0" t="n">
        <v>0</v>
      </c>
      <c r="AA917" s="0" t="n">
        <v>0</v>
      </c>
      <c r="AB917" s="0" t="n">
        <v>0</v>
      </c>
      <c r="AC917" s="4" t="s">
        <v>994</v>
      </c>
      <c r="AD917" s="4" t="s">
        <v>228</v>
      </c>
      <c r="AE917" s="4" t="s">
        <v>3672</v>
      </c>
      <c r="AF917" s="4" t="s">
        <v>3677</v>
      </c>
      <c r="AG917" s="5" t="n">
        <v>0.355694444444444</v>
      </c>
      <c r="AH917" s="5" t="n">
        <v>0.216145833333333</v>
      </c>
      <c r="AI917" s="5" t="n">
        <v>0</v>
      </c>
      <c r="AJ917" s="5" t="n">
        <v>0</v>
      </c>
      <c r="AK917" s="5" t="n">
        <v>0</v>
      </c>
      <c r="AL917" s="5" t="n">
        <v>0</v>
      </c>
      <c r="AM917" s="4" t="s">
        <v>78</v>
      </c>
      <c r="AN917" s="0" t="n">
        <v>0</v>
      </c>
      <c r="AO917" s="0" t="n">
        <v>5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  <c r="AU917" s="0" t="n">
        <v>8</v>
      </c>
      <c r="AV917" s="0" t="n">
        <v>0</v>
      </c>
      <c r="AW917" s="0" t="n">
        <v>0</v>
      </c>
      <c r="AX917" s="0" t="n">
        <v>0</v>
      </c>
      <c r="AY917" s="0" t="n">
        <v>0</v>
      </c>
      <c r="AZ917" s="0" t="n">
        <v>0</v>
      </c>
      <c r="BA917" s="0" t="n">
        <v>0</v>
      </c>
      <c r="BB917" s="0" t="n">
        <v>0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  <c r="BH917" s="0" t="n">
        <v>0</v>
      </c>
      <c r="BI917" s="0" t="n">
        <v>0</v>
      </c>
      <c r="BJ917" s="0" t="n">
        <v>0</v>
      </c>
      <c r="BK917" s="0" t="n">
        <v>0</v>
      </c>
      <c r="BM917" s="6" t="n">
        <f aca="false">IFERROR(VALUE(F917),"")</f>
        <v>196.37</v>
      </c>
      <c r="BN917" s="6" t="n">
        <f aca="false">IF(R917="-","",IFERROR(VALUE(LEFT(Q917,LEN(Q917)-2)),""))</f>
        <v>54.28</v>
      </c>
      <c r="BO917" s="6" t="n">
        <f aca="false">IF(R917="-","",IFERROR(VALUE(LEFT(R917,LEN(R917)-5)),""))</f>
        <v>3.62</v>
      </c>
      <c r="BP917" s="6" t="n">
        <f aca="false">IF(R917="-","",IFERROR(VALUE(F917),""))</f>
        <v>196.37</v>
      </c>
      <c r="BQ917" s="4" t="n">
        <f aca="false">IF(R917="-",1,0)</f>
        <v>0</v>
      </c>
    </row>
    <row r="918" customFormat="false" ht="15" hidden="false" customHeight="false" outlineLevel="0" collapsed="false">
      <c r="A918" s="0" t="s">
        <v>3678</v>
      </c>
      <c r="B918" s="0" t="s">
        <v>3679</v>
      </c>
      <c r="C918" s="0" t="s">
        <v>70</v>
      </c>
      <c r="E918" s="3" t="n">
        <v>46273</v>
      </c>
      <c r="F918" s="4" t="s">
        <v>1440</v>
      </c>
      <c r="G918" s="5" t="n">
        <v>0.241967592592593</v>
      </c>
      <c r="H918" s="5" t="n">
        <v>0</v>
      </c>
      <c r="I918" s="5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5" t="n">
        <v>0</v>
      </c>
      <c r="P918" s="5" t="n">
        <v>0.0302777777777778</v>
      </c>
      <c r="Q918" s="4" t="s">
        <v>3501</v>
      </c>
      <c r="R918" s="4" t="s">
        <v>2727</v>
      </c>
      <c r="S918" s="5" t="n">
        <v>0.000578703703703704</v>
      </c>
      <c r="T918" s="5" t="n">
        <v>0.0547453703703704</v>
      </c>
      <c r="U918" s="5" t="n">
        <v>0</v>
      </c>
      <c r="V918" s="5" t="n">
        <v>0</v>
      </c>
      <c r="W918" s="5" t="n">
        <v>0</v>
      </c>
      <c r="X918" s="5" t="n">
        <v>0</v>
      </c>
      <c r="Y918" s="5" t="n">
        <v>0</v>
      </c>
      <c r="Z918" s="0" t="n">
        <v>0</v>
      </c>
      <c r="AA918" s="0" t="n">
        <v>0</v>
      </c>
      <c r="AB918" s="0" t="n">
        <v>0</v>
      </c>
      <c r="AC918" s="4" t="s">
        <v>74</v>
      </c>
      <c r="AD918" s="4" t="s">
        <v>74</v>
      </c>
      <c r="AE918" s="4" t="s">
        <v>3680</v>
      </c>
      <c r="AF918" s="4" t="s">
        <v>3681</v>
      </c>
      <c r="AG918" s="5" t="n">
        <v>0.003125</v>
      </c>
      <c r="AH918" s="5" t="n">
        <v>0.245231481481482</v>
      </c>
      <c r="AI918" s="5" t="n">
        <v>0</v>
      </c>
      <c r="AJ918" s="5" t="n">
        <v>0</v>
      </c>
      <c r="AK918" s="5" t="n">
        <v>0</v>
      </c>
      <c r="AL918" s="5" t="n">
        <v>0</v>
      </c>
      <c r="AM918" s="4" t="s">
        <v>78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  <c r="AU918" s="0" t="n">
        <v>0</v>
      </c>
      <c r="AV918" s="0" t="n">
        <v>0</v>
      </c>
      <c r="AW918" s="0" t="n">
        <v>0</v>
      </c>
      <c r="AX918" s="0" t="n">
        <v>0</v>
      </c>
      <c r="AY918" s="0" t="n">
        <v>0</v>
      </c>
      <c r="AZ918" s="0" t="n">
        <v>0</v>
      </c>
      <c r="BA918" s="0" t="n">
        <v>0</v>
      </c>
      <c r="BB918" s="0" t="n">
        <v>0</v>
      </c>
      <c r="BC918" s="0" t="n">
        <v>0</v>
      </c>
      <c r="BD918" s="0" t="n">
        <v>0</v>
      </c>
      <c r="BE918" s="0" t="n">
        <v>0</v>
      </c>
      <c r="BF918" s="0" t="n">
        <v>0</v>
      </c>
      <c r="BG918" s="0" t="n">
        <v>0</v>
      </c>
      <c r="BH918" s="0" t="n">
        <v>0</v>
      </c>
      <c r="BI918" s="0" t="n">
        <v>0</v>
      </c>
      <c r="BJ918" s="0" t="n">
        <v>0</v>
      </c>
      <c r="BK918" s="0" t="n">
        <v>0</v>
      </c>
      <c r="BM918" s="6" t="n">
        <f aca="false">IFERROR(VALUE(F918),"")</f>
        <v>0.22</v>
      </c>
      <c r="BN918" s="6" t="n">
        <f aca="false">IF(R918="-","",IFERROR(VALUE(LEFT(Q918,LEN(Q918)-2)),""))</f>
        <v>4.5</v>
      </c>
      <c r="BO918" s="6" t="n">
        <f aca="false">IF(R918="-","",IFERROR(VALUE(LEFT(R918,LEN(R918)-5)),""))</f>
        <v>0.05</v>
      </c>
      <c r="BP918" s="6" t="n">
        <f aca="false">IF(R918="-","",IFERROR(VALUE(F918),""))</f>
        <v>0.22</v>
      </c>
      <c r="BQ918" s="4" t="n">
        <f aca="false">IF(R918="-",1,0)</f>
        <v>0</v>
      </c>
    </row>
    <row r="919" customFormat="false" ht="15" hidden="false" customHeight="false" outlineLevel="0" collapsed="false">
      <c r="A919" s="0" t="s">
        <v>3678</v>
      </c>
      <c r="B919" s="0" t="s">
        <v>3679</v>
      </c>
      <c r="C919" s="0" t="s">
        <v>70</v>
      </c>
      <c r="E919" s="3" t="n">
        <v>46275</v>
      </c>
      <c r="F919" s="4" t="s">
        <v>95</v>
      </c>
      <c r="G919" s="5" t="n">
        <v>0.399340277777778</v>
      </c>
      <c r="H919" s="5" t="n">
        <v>0</v>
      </c>
      <c r="I919" s="5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5" t="n">
        <v>0</v>
      </c>
      <c r="P919" s="5" t="n">
        <v>0</v>
      </c>
      <c r="Q919" s="4" t="s">
        <v>2101</v>
      </c>
      <c r="R919" s="4" t="s">
        <v>454</v>
      </c>
      <c r="S919" s="5" t="n">
        <v>0</v>
      </c>
      <c r="T919" s="5" t="n">
        <v>0.00381944444444444</v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0</v>
      </c>
      <c r="Z919" s="0" t="n">
        <v>0</v>
      </c>
      <c r="AA919" s="0" t="n">
        <v>0</v>
      </c>
      <c r="AB919" s="0" t="n">
        <v>0</v>
      </c>
      <c r="AC919" s="4" t="s">
        <v>74</v>
      </c>
      <c r="AD919" s="4" t="s">
        <v>74</v>
      </c>
      <c r="AE919" s="4" t="s">
        <v>3681</v>
      </c>
      <c r="AF919" s="4" t="s">
        <v>3681</v>
      </c>
      <c r="AG919" s="5" t="n">
        <v>0</v>
      </c>
      <c r="AH919" s="5" t="n">
        <v>0.0398611111111111</v>
      </c>
      <c r="AI919" s="5" t="n">
        <v>0</v>
      </c>
      <c r="AJ919" s="5" t="n">
        <v>0</v>
      </c>
      <c r="AK919" s="5" t="n">
        <v>0</v>
      </c>
      <c r="AL919" s="5" t="n">
        <v>0</v>
      </c>
      <c r="AM919" s="4" t="s">
        <v>78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  <c r="AU919" s="0" t="n">
        <v>0</v>
      </c>
      <c r="AV919" s="0" t="n">
        <v>0</v>
      </c>
      <c r="AW919" s="0" t="n">
        <v>0</v>
      </c>
      <c r="AX919" s="0" t="n">
        <v>0</v>
      </c>
      <c r="AY919" s="0" t="n">
        <v>0</v>
      </c>
      <c r="AZ919" s="0" t="n">
        <v>0</v>
      </c>
      <c r="BA919" s="0" t="n">
        <v>0</v>
      </c>
      <c r="BB919" s="0" t="n">
        <v>0</v>
      </c>
      <c r="BC919" s="0" t="n">
        <v>0</v>
      </c>
      <c r="BD919" s="0" t="n">
        <v>0</v>
      </c>
      <c r="BE919" s="0" t="n">
        <v>0</v>
      </c>
      <c r="BF919" s="0" t="n">
        <v>0</v>
      </c>
      <c r="BG919" s="0" t="n">
        <v>0</v>
      </c>
      <c r="BH919" s="0" t="n">
        <v>0</v>
      </c>
      <c r="BI919" s="0" t="n">
        <v>0</v>
      </c>
      <c r="BJ919" s="0" t="n">
        <v>0</v>
      </c>
      <c r="BK919" s="0" t="n">
        <v>0</v>
      </c>
      <c r="BM919" s="6" t="n">
        <f aca="false">IFERROR(VALUE(F919),"")</f>
        <v>0</v>
      </c>
      <c r="BN919" s="6" t="n">
        <f aca="false">IF(R919="-","",IFERROR(VALUE(LEFT(Q919,LEN(Q919)-2)),""))</f>
        <v>0.51</v>
      </c>
      <c r="BO919" s="6" t="n">
        <f aca="false">IF(R919="-","",IFERROR(VALUE(LEFT(R919,LEN(R919)-5)),""))</f>
        <v>0</v>
      </c>
      <c r="BP919" s="6" t="n">
        <f aca="false">IF(R919="-","",IFERROR(VALUE(F919),""))</f>
        <v>0</v>
      </c>
      <c r="BQ919" s="4" t="n">
        <f aca="false">IF(R919="-",1,0)</f>
        <v>0</v>
      </c>
    </row>
    <row r="920" customFormat="false" ht="15" hidden="false" customHeight="false" outlineLevel="0" collapsed="false">
      <c r="A920" s="0" t="s">
        <v>3678</v>
      </c>
      <c r="B920" s="0" t="s">
        <v>3679</v>
      </c>
      <c r="C920" s="0" t="s">
        <v>70</v>
      </c>
      <c r="D920" s="0" t="s">
        <v>3682</v>
      </c>
      <c r="E920" s="3" t="n">
        <v>46276</v>
      </c>
      <c r="F920" s="4" t="s">
        <v>3683</v>
      </c>
      <c r="G920" s="5" t="n">
        <v>0.16494212962963</v>
      </c>
      <c r="H920" s="5" t="n">
        <v>0.0798726851851852</v>
      </c>
      <c r="I920" s="5" t="n">
        <v>3.47222222222222E-005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5" t="n">
        <v>0</v>
      </c>
      <c r="P920" s="5" t="n">
        <v>0.0208101851851852</v>
      </c>
      <c r="Q920" s="4" t="s">
        <v>3149</v>
      </c>
      <c r="R920" s="4" t="s">
        <v>1148</v>
      </c>
      <c r="S920" s="5" t="n">
        <v>0.000115740740740741</v>
      </c>
      <c r="T920" s="5" t="n">
        <v>0.0827546296296296</v>
      </c>
      <c r="U920" s="5" t="n">
        <v>0.0376157407407407</v>
      </c>
      <c r="V920" s="5" t="n">
        <v>0.0037037037037037</v>
      </c>
      <c r="W920" s="5" t="n">
        <v>0</v>
      </c>
      <c r="X920" s="5" t="n">
        <v>0</v>
      </c>
      <c r="Y920" s="5" t="n">
        <v>0</v>
      </c>
      <c r="Z920" s="0" t="n">
        <v>0</v>
      </c>
      <c r="AA920" s="0" t="n">
        <v>0</v>
      </c>
      <c r="AB920" s="0" t="n">
        <v>0</v>
      </c>
      <c r="AC920" s="4" t="s">
        <v>74</v>
      </c>
      <c r="AD920" s="4" t="s">
        <v>228</v>
      </c>
      <c r="AE920" s="4" t="s">
        <v>3681</v>
      </c>
      <c r="AF920" s="4" t="s">
        <v>3684</v>
      </c>
      <c r="AG920" s="5" t="n">
        <v>0.0840162037037037</v>
      </c>
      <c r="AH920" s="5" t="n">
        <v>0.111759259259259</v>
      </c>
      <c r="AI920" s="5" t="n">
        <v>0</v>
      </c>
      <c r="AJ920" s="5" t="n">
        <v>0</v>
      </c>
      <c r="AK920" s="5" t="n">
        <v>0</v>
      </c>
      <c r="AL920" s="5" t="n">
        <v>0</v>
      </c>
      <c r="AM920" s="4" t="s">
        <v>78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  <c r="AU920" s="0" t="n">
        <v>1</v>
      </c>
      <c r="AV920" s="0" t="n">
        <v>0</v>
      </c>
      <c r="AW920" s="0" t="n">
        <v>0</v>
      </c>
      <c r="AX920" s="0" t="n">
        <v>0</v>
      </c>
      <c r="AY920" s="0" t="n">
        <v>0</v>
      </c>
      <c r="AZ920" s="0" t="n">
        <v>0</v>
      </c>
      <c r="BA920" s="0" t="n">
        <v>0</v>
      </c>
      <c r="BB920" s="0" t="n">
        <v>0</v>
      </c>
      <c r="BC920" s="0" t="n">
        <v>0</v>
      </c>
      <c r="BD920" s="0" t="n">
        <v>0</v>
      </c>
      <c r="BE920" s="0" t="n">
        <v>0</v>
      </c>
      <c r="BF920" s="0" t="n">
        <v>0</v>
      </c>
      <c r="BG920" s="0" t="n">
        <v>0</v>
      </c>
      <c r="BH920" s="0" t="n">
        <v>0</v>
      </c>
      <c r="BI920" s="0" t="n">
        <v>0</v>
      </c>
      <c r="BJ920" s="0" t="n">
        <v>0</v>
      </c>
      <c r="BK920" s="0" t="n">
        <v>0</v>
      </c>
      <c r="BM920" s="6" t="n">
        <f aca="false">IFERROR(VALUE(F920),"")</f>
        <v>55.89</v>
      </c>
      <c r="BN920" s="6" t="n">
        <f aca="false">IF(R920="-","",IFERROR(VALUE(LEFT(Q920,LEN(Q920)-2)),""))</f>
        <v>24.5</v>
      </c>
      <c r="BO920" s="6" t="n">
        <f aca="false">IF(R920="-","",IFERROR(VALUE(LEFT(R920,LEN(R920)-5)),""))</f>
        <v>2.28</v>
      </c>
      <c r="BP920" s="6" t="n">
        <f aca="false">IF(R920="-","",IFERROR(VALUE(F920),""))</f>
        <v>55.89</v>
      </c>
      <c r="BQ920" s="4" t="n">
        <f aca="false">IF(R920="-",1,0)</f>
        <v>0</v>
      </c>
    </row>
    <row r="921" customFormat="false" ht="15" hidden="false" customHeight="false" outlineLevel="0" collapsed="false">
      <c r="A921" s="0" t="s">
        <v>3678</v>
      </c>
      <c r="B921" s="0" t="s">
        <v>3679</v>
      </c>
      <c r="C921" s="0" t="s">
        <v>70</v>
      </c>
      <c r="D921" s="0" t="s">
        <v>3685</v>
      </c>
      <c r="E921" s="3" t="n">
        <v>46277</v>
      </c>
      <c r="F921" s="4" t="s">
        <v>3686</v>
      </c>
      <c r="G921" s="5" t="n">
        <v>0.546331018518519</v>
      </c>
      <c r="H921" s="5" t="n">
        <v>0.517766203703704</v>
      </c>
      <c r="I921" s="5" t="n">
        <v>0.00136574074074074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5" t="n">
        <v>0</v>
      </c>
      <c r="P921" s="5" t="n">
        <v>0</v>
      </c>
      <c r="Q921" s="4" t="s">
        <v>3687</v>
      </c>
      <c r="R921" s="4" t="s">
        <v>3688</v>
      </c>
      <c r="S921" s="5" t="n">
        <v>0.000462962962962963</v>
      </c>
      <c r="T921" s="5" t="n">
        <v>0.172222222222222</v>
      </c>
      <c r="U921" s="5" t="n">
        <v>0.296875</v>
      </c>
      <c r="V921" s="5" t="n">
        <v>0.0297453703703704</v>
      </c>
      <c r="W921" s="5" t="n">
        <v>0</v>
      </c>
      <c r="X921" s="5" t="n">
        <v>0</v>
      </c>
      <c r="Y921" s="5" t="n">
        <v>0</v>
      </c>
      <c r="Z921" s="0" t="n">
        <v>0</v>
      </c>
      <c r="AA921" s="0" t="n">
        <v>0</v>
      </c>
      <c r="AB921" s="0" t="n">
        <v>0</v>
      </c>
      <c r="AC921" s="4" t="s">
        <v>228</v>
      </c>
      <c r="AD921" s="4" t="s">
        <v>432</v>
      </c>
      <c r="AE921" s="4" t="s">
        <v>3684</v>
      </c>
      <c r="AF921" s="4" t="s">
        <v>3689</v>
      </c>
      <c r="AG921" s="5" t="n">
        <v>0.445115740740741</v>
      </c>
      <c r="AH921" s="5" t="n">
        <v>0.58525462962963</v>
      </c>
      <c r="AI921" s="5" t="n">
        <v>0</v>
      </c>
      <c r="AJ921" s="5" t="n">
        <v>0</v>
      </c>
      <c r="AK921" s="5" t="n">
        <v>0</v>
      </c>
      <c r="AL921" s="5" t="n">
        <v>0</v>
      </c>
      <c r="AM921" s="4" t="s">
        <v>78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  <c r="AU921" s="0" t="n">
        <v>0</v>
      </c>
      <c r="AV921" s="0" t="n">
        <v>0</v>
      </c>
      <c r="AW921" s="0" t="n">
        <v>0</v>
      </c>
      <c r="AX921" s="0" t="n">
        <v>0</v>
      </c>
      <c r="AY921" s="0" t="n">
        <v>0</v>
      </c>
      <c r="AZ921" s="0" t="n">
        <v>0</v>
      </c>
      <c r="BA921" s="0" t="n">
        <v>0</v>
      </c>
      <c r="BB921" s="0" t="n">
        <v>0</v>
      </c>
      <c r="BC921" s="0" t="n">
        <v>0</v>
      </c>
      <c r="BD921" s="0" t="n">
        <v>0</v>
      </c>
      <c r="BE921" s="0" t="n">
        <v>0</v>
      </c>
      <c r="BF921" s="0" t="n">
        <v>0</v>
      </c>
      <c r="BG921" s="0" t="n">
        <v>0</v>
      </c>
      <c r="BH921" s="0" t="n">
        <v>0</v>
      </c>
      <c r="BI921" s="0" t="n">
        <v>0</v>
      </c>
      <c r="BJ921" s="0" t="n">
        <v>0</v>
      </c>
      <c r="BK921" s="0" t="n">
        <v>0</v>
      </c>
      <c r="BM921" s="6" t="n">
        <f aca="false">IFERROR(VALUE(F921),"")</f>
        <v>506.43</v>
      </c>
      <c r="BN921" s="6" t="n">
        <f aca="false">IF(R921="-","",IFERROR(VALUE(LEFT(Q921,LEN(Q921)-2)),""))</f>
        <v>121.01</v>
      </c>
      <c r="BO921" s="6" t="n">
        <f aca="false">IF(R921="-","",IFERROR(VALUE(LEFT(R921,LEN(R921)-5)),""))</f>
        <v>4.19</v>
      </c>
      <c r="BP921" s="6" t="n">
        <f aca="false">IF(R921="-","",IFERROR(VALUE(F921),""))</f>
        <v>506.43</v>
      </c>
      <c r="BQ921" s="4" t="n">
        <f aca="false">IF(R921="-",1,0)</f>
        <v>0</v>
      </c>
    </row>
    <row r="922" customFormat="false" ht="15" hidden="false" customHeight="false" outlineLevel="0" collapsed="false">
      <c r="A922" s="0" t="s">
        <v>3678</v>
      </c>
      <c r="B922" s="0" t="s">
        <v>3679</v>
      </c>
      <c r="C922" s="0" t="s">
        <v>70</v>
      </c>
      <c r="D922" s="0" t="s">
        <v>3690</v>
      </c>
      <c r="E922" s="3" t="n">
        <v>46278</v>
      </c>
      <c r="F922" s="4" t="s">
        <v>3691</v>
      </c>
      <c r="G922" s="5" t="n">
        <v>0.410925925925926</v>
      </c>
      <c r="H922" s="5" t="n">
        <v>0.402384259259259</v>
      </c>
      <c r="I922" s="5" t="n">
        <v>0.000636574074074074</v>
      </c>
      <c r="J922" s="0" t="n">
        <v>0</v>
      </c>
      <c r="K922" s="0" t="n">
        <v>1</v>
      </c>
      <c r="L922" s="0" t="n">
        <v>0</v>
      </c>
      <c r="M922" s="0" t="n">
        <v>0</v>
      </c>
      <c r="N922" s="0" t="n">
        <v>1</v>
      </c>
      <c r="O922" s="5" t="n">
        <v>0</v>
      </c>
      <c r="P922" s="5" t="n">
        <v>0</v>
      </c>
      <c r="Q922" s="4" t="s">
        <v>3692</v>
      </c>
      <c r="R922" s="4" t="s">
        <v>369</v>
      </c>
      <c r="S922" s="5" t="n">
        <v>0.00104166666666667</v>
      </c>
      <c r="T922" s="5" t="n">
        <v>0.111689814814815</v>
      </c>
      <c r="U922" s="5" t="n">
        <v>0.234953703703704</v>
      </c>
      <c r="V922" s="5" t="n">
        <v>0.0130787037037037</v>
      </c>
      <c r="W922" s="5" t="n">
        <v>0</v>
      </c>
      <c r="X922" s="5" t="n">
        <v>0</v>
      </c>
      <c r="Y922" s="5" t="n">
        <v>0</v>
      </c>
      <c r="Z922" s="0" t="n">
        <v>0</v>
      </c>
      <c r="AA922" s="0" t="n">
        <v>0</v>
      </c>
      <c r="AB922" s="0" t="n">
        <v>0</v>
      </c>
      <c r="AC922" s="4" t="s">
        <v>432</v>
      </c>
      <c r="AD922" s="4" t="s">
        <v>421</v>
      </c>
      <c r="AE922" s="4" t="s">
        <v>3689</v>
      </c>
      <c r="AF922" s="4" t="s">
        <v>3693</v>
      </c>
      <c r="AG922" s="5" t="n">
        <v>0.315659722222222</v>
      </c>
      <c r="AH922" s="5" t="n">
        <v>0.142905092592593</v>
      </c>
      <c r="AI922" s="5" t="n">
        <v>0</v>
      </c>
      <c r="AJ922" s="5" t="n">
        <v>0</v>
      </c>
      <c r="AK922" s="5" t="n">
        <v>0</v>
      </c>
      <c r="AL922" s="5" t="n">
        <v>0</v>
      </c>
      <c r="AM922" s="4" t="s">
        <v>78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  <c r="AU922" s="0" t="n">
        <v>1</v>
      </c>
      <c r="AV922" s="0" t="n">
        <v>0</v>
      </c>
      <c r="AW922" s="0" t="n">
        <v>0</v>
      </c>
      <c r="AX922" s="0" t="n">
        <v>0</v>
      </c>
      <c r="AY922" s="0" t="n">
        <v>0</v>
      </c>
      <c r="AZ922" s="0" t="n">
        <v>0</v>
      </c>
      <c r="BA922" s="0" t="n">
        <v>0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0</v>
      </c>
      <c r="BH922" s="0" t="n">
        <v>0</v>
      </c>
      <c r="BI922" s="0" t="n">
        <v>0</v>
      </c>
      <c r="BJ922" s="0" t="n">
        <v>0</v>
      </c>
      <c r="BK922" s="0" t="n">
        <v>0</v>
      </c>
      <c r="BM922" s="6" t="n">
        <f aca="false">IFERROR(VALUE(F922),"")</f>
        <v>406.73</v>
      </c>
      <c r="BN922" s="6" t="n">
        <f aca="false">IF(R922="-","",IFERROR(VALUE(LEFT(Q922,LEN(Q922)-2)),""))</f>
        <v>131.5</v>
      </c>
      <c r="BO922" s="6" t="n">
        <f aca="false">IF(R922="-","",IFERROR(VALUE(LEFT(R922,LEN(R922)-5)),""))</f>
        <v>3.09</v>
      </c>
      <c r="BP922" s="6" t="n">
        <f aca="false">IF(R922="-","",IFERROR(VALUE(F922),""))</f>
        <v>406.73</v>
      </c>
      <c r="BQ922" s="4" t="n">
        <f aca="false">IF(R922="-",1,0)</f>
        <v>0</v>
      </c>
    </row>
    <row r="923" customFormat="false" ht="15" hidden="false" customHeight="false" outlineLevel="0" collapsed="false">
      <c r="A923" s="0" t="s">
        <v>3678</v>
      </c>
      <c r="B923" s="0" t="s">
        <v>3679</v>
      </c>
      <c r="C923" s="0" t="s">
        <v>70</v>
      </c>
      <c r="D923" s="0" t="s">
        <v>3694</v>
      </c>
      <c r="E923" s="3" t="n">
        <v>46279</v>
      </c>
      <c r="F923" s="4" t="s">
        <v>3695</v>
      </c>
      <c r="G923" s="5" t="n">
        <v>0.492326388888889</v>
      </c>
      <c r="H923" s="5" t="n">
        <v>0.426805555555556</v>
      </c>
      <c r="I923" s="5" t="n">
        <v>0.0046412037037037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6</v>
      </c>
      <c r="O923" s="5" t="n">
        <v>0</v>
      </c>
      <c r="P923" s="5" t="n">
        <v>0.0148842592592593</v>
      </c>
      <c r="Q923" s="4" t="s">
        <v>3696</v>
      </c>
      <c r="R923" s="4" t="s">
        <v>967</v>
      </c>
      <c r="S923" s="5" t="n">
        <v>0.000925925925925926</v>
      </c>
      <c r="T923" s="5" t="n">
        <v>0.184490740740741</v>
      </c>
      <c r="U923" s="5" t="n">
        <v>0.217592592592593</v>
      </c>
      <c r="V923" s="5" t="n">
        <v>0.0423611111111111</v>
      </c>
      <c r="W923" s="5" t="n">
        <v>0</v>
      </c>
      <c r="X923" s="5" t="n">
        <v>0</v>
      </c>
      <c r="Y923" s="5" t="n">
        <v>0</v>
      </c>
      <c r="Z923" s="0" t="n">
        <v>0</v>
      </c>
      <c r="AA923" s="0" t="n">
        <v>0</v>
      </c>
      <c r="AB923" s="0" t="n">
        <v>0</v>
      </c>
      <c r="AC923" s="4" t="s">
        <v>421</v>
      </c>
      <c r="AD923" s="4" t="s">
        <v>432</v>
      </c>
      <c r="AE923" s="4" t="s">
        <v>3693</v>
      </c>
      <c r="AF923" s="4" t="s">
        <v>3697</v>
      </c>
      <c r="AG923" s="5" t="n">
        <v>0.372974537037037</v>
      </c>
      <c r="AH923" s="5" t="n">
        <v>0.208865740740741</v>
      </c>
      <c r="AI923" s="5" t="n">
        <v>0</v>
      </c>
      <c r="AJ923" s="5" t="n">
        <v>0</v>
      </c>
      <c r="AK923" s="5" t="n">
        <v>0</v>
      </c>
      <c r="AL923" s="5" t="n">
        <v>0</v>
      </c>
      <c r="AM923" s="4" t="s">
        <v>78</v>
      </c>
      <c r="AN923" s="0" t="n">
        <v>0</v>
      </c>
      <c r="AO923" s="0" t="n">
        <v>15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  <c r="AU923" s="0" t="n">
        <v>3</v>
      </c>
      <c r="AV923" s="0" t="n">
        <v>0</v>
      </c>
      <c r="AW923" s="0" t="n">
        <v>0</v>
      </c>
      <c r="AX923" s="0" t="n">
        <v>0</v>
      </c>
      <c r="AY923" s="0" t="n">
        <v>0</v>
      </c>
      <c r="AZ923" s="0" t="n">
        <v>0</v>
      </c>
      <c r="BA923" s="0" t="n">
        <v>0</v>
      </c>
      <c r="BB923" s="0" t="n">
        <v>0</v>
      </c>
      <c r="BC923" s="0" t="n">
        <v>0</v>
      </c>
      <c r="BD923" s="0" t="n">
        <v>0</v>
      </c>
      <c r="BE923" s="0" t="n">
        <v>0</v>
      </c>
      <c r="BF923" s="0" t="n">
        <v>0</v>
      </c>
      <c r="BG923" s="0" t="n">
        <v>0</v>
      </c>
      <c r="BH923" s="0" t="n">
        <v>0</v>
      </c>
      <c r="BI923" s="0" t="n">
        <v>0</v>
      </c>
      <c r="BJ923" s="0" t="n">
        <v>0</v>
      </c>
      <c r="BK923" s="0" t="n">
        <v>0</v>
      </c>
      <c r="BM923" s="6" t="n">
        <f aca="false">IFERROR(VALUE(F923),"")</f>
        <v>409.93</v>
      </c>
      <c r="BN923" s="6" t="n">
        <f aca="false">IF(R923="-","",IFERROR(VALUE(LEFT(Q923,LEN(Q923)-2)),""))</f>
        <v>130.99</v>
      </c>
      <c r="BO923" s="6" t="n">
        <f aca="false">IF(R923="-","",IFERROR(VALUE(LEFT(R923,LEN(R923)-5)),""))</f>
        <v>3.13</v>
      </c>
      <c r="BP923" s="6" t="n">
        <f aca="false">IF(R923="-","",IFERROR(VALUE(F923),""))</f>
        <v>409.93</v>
      </c>
      <c r="BQ923" s="4" t="n">
        <f aca="false">IF(R923="-",1,0)</f>
        <v>0</v>
      </c>
    </row>
    <row r="924" customFormat="false" ht="15" hidden="false" customHeight="false" outlineLevel="0" collapsed="false">
      <c r="A924" s="0" t="s">
        <v>3698</v>
      </c>
      <c r="B924" s="0" t="s">
        <v>3699</v>
      </c>
      <c r="C924" s="0" t="s">
        <v>70</v>
      </c>
      <c r="E924" s="3" t="n">
        <v>46273</v>
      </c>
      <c r="F924" s="4" t="s">
        <v>3700</v>
      </c>
      <c r="G924" s="5" t="n">
        <v>0.312280092592593</v>
      </c>
      <c r="H924" s="5" t="n">
        <v>0</v>
      </c>
      <c r="I924" s="5" t="n">
        <v>0.000856481481481482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4</v>
      </c>
      <c r="O924" s="5" t="n">
        <v>0</v>
      </c>
      <c r="P924" s="5" t="n">
        <v>0</v>
      </c>
      <c r="Q924" s="4" t="s">
        <v>3701</v>
      </c>
      <c r="R924" s="4" t="s">
        <v>3702</v>
      </c>
      <c r="S924" s="5" t="n">
        <v>0.000231481481481482</v>
      </c>
      <c r="T924" s="5" t="n">
        <v>0.0666666666666667</v>
      </c>
      <c r="U924" s="5" t="n">
        <v>0.0825231481481482</v>
      </c>
      <c r="V924" s="5" t="n">
        <v>0.0326388888888889</v>
      </c>
      <c r="W924" s="5" t="n">
        <v>0</v>
      </c>
      <c r="X924" s="5" t="n">
        <v>0</v>
      </c>
      <c r="Y924" s="5" t="n">
        <v>0</v>
      </c>
      <c r="Z924" s="0" t="n">
        <v>0</v>
      </c>
      <c r="AA924" s="0" t="n">
        <v>0</v>
      </c>
      <c r="AB924" s="0" t="n">
        <v>0</v>
      </c>
      <c r="AC924" s="4" t="s">
        <v>159</v>
      </c>
      <c r="AD924" s="4" t="s">
        <v>159</v>
      </c>
      <c r="AE924" s="4" t="s">
        <v>3703</v>
      </c>
      <c r="AF924" s="4" t="s">
        <v>3704</v>
      </c>
      <c r="AG924" s="5" t="n">
        <v>0.156666666666667</v>
      </c>
      <c r="AH924" s="5" t="n">
        <v>0.233344907407407</v>
      </c>
      <c r="AI924" s="5" t="n">
        <v>0</v>
      </c>
      <c r="AJ924" s="5" t="n">
        <v>0</v>
      </c>
      <c r="AK924" s="5" t="n">
        <v>0</v>
      </c>
      <c r="AL924" s="5" t="n">
        <v>0</v>
      </c>
      <c r="AM924" s="4" t="s">
        <v>78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  <c r="AU924" s="0" t="n">
        <v>0</v>
      </c>
      <c r="AV924" s="0" t="n">
        <v>0</v>
      </c>
      <c r="AW924" s="0" t="n">
        <v>0</v>
      </c>
      <c r="AX924" s="0" t="n">
        <v>0</v>
      </c>
      <c r="AY924" s="0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0" t="n">
        <v>0</v>
      </c>
      <c r="BE924" s="0" t="n">
        <v>0</v>
      </c>
      <c r="BF924" s="0" t="n">
        <v>0</v>
      </c>
      <c r="BG924" s="0" t="n">
        <v>0</v>
      </c>
      <c r="BH924" s="0" t="n">
        <v>0</v>
      </c>
      <c r="BI924" s="0" t="n">
        <v>0</v>
      </c>
      <c r="BJ924" s="0" t="n">
        <v>0</v>
      </c>
      <c r="BK924" s="0" t="n">
        <v>0</v>
      </c>
      <c r="BM924" s="6" t="n">
        <f aca="false">IFERROR(VALUE(F924),"")</f>
        <v>110.36</v>
      </c>
      <c r="BN924" s="6" t="n">
        <f aca="false">IF(R924="-","",IFERROR(VALUE(LEFT(Q924,LEN(Q924)-2)),""))</f>
        <v>24.74</v>
      </c>
      <c r="BO924" s="6" t="n">
        <f aca="false">IF(R924="-","",IFERROR(VALUE(LEFT(R924,LEN(R924)-5)),""))</f>
        <v>4.46</v>
      </c>
      <c r="BP924" s="6" t="n">
        <f aca="false">IF(R924="-","",IFERROR(VALUE(F924),""))</f>
        <v>110.36</v>
      </c>
      <c r="BQ924" s="4" t="n">
        <f aca="false">IF(R924="-",1,0)</f>
        <v>0</v>
      </c>
    </row>
    <row r="925" customFormat="false" ht="15" hidden="false" customHeight="false" outlineLevel="0" collapsed="false">
      <c r="A925" s="0" t="s">
        <v>3698</v>
      </c>
      <c r="B925" s="0" t="s">
        <v>3699</v>
      </c>
      <c r="C925" s="0" t="s">
        <v>70</v>
      </c>
      <c r="E925" s="3" t="n">
        <v>46274</v>
      </c>
      <c r="F925" s="4" t="s">
        <v>3705</v>
      </c>
      <c r="G925" s="5" t="n">
        <v>0.317569444444445</v>
      </c>
      <c r="H925" s="5" t="n">
        <v>0</v>
      </c>
      <c r="I925" s="5" t="n">
        <v>0.000659722222222222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1</v>
      </c>
      <c r="O925" s="5" t="n">
        <v>0</v>
      </c>
      <c r="P925" s="5" t="n">
        <v>0</v>
      </c>
      <c r="Q925" s="4" t="s">
        <v>3706</v>
      </c>
      <c r="R925" s="4" t="s">
        <v>3702</v>
      </c>
      <c r="S925" s="5" t="n">
        <v>0.000115740740740741</v>
      </c>
      <c r="T925" s="5" t="n">
        <v>0.0774305555555556</v>
      </c>
      <c r="U925" s="5" t="n">
        <v>0.0846064814814815</v>
      </c>
      <c r="V925" s="5" t="n">
        <v>0.0333333333333333</v>
      </c>
      <c r="W925" s="5" t="n">
        <v>0.000115740740740741</v>
      </c>
      <c r="X925" s="5" t="n">
        <v>0</v>
      </c>
      <c r="Y925" s="5" t="n">
        <v>0</v>
      </c>
      <c r="Z925" s="0" t="n">
        <v>0</v>
      </c>
      <c r="AA925" s="0" t="n">
        <v>0</v>
      </c>
      <c r="AB925" s="0" t="n">
        <v>0</v>
      </c>
      <c r="AC925" s="4" t="s">
        <v>864</v>
      </c>
      <c r="AD925" s="4" t="s">
        <v>159</v>
      </c>
      <c r="AE925" s="4" t="s">
        <v>3704</v>
      </c>
      <c r="AF925" s="4" t="s">
        <v>3707</v>
      </c>
      <c r="AG925" s="5" t="n">
        <v>0.159097222222222</v>
      </c>
      <c r="AH925" s="5" t="n">
        <v>0.260543981481482</v>
      </c>
      <c r="AI925" s="5" t="n">
        <v>0</v>
      </c>
      <c r="AJ925" s="5" t="n">
        <v>0</v>
      </c>
      <c r="AK925" s="5" t="n">
        <v>0</v>
      </c>
      <c r="AL925" s="5" t="n">
        <v>0</v>
      </c>
      <c r="AM925" s="4" t="s">
        <v>78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  <c r="AU925" s="0" t="n">
        <v>1</v>
      </c>
      <c r="AV925" s="0" t="n">
        <v>0</v>
      </c>
      <c r="AW925" s="0" t="n">
        <v>0</v>
      </c>
      <c r="AX925" s="0" t="n">
        <v>0</v>
      </c>
      <c r="AY925" s="0" t="n">
        <v>0</v>
      </c>
      <c r="AZ925" s="0" t="n">
        <v>0</v>
      </c>
      <c r="BA925" s="0" t="n">
        <v>0</v>
      </c>
      <c r="BB925" s="0" t="n">
        <v>0</v>
      </c>
      <c r="BC925" s="0" t="n">
        <v>0</v>
      </c>
      <c r="BD925" s="0" t="n">
        <v>0</v>
      </c>
      <c r="BE925" s="0" t="n">
        <v>0</v>
      </c>
      <c r="BF925" s="0" t="n">
        <v>0</v>
      </c>
      <c r="BG925" s="0" t="n">
        <v>0</v>
      </c>
      <c r="BH925" s="0" t="n">
        <v>0</v>
      </c>
      <c r="BI925" s="0" t="n">
        <v>0</v>
      </c>
      <c r="BJ925" s="0" t="n">
        <v>0</v>
      </c>
      <c r="BK925" s="0" t="n">
        <v>0</v>
      </c>
      <c r="BM925" s="6" t="n">
        <f aca="false">IFERROR(VALUE(F925),"")</f>
        <v>110.69</v>
      </c>
      <c r="BN925" s="6" t="n">
        <f aca="false">IF(R925="-","",IFERROR(VALUE(LEFT(Q925,LEN(Q925)-2)),""))</f>
        <v>24.8</v>
      </c>
      <c r="BO925" s="6" t="n">
        <f aca="false">IF(R925="-","",IFERROR(VALUE(LEFT(R925,LEN(R925)-5)),""))</f>
        <v>4.46</v>
      </c>
      <c r="BP925" s="6" t="n">
        <f aca="false">IF(R925="-","",IFERROR(VALUE(F925),""))</f>
        <v>110.69</v>
      </c>
      <c r="BQ925" s="4" t="n">
        <f aca="false">IF(R925="-",1,0)</f>
        <v>0</v>
      </c>
    </row>
    <row r="926" customFormat="false" ht="15" hidden="false" customHeight="false" outlineLevel="0" collapsed="false">
      <c r="A926" s="0" t="s">
        <v>3698</v>
      </c>
      <c r="B926" s="0" t="s">
        <v>3699</v>
      </c>
      <c r="C926" s="0" t="s">
        <v>70</v>
      </c>
      <c r="E926" s="3" t="n">
        <v>46275</v>
      </c>
      <c r="F926" s="4" t="s">
        <v>3708</v>
      </c>
      <c r="G926" s="5" t="n">
        <v>0.0394791666666667</v>
      </c>
      <c r="H926" s="5" t="n">
        <v>0</v>
      </c>
      <c r="I926" s="5" t="n">
        <v>4.62962962962963E-005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2</v>
      </c>
      <c r="O926" s="5" t="n">
        <v>0</v>
      </c>
      <c r="P926" s="5" t="n">
        <v>0</v>
      </c>
      <c r="Q926" s="4" t="s">
        <v>3709</v>
      </c>
      <c r="R926" s="4" t="s">
        <v>2460</v>
      </c>
      <c r="S926" s="5" t="n">
        <v>0</v>
      </c>
      <c r="T926" s="5" t="n">
        <v>0.0225694444444444</v>
      </c>
      <c r="U926" s="5" t="n">
        <v>0.009375</v>
      </c>
      <c r="V926" s="5" t="n">
        <v>0.00578703703703704</v>
      </c>
      <c r="W926" s="5" t="n">
        <v>0</v>
      </c>
      <c r="X926" s="5" t="n">
        <v>0</v>
      </c>
      <c r="Y926" s="5" t="n">
        <v>0</v>
      </c>
      <c r="Z926" s="0" t="n">
        <v>0</v>
      </c>
      <c r="AA926" s="0" t="n">
        <v>0</v>
      </c>
      <c r="AB926" s="0" t="n">
        <v>0</v>
      </c>
      <c r="AC926" s="4" t="s">
        <v>159</v>
      </c>
      <c r="AD926" s="4" t="s">
        <v>159</v>
      </c>
      <c r="AE926" s="4" t="s">
        <v>3707</v>
      </c>
      <c r="AF926" s="4" t="s">
        <v>3710</v>
      </c>
      <c r="AG926" s="5" t="n">
        <v>0.0271412037037037</v>
      </c>
      <c r="AH926" s="5" t="n">
        <v>0.0489699074074074</v>
      </c>
      <c r="AI926" s="5" t="n">
        <v>0</v>
      </c>
      <c r="AJ926" s="5" t="n">
        <v>0</v>
      </c>
      <c r="AK926" s="5" t="n">
        <v>0</v>
      </c>
      <c r="AL926" s="5" t="n">
        <v>0</v>
      </c>
      <c r="AM926" s="4" t="s">
        <v>78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  <c r="AU926" s="0" t="n">
        <v>1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  <c r="BA926" s="0" t="n">
        <v>0</v>
      </c>
      <c r="BB926" s="0" t="n">
        <v>0</v>
      </c>
      <c r="BC926" s="0" t="n">
        <v>0</v>
      </c>
      <c r="BD926" s="0" t="n">
        <v>0</v>
      </c>
      <c r="BE926" s="0" t="n">
        <v>0</v>
      </c>
      <c r="BF926" s="0" t="n">
        <v>0</v>
      </c>
      <c r="BG926" s="0" t="n">
        <v>0</v>
      </c>
      <c r="BH926" s="0" t="n">
        <v>0</v>
      </c>
      <c r="BI926" s="0" t="n">
        <v>0</v>
      </c>
      <c r="BJ926" s="0" t="n">
        <v>0</v>
      </c>
      <c r="BK926" s="0" t="n">
        <v>0</v>
      </c>
      <c r="BM926" s="6" t="n">
        <f aca="false">IFERROR(VALUE(F926),"")</f>
        <v>9.44</v>
      </c>
      <c r="BN926" s="6" t="n">
        <f aca="false">IF(R926="-","",IFERROR(VALUE(LEFT(Q926,LEN(Q926)-2)),""))</f>
        <v>3.06</v>
      </c>
      <c r="BO926" s="6" t="n">
        <f aca="false">IF(R926="-","",IFERROR(VALUE(LEFT(R926,LEN(R926)-5)),""))</f>
        <v>3.08</v>
      </c>
      <c r="BP926" s="6" t="n">
        <f aca="false">IF(R926="-","",IFERROR(VALUE(F926),""))</f>
        <v>9.44</v>
      </c>
      <c r="BQ926" s="4" t="n">
        <f aca="false">IF(R926="-",1,0)</f>
        <v>0</v>
      </c>
    </row>
    <row r="927" customFormat="false" ht="15" hidden="false" customHeight="false" outlineLevel="0" collapsed="false">
      <c r="A927" s="0" t="s">
        <v>3698</v>
      </c>
      <c r="B927" s="0" t="s">
        <v>3699</v>
      </c>
      <c r="C927" s="0" t="s">
        <v>70</v>
      </c>
      <c r="E927" s="3" t="n">
        <v>46276</v>
      </c>
      <c r="F927" s="4" t="s">
        <v>3115</v>
      </c>
      <c r="G927" s="5" t="n">
        <v>0.205914351851852</v>
      </c>
      <c r="H927" s="5" t="n">
        <v>0</v>
      </c>
      <c r="I927" s="5" t="n">
        <v>0.000578703703703704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3</v>
      </c>
      <c r="O927" s="5" t="n">
        <v>0</v>
      </c>
      <c r="P927" s="5" t="n">
        <v>0</v>
      </c>
      <c r="Q927" s="4" t="s">
        <v>3711</v>
      </c>
      <c r="R927" s="4" t="s">
        <v>3712</v>
      </c>
      <c r="S927" s="5" t="n">
        <v>0.000231481481481482</v>
      </c>
      <c r="T927" s="5" t="n">
        <v>0.0821759259259259</v>
      </c>
      <c r="U927" s="5" t="n">
        <v>0.0667824074074074</v>
      </c>
      <c r="V927" s="5" t="n">
        <v>0.0528935185185185</v>
      </c>
      <c r="W927" s="5" t="n">
        <v>0.000231481481481482</v>
      </c>
      <c r="X927" s="5" t="n">
        <v>0</v>
      </c>
      <c r="Y927" s="5" t="n">
        <v>0</v>
      </c>
      <c r="Z927" s="0" t="n">
        <v>0</v>
      </c>
      <c r="AA927" s="0" t="n">
        <v>0</v>
      </c>
      <c r="AB927" s="0" t="n">
        <v>0</v>
      </c>
      <c r="AC927" s="4" t="s">
        <v>159</v>
      </c>
      <c r="AD927" s="4" t="s">
        <v>159</v>
      </c>
      <c r="AE927" s="4" t="s">
        <v>3710</v>
      </c>
      <c r="AF927" s="4" t="s">
        <v>3713</v>
      </c>
      <c r="AG927" s="5" t="n">
        <v>0.17681712962963</v>
      </c>
      <c r="AH927" s="5" t="n">
        <v>0.12025462962963</v>
      </c>
      <c r="AI927" s="5" t="n">
        <v>0</v>
      </c>
      <c r="AJ927" s="5" t="n">
        <v>0</v>
      </c>
      <c r="AK927" s="5" t="n">
        <v>0</v>
      </c>
      <c r="AL927" s="5" t="n">
        <v>0</v>
      </c>
      <c r="AM927" s="4" t="s">
        <v>78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  <c r="AU927" s="0" t="n">
        <v>5</v>
      </c>
      <c r="AV927" s="0" t="n">
        <v>0</v>
      </c>
      <c r="AW927" s="0" t="n">
        <v>0</v>
      </c>
      <c r="AX927" s="0" t="n">
        <v>0</v>
      </c>
      <c r="AY927" s="0" t="n">
        <v>0</v>
      </c>
      <c r="AZ927" s="0" t="n">
        <v>0</v>
      </c>
      <c r="BA927" s="0" t="n">
        <v>0</v>
      </c>
      <c r="BB927" s="0" t="n">
        <v>0</v>
      </c>
      <c r="BC927" s="0" t="n">
        <v>0</v>
      </c>
      <c r="BD927" s="0" t="n">
        <v>0</v>
      </c>
      <c r="BE927" s="0" t="n">
        <v>0</v>
      </c>
      <c r="BF927" s="0" t="n">
        <v>0</v>
      </c>
      <c r="BG927" s="0" t="n">
        <v>0</v>
      </c>
      <c r="BH927" s="0" t="n">
        <v>0</v>
      </c>
      <c r="BI927" s="0" t="n">
        <v>0</v>
      </c>
      <c r="BJ927" s="0" t="n">
        <v>0</v>
      </c>
      <c r="BK927" s="0" t="n">
        <v>0</v>
      </c>
      <c r="BM927" s="6" t="n">
        <f aca="false">IFERROR(VALUE(F927),"")</f>
        <v>96.63</v>
      </c>
      <c r="BN927" s="6" t="n">
        <f aca="false">IF(R927="-","",IFERROR(VALUE(LEFT(Q927,LEN(Q927)-2)),""))</f>
        <v>26.05</v>
      </c>
      <c r="BO927" s="6" t="n">
        <f aca="false">IF(R927="-","",IFERROR(VALUE(LEFT(R927,LEN(R927)-5)),""))</f>
        <v>3.71</v>
      </c>
      <c r="BP927" s="6" t="n">
        <f aca="false">IF(R927="-","",IFERROR(VALUE(F927),""))</f>
        <v>96.63</v>
      </c>
      <c r="BQ927" s="4" t="n">
        <f aca="false">IF(R927="-",1,0)</f>
        <v>0</v>
      </c>
    </row>
    <row r="928" customFormat="false" ht="15" hidden="false" customHeight="false" outlineLevel="0" collapsed="false">
      <c r="A928" s="0" t="s">
        <v>3698</v>
      </c>
      <c r="B928" s="0" t="s">
        <v>3699</v>
      </c>
      <c r="C928" s="0" t="s">
        <v>70</v>
      </c>
      <c r="E928" s="3" t="n">
        <v>46277</v>
      </c>
      <c r="F928" s="4" t="s">
        <v>95</v>
      </c>
      <c r="G928" s="5" t="n">
        <v>0.00216435185185185</v>
      </c>
      <c r="H928" s="5" t="n">
        <v>0</v>
      </c>
      <c r="I928" s="5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5" t="n">
        <v>0</v>
      </c>
      <c r="P928" s="5" t="n">
        <v>0</v>
      </c>
      <c r="Q928" s="4" t="s">
        <v>3714</v>
      </c>
      <c r="R928" s="4" t="s">
        <v>454</v>
      </c>
      <c r="S928" s="5" t="n">
        <v>0</v>
      </c>
      <c r="T928" s="5" t="n">
        <v>0.00127314814814815</v>
      </c>
      <c r="U928" s="5" t="n">
        <v>0</v>
      </c>
      <c r="V928" s="5" t="n">
        <v>0</v>
      </c>
      <c r="W928" s="5" t="n">
        <v>0</v>
      </c>
      <c r="X928" s="5" t="n">
        <v>0</v>
      </c>
      <c r="Y928" s="5" t="n">
        <v>0</v>
      </c>
      <c r="Z928" s="0" t="n">
        <v>0</v>
      </c>
      <c r="AA928" s="0" t="n">
        <v>0</v>
      </c>
      <c r="AB928" s="0" t="n">
        <v>0</v>
      </c>
      <c r="AC928" s="4" t="s">
        <v>159</v>
      </c>
      <c r="AD928" s="4" t="s">
        <v>159</v>
      </c>
      <c r="AE928" s="4" t="s">
        <v>3713</v>
      </c>
      <c r="AF928" s="4" t="s">
        <v>3713</v>
      </c>
      <c r="AG928" s="5" t="n">
        <v>0</v>
      </c>
      <c r="AH928" s="5" t="n">
        <v>0.00263888888888889</v>
      </c>
      <c r="AI928" s="5" t="n">
        <v>0</v>
      </c>
      <c r="AJ928" s="5" t="n">
        <v>0</v>
      </c>
      <c r="AK928" s="5" t="n">
        <v>0</v>
      </c>
      <c r="AL928" s="5" t="n">
        <v>0</v>
      </c>
      <c r="AM928" s="4" t="s">
        <v>78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  <c r="AU928" s="0" t="n">
        <v>0</v>
      </c>
      <c r="AV928" s="0" t="n">
        <v>0</v>
      </c>
      <c r="AW928" s="0" t="n">
        <v>0</v>
      </c>
      <c r="AX928" s="0" t="n">
        <v>0</v>
      </c>
      <c r="AY928" s="0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0</v>
      </c>
      <c r="BH928" s="0" t="n">
        <v>0</v>
      </c>
      <c r="BI928" s="0" t="n">
        <v>0</v>
      </c>
      <c r="BJ928" s="0" t="n">
        <v>0</v>
      </c>
      <c r="BK928" s="0" t="n">
        <v>0</v>
      </c>
      <c r="BM928" s="6" t="n">
        <f aca="false">IFERROR(VALUE(F928),"")</f>
        <v>0</v>
      </c>
      <c r="BN928" s="6" t="n">
        <f aca="false">IF(R928="-","",IFERROR(VALUE(LEFT(Q928,LEN(Q928)-2)),""))</f>
        <v>0.08</v>
      </c>
      <c r="BO928" s="6" t="n">
        <f aca="false">IF(R928="-","",IFERROR(VALUE(LEFT(R928,LEN(R928)-5)),""))</f>
        <v>0</v>
      </c>
      <c r="BP928" s="6" t="n">
        <f aca="false">IF(R928="-","",IFERROR(VALUE(F928),""))</f>
        <v>0</v>
      </c>
      <c r="BQ928" s="4" t="n">
        <f aca="false">IF(R928="-",1,0)</f>
        <v>0</v>
      </c>
    </row>
    <row r="929" customFormat="false" ht="15" hidden="false" customHeight="false" outlineLevel="0" collapsed="false">
      <c r="A929" s="0" t="s">
        <v>3698</v>
      </c>
      <c r="B929" s="0" t="s">
        <v>3699</v>
      </c>
      <c r="C929" s="0" t="s">
        <v>70</v>
      </c>
      <c r="E929" s="3" t="n">
        <v>46279</v>
      </c>
      <c r="F929" s="4" t="s">
        <v>3715</v>
      </c>
      <c r="G929" s="5" t="n">
        <v>0.0156134259259259</v>
      </c>
      <c r="H929" s="5" t="n">
        <v>0</v>
      </c>
      <c r="I929" s="5" t="n">
        <v>0.000138888888888889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5" t="n">
        <v>0</v>
      </c>
      <c r="P929" s="5" t="n">
        <v>0</v>
      </c>
      <c r="Q929" s="4" t="s">
        <v>3716</v>
      </c>
      <c r="R929" s="4" t="s">
        <v>3717</v>
      </c>
      <c r="S929" s="5" t="n">
        <v>0</v>
      </c>
      <c r="T929" s="5" t="n">
        <v>0.0119212962962963</v>
      </c>
      <c r="U929" s="5" t="n">
        <v>0.00243055555555556</v>
      </c>
      <c r="V929" s="5" t="n">
        <v>0.000347222222222222</v>
      </c>
      <c r="W929" s="5" t="n">
        <v>0</v>
      </c>
      <c r="X929" s="5" t="n">
        <v>0</v>
      </c>
      <c r="Y929" s="5" t="n">
        <v>0</v>
      </c>
      <c r="Z929" s="0" t="n">
        <v>0</v>
      </c>
      <c r="AA929" s="0" t="n">
        <v>0</v>
      </c>
      <c r="AB929" s="0" t="n">
        <v>0</v>
      </c>
      <c r="AC929" s="4" t="s">
        <v>159</v>
      </c>
      <c r="AD929" s="4" t="s">
        <v>159</v>
      </c>
      <c r="AE929" s="4" t="s">
        <v>3713</v>
      </c>
      <c r="AF929" s="4" t="s">
        <v>3718</v>
      </c>
      <c r="AG929" s="5" t="n">
        <v>0.00834490740740741</v>
      </c>
      <c r="AH929" s="5" t="n">
        <v>0.0317592592592593</v>
      </c>
      <c r="AI929" s="5" t="n">
        <v>0</v>
      </c>
      <c r="AJ929" s="5" t="n">
        <v>0</v>
      </c>
      <c r="AK929" s="5" t="n">
        <v>0</v>
      </c>
      <c r="AL929" s="5" t="n">
        <v>0</v>
      </c>
      <c r="AM929" s="4" t="s">
        <v>78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0</v>
      </c>
      <c r="BA929" s="0" t="n">
        <v>0</v>
      </c>
      <c r="BB929" s="0" t="n">
        <v>0</v>
      </c>
      <c r="BC929" s="0" t="n">
        <v>0</v>
      </c>
      <c r="BD929" s="0" t="n">
        <v>0</v>
      </c>
      <c r="BE929" s="0" t="n">
        <v>0</v>
      </c>
      <c r="BF929" s="0" t="n">
        <v>0</v>
      </c>
      <c r="BG929" s="0" t="n">
        <v>0</v>
      </c>
      <c r="BH929" s="0" t="n">
        <v>0</v>
      </c>
      <c r="BI929" s="0" t="n">
        <v>0</v>
      </c>
      <c r="BJ929" s="0" t="n">
        <v>0</v>
      </c>
      <c r="BK929" s="0" t="n">
        <v>0</v>
      </c>
      <c r="BM929" s="6" t="n">
        <f aca="false">IFERROR(VALUE(F929),"")</f>
        <v>1.96</v>
      </c>
      <c r="BN929" s="6" t="n">
        <f aca="false">IF(R929="-","",IFERROR(VALUE(LEFT(Q929,LEN(Q929)-2)),""))</f>
        <v>0.89</v>
      </c>
      <c r="BO929" s="6" t="n">
        <f aca="false">IF(R929="-","",IFERROR(VALUE(LEFT(R929,LEN(R929)-5)),""))</f>
        <v>2.2</v>
      </c>
      <c r="BP929" s="6" t="n">
        <f aca="false">IF(R929="-","",IFERROR(VALUE(F929),""))</f>
        <v>1.96</v>
      </c>
      <c r="BQ929" s="4" t="n">
        <f aca="false">IF(R929="-",1,0)</f>
        <v>0</v>
      </c>
    </row>
    <row r="930" customFormat="false" ht="15" hidden="false" customHeight="false" outlineLevel="0" collapsed="false">
      <c r="A930" s="0" t="s">
        <v>3719</v>
      </c>
      <c r="B930" s="0" t="s">
        <v>3720</v>
      </c>
      <c r="C930" s="0" t="s">
        <v>70</v>
      </c>
      <c r="D930" s="0" t="s">
        <v>3361</v>
      </c>
      <c r="E930" s="3" t="n">
        <v>46273</v>
      </c>
      <c r="F930" s="4" t="s">
        <v>3721</v>
      </c>
      <c r="G930" s="5" t="n">
        <v>0.298206018518519</v>
      </c>
      <c r="H930" s="5" t="n">
        <v>0.0521064814814815</v>
      </c>
      <c r="I930" s="5" t="n">
        <v>0.00185185185185185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5" t="n">
        <v>0</v>
      </c>
      <c r="P930" s="5" t="n">
        <v>0</v>
      </c>
      <c r="Q930" s="4" t="s">
        <v>3722</v>
      </c>
      <c r="R930" s="4" t="s">
        <v>3723</v>
      </c>
      <c r="S930" s="5" t="n">
        <v>0</v>
      </c>
      <c r="T930" s="5" t="n">
        <v>0.0157407407407407</v>
      </c>
      <c r="U930" s="5" t="n">
        <v>0.0318287037037037</v>
      </c>
      <c r="V930" s="5" t="n">
        <v>0.00486111111111111</v>
      </c>
      <c r="W930" s="5" t="n">
        <v>0</v>
      </c>
      <c r="X930" s="5" t="n">
        <v>0</v>
      </c>
      <c r="Y930" s="5" t="n">
        <v>0</v>
      </c>
      <c r="Z930" s="0" t="n">
        <v>0</v>
      </c>
      <c r="AA930" s="0" t="n">
        <v>0</v>
      </c>
      <c r="AB930" s="0" t="n">
        <v>0</v>
      </c>
      <c r="AC930" s="4" t="s">
        <v>614</v>
      </c>
      <c r="AD930" s="4" t="s">
        <v>152</v>
      </c>
      <c r="AE930" s="4" t="s">
        <v>3724</v>
      </c>
      <c r="AF930" s="4" t="s">
        <v>3725</v>
      </c>
      <c r="AG930" s="5" t="n">
        <v>0.0450347222222222</v>
      </c>
      <c r="AH930" s="5" t="n">
        <v>0.26662037037037</v>
      </c>
      <c r="AI930" s="5" t="n">
        <v>0</v>
      </c>
      <c r="AJ930" s="5" t="n">
        <v>0</v>
      </c>
      <c r="AK930" s="5" t="n">
        <v>0</v>
      </c>
      <c r="AL930" s="5" t="n">
        <v>0</v>
      </c>
      <c r="AM930" s="4" t="s">
        <v>78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  <c r="BA930" s="0" t="n">
        <v>0</v>
      </c>
      <c r="BB930" s="0" t="n">
        <v>0</v>
      </c>
      <c r="BC930" s="0" t="n">
        <v>0</v>
      </c>
      <c r="BD930" s="0" t="n">
        <v>0</v>
      </c>
      <c r="BE930" s="0" t="n">
        <v>0</v>
      </c>
      <c r="BF930" s="0" t="n">
        <v>0</v>
      </c>
      <c r="BG930" s="0" t="n">
        <v>0</v>
      </c>
      <c r="BH930" s="0" t="n">
        <v>0</v>
      </c>
      <c r="BI930" s="0" t="n">
        <v>0</v>
      </c>
      <c r="BJ930" s="0" t="n">
        <v>0</v>
      </c>
      <c r="BK930" s="0" t="n">
        <v>0</v>
      </c>
      <c r="BM930" s="6" t="n">
        <f aca="false">IFERROR(VALUE(F930),"")</f>
        <v>38.4</v>
      </c>
      <c r="BN930" s="6" t="n">
        <f aca="false">IF(R930="-","",IFERROR(VALUE(LEFT(Q930,LEN(Q930)-2)),""))</f>
        <v>18.74</v>
      </c>
      <c r="BO930" s="6" t="n">
        <f aca="false">IF(R930="-","",IFERROR(VALUE(LEFT(R930,LEN(R930)-5)),""))</f>
        <v>2.05</v>
      </c>
      <c r="BP930" s="6" t="n">
        <f aca="false">IF(R930="-","",IFERROR(VALUE(F930),""))</f>
        <v>38.4</v>
      </c>
      <c r="BQ930" s="4" t="n">
        <f aca="false">IF(R930="-",1,0)</f>
        <v>0</v>
      </c>
    </row>
    <row r="931" customFormat="false" ht="15" hidden="false" customHeight="false" outlineLevel="0" collapsed="false">
      <c r="A931" s="0" t="s">
        <v>3719</v>
      </c>
      <c r="B931" s="0" t="s">
        <v>3720</v>
      </c>
      <c r="C931" s="0" t="s">
        <v>70</v>
      </c>
      <c r="E931" s="3" t="n">
        <v>46274</v>
      </c>
      <c r="F931" s="4" t="s">
        <v>3726</v>
      </c>
      <c r="G931" s="5" t="n">
        <v>0.0028587962962963</v>
      </c>
      <c r="H931" s="5" t="n">
        <v>0</v>
      </c>
      <c r="I931" s="5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5" t="n">
        <v>0</v>
      </c>
      <c r="P931" s="5" t="n">
        <v>0</v>
      </c>
      <c r="Q931" s="4" t="s">
        <v>3727</v>
      </c>
      <c r="R931" s="4" t="s">
        <v>3728</v>
      </c>
      <c r="S931" s="5" t="n">
        <v>0</v>
      </c>
      <c r="T931" s="5" t="n">
        <v>0.00219907407407407</v>
      </c>
      <c r="U931" s="5" t="n">
        <v>0.000462962962962963</v>
      </c>
      <c r="V931" s="5" t="n">
        <v>0</v>
      </c>
      <c r="W931" s="5" t="n">
        <v>0</v>
      </c>
      <c r="X931" s="5" t="n">
        <v>0</v>
      </c>
      <c r="Y931" s="5" t="n">
        <v>0</v>
      </c>
      <c r="Z931" s="0" t="n">
        <v>0</v>
      </c>
      <c r="AA931" s="0" t="n">
        <v>0</v>
      </c>
      <c r="AB931" s="0" t="n">
        <v>0</v>
      </c>
      <c r="AC931" s="4" t="s">
        <v>158</v>
      </c>
      <c r="AD931" s="4" t="s">
        <v>158</v>
      </c>
      <c r="AE931" s="4" t="s">
        <v>3725</v>
      </c>
      <c r="AF931" s="4" t="s">
        <v>3729</v>
      </c>
      <c r="AG931" s="5" t="n">
        <v>0.00232638888888889</v>
      </c>
      <c r="AH931" s="5" t="n">
        <v>0.0128819444444444</v>
      </c>
      <c r="AI931" s="5" t="n">
        <v>0</v>
      </c>
      <c r="AJ931" s="5" t="n">
        <v>0</v>
      </c>
      <c r="AK931" s="5" t="n">
        <v>0</v>
      </c>
      <c r="AL931" s="5" t="n">
        <v>0</v>
      </c>
      <c r="AM931" s="4" t="s">
        <v>78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  <c r="AU931" s="0" t="n">
        <v>0</v>
      </c>
      <c r="AV931" s="0" t="n">
        <v>0</v>
      </c>
      <c r="AW931" s="0" t="n">
        <v>0</v>
      </c>
      <c r="AX931" s="0" t="n">
        <v>0</v>
      </c>
      <c r="AY931" s="0" t="n">
        <v>0</v>
      </c>
      <c r="AZ931" s="0" t="n">
        <v>0</v>
      </c>
      <c r="BA931" s="0" t="n">
        <v>0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0</v>
      </c>
      <c r="BG931" s="0" t="n">
        <v>0</v>
      </c>
      <c r="BH931" s="0" t="n">
        <v>0</v>
      </c>
      <c r="BI931" s="0" t="n">
        <v>0</v>
      </c>
      <c r="BJ931" s="0" t="n">
        <v>0</v>
      </c>
      <c r="BK931" s="0" t="n">
        <v>0</v>
      </c>
      <c r="BM931" s="6" t="n">
        <f aca="false">IFERROR(VALUE(F931),"")</f>
        <v>0.27</v>
      </c>
      <c r="BN931" s="6" t="n">
        <f aca="false">IF(R931="-","",IFERROR(VALUE(LEFT(Q931,LEN(Q931)-2)),""))</f>
        <v>0.3</v>
      </c>
      <c r="BO931" s="6" t="n">
        <f aca="false">IF(R931="-","",IFERROR(VALUE(LEFT(R931,LEN(R931)-5)),""))</f>
        <v>0.91</v>
      </c>
      <c r="BP931" s="6" t="n">
        <f aca="false">IF(R931="-","",IFERROR(VALUE(F931),""))</f>
        <v>0.27</v>
      </c>
      <c r="BQ931" s="4" t="n">
        <f aca="false">IF(R931="-",1,0)</f>
        <v>0</v>
      </c>
    </row>
    <row r="932" customFormat="false" ht="15" hidden="false" customHeight="false" outlineLevel="0" collapsed="false">
      <c r="A932" s="0" t="s">
        <v>3719</v>
      </c>
      <c r="B932" s="0" t="s">
        <v>3720</v>
      </c>
      <c r="C932" s="0" t="s">
        <v>70</v>
      </c>
      <c r="E932" s="3" t="n">
        <v>46275</v>
      </c>
      <c r="F932" s="4" t="s">
        <v>95</v>
      </c>
      <c r="G932" s="5" t="n">
        <v>0.0072337962962963</v>
      </c>
      <c r="H932" s="5" t="n">
        <v>0</v>
      </c>
      <c r="I932" s="5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5" t="n">
        <v>0</v>
      </c>
      <c r="P932" s="5" t="n">
        <v>0.0072337962962963</v>
      </c>
      <c r="Q932" s="4" t="s">
        <v>3730</v>
      </c>
      <c r="R932" s="4" t="s">
        <v>454</v>
      </c>
      <c r="S932" s="5" t="n">
        <v>0</v>
      </c>
      <c r="T932" s="5" t="n">
        <v>0.00648148148148148</v>
      </c>
      <c r="U932" s="5" t="n">
        <v>0.000578703703703704</v>
      </c>
      <c r="V932" s="5" t="n">
        <v>0</v>
      </c>
      <c r="W932" s="5" t="n">
        <v>0</v>
      </c>
      <c r="X932" s="5" t="n">
        <v>0</v>
      </c>
      <c r="Y932" s="5" t="n">
        <v>0</v>
      </c>
      <c r="Z932" s="0" t="n">
        <v>0</v>
      </c>
      <c r="AA932" s="0" t="n">
        <v>0</v>
      </c>
      <c r="AB932" s="0" t="n">
        <v>0</v>
      </c>
      <c r="AC932" s="4" t="s">
        <v>152</v>
      </c>
      <c r="AD932" s="4" t="s">
        <v>152</v>
      </c>
      <c r="AE932" s="4" t="s">
        <v>3729</v>
      </c>
      <c r="AF932" s="4" t="s">
        <v>3729</v>
      </c>
      <c r="AG932" s="5" t="n">
        <v>0</v>
      </c>
      <c r="AH932" s="5" t="n">
        <v>0.0104398148148148</v>
      </c>
      <c r="AI932" s="5" t="n">
        <v>0</v>
      </c>
      <c r="AJ932" s="5" t="n">
        <v>0</v>
      </c>
      <c r="AK932" s="5" t="n">
        <v>0</v>
      </c>
      <c r="AL932" s="5" t="n">
        <v>0</v>
      </c>
      <c r="AM932" s="4" t="s">
        <v>78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0</v>
      </c>
      <c r="AT932" s="0" t="n">
        <v>0</v>
      </c>
      <c r="AU932" s="0" t="n">
        <v>0</v>
      </c>
      <c r="AV932" s="0" t="n">
        <v>0</v>
      </c>
      <c r="AW932" s="0" t="n">
        <v>0</v>
      </c>
      <c r="AX932" s="0" t="n">
        <v>0</v>
      </c>
      <c r="AY932" s="0" t="n">
        <v>0</v>
      </c>
      <c r="AZ932" s="0" t="n">
        <v>0</v>
      </c>
      <c r="BA932" s="0" t="n">
        <v>0</v>
      </c>
      <c r="BB932" s="0" t="n">
        <v>0</v>
      </c>
      <c r="BC932" s="0" t="n">
        <v>0</v>
      </c>
      <c r="BD932" s="0" t="n">
        <v>0</v>
      </c>
      <c r="BE932" s="0" t="n">
        <v>0</v>
      </c>
      <c r="BF932" s="0" t="n">
        <v>0</v>
      </c>
      <c r="BG932" s="0" t="n">
        <v>0</v>
      </c>
      <c r="BH932" s="0" t="n">
        <v>0</v>
      </c>
      <c r="BI932" s="0" t="n">
        <v>0</v>
      </c>
      <c r="BJ932" s="0" t="n">
        <v>0</v>
      </c>
      <c r="BK932" s="0" t="n">
        <v>0</v>
      </c>
      <c r="BM932" s="6" t="n">
        <f aca="false">IFERROR(VALUE(F932),"")</f>
        <v>0</v>
      </c>
      <c r="BN932" s="6" t="n">
        <f aca="false">IF(R932="-","",IFERROR(VALUE(LEFT(Q932,LEN(Q932)-2)),""))</f>
        <v>0.54</v>
      </c>
      <c r="BO932" s="6" t="n">
        <f aca="false">IF(R932="-","",IFERROR(VALUE(LEFT(R932,LEN(R932)-5)),""))</f>
        <v>0</v>
      </c>
      <c r="BP932" s="6" t="n">
        <f aca="false">IF(R932="-","",IFERROR(VALUE(F932),""))</f>
        <v>0</v>
      </c>
      <c r="BQ932" s="4" t="n">
        <f aca="false">IF(R932="-",1,0)</f>
        <v>0</v>
      </c>
    </row>
    <row r="933" customFormat="false" ht="15" hidden="false" customHeight="false" outlineLevel="0" collapsed="false">
      <c r="A933" s="0" t="s">
        <v>3719</v>
      </c>
      <c r="B933" s="0" t="s">
        <v>3720</v>
      </c>
      <c r="C933" s="0" t="s">
        <v>70</v>
      </c>
      <c r="D933" s="0" t="s">
        <v>1829</v>
      </c>
      <c r="E933" s="3" t="n">
        <v>46276</v>
      </c>
      <c r="F933" s="4" t="s">
        <v>3731</v>
      </c>
      <c r="G933" s="5" t="n">
        <v>0.16755787037037</v>
      </c>
      <c r="H933" s="5" t="n">
        <v>0.14775462962963</v>
      </c>
      <c r="I933" s="5" t="n">
        <v>0.000219907407407407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5" t="n">
        <v>0</v>
      </c>
      <c r="P933" s="5" t="n">
        <v>0</v>
      </c>
      <c r="Q933" s="4" t="s">
        <v>3732</v>
      </c>
      <c r="R933" s="4" t="s">
        <v>978</v>
      </c>
      <c r="S933" s="5" t="n">
        <v>0.000462962962962963</v>
      </c>
      <c r="T933" s="5" t="n">
        <v>0.0673611111111111</v>
      </c>
      <c r="U933" s="5" t="n">
        <v>0.0645833333333333</v>
      </c>
      <c r="V933" s="5" t="n">
        <v>0.0123842592592593</v>
      </c>
      <c r="W933" s="5" t="n">
        <v>0</v>
      </c>
      <c r="X933" s="5" t="n">
        <v>0</v>
      </c>
      <c r="Y933" s="5" t="n">
        <v>0</v>
      </c>
      <c r="Z933" s="0" t="n">
        <v>0</v>
      </c>
      <c r="AA933" s="0" t="n">
        <v>0</v>
      </c>
      <c r="AB933" s="0" t="n">
        <v>0</v>
      </c>
      <c r="AC933" s="4" t="s">
        <v>158</v>
      </c>
      <c r="AD933" s="4" t="s">
        <v>152</v>
      </c>
      <c r="AE933" s="4" t="s">
        <v>3729</v>
      </c>
      <c r="AF933" s="4" t="s">
        <v>3733</v>
      </c>
      <c r="AG933" s="5" t="n">
        <v>0.121203703703704</v>
      </c>
      <c r="AH933" s="5" t="n">
        <v>0.0918634259259259</v>
      </c>
      <c r="AI933" s="5" t="n">
        <v>0</v>
      </c>
      <c r="AJ933" s="5" t="n">
        <v>0</v>
      </c>
      <c r="AK933" s="5" t="n">
        <v>0</v>
      </c>
      <c r="AL933" s="5" t="n">
        <v>0</v>
      </c>
      <c r="AM933" s="4" t="s">
        <v>78</v>
      </c>
      <c r="AN933" s="0" t="n">
        <v>0</v>
      </c>
      <c r="AO933" s="0" t="n">
        <v>0</v>
      </c>
      <c r="AP933" s="0" t="n">
        <v>0</v>
      </c>
      <c r="AQ933" s="0" t="n">
        <v>0</v>
      </c>
      <c r="AR933" s="0" t="n">
        <v>0</v>
      </c>
      <c r="AS933" s="0" t="n">
        <v>0</v>
      </c>
      <c r="AT933" s="0" t="n">
        <v>0</v>
      </c>
      <c r="AU933" s="0" t="n">
        <v>0</v>
      </c>
      <c r="AV933" s="0" t="n">
        <v>0</v>
      </c>
      <c r="AW933" s="0" t="n">
        <v>0</v>
      </c>
      <c r="AX933" s="0" t="n">
        <v>0</v>
      </c>
      <c r="AY933" s="0" t="n">
        <v>0</v>
      </c>
      <c r="AZ933" s="0" t="n">
        <v>0</v>
      </c>
      <c r="BA933" s="0" t="n">
        <v>0</v>
      </c>
      <c r="BB933" s="0" t="n">
        <v>0</v>
      </c>
      <c r="BC933" s="0" t="n">
        <v>0</v>
      </c>
      <c r="BD933" s="0" t="n">
        <v>0</v>
      </c>
      <c r="BE933" s="0" t="n">
        <v>0</v>
      </c>
      <c r="BF933" s="0" t="n">
        <v>0</v>
      </c>
      <c r="BG933" s="0" t="n">
        <v>0</v>
      </c>
      <c r="BH933" s="0" t="n">
        <v>0</v>
      </c>
      <c r="BI933" s="0" t="n">
        <v>0</v>
      </c>
      <c r="BJ933" s="0" t="n">
        <v>0</v>
      </c>
      <c r="BK933" s="0" t="n">
        <v>0</v>
      </c>
      <c r="BM933" s="6" t="n">
        <f aca="false">IFERROR(VALUE(F933),"")</f>
        <v>79.98</v>
      </c>
      <c r="BN933" s="6" t="n">
        <f aca="false">IF(R933="-","",IFERROR(VALUE(LEFT(Q933,LEN(Q933)-2)),""))</f>
        <v>33.35</v>
      </c>
      <c r="BO933" s="6" t="n">
        <f aca="false">IF(R933="-","",IFERROR(VALUE(LEFT(R933,LEN(R933)-5)),""))</f>
        <v>2.4</v>
      </c>
      <c r="BP933" s="6" t="n">
        <f aca="false">IF(R933="-","",IFERROR(VALUE(F933),""))</f>
        <v>79.98</v>
      </c>
      <c r="BQ933" s="4" t="n">
        <f aca="false">IF(R933="-",1,0)</f>
        <v>0</v>
      </c>
    </row>
    <row r="934" customFormat="false" ht="15" hidden="false" customHeight="false" outlineLevel="0" collapsed="false">
      <c r="A934" s="0" t="s">
        <v>3719</v>
      </c>
      <c r="B934" s="0" t="s">
        <v>3720</v>
      </c>
      <c r="C934" s="0" t="s">
        <v>70</v>
      </c>
      <c r="E934" s="3" t="n">
        <v>46277</v>
      </c>
      <c r="F934" s="4" t="s">
        <v>1162</v>
      </c>
      <c r="G934" s="5" t="n">
        <v>0.00141203703703704</v>
      </c>
      <c r="H934" s="5" t="n">
        <v>0</v>
      </c>
      <c r="I934" s="5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5" t="n">
        <v>0</v>
      </c>
      <c r="P934" s="5" t="n">
        <v>0</v>
      </c>
      <c r="Q934" s="4" t="s">
        <v>124</v>
      </c>
      <c r="R934" s="4" t="s">
        <v>3734</v>
      </c>
      <c r="S934" s="5" t="n">
        <v>0</v>
      </c>
      <c r="T934" s="5" t="n">
        <v>0.00115740740740741</v>
      </c>
      <c r="U934" s="5" t="n">
        <v>0</v>
      </c>
      <c r="V934" s="5" t="n">
        <v>0</v>
      </c>
      <c r="W934" s="5" t="n">
        <v>0</v>
      </c>
      <c r="X934" s="5" t="n">
        <v>0</v>
      </c>
      <c r="Y934" s="5" t="n">
        <v>0</v>
      </c>
      <c r="Z934" s="0" t="n">
        <v>0</v>
      </c>
      <c r="AA934" s="0" t="n">
        <v>0</v>
      </c>
      <c r="AB934" s="0" t="n">
        <v>0</v>
      </c>
      <c r="AC934" s="4" t="s">
        <v>158</v>
      </c>
      <c r="AD934" s="4" t="s">
        <v>158</v>
      </c>
      <c r="AE934" s="4" t="s">
        <v>3733</v>
      </c>
      <c r="AF934" s="4" t="s">
        <v>3735</v>
      </c>
      <c r="AG934" s="5" t="n">
        <v>0.0012962962962963</v>
      </c>
      <c r="AH934" s="5" t="n">
        <v>0.00212962962962963</v>
      </c>
      <c r="AI934" s="5" t="n">
        <v>0</v>
      </c>
      <c r="AJ934" s="5" t="n">
        <v>0</v>
      </c>
      <c r="AK934" s="5" t="n">
        <v>0</v>
      </c>
      <c r="AL934" s="5" t="n">
        <v>0</v>
      </c>
      <c r="AM934" s="4" t="s">
        <v>78</v>
      </c>
      <c r="AN934" s="0" t="n">
        <v>0</v>
      </c>
      <c r="AO934" s="0" t="n">
        <v>0</v>
      </c>
      <c r="AP934" s="0" t="n">
        <v>0</v>
      </c>
      <c r="AQ934" s="0" t="n">
        <v>0</v>
      </c>
      <c r="AR934" s="0" t="n">
        <v>0</v>
      </c>
      <c r="AS934" s="0" t="n">
        <v>0</v>
      </c>
      <c r="AT934" s="0" t="n">
        <v>0</v>
      </c>
      <c r="AU934" s="0" t="n">
        <v>0</v>
      </c>
      <c r="AV934" s="0" t="n">
        <v>0</v>
      </c>
      <c r="AW934" s="0" t="n">
        <v>0</v>
      </c>
      <c r="AX934" s="0" t="n">
        <v>0</v>
      </c>
      <c r="AY934" s="0" t="n">
        <v>0</v>
      </c>
      <c r="AZ934" s="0" t="n">
        <v>0</v>
      </c>
      <c r="BA934" s="0" t="n">
        <v>0</v>
      </c>
      <c r="BB934" s="0" t="n">
        <v>0</v>
      </c>
      <c r="BC934" s="0" t="n">
        <v>0</v>
      </c>
      <c r="BD934" s="0" t="n">
        <v>0</v>
      </c>
      <c r="BE934" s="0" t="n">
        <v>0</v>
      </c>
      <c r="BF934" s="0" t="n">
        <v>0</v>
      </c>
      <c r="BG934" s="0" t="n">
        <v>0</v>
      </c>
      <c r="BH934" s="0" t="n">
        <v>0</v>
      </c>
      <c r="BI934" s="0" t="n">
        <v>0</v>
      </c>
      <c r="BJ934" s="0" t="n">
        <v>0</v>
      </c>
      <c r="BK934" s="0" t="n">
        <v>0</v>
      </c>
      <c r="BM934" s="6" t="n">
        <f aca="false">IFERROR(VALUE(F934),"")</f>
        <v>0.2</v>
      </c>
      <c r="BN934" s="6" t="n">
        <f aca="false">IF(R934="-","",IFERROR(VALUE(LEFT(Q934,LEN(Q934)-2)),""))</f>
        <v>0.13</v>
      </c>
      <c r="BO934" s="6" t="n">
        <f aca="false">IF(R934="-","",IFERROR(VALUE(LEFT(R934,LEN(R934)-5)),""))</f>
        <v>1.52</v>
      </c>
      <c r="BP934" s="6" t="n">
        <f aca="false">IF(R934="-","",IFERROR(VALUE(F934),""))</f>
        <v>0.2</v>
      </c>
      <c r="BQ934" s="4" t="n">
        <f aca="false">IF(R934="-",1,0)</f>
        <v>0</v>
      </c>
    </row>
    <row r="935" customFormat="false" ht="15" hidden="false" customHeight="false" outlineLevel="0" collapsed="false">
      <c r="A935" s="0" t="s">
        <v>3719</v>
      </c>
      <c r="B935" s="0" t="s">
        <v>3720</v>
      </c>
      <c r="C935" s="0" t="s">
        <v>70</v>
      </c>
      <c r="E935" s="3" t="n">
        <v>46278</v>
      </c>
      <c r="F935" s="4" t="s">
        <v>95</v>
      </c>
      <c r="G935" s="5" t="n">
        <v>0.0354398148148148</v>
      </c>
      <c r="H935" s="5" t="n">
        <v>0</v>
      </c>
      <c r="I935" s="5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5" t="n">
        <v>0</v>
      </c>
      <c r="P935" s="5" t="n">
        <v>0</v>
      </c>
      <c r="Q935" s="4" t="s">
        <v>73</v>
      </c>
      <c r="R935" s="4" t="s">
        <v>73</v>
      </c>
      <c r="S935" s="5" t="n">
        <v>0</v>
      </c>
      <c r="T935" s="5" t="n">
        <v>0</v>
      </c>
      <c r="U935" s="5" t="n">
        <v>0</v>
      </c>
      <c r="V935" s="5" t="n">
        <v>0</v>
      </c>
      <c r="W935" s="5" t="n">
        <v>0</v>
      </c>
      <c r="X935" s="5" t="n">
        <v>0</v>
      </c>
      <c r="Y935" s="5" t="n">
        <v>0</v>
      </c>
      <c r="Z935" s="0" t="n">
        <v>0</v>
      </c>
      <c r="AA935" s="0" t="n">
        <v>0</v>
      </c>
      <c r="AB935" s="0" t="n">
        <v>0</v>
      </c>
      <c r="AC935" s="4" t="s">
        <v>158</v>
      </c>
      <c r="AD935" s="4" t="s">
        <v>158</v>
      </c>
      <c r="AE935" s="4" t="s">
        <v>3735</v>
      </c>
      <c r="AF935" s="4" t="s">
        <v>3735</v>
      </c>
      <c r="AG935" s="5" t="n">
        <v>0</v>
      </c>
      <c r="AH935" s="5" t="n">
        <v>0.0456944444444445</v>
      </c>
      <c r="AI935" s="5" t="n">
        <v>0</v>
      </c>
      <c r="AJ935" s="5" t="n">
        <v>0</v>
      </c>
      <c r="AK935" s="5" t="n">
        <v>0</v>
      </c>
      <c r="AL935" s="5" t="n">
        <v>0</v>
      </c>
      <c r="AM935" s="4" t="s">
        <v>78</v>
      </c>
      <c r="AN935" s="0" t="n">
        <v>0</v>
      </c>
      <c r="AO935" s="0" t="n">
        <v>0</v>
      </c>
      <c r="AP935" s="0" t="n">
        <v>0</v>
      </c>
      <c r="AQ935" s="0" t="n">
        <v>0</v>
      </c>
      <c r="AR935" s="0" t="n">
        <v>0</v>
      </c>
      <c r="AS935" s="0" t="n">
        <v>0</v>
      </c>
      <c r="AT935" s="0" t="n">
        <v>0</v>
      </c>
      <c r="AU935" s="0" t="n">
        <v>0</v>
      </c>
      <c r="AV935" s="0" t="n">
        <v>0</v>
      </c>
      <c r="AW935" s="0" t="n">
        <v>0</v>
      </c>
      <c r="AX935" s="0" t="n">
        <v>0</v>
      </c>
      <c r="AY935" s="0" t="n">
        <v>0</v>
      </c>
      <c r="AZ935" s="0" t="n">
        <v>0</v>
      </c>
      <c r="BA935" s="0" t="n">
        <v>0</v>
      </c>
      <c r="BB935" s="0" t="n">
        <v>0</v>
      </c>
      <c r="BC935" s="0" t="n">
        <v>0</v>
      </c>
      <c r="BD935" s="0" t="n">
        <v>0</v>
      </c>
      <c r="BE935" s="0" t="n">
        <v>0</v>
      </c>
      <c r="BF935" s="0" t="n">
        <v>0</v>
      </c>
      <c r="BG935" s="0" t="n">
        <v>0</v>
      </c>
      <c r="BH935" s="0" t="n">
        <v>0</v>
      </c>
      <c r="BI935" s="0" t="n">
        <v>0</v>
      </c>
      <c r="BJ935" s="0" t="n">
        <v>0</v>
      </c>
      <c r="BK935" s="0" t="n">
        <v>0</v>
      </c>
      <c r="BM935" s="6" t="n">
        <f aca="false">IFERROR(VALUE(F935),"")</f>
        <v>0</v>
      </c>
      <c r="BN935" s="6" t="str">
        <f aca="false">IF(R935="-","",IFERROR(VALUE(LEFT(Q935,LEN(Q935)-2)),""))</f>
        <v/>
      </c>
      <c r="BO935" s="6" t="str">
        <f aca="false">IF(R935="-","",IFERROR(VALUE(LEFT(R935,LEN(R935)-5)),""))</f>
        <v/>
      </c>
      <c r="BP935" s="6" t="str">
        <f aca="false">IF(R935="-","",IFERROR(VALUE(F935),""))</f>
        <v/>
      </c>
      <c r="BQ935" s="4" t="n">
        <f aca="false">IF(R935="-",1,0)</f>
        <v>1</v>
      </c>
    </row>
    <row r="936" customFormat="false" ht="15" hidden="false" customHeight="false" outlineLevel="0" collapsed="false">
      <c r="A936" s="0" t="s">
        <v>3719</v>
      </c>
      <c r="B936" s="0" t="s">
        <v>3720</v>
      </c>
      <c r="C936" s="0" t="s">
        <v>70</v>
      </c>
      <c r="D936" s="0" t="s">
        <v>3736</v>
      </c>
      <c r="E936" s="3" t="n">
        <v>46279</v>
      </c>
      <c r="F936" s="4" t="s">
        <v>3737</v>
      </c>
      <c r="G936" s="5" t="n">
        <v>0.488298611111111</v>
      </c>
      <c r="H936" s="5" t="n">
        <v>0.433287037037037</v>
      </c>
      <c r="I936" s="5" t="n">
        <v>0.000115740740740741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1</v>
      </c>
      <c r="O936" s="5" t="n">
        <v>0</v>
      </c>
      <c r="P936" s="5" t="n">
        <v>0.0253125</v>
      </c>
      <c r="Q936" s="4" t="s">
        <v>3738</v>
      </c>
      <c r="R936" s="4" t="s">
        <v>1061</v>
      </c>
      <c r="S936" s="5" t="n">
        <v>0.00150462962962963</v>
      </c>
      <c r="T936" s="5" t="n">
        <v>0.175347222222222</v>
      </c>
      <c r="U936" s="5" t="n">
        <v>0.226388888888889</v>
      </c>
      <c r="V936" s="5" t="n">
        <v>0.0216435185185185</v>
      </c>
      <c r="W936" s="5" t="n">
        <v>0</v>
      </c>
      <c r="X936" s="5" t="n">
        <v>0</v>
      </c>
      <c r="Y936" s="5" t="n">
        <v>0</v>
      </c>
      <c r="Z936" s="0" t="n">
        <v>0</v>
      </c>
      <c r="AA936" s="0" t="n">
        <v>0</v>
      </c>
      <c r="AB936" s="0" t="n">
        <v>0</v>
      </c>
      <c r="AC936" s="4" t="s">
        <v>158</v>
      </c>
      <c r="AD936" s="4" t="s">
        <v>74</v>
      </c>
      <c r="AE936" s="4" t="s">
        <v>3735</v>
      </c>
      <c r="AF936" s="4" t="s">
        <v>3739</v>
      </c>
      <c r="AG936" s="5" t="n">
        <v>0.321168981481482</v>
      </c>
      <c r="AH936" s="5" t="n">
        <v>0.266597222222222</v>
      </c>
      <c r="AI936" s="5" t="n">
        <v>0</v>
      </c>
      <c r="AJ936" s="5" t="n">
        <v>0</v>
      </c>
      <c r="AK936" s="5" t="n">
        <v>0</v>
      </c>
      <c r="AL936" s="5" t="n">
        <v>0</v>
      </c>
      <c r="AM936" s="4" t="s">
        <v>78</v>
      </c>
      <c r="AN936" s="0" t="n">
        <v>0</v>
      </c>
      <c r="AO936" s="0" t="n">
        <v>1</v>
      </c>
      <c r="AP936" s="0" t="n">
        <v>0</v>
      </c>
      <c r="AQ936" s="0" t="n">
        <v>0</v>
      </c>
      <c r="AR936" s="0" t="n">
        <v>1</v>
      </c>
      <c r="AS936" s="0" t="n">
        <v>0</v>
      </c>
      <c r="AT936" s="0" t="n">
        <v>0</v>
      </c>
      <c r="AU936" s="0" t="n">
        <v>0</v>
      </c>
      <c r="AV936" s="0" t="n">
        <v>0</v>
      </c>
      <c r="AW936" s="0" t="n">
        <v>0</v>
      </c>
      <c r="AX936" s="0" t="n">
        <v>0</v>
      </c>
      <c r="AY936" s="0" t="n">
        <v>0</v>
      </c>
      <c r="AZ936" s="0" t="n">
        <v>0</v>
      </c>
      <c r="BA936" s="0" t="n">
        <v>0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0</v>
      </c>
      <c r="BJ936" s="0" t="n">
        <v>0</v>
      </c>
      <c r="BK936" s="0" t="n">
        <v>0</v>
      </c>
      <c r="BM936" s="6" t="n">
        <f aca="false">IFERROR(VALUE(F936),"")</f>
        <v>340.56</v>
      </c>
      <c r="BN936" s="6" t="n">
        <f aca="false">IF(R936="-","",IFERROR(VALUE(LEFT(Q936,LEN(Q936)-2)),""))</f>
        <v>111.99</v>
      </c>
      <c r="BO936" s="6" t="n">
        <f aca="false">IF(R936="-","",IFERROR(VALUE(LEFT(R936,LEN(R936)-5)),""))</f>
        <v>3.04</v>
      </c>
      <c r="BP936" s="6" t="n">
        <f aca="false">IF(R936="-","",IFERROR(VALUE(F936),""))</f>
        <v>340.56</v>
      </c>
      <c r="BQ936" s="4" t="n">
        <f aca="false">IF(R936="-",1,0)</f>
        <v>0</v>
      </c>
    </row>
    <row r="937" customFormat="false" ht="15" hidden="false" customHeight="false" outlineLevel="0" collapsed="false">
      <c r="A937" s="0" t="s">
        <v>3740</v>
      </c>
      <c r="B937" s="0" t="s">
        <v>3741</v>
      </c>
      <c r="C937" s="0" t="s">
        <v>70</v>
      </c>
      <c r="E937" s="3" t="n">
        <v>46273</v>
      </c>
      <c r="F937" s="4" t="s">
        <v>3742</v>
      </c>
      <c r="G937" s="5" t="n">
        <v>0.57318287037037</v>
      </c>
      <c r="H937" s="5" t="n">
        <v>0</v>
      </c>
      <c r="I937" s="5" t="n">
        <v>0.00216435185185185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5" t="n">
        <v>0</v>
      </c>
      <c r="P937" s="5" t="n">
        <v>0.00751157407407407</v>
      </c>
      <c r="Q937" s="4" t="s">
        <v>3743</v>
      </c>
      <c r="R937" s="4" t="s">
        <v>553</v>
      </c>
      <c r="S937" s="5" t="n">
        <v>0.000694444444444445</v>
      </c>
      <c r="T937" s="5" t="n">
        <v>0.122916666666667</v>
      </c>
      <c r="U937" s="5" t="n">
        <v>0.322222222222222</v>
      </c>
      <c r="V937" s="5" t="n">
        <v>0.0525462962962963</v>
      </c>
      <c r="W937" s="5" t="n">
        <v>0</v>
      </c>
      <c r="X937" s="5" t="n">
        <v>0</v>
      </c>
      <c r="Y937" s="5" t="n">
        <v>0</v>
      </c>
      <c r="Z937" s="0" t="n">
        <v>0</v>
      </c>
      <c r="AA937" s="0" t="n">
        <v>0</v>
      </c>
      <c r="AB937" s="0" t="n">
        <v>0</v>
      </c>
      <c r="AC937" s="4" t="s">
        <v>75</v>
      </c>
      <c r="AD937" s="4" t="s">
        <v>432</v>
      </c>
      <c r="AE937" s="4" t="s">
        <v>3744</v>
      </c>
      <c r="AF937" s="4" t="s">
        <v>3745</v>
      </c>
      <c r="AG937" s="5" t="n">
        <v>0.445902777777778</v>
      </c>
      <c r="AH937" s="5" t="n">
        <v>0.168113425925926</v>
      </c>
      <c r="AI937" s="5" t="n">
        <v>0</v>
      </c>
      <c r="AJ937" s="5" t="n">
        <v>0</v>
      </c>
      <c r="AK937" s="5" t="n">
        <v>0</v>
      </c>
      <c r="AL937" s="5" t="n">
        <v>0</v>
      </c>
      <c r="AM937" s="4" t="s">
        <v>78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0</v>
      </c>
      <c r="AU937" s="0" t="n">
        <v>8</v>
      </c>
      <c r="AV937" s="0" t="n">
        <v>0</v>
      </c>
      <c r="AW937" s="0" t="n">
        <v>0</v>
      </c>
      <c r="AX937" s="0" t="n">
        <v>0</v>
      </c>
      <c r="AY937" s="0" t="n">
        <v>0</v>
      </c>
      <c r="AZ937" s="0" t="n">
        <v>0</v>
      </c>
      <c r="BA937" s="0" t="n">
        <v>0</v>
      </c>
      <c r="BB937" s="0" t="n">
        <v>0</v>
      </c>
      <c r="BC937" s="0" t="n">
        <v>2</v>
      </c>
      <c r="BD937" s="0" t="n">
        <v>0</v>
      </c>
      <c r="BE937" s="0" t="n">
        <v>0</v>
      </c>
      <c r="BF937" s="0" t="n">
        <v>0</v>
      </c>
      <c r="BG937" s="0" t="n">
        <v>0</v>
      </c>
      <c r="BH937" s="0" t="n">
        <v>0</v>
      </c>
      <c r="BI937" s="0" t="n">
        <v>0</v>
      </c>
      <c r="BJ937" s="0" t="n">
        <v>0</v>
      </c>
      <c r="BK937" s="0" t="n">
        <v>0</v>
      </c>
      <c r="BM937" s="6" t="n">
        <f aca="false">IFERROR(VALUE(F937),"")</f>
        <v>501.87</v>
      </c>
      <c r="BN937" s="6" t="n">
        <f aca="false">IF(R937="-","",IFERROR(VALUE(LEFT(Q937,LEN(Q937)-2)),""))</f>
        <v>163.34</v>
      </c>
      <c r="BO937" s="6" t="n">
        <f aca="false">IF(R937="-","",IFERROR(VALUE(LEFT(R937,LEN(R937)-5)),""))</f>
        <v>3.07</v>
      </c>
      <c r="BP937" s="6" t="n">
        <f aca="false">IF(R937="-","",IFERROR(VALUE(F937),""))</f>
        <v>501.87</v>
      </c>
      <c r="BQ937" s="4" t="n">
        <f aca="false">IF(R937="-",1,0)</f>
        <v>0</v>
      </c>
    </row>
    <row r="938" customFormat="false" ht="15" hidden="false" customHeight="false" outlineLevel="0" collapsed="false">
      <c r="A938" s="0" t="s">
        <v>3740</v>
      </c>
      <c r="B938" s="0" t="s">
        <v>3741</v>
      </c>
      <c r="C938" s="0" t="s">
        <v>70</v>
      </c>
      <c r="D938" s="0" t="s">
        <v>2811</v>
      </c>
      <c r="E938" s="3" t="n">
        <v>46274</v>
      </c>
      <c r="F938" s="4" t="s">
        <v>3746</v>
      </c>
      <c r="G938" s="5" t="n">
        <v>0.259236111111111</v>
      </c>
      <c r="H938" s="5" t="n">
        <v>0.0926157407407407</v>
      </c>
      <c r="I938" s="5" t="n">
        <v>0.00225694444444444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5" t="n">
        <v>0</v>
      </c>
      <c r="P938" s="5" t="n">
        <v>0</v>
      </c>
      <c r="Q938" s="4" t="s">
        <v>3747</v>
      </c>
      <c r="R938" s="4" t="s">
        <v>431</v>
      </c>
      <c r="S938" s="5" t="n">
        <v>0.000462962962962963</v>
      </c>
      <c r="T938" s="5" t="n">
        <v>0.04375</v>
      </c>
      <c r="U938" s="5" t="n">
        <v>0.166319444444444</v>
      </c>
      <c r="V938" s="5" t="n">
        <v>0.0268518518518519</v>
      </c>
      <c r="W938" s="5" t="n">
        <v>0</v>
      </c>
      <c r="X938" s="5" t="n">
        <v>0</v>
      </c>
      <c r="Y938" s="5" t="n">
        <v>0</v>
      </c>
      <c r="Z938" s="0" t="n">
        <v>0</v>
      </c>
      <c r="AA938" s="0" t="n">
        <v>0</v>
      </c>
      <c r="AB938" s="0" t="n">
        <v>0</v>
      </c>
      <c r="AC938" s="4" t="s">
        <v>432</v>
      </c>
      <c r="AD938" s="4" t="s">
        <v>74</v>
      </c>
      <c r="AE938" s="4" t="s">
        <v>3745</v>
      </c>
      <c r="AF938" s="4" t="s">
        <v>3748</v>
      </c>
      <c r="AG938" s="5" t="n">
        <v>0.217303240740741</v>
      </c>
      <c r="AH938" s="5" t="n">
        <v>0.0804398148148148</v>
      </c>
      <c r="AI938" s="5" t="n">
        <v>0</v>
      </c>
      <c r="AJ938" s="5" t="n">
        <v>0</v>
      </c>
      <c r="AK938" s="5" t="n">
        <v>0</v>
      </c>
      <c r="AL938" s="5" t="n">
        <v>0</v>
      </c>
      <c r="AM938" s="4" t="s">
        <v>78</v>
      </c>
      <c r="AN938" s="0" t="n">
        <v>0</v>
      </c>
      <c r="AO938" s="0" t="n">
        <v>0</v>
      </c>
      <c r="AP938" s="0" t="n">
        <v>0</v>
      </c>
      <c r="AQ938" s="0" t="n">
        <v>0</v>
      </c>
      <c r="AR938" s="0" t="n">
        <v>0</v>
      </c>
      <c r="AS938" s="0" t="n">
        <v>0</v>
      </c>
      <c r="AT938" s="0" t="n">
        <v>0</v>
      </c>
      <c r="AU938" s="0" t="n">
        <v>0</v>
      </c>
      <c r="AV938" s="0" t="n">
        <v>0</v>
      </c>
      <c r="AW938" s="0" t="n">
        <v>0</v>
      </c>
      <c r="AX938" s="0" t="n">
        <v>0</v>
      </c>
      <c r="AY938" s="0" t="n">
        <v>0</v>
      </c>
      <c r="AZ938" s="0" t="n">
        <v>0</v>
      </c>
      <c r="BA938" s="0" t="n">
        <v>0</v>
      </c>
      <c r="BB938" s="0" t="n">
        <v>0</v>
      </c>
      <c r="BC938" s="0" t="n">
        <v>6</v>
      </c>
      <c r="BD938" s="0" t="n">
        <v>0</v>
      </c>
      <c r="BE938" s="0" t="n">
        <v>0</v>
      </c>
      <c r="BF938" s="0" t="n">
        <v>0</v>
      </c>
      <c r="BG938" s="0" t="n">
        <v>0</v>
      </c>
      <c r="BH938" s="0" t="n">
        <v>0</v>
      </c>
      <c r="BI938" s="0" t="n">
        <v>0</v>
      </c>
      <c r="BJ938" s="0" t="n">
        <v>0</v>
      </c>
      <c r="BK938" s="0" t="n">
        <v>0</v>
      </c>
      <c r="BM938" s="6" t="n">
        <f aca="false">IFERROR(VALUE(F938),"")</f>
        <v>297.47</v>
      </c>
      <c r="BN938" s="6" t="n">
        <f aca="false">IF(R938="-","",IFERROR(VALUE(LEFT(Q938,LEN(Q938)-2)),""))</f>
        <v>89.11</v>
      </c>
      <c r="BO938" s="6" t="n">
        <f aca="false">IF(R938="-","",IFERROR(VALUE(LEFT(R938,LEN(R938)-5)),""))</f>
        <v>3.34</v>
      </c>
      <c r="BP938" s="6" t="n">
        <f aca="false">IF(R938="-","",IFERROR(VALUE(F938),""))</f>
        <v>297.47</v>
      </c>
      <c r="BQ938" s="4" t="n">
        <f aca="false">IF(R938="-",1,0)</f>
        <v>0</v>
      </c>
    </row>
    <row r="939" customFormat="false" ht="15" hidden="false" customHeight="false" outlineLevel="0" collapsed="false">
      <c r="A939" s="0" t="s">
        <v>3740</v>
      </c>
      <c r="B939" s="0" t="s">
        <v>3741</v>
      </c>
      <c r="C939" s="0" t="s">
        <v>70</v>
      </c>
      <c r="E939" s="3" t="n">
        <v>46275</v>
      </c>
      <c r="F939" s="4" t="s">
        <v>3749</v>
      </c>
      <c r="G939" s="5" t="n">
        <v>0.224502314814815</v>
      </c>
      <c r="H939" s="5" t="n">
        <v>0</v>
      </c>
      <c r="I939" s="5" t="n">
        <v>0.000289351851851852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5" t="n">
        <v>0</v>
      </c>
      <c r="P939" s="5" t="n">
        <v>0.00991898148148148</v>
      </c>
      <c r="Q939" s="4" t="s">
        <v>3750</v>
      </c>
      <c r="R939" s="4" t="s">
        <v>1061</v>
      </c>
      <c r="S939" s="5" t="n">
        <v>0.000462962962962963</v>
      </c>
      <c r="T939" s="5" t="n">
        <v>0.0703703703703704</v>
      </c>
      <c r="U939" s="5" t="n">
        <v>0.120138888888889</v>
      </c>
      <c r="V939" s="5" t="n">
        <v>0.00490740740740741</v>
      </c>
      <c r="W939" s="5" t="n">
        <v>0.000196759259259259</v>
      </c>
      <c r="X939" s="5" t="n">
        <v>0</v>
      </c>
      <c r="Y939" s="5" t="n">
        <v>9.25925925925926E-005</v>
      </c>
      <c r="Z939" s="0" t="n">
        <v>0</v>
      </c>
      <c r="AA939" s="0" t="n">
        <v>0</v>
      </c>
      <c r="AB939" s="0" t="n">
        <v>0</v>
      </c>
      <c r="AC939" s="4" t="s">
        <v>81</v>
      </c>
      <c r="AD939" s="4" t="s">
        <v>74</v>
      </c>
      <c r="AE939" s="4" t="s">
        <v>3748</v>
      </c>
      <c r="AF939" s="4" t="s">
        <v>3751</v>
      </c>
      <c r="AG939" s="5" t="n">
        <v>0.173229166666667</v>
      </c>
      <c r="AH939" s="5" t="n">
        <v>0.169548611111111</v>
      </c>
      <c r="AI939" s="5" t="n">
        <v>0</v>
      </c>
      <c r="AJ939" s="5" t="n">
        <v>0</v>
      </c>
      <c r="AK939" s="5" t="n">
        <v>0</v>
      </c>
      <c r="AL939" s="5" t="n">
        <v>0</v>
      </c>
      <c r="AM939" s="4" t="s">
        <v>78</v>
      </c>
      <c r="AN939" s="0" t="n">
        <v>0</v>
      </c>
      <c r="AO939" s="0" t="n">
        <v>0</v>
      </c>
      <c r="AP939" s="0" t="n">
        <v>0</v>
      </c>
      <c r="AQ939" s="0" t="n">
        <v>0</v>
      </c>
      <c r="AR939" s="0" t="n">
        <v>0</v>
      </c>
      <c r="AS939" s="0" t="n">
        <v>0</v>
      </c>
      <c r="AT939" s="0" t="n">
        <v>0</v>
      </c>
      <c r="AU939" s="0" t="n">
        <v>2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  <c r="BA939" s="0" t="n">
        <v>0</v>
      </c>
      <c r="BB939" s="0" t="n">
        <v>0</v>
      </c>
      <c r="BC939" s="0" t="n">
        <v>1</v>
      </c>
      <c r="BD939" s="0" t="n">
        <v>0</v>
      </c>
      <c r="BE939" s="0" t="n">
        <v>0</v>
      </c>
      <c r="BF939" s="0" t="n">
        <v>0</v>
      </c>
      <c r="BG939" s="0" t="n">
        <v>0</v>
      </c>
      <c r="BH939" s="0" t="n">
        <v>0</v>
      </c>
      <c r="BI939" s="0" t="n">
        <v>0</v>
      </c>
      <c r="BJ939" s="0" t="n">
        <v>0</v>
      </c>
      <c r="BK939" s="0" t="n">
        <v>0</v>
      </c>
      <c r="BM939" s="6" t="n">
        <f aca="false">IFERROR(VALUE(F939),"")</f>
        <v>136.46</v>
      </c>
      <c r="BN939" s="6" t="n">
        <f aca="false">IF(R939="-","",IFERROR(VALUE(LEFT(Q939,LEN(Q939)-2)),""))</f>
        <v>44.95</v>
      </c>
      <c r="BO939" s="6" t="n">
        <f aca="false">IF(R939="-","",IFERROR(VALUE(LEFT(R939,LEN(R939)-5)),""))</f>
        <v>3.04</v>
      </c>
      <c r="BP939" s="6" t="n">
        <f aca="false">IF(R939="-","",IFERROR(VALUE(F939),""))</f>
        <v>136.46</v>
      </c>
      <c r="BQ939" s="4" t="n">
        <f aca="false">IF(R939="-",1,0)</f>
        <v>0</v>
      </c>
    </row>
    <row r="940" customFormat="false" ht="15" hidden="false" customHeight="false" outlineLevel="0" collapsed="false">
      <c r="A940" s="0" t="s">
        <v>3740</v>
      </c>
      <c r="B940" s="0" t="s">
        <v>3741</v>
      </c>
      <c r="C940" s="0" t="s">
        <v>70</v>
      </c>
      <c r="E940" s="3" t="n">
        <v>46276</v>
      </c>
      <c r="F940" s="4" t="s">
        <v>3752</v>
      </c>
      <c r="G940" s="5" t="n">
        <v>0.666273148148148</v>
      </c>
      <c r="H940" s="5" t="n">
        <v>0</v>
      </c>
      <c r="I940" s="5" t="n">
        <v>0.000763888888888889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7</v>
      </c>
      <c r="O940" s="5" t="n">
        <v>0</v>
      </c>
      <c r="P940" s="5" t="n">
        <v>0.0258796296296296</v>
      </c>
      <c r="Q940" s="4" t="s">
        <v>3753</v>
      </c>
      <c r="R940" s="4" t="s">
        <v>431</v>
      </c>
      <c r="S940" s="5" t="n">
        <v>0.000810185185185185</v>
      </c>
      <c r="T940" s="5" t="n">
        <v>0.158912037037037</v>
      </c>
      <c r="U940" s="5" t="n">
        <v>0.369097222222222</v>
      </c>
      <c r="V940" s="5" t="n">
        <v>0.0217592592592593</v>
      </c>
      <c r="W940" s="5" t="n">
        <v>0</v>
      </c>
      <c r="X940" s="5" t="n">
        <v>0</v>
      </c>
      <c r="Y940" s="5" t="n">
        <v>0</v>
      </c>
      <c r="Z940" s="0" t="n">
        <v>0</v>
      </c>
      <c r="AA940" s="0" t="n">
        <v>0</v>
      </c>
      <c r="AB940" s="0" t="n">
        <v>0</v>
      </c>
      <c r="AC940" s="4" t="s">
        <v>228</v>
      </c>
      <c r="AD940" s="4" t="s">
        <v>994</v>
      </c>
      <c r="AE940" s="4" t="s">
        <v>3751</v>
      </c>
      <c r="AF940" s="4" t="s">
        <v>3754</v>
      </c>
      <c r="AG940" s="5" t="n">
        <v>0.470023148148148</v>
      </c>
      <c r="AH940" s="5" t="n">
        <v>0.265821759259259</v>
      </c>
      <c r="AI940" s="5" t="n">
        <v>0</v>
      </c>
      <c r="AJ940" s="5" t="n">
        <v>0</v>
      </c>
      <c r="AK940" s="5" t="n">
        <v>0</v>
      </c>
      <c r="AL940" s="5" t="n">
        <v>0</v>
      </c>
      <c r="AM940" s="4" t="s">
        <v>78</v>
      </c>
      <c r="AN940" s="0" t="n">
        <v>0</v>
      </c>
      <c r="AO940" s="0" t="n">
        <v>0</v>
      </c>
      <c r="AP940" s="0" t="n">
        <v>0</v>
      </c>
      <c r="AQ940" s="0" t="n">
        <v>0</v>
      </c>
      <c r="AR940" s="0" t="n">
        <v>0</v>
      </c>
      <c r="AS940" s="0" t="n">
        <v>0</v>
      </c>
      <c r="AT940" s="0" t="n">
        <v>0</v>
      </c>
      <c r="AU940" s="0" t="n">
        <v>2</v>
      </c>
      <c r="AV940" s="0" t="n">
        <v>0</v>
      </c>
      <c r="AW940" s="0" t="n">
        <v>0</v>
      </c>
      <c r="AX940" s="0" t="n">
        <v>0</v>
      </c>
      <c r="AY940" s="0" t="n">
        <v>0</v>
      </c>
      <c r="AZ940" s="0" t="n">
        <v>0</v>
      </c>
      <c r="BA940" s="0" t="n">
        <v>0</v>
      </c>
      <c r="BB940" s="0" t="n">
        <v>0</v>
      </c>
      <c r="BC940" s="0" t="n">
        <v>2</v>
      </c>
      <c r="BD940" s="0" t="n">
        <v>0</v>
      </c>
      <c r="BE940" s="0" t="n">
        <v>0</v>
      </c>
      <c r="BF940" s="0" t="n">
        <v>0</v>
      </c>
      <c r="BG940" s="0" t="n">
        <v>0</v>
      </c>
      <c r="BH940" s="0" t="n">
        <v>0</v>
      </c>
      <c r="BI940" s="0" t="n">
        <v>0</v>
      </c>
      <c r="BJ940" s="0" t="n">
        <v>0</v>
      </c>
      <c r="BK940" s="0" t="n">
        <v>0</v>
      </c>
      <c r="BM940" s="6" t="n">
        <f aca="false">IFERROR(VALUE(F940),"")</f>
        <v>608.44</v>
      </c>
      <c r="BN940" s="6" t="n">
        <f aca="false">IF(R940="-","",IFERROR(VALUE(LEFT(Q940,LEN(Q940)-2)),""))</f>
        <v>182.38</v>
      </c>
      <c r="BO940" s="6" t="n">
        <f aca="false">IF(R940="-","",IFERROR(VALUE(LEFT(R940,LEN(R940)-5)),""))</f>
        <v>3.34</v>
      </c>
      <c r="BP940" s="6" t="n">
        <f aca="false">IF(R940="-","",IFERROR(VALUE(F940),""))</f>
        <v>608.44</v>
      </c>
      <c r="BQ940" s="4" t="n">
        <f aca="false">IF(R940="-",1,0)</f>
        <v>0</v>
      </c>
    </row>
    <row r="941" customFormat="false" ht="15" hidden="false" customHeight="false" outlineLevel="0" collapsed="false">
      <c r="A941" s="0" t="s">
        <v>3740</v>
      </c>
      <c r="B941" s="0" t="s">
        <v>3741</v>
      </c>
      <c r="C941" s="0" t="s">
        <v>70</v>
      </c>
      <c r="E941" s="3" t="n">
        <v>46277</v>
      </c>
      <c r="F941" s="4" t="s">
        <v>3755</v>
      </c>
      <c r="G941" s="5" t="n">
        <v>0.566875</v>
      </c>
      <c r="H941" s="5" t="n">
        <v>0</v>
      </c>
      <c r="I941" s="5" t="n">
        <v>0.00340277777777778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1</v>
      </c>
      <c r="O941" s="5" t="n">
        <v>0</v>
      </c>
      <c r="P941" s="5" t="n">
        <v>0</v>
      </c>
      <c r="Q941" s="4" t="s">
        <v>3756</v>
      </c>
      <c r="R941" s="4" t="s">
        <v>1997</v>
      </c>
      <c r="S941" s="5" t="n">
        <v>0.000578703703703704</v>
      </c>
      <c r="T941" s="5" t="n">
        <v>0.0886574074074074</v>
      </c>
      <c r="U941" s="5" t="n">
        <v>0.396990740740741</v>
      </c>
      <c r="V941" s="5" t="n">
        <v>0.0572916666666667</v>
      </c>
      <c r="W941" s="5" t="n">
        <v>0</v>
      </c>
      <c r="X941" s="5" t="n">
        <v>0</v>
      </c>
      <c r="Y941" s="5" t="n">
        <v>0</v>
      </c>
      <c r="Z941" s="0" t="n">
        <v>0</v>
      </c>
      <c r="AA941" s="0" t="n">
        <v>0</v>
      </c>
      <c r="AB941" s="0" t="n">
        <v>0</v>
      </c>
      <c r="AC941" s="4" t="s">
        <v>994</v>
      </c>
      <c r="AD941" s="4" t="s">
        <v>1026</v>
      </c>
      <c r="AE941" s="4" t="s">
        <v>3757</v>
      </c>
      <c r="AF941" s="4" t="s">
        <v>3758</v>
      </c>
      <c r="AG941" s="5" t="n">
        <v>0.502349537037037</v>
      </c>
      <c r="AH941" s="5" t="n">
        <v>0.127384259259259</v>
      </c>
      <c r="AI941" s="5" t="n">
        <v>0</v>
      </c>
      <c r="AJ941" s="5" t="n">
        <v>0</v>
      </c>
      <c r="AK941" s="5" t="n">
        <v>0</v>
      </c>
      <c r="AL941" s="5" t="n">
        <v>0</v>
      </c>
      <c r="AM941" s="4" t="s">
        <v>78</v>
      </c>
      <c r="AN941" s="0" t="n">
        <v>0</v>
      </c>
      <c r="AO941" s="0" t="n">
        <v>0</v>
      </c>
      <c r="AP941" s="0" t="n">
        <v>0</v>
      </c>
      <c r="AQ941" s="0" t="n">
        <v>0</v>
      </c>
      <c r="AR941" s="0" t="n">
        <v>0</v>
      </c>
      <c r="AS941" s="0" t="n">
        <v>0</v>
      </c>
      <c r="AT941" s="0" t="n">
        <v>0</v>
      </c>
      <c r="AU941" s="0" t="n">
        <v>1</v>
      </c>
      <c r="AV941" s="0" t="n">
        <v>0</v>
      </c>
      <c r="AW941" s="0" t="n">
        <v>1</v>
      </c>
      <c r="AX941" s="0" t="n">
        <v>0</v>
      </c>
      <c r="AY941" s="0" t="n">
        <v>0</v>
      </c>
      <c r="AZ941" s="0" t="n">
        <v>0</v>
      </c>
      <c r="BA941" s="0" t="n">
        <v>0</v>
      </c>
      <c r="BB941" s="0" t="n">
        <v>0</v>
      </c>
      <c r="BC941" s="0" t="n">
        <v>3</v>
      </c>
      <c r="BD941" s="0" t="n">
        <v>0</v>
      </c>
      <c r="BE941" s="0" t="n">
        <v>0</v>
      </c>
      <c r="BF941" s="0" t="n">
        <v>0</v>
      </c>
      <c r="BG941" s="0" t="n">
        <v>0</v>
      </c>
      <c r="BH941" s="0" t="n">
        <v>0</v>
      </c>
      <c r="BI941" s="0" t="n">
        <v>0</v>
      </c>
      <c r="BJ941" s="0" t="n">
        <v>0</v>
      </c>
      <c r="BK941" s="0" t="n">
        <v>0</v>
      </c>
      <c r="BM941" s="6" t="n">
        <f aca="false">IFERROR(VALUE(F941),"")</f>
        <v>717.69</v>
      </c>
      <c r="BN941" s="6" t="n">
        <f aca="false">IF(R941="-","",IFERROR(VALUE(LEFT(Q941,LEN(Q941)-2)),""))</f>
        <v>205.78</v>
      </c>
      <c r="BO941" s="6" t="n">
        <f aca="false">IF(R941="-","",IFERROR(VALUE(LEFT(R941,LEN(R941)-5)),""))</f>
        <v>3.49</v>
      </c>
      <c r="BP941" s="6" t="n">
        <f aca="false">IF(R941="-","",IFERROR(VALUE(F941),""))</f>
        <v>717.69</v>
      </c>
      <c r="BQ941" s="4" t="n">
        <f aca="false">IF(R941="-",1,0)</f>
        <v>0</v>
      </c>
    </row>
    <row r="942" customFormat="false" ht="15" hidden="false" customHeight="false" outlineLevel="0" collapsed="false">
      <c r="A942" s="0" t="s">
        <v>3740</v>
      </c>
      <c r="B942" s="0" t="s">
        <v>3741</v>
      </c>
      <c r="C942" s="0" t="s">
        <v>70</v>
      </c>
      <c r="E942" s="3" t="n">
        <v>46278</v>
      </c>
      <c r="F942" s="4" t="s">
        <v>3759</v>
      </c>
      <c r="G942" s="5" t="n">
        <v>0.490636574074074</v>
      </c>
      <c r="H942" s="5" t="n">
        <v>0</v>
      </c>
      <c r="I942" s="5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5" t="n">
        <v>0</v>
      </c>
      <c r="P942" s="5" t="n">
        <v>0</v>
      </c>
      <c r="Q942" s="4" t="s">
        <v>3760</v>
      </c>
      <c r="R942" s="4" t="s">
        <v>365</v>
      </c>
      <c r="S942" s="5" t="n">
        <v>0.000925925925925926</v>
      </c>
      <c r="T942" s="5" t="n">
        <v>0.0989583333333333</v>
      </c>
      <c r="U942" s="5" t="n">
        <v>0.310416666666667</v>
      </c>
      <c r="V942" s="5" t="n">
        <v>0.0456018518518519</v>
      </c>
      <c r="W942" s="5" t="n">
        <v>0</v>
      </c>
      <c r="X942" s="5" t="n">
        <v>0</v>
      </c>
      <c r="Y942" s="5" t="n">
        <v>0</v>
      </c>
      <c r="Z942" s="0" t="n">
        <v>0</v>
      </c>
      <c r="AA942" s="0" t="n">
        <v>0</v>
      </c>
      <c r="AB942" s="0" t="n">
        <v>0</v>
      </c>
      <c r="AC942" s="4" t="s">
        <v>1026</v>
      </c>
      <c r="AD942" s="4" t="s">
        <v>3761</v>
      </c>
      <c r="AE942" s="4" t="s">
        <v>3758</v>
      </c>
      <c r="AF942" s="4" t="s">
        <v>3762</v>
      </c>
      <c r="AG942" s="5" t="n">
        <v>0.404409722222222</v>
      </c>
      <c r="AH942" s="5" t="n">
        <v>0.119398148148148</v>
      </c>
      <c r="AI942" s="5" t="n">
        <v>0</v>
      </c>
      <c r="AJ942" s="5" t="n">
        <v>0</v>
      </c>
      <c r="AK942" s="5" t="n">
        <v>0</v>
      </c>
      <c r="AL942" s="5" t="n">
        <v>0</v>
      </c>
      <c r="AM942" s="4" t="s">
        <v>78</v>
      </c>
      <c r="AN942" s="0" t="n">
        <v>0</v>
      </c>
      <c r="AO942" s="0" t="n">
        <v>0</v>
      </c>
      <c r="AP942" s="0" t="n">
        <v>0</v>
      </c>
      <c r="AQ942" s="0" t="n">
        <v>0</v>
      </c>
      <c r="AR942" s="0" t="n">
        <v>0</v>
      </c>
      <c r="AS942" s="0" t="n">
        <v>0</v>
      </c>
      <c r="AT942" s="0" t="n">
        <v>0</v>
      </c>
      <c r="AU942" s="0" t="n">
        <v>0</v>
      </c>
      <c r="AV942" s="0" t="n">
        <v>0</v>
      </c>
      <c r="AW942" s="0" t="n">
        <v>0</v>
      </c>
      <c r="AX942" s="0" t="n">
        <v>0</v>
      </c>
      <c r="AY942" s="0" t="n">
        <v>0</v>
      </c>
      <c r="AZ942" s="0" t="n">
        <v>0</v>
      </c>
      <c r="BA942" s="0" t="n">
        <v>0</v>
      </c>
      <c r="BB942" s="0" t="n">
        <v>0</v>
      </c>
      <c r="BC942" s="0" t="n">
        <v>0</v>
      </c>
      <c r="BD942" s="0" t="n">
        <v>0</v>
      </c>
      <c r="BE942" s="0" t="n">
        <v>0</v>
      </c>
      <c r="BF942" s="0" t="n">
        <v>0</v>
      </c>
      <c r="BG942" s="0" t="n">
        <v>0</v>
      </c>
      <c r="BH942" s="0" t="n">
        <v>0</v>
      </c>
      <c r="BI942" s="0" t="n">
        <v>0</v>
      </c>
      <c r="BJ942" s="0" t="n">
        <v>0</v>
      </c>
      <c r="BK942" s="0" t="n">
        <v>0</v>
      </c>
      <c r="BM942" s="6" t="n">
        <f aca="false">IFERROR(VALUE(F942),"")</f>
        <v>516.44</v>
      </c>
      <c r="BN942" s="6" t="n">
        <f aca="false">IF(R942="-","",IFERROR(VALUE(LEFT(Q942,LEN(Q942)-2)),""))</f>
        <v>161.42</v>
      </c>
      <c r="BO942" s="6" t="n">
        <f aca="false">IF(R942="-","",IFERROR(VALUE(LEFT(R942,LEN(R942)-5)),""))</f>
        <v>3.2</v>
      </c>
      <c r="BP942" s="6" t="n">
        <f aca="false">IF(R942="-","",IFERROR(VALUE(F942),""))</f>
        <v>516.44</v>
      </c>
      <c r="BQ942" s="4" t="n">
        <f aca="false">IF(R942="-",1,0)</f>
        <v>0</v>
      </c>
    </row>
    <row r="943" customFormat="false" ht="15" hidden="false" customHeight="false" outlineLevel="0" collapsed="false">
      <c r="A943" s="0" t="s">
        <v>3740</v>
      </c>
      <c r="B943" s="0" t="s">
        <v>3741</v>
      </c>
      <c r="C943" s="0" t="s">
        <v>70</v>
      </c>
      <c r="E943" s="3" t="n">
        <v>46279</v>
      </c>
      <c r="F943" s="4" t="s">
        <v>3763</v>
      </c>
      <c r="G943" s="5" t="n">
        <v>0.671898148148148</v>
      </c>
      <c r="H943" s="5" t="n">
        <v>0</v>
      </c>
      <c r="I943" s="5" t="n">
        <v>0.000219907407407407</v>
      </c>
      <c r="J943" s="0" t="n">
        <v>0</v>
      </c>
      <c r="K943" s="0" t="n">
        <v>1</v>
      </c>
      <c r="L943" s="0" t="n">
        <v>0</v>
      </c>
      <c r="M943" s="0" t="n">
        <v>0</v>
      </c>
      <c r="N943" s="0" t="n">
        <v>0</v>
      </c>
      <c r="O943" s="5" t="n">
        <v>0</v>
      </c>
      <c r="P943" s="5" t="n">
        <v>0.0071412037037037</v>
      </c>
      <c r="Q943" s="4" t="s">
        <v>3764</v>
      </c>
      <c r="R943" s="4" t="s">
        <v>1346</v>
      </c>
      <c r="S943" s="5" t="n">
        <v>0.000925925925925926</v>
      </c>
      <c r="T943" s="5" t="n">
        <v>0.132291666666667</v>
      </c>
      <c r="U943" s="5" t="n">
        <v>0.415393518518519</v>
      </c>
      <c r="V943" s="5" t="n">
        <v>0.0409722222222222</v>
      </c>
      <c r="W943" s="5" t="n">
        <v>0.000115740740740741</v>
      </c>
      <c r="X943" s="5" t="n">
        <v>0</v>
      </c>
      <c r="Y943" s="5" t="n">
        <v>0</v>
      </c>
      <c r="Z943" s="0" t="n">
        <v>0</v>
      </c>
      <c r="AA943" s="0" t="n">
        <v>0</v>
      </c>
      <c r="AB943" s="0" t="n">
        <v>0</v>
      </c>
      <c r="AC943" s="4" t="s">
        <v>3765</v>
      </c>
      <c r="AD943" s="4" t="s">
        <v>1026</v>
      </c>
      <c r="AE943" s="4" t="s">
        <v>3766</v>
      </c>
      <c r="AF943" s="4" t="s">
        <v>3767</v>
      </c>
      <c r="AG943" s="5" t="n">
        <v>0.520717592592593</v>
      </c>
      <c r="AH943" s="5" t="n">
        <v>0.222372685185185</v>
      </c>
      <c r="AI943" s="5" t="n">
        <v>0</v>
      </c>
      <c r="AJ943" s="5" t="n">
        <v>0</v>
      </c>
      <c r="AK943" s="5" t="n">
        <v>0</v>
      </c>
      <c r="AL943" s="5" t="n">
        <v>0</v>
      </c>
      <c r="AM943" s="4" t="s">
        <v>78</v>
      </c>
      <c r="AN943" s="0" t="n">
        <v>0</v>
      </c>
      <c r="AO943" s="0" t="n">
        <v>0</v>
      </c>
      <c r="AP943" s="0" t="n">
        <v>0</v>
      </c>
      <c r="AQ943" s="0" t="n">
        <v>0</v>
      </c>
      <c r="AR943" s="0" t="n">
        <v>0</v>
      </c>
      <c r="AS943" s="0" t="n">
        <v>0</v>
      </c>
      <c r="AT943" s="0" t="n">
        <v>0</v>
      </c>
      <c r="AU943" s="0" t="n">
        <v>4</v>
      </c>
      <c r="AV943" s="0" t="n">
        <v>0</v>
      </c>
      <c r="AW943" s="0" t="n">
        <v>1</v>
      </c>
      <c r="AX943" s="0" t="n">
        <v>0</v>
      </c>
      <c r="AY943" s="0" t="n">
        <v>0</v>
      </c>
      <c r="AZ943" s="0" t="n">
        <v>0</v>
      </c>
      <c r="BA943" s="0" t="n">
        <v>0</v>
      </c>
      <c r="BB943" s="0" t="n">
        <v>4</v>
      </c>
      <c r="BC943" s="0" t="n">
        <v>0</v>
      </c>
      <c r="BD943" s="0" t="n">
        <v>0</v>
      </c>
      <c r="BE943" s="0" t="n">
        <v>0</v>
      </c>
      <c r="BF943" s="0" t="n">
        <v>0</v>
      </c>
      <c r="BG943" s="0" t="n">
        <v>0</v>
      </c>
      <c r="BH943" s="0" t="n">
        <v>0</v>
      </c>
      <c r="BI943" s="0" t="n">
        <v>0</v>
      </c>
      <c r="BJ943" s="0" t="n">
        <v>0</v>
      </c>
      <c r="BK943" s="0" t="n">
        <v>0</v>
      </c>
      <c r="BM943" s="6" t="n">
        <f aca="false">IFERROR(VALUE(F943),"")</f>
        <v>659.94</v>
      </c>
      <c r="BN943" s="6" t="n">
        <f aca="false">IF(R943="-","",IFERROR(VALUE(LEFT(Q943,LEN(Q943)-2)),""))</f>
        <v>198.9</v>
      </c>
      <c r="BO943" s="6" t="n">
        <f aca="false">IF(R943="-","",IFERROR(VALUE(LEFT(R943,LEN(R943)-5)),""))</f>
        <v>3.32</v>
      </c>
      <c r="BP943" s="6" t="n">
        <f aca="false">IF(R943="-","",IFERROR(VALUE(F943),""))</f>
        <v>659.94</v>
      </c>
      <c r="BQ943" s="4" t="n">
        <f aca="false">IF(R943="-",1,0)</f>
        <v>0</v>
      </c>
    </row>
    <row r="944" customFormat="false" ht="15" hidden="false" customHeight="false" outlineLevel="0" collapsed="false">
      <c r="A944" s="0" t="s">
        <v>3768</v>
      </c>
      <c r="B944" s="0" t="s">
        <v>3769</v>
      </c>
      <c r="C944" s="0" t="s">
        <v>70</v>
      </c>
      <c r="E944" s="3" t="n">
        <v>46273</v>
      </c>
      <c r="F944" s="4" t="s">
        <v>1158</v>
      </c>
      <c r="G944" s="5" t="n">
        <v>0.0100115740740741</v>
      </c>
      <c r="H944" s="5" t="n">
        <v>0</v>
      </c>
      <c r="I944" s="5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5" t="n">
        <v>0</v>
      </c>
      <c r="P944" s="5" t="n">
        <v>0</v>
      </c>
      <c r="Q944" s="4" t="s">
        <v>3727</v>
      </c>
      <c r="R944" s="4" t="s">
        <v>3770</v>
      </c>
      <c r="S944" s="5" t="n">
        <v>0.000115740740740741</v>
      </c>
      <c r="T944" s="5" t="n">
        <v>0.00648148148148148</v>
      </c>
      <c r="U944" s="5" t="n">
        <v>0</v>
      </c>
      <c r="V944" s="5" t="n">
        <v>0</v>
      </c>
      <c r="W944" s="5" t="n">
        <v>0</v>
      </c>
      <c r="X944" s="5" t="n">
        <v>0</v>
      </c>
      <c r="Y944" s="5" t="n">
        <v>0</v>
      </c>
      <c r="Z944" s="0" t="n">
        <v>0</v>
      </c>
      <c r="AA944" s="0" t="n">
        <v>0</v>
      </c>
      <c r="AB944" s="0" t="n">
        <v>0</v>
      </c>
      <c r="AC944" s="4" t="s">
        <v>3771</v>
      </c>
      <c r="AD944" s="4" t="s">
        <v>228</v>
      </c>
      <c r="AE944" s="4" t="s">
        <v>3772</v>
      </c>
      <c r="AF944" s="4" t="s">
        <v>3773</v>
      </c>
      <c r="AG944" s="5" t="n">
        <v>0.00136574074074074</v>
      </c>
      <c r="AH944" s="5" t="n">
        <v>0.0261574074074074</v>
      </c>
      <c r="AI944" s="5" t="n">
        <v>0</v>
      </c>
      <c r="AJ944" s="5" t="n">
        <v>0</v>
      </c>
      <c r="AK944" s="5" t="n">
        <v>0</v>
      </c>
      <c r="AL944" s="5" t="n">
        <v>0</v>
      </c>
      <c r="AM944" s="4" t="s">
        <v>78</v>
      </c>
      <c r="AN944" s="0" t="n">
        <v>0</v>
      </c>
      <c r="AO944" s="0" t="n">
        <v>0</v>
      </c>
      <c r="AP944" s="0" t="n">
        <v>0</v>
      </c>
      <c r="AQ944" s="0" t="n">
        <v>0</v>
      </c>
      <c r="AR944" s="0" t="n">
        <v>0</v>
      </c>
      <c r="AS944" s="0" t="n">
        <v>0</v>
      </c>
      <c r="AT944" s="0" t="n">
        <v>0</v>
      </c>
      <c r="AU944" s="0" t="n">
        <v>0</v>
      </c>
      <c r="AV944" s="0" t="n">
        <v>0</v>
      </c>
      <c r="AW944" s="0" t="n">
        <v>0</v>
      </c>
      <c r="AX944" s="0" t="n">
        <v>0</v>
      </c>
      <c r="AY944" s="0" t="n">
        <v>0</v>
      </c>
      <c r="AZ944" s="0" t="n">
        <v>0</v>
      </c>
      <c r="BA944" s="0" t="n">
        <v>0</v>
      </c>
      <c r="BB944" s="0" t="n">
        <v>0</v>
      </c>
      <c r="BC944" s="0" t="n">
        <v>0</v>
      </c>
      <c r="BD944" s="0" t="n">
        <v>0</v>
      </c>
      <c r="BE944" s="0" t="n">
        <v>0</v>
      </c>
      <c r="BF944" s="0" t="n">
        <v>0</v>
      </c>
      <c r="BG944" s="0" t="n">
        <v>0</v>
      </c>
      <c r="BH944" s="0" t="n">
        <v>0</v>
      </c>
      <c r="BI944" s="0" t="n">
        <v>0</v>
      </c>
      <c r="BJ944" s="0" t="n">
        <v>0</v>
      </c>
      <c r="BK944" s="0" t="n">
        <v>0</v>
      </c>
      <c r="BM944" s="6" t="n">
        <f aca="false">IFERROR(VALUE(F944),"")</f>
        <v>0.04</v>
      </c>
      <c r="BN944" s="6" t="n">
        <f aca="false">IF(R944="-","",IFERROR(VALUE(LEFT(Q944,LEN(Q944)-2)),""))</f>
        <v>0.3</v>
      </c>
      <c r="BO944" s="6" t="n">
        <f aca="false">IF(R944="-","",IFERROR(VALUE(LEFT(R944,LEN(R944)-5)),""))</f>
        <v>0.13</v>
      </c>
      <c r="BP944" s="6" t="n">
        <f aca="false">IF(R944="-","",IFERROR(VALUE(F944),""))</f>
        <v>0.04</v>
      </c>
      <c r="BQ944" s="4" t="n">
        <f aca="false">IF(R944="-",1,0)</f>
        <v>0</v>
      </c>
    </row>
    <row r="945" customFormat="false" ht="15" hidden="false" customHeight="false" outlineLevel="0" collapsed="false">
      <c r="A945" s="0" t="s">
        <v>3768</v>
      </c>
      <c r="B945" s="0" t="s">
        <v>3769</v>
      </c>
      <c r="C945" s="0" t="s">
        <v>70</v>
      </c>
      <c r="E945" s="3" t="n">
        <v>46275</v>
      </c>
      <c r="F945" s="4" t="s">
        <v>457</v>
      </c>
      <c r="G945" s="5" t="n">
        <v>0.0953935185185185</v>
      </c>
      <c r="H945" s="5" t="n">
        <v>0</v>
      </c>
      <c r="I945" s="5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5" t="n">
        <v>0</v>
      </c>
      <c r="P945" s="5" t="n">
        <v>0.0322222222222222</v>
      </c>
      <c r="Q945" s="4" t="s">
        <v>3774</v>
      </c>
      <c r="R945" s="4" t="s">
        <v>454</v>
      </c>
      <c r="S945" s="5" t="n">
        <v>0.000115740740740741</v>
      </c>
      <c r="T945" s="5" t="n">
        <v>0.0417824074074074</v>
      </c>
      <c r="U945" s="5" t="n">
        <v>0.000347222222222222</v>
      </c>
      <c r="V945" s="5" t="n">
        <v>0.000347222222222222</v>
      </c>
      <c r="W945" s="5" t="n">
        <v>0</v>
      </c>
      <c r="X945" s="5" t="n">
        <v>0</v>
      </c>
      <c r="Y945" s="5" t="n">
        <v>0</v>
      </c>
      <c r="Z945" s="0" t="n">
        <v>0</v>
      </c>
      <c r="AA945" s="0" t="n">
        <v>0</v>
      </c>
      <c r="AB945" s="0" t="n">
        <v>0</v>
      </c>
      <c r="AC945" s="4" t="s">
        <v>75</v>
      </c>
      <c r="AD945" s="4" t="s">
        <v>228</v>
      </c>
      <c r="AE945" s="4" t="s">
        <v>3773</v>
      </c>
      <c r="AF945" s="4" t="s">
        <v>3775</v>
      </c>
      <c r="AG945" s="5" t="n">
        <v>0</v>
      </c>
      <c r="AH945" s="5" t="n">
        <v>0.0969444444444444</v>
      </c>
      <c r="AI945" s="5" t="n">
        <v>0</v>
      </c>
      <c r="AJ945" s="5" t="n">
        <v>0</v>
      </c>
      <c r="AK945" s="5" t="n">
        <v>0</v>
      </c>
      <c r="AL945" s="5" t="n">
        <v>0</v>
      </c>
      <c r="AM945" s="4" t="s">
        <v>78</v>
      </c>
      <c r="AN945" s="0" t="n">
        <v>0</v>
      </c>
      <c r="AO945" s="0" t="n">
        <v>0</v>
      </c>
      <c r="AP945" s="0" t="n">
        <v>0</v>
      </c>
      <c r="AQ945" s="0" t="n">
        <v>0</v>
      </c>
      <c r="AR945" s="0" t="n">
        <v>0</v>
      </c>
      <c r="AS945" s="0" t="n">
        <v>0</v>
      </c>
      <c r="AT945" s="0" t="n">
        <v>0</v>
      </c>
      <c r="AU945" s="0" t="n">
        <v>0</v>
      </c>
      <c r="AV945" s="0" t="n">
        <v>0</v>
      </c>
      <c r="AW945" s="0" t="n">
        <v>0</v>
      </c>
      <c r="AX945" s="0" t="n">
        <v>0</v>
      </c>
      <c r="AY945" s="0" t="n">
        <v>0</v>
      </c>
      <c r="AZ945" s="0" t="n">
        <v>0</v>
      </c>
      <c r="BA945" s="0" t="n">
        <v>0</v>
      </c>
      <c r="BB945" s="0" t="n">
        <v>0</v>
      </c>
      <c r="BC945" s="0" t="n">
        <v>0</v>
      </c>
      <c r="BD945" s="0" t="n">
        <v>0</v>
      </c>
      <c r="BE945" s="0" t="n">
        <v>0</v>
      </c>
      <c r="BF945" s="0" t="n">
        <v>0</v>
      </c>
      <c r="BG945" s="0" t="n">
        <v>0</v>
      </c>
      <c r="BH945" s="0" t="n">
        <v>0</v>
      </c>
      <c r="BI945" s="0" t="n">
        <v>0</v>
      </c>
      <c r="BJ945" s="0" t="n">
        <v>0</v>
      </c>
      <c r="BK945" s="0" t="n">
        <v>0</v>
      </c>
      <c r="BM945" s="6" t="n">
        <f aca="false">IFERROR(VALUE(F945),"")</f>
        <v>0.01</v>
      </c>
      <c r="BN945" s="6" t="n">
        <f aca="false">IF(R945="-","",IFERROR(VALUE(LEFT(Q945,LEN(Q945)-2)),""))</f>
        <v>3.09</v>
      </c>
      <c r="BO945" s="6" t="n">
        <f aca="false">IF(R945="-","",IFERROR(VALUE(LEFT(R945,LEN(R945)-5)),""))</f>
        <v>0</v>
      </c>
      <c r="BP945" s="6" t="n">
        <f aca="false">IF(R945="-","",IFERROR(VALUE(F945),""))</f>
        <v>0.01</v>
      </c>
      <c r="BQ945" s="4" t="n">
        <f aca="false">IF(R945="-",1,0)</f>
        <v>0</v>
      </c>
    </row>
    <row r="946" customFormat="false" ht="15" hidden="false" customHeight="false" outlineLevel="0" collapsed="false">
      <c r="A946" s="0" t="s">
        <v>3776</v>
      </c>
      <c r="B946" s="0" t="s">
        <v>3777</v>
      </c>
      <c r="C946" s="0" t="s">
        <v>70</v>
      </c>
      <c r="D946" s="0" t="s">
        <v>990</v>
      </c>
      <c r="E946" s="3" t="n">
        <v>46273</v>
      </c>
      <c r="F946" s="4" t="s">
        <v>3778</v>
      </c>
      <c r="G946" s="5" t="n">
        <v>0.0350925925925926</v>
      </c>
      <c r="H946" s="5" t="n">
        <v>0.0206712962962963</v>
      </c>
      <c r="I946" s="5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5" t="n">
        <v>0</v>
      </c>
      <c r="P946" s="5" t="n">
        <v>0</v>
      </c>
      <c r="Q946" s="4" t="s">
        <v>3779</v>
      </c>
      <c r="R946" s="4" t="s">
        <v>930</v>
      </c>
      <c r="S946" s="5" t="n">
        <v>0.000231481481481482</v>
      </c>
      <c r="T946" s="5" t="n">
        <v>0.0239583333333333</v>
      </c>
      <c r="U946" s="5" t="n">
        <v>0.00844907407407407</v>
      </c>
      <c r="V946" s="5" t="n">
        <v>0.000347222222222222</v>
      </c>
      <c r="W946" s="5" t="n">
        <v>0</v>
      </c>
      <c r="X946" s="5" t="n">
        <v>0</v>
      </c>
      <c r="Y946" s="5" t="n">
        <v>0</v>
      </c>
      <c r="Z946" s="0" t="n">
        <v>0</v>
      </c>
      <c r="AA946" s="0" t="n">
        <v>0</v>
      </c>
      <c r="AB946" s="0" t="n">
        <v>0</v>
      </c>
      <c r="AC946" s="4" t="s">
        <v>159</v>
      </c>
      <c r="AD946" s="4" t="s">
        <v>152</v>
      </c>
      <c r="AE946" s="4" t="s">
        <v>3780</v>
      </c>
      <c r="AF946" s="4" t="s">
        <v>3781</v>
      </c>
      <c r="AG946" s="5" t="n">
        <v>0.0165856481481482</v>
      </c>
      <c r="AH946" s="5" t="n">
        <v>0.0685185185185185</v>
      </c>
      <c r="AI946" s="5" t="n">
        <v>0</v>
      </c>
      <c r="AJ946" s="5" t="n">
        <v>0</v>
      </c>
      <c r="AK946" s="5" t="n">
        <v>0</v>
      </c>
      <c r="AL946" s="5" t="n">
        <v>0</v>
      </c>
      <c r="AM946" s="4" t="s">
        <v>78</v>
      </c>
      <c r="AN946" s="0" t="n">
        <v>0</v>
      </c>
      <c r="AO946" s="0" t="n">
        <v>0</v>
      </c>
      <c r="AP946" s="0" t="n">
        <v>0</v>
      </c>
      <c r="AQ946" s="0" t="n">
        <v>0</v>
      </c>
      <c r="AR946" s="0" t="n">
        <v>0</v>
      </c>
      <c r="AS946" s="0" t="n">
        <v>0</v>
      </c>
      <c r="AT946" s="0" t="n">
        <v>0</v>
      </c>
      <c r="AU946" s="0" t="n">
        <v>0</v>
      </c>
      <c r="AV946" s="0" t="n">
        <v>0</v>
      </c>
      <c r="AW946" s="0" t="n">
        <v>0</v>
      </c>
      <c r="AX946" s="0" t="n">
        <v>0</v>
      </c>
      <c r="AY946" s="0" t="n">
        <v>0</v>
      </c>
      <c r="AZ946" s="0" t="n">
        <v>0</v>
      </c>
      <c r="BA946" s="0" t="n">
        <v>0</v>
      </c>
      <c r="BB946" s="0" t="n">
        <v>0</v>
      </c>
      <c r="BC946" s="0" t="n">
        <v>1</v>
      </c>
      <c r="BD946" s="0" t="n">
        <v>0</v>
      </c>
      <c r="BE946" s="0" t="n">
        <v>0</v>
      </c>
      <c r="BF946" s="0" t="n">
        <v>0</v>
      </c>
      <c r="BG946" s="0" t="n">
        <v>0</v>
      </c>
      <c r="BH946" s="0" t="n">
        <v>0</v>
      </c>
      <c r="BI946" s="0" t="n">
        <v>0</v>
      </c>
      <c r="BJ946" s="0" t="n">
        <v>0</v>
      </c>
      <c r="BK946" s="0" t="n">
        <v>0</v>
      </c>
      <c r="BM946" s="6" t="n">
        <f aca="false">IFERROR(VALUE(F946),"")</f>
        <v>3.94</v>
      </c>
      <c r="BN946" s="6" t="n">
        <f aca="false">IF(R946="-","",IFERROR(VALUE(LEFT(Q946,LEN(Q946)-2)),""))</f>
        <v>2.98</v>
      </c>
      <c r="BO946" s="6" t="n">
        <f aca="false">IF(R946="-","",IFERROR(VALUE(LEFT(R946,LEN(R946)-5)),""))</f>
        <v>1.32</v>
      </c>
      <c r="BP946" s="6" t="n">
        <f aca="false">IF(R946="-","",IFERROR(VALUE(F946),""))</f>
        <v>3.94</v>
      </c>
      <c r="BQ946" s="4" t="n">
        <f aca="false">IF(R946="-",1,0)</f>
        <v>0</v>
      </c>
    </row>
    <row r="947" customFormat="false" ht="15" hidden="false" customHeight="false" outlineLevel="0" collapsed="false">
      <c r="A947" s="0" t="s">
        <v>3776</v>
      </c>
      <c r="B947" s="0" t="s">
        <v>3777</v>
      </c>
      <c r="C947" s="0" t="s">
        <v>70</v>
      </c>
      <c r="E947" s="3" t="n">
        <v>46275</v>
      </c>
      <c r="F947" s="4" t="s">
        <v>95</v>
      </c>
      <c r="G947" s="5" t="n">
        <v>0</v>
      </c>
      <c r="H947" s="5" t="n">
        <v>0</v>
      </c>
      <c r="I947" s="5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5" t="n">
        <v>0</v>
      </c>
      <c r="P947" s="5" t="n">
        <v>0</v>
      </c>
      <c r="Q947" s="4" t="s">
        <v>73</v>
      </c>
      <c r="R947" s="4" t="s">
        <v>73</v>
      </c>
      <c r="S947" s="5" t="n">
        <v>0</v>
      </c>
      <c r="T947" s="5" t="n">
        <v>0</v>
      </c>
      <c r="U947" s="5" t="n">
        <v>0</v>
      </c>
      <c r="V947" s="5" t="n">
        <v>0</v>
      </c>
      <c r="W947" s="5" t="n">
        <v>0</v>
      </c>
      <c r="X947" s="5" t="n">
        <v>0</v>
      </c>
      <c r="Y947" s="5" t="n">
        <v>0</v>
      </c>
      <c r="Z947" s="0" t="n">
        <v>0</v>
      </c>
      <c r="AA947" s="0" t="n">
        <v>0</v>
      </c>
      <c r="AB947" s="0" t="n">
        <v>0</v>
      </c>
      <c r="AE947" s="4" t="s">
        <v>3781</v>
      </c>
      <c r="AF947" s="4" t="s">
        <v>3781</v>
      </c>
      <c r="AG947" s="5" t="n">
        <v>0</v>
      </c>
      <c r="AH947" s="5" t="n">
        <v>0</v>
      </c>
      <c r="AI947" s="5" t="n">
        <v>0</v>
      </c>
      <c r="AJ947" s="5" t="n">
        <v>0</v>
      </c>
      <c r="AK947" s="5" t="n">
        <v>0</v>
      </c>
      <c r="AL947" s="5" t="n">
        <v>0</v>
      </c>
      <c r="AM947" s="4" t="s">
        <v>78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0</v>
      </c>
      <c r="AT947" s="0" t="n">
        <v>0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  <c r="BA947" s="0" t="n">
        <v>0</v>
      </c>
      <c r="BB947" s="0" t="n">
        <v>0</v>
      </c>
      <c r="BC947" s="0" t="n">
        <v>0</v>
      </c>
      <c r="BD947" s="0" t="n">
        <v>0</v>
      </c>
      <c r="BE947" s="0" t="n">
        <v>0</v>
      </c>
      <c r="BF947" s="0" t="n">
        <v>0</v>
      </c>
      <c r="BG947" s="0" t="n">
        <v>0</v>
      </c>
      <c r="BH947" s="0" t="n">
        <v>0</v>
      </c>
      <c r="BI947" s="0" t="n">
        <v>0</v>
      </c>
      <c r="BJ947" s="0" t="n">
        <v>0</v>
      </c>
      <c r="BK947" s="0" t="n">
        <v>0</v>
      </c>
      <c r="BM947" s="6" t="n">
        <f aca="false">IFERROR(VALUE(F947),"")</f>
        <v>0</v>
      </c>
      <c r="BN947" s="6" t="str">
        <f aca="false">IF(R947="-","",IFERROR(VALUE(LEFT(Q947,LEN(Q947)-2)),""))</f>
        <v/>
      </c>
      <c r="BO947" s="6" t="str">
        <f aca="false">IF(R947="-","",IFERROR(VALUE(LEFT(R947,LEN(R947)-5)),""))</f>
        <v/>
      </c>
      <c r="BP947" s="6" t="str">
        <f aca="false">IF(R947="-","",IFERROR(VALUE(F947),""))</f>
        <v/>
      </c>
      <c r="BQ947" s="4" t="n">
        <f aca="false">IF(R947="-",1,0)</f>
        <v>1</v>
      </c>
    </row>
    <row r="948" customFormat="false" ht="15" hidden="false" customHeight="false" outlineLevel="0" collapsed="false">
      <c r="A948" s="0" t="s">
        <v>3776</v>
      </c>
      <c r="B948" s="0" t="s">
        <v>3777</v>
      </c>
      <c r="C948" s="0" t="s">
        <v>70</v>
      </c>
      <c r="D948" s="0" t="s">
        <v>3782</v>
      </c>
      <c r="E948" s="3" t="n">
        <v>46276</v>
      </c>
      <c r="F948" s="4" t="s">
        <v>3783</v>
      </c>
      <c r="G948" s="5" t="n">
        <v>0.412303240740741</v>
      </c>
      <c r="H948" s="5" t="n">
        <v>0.382141203703704</v>
      </c>
      <c r="I948" s="5" t="n">
        <v>6.94444444444444E-005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5" t="n">
        <v>0</v>
      </c>
      <c r="P948" s="5" t="n">
        <v>0</v>
      </c>
      <c r="Q948" s="4" t="s">
        <v>3784</v>
      </c>
      <c r="R948" s="4" t="s">
        <v>365</v>
      </c>
      <c r="S948" s="5" t="n">
        <v>0.000347222222222222</v>
      </c>
      <c r="T948" s="5" t="n">
        <v>0.102546296296296</v>
      </c>
      <c r="U948" s="5" t="n">
        <v>0.255208333333333</v>
      </c>
      <c r="V948" s="5" t="n">
        <v>0.021875</v>
      </c>
      <c r="W948" s="5" t="n">
        <v>0</v>
      </c>
      <c r="X948" s="5" t="n">
        <v>0</v>
      </c>
      <c r="Y948" s="5" t="n">
        <v>0</v>
      </c>
      <c r="Z948" s="0" t="n">
        <v>0</v>
      </c>
      <c r="AA948" s="0" t="n">
        <v>0</v>
      </c>
      <c r="AB948" s="0" t="n">
        <v>0</v>
      </c>
      <c r="AC948" s="4" t="s">
        <v>152</v>
      </c>
      <c r="AD948" s="4" t="s">
        <v>593</v>
      </c>
      <c r="AE948" s="4" t="s">
        <v>3781</v>
      </c>
      <c r="AF948" s="4" t="s">
        <v>3785</v>
      </c>
      <c r="AG948" s="5" t="n">
        <v>0.345243055555556</v>
      </c>
      <c r="AH948" s="5" t="n">
        <v>0.110162037037037</v>
      </c>
      <c r="AI948" s="5" t="n">
        <v>0</v>
      </c>
      <c r="AJ948" s="5" t="n">
        <v>0</v>
      </c>
      <c r="AK948" s="5" t="n">
        <v>0</v>
      </c>
      <c r="AL948" s="5" t="n">
        <v>0</v>
      </c>
      <c r="AM948" s="4" t="s">
        <v>78</v>
      </c>
      <c r="AN948" s="0" t="n">
        <v>0</v>
      </c>
      <c r="AO948" s="0" t="n">
        <v>0</v>
      </c>
      <c r="AP948" s="0" t="n">
        <v>0</v>
      </c>
      <c r="AQ948" s="0" t="n">
        <v>0</v>
      </c>
      <c r="AR948" s="0" t="n">
        <v>0</v>
      </c>
      <c r="AS948" s="0" t="n">
        <v>0</v>
      </c>
      <c r="AT948" s="0" t="n">
        <v>0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0</v>
      </c>
      <c r="BA948" s="0" t="n">
        <v>0</v>
      </c>
      <c r="BB948" s="0" t="n">
        <v>0</v>
      </c>
      <c r="BC948" s="0" t="n">
        <v>10</v>
      </c>
      <c r="BD948" s="0" t="n">
        <v>0</v>
      </c>
      <c r="BE948" s="0" t="n">
        <v>0</v>
      </c>
      <c r="BF948" s="0" t="n">
        <v>0</v>
      </c>
      <c r="BG948" s="0" t="n">
        <v>0</v>
      </c>
      <c r="BH948" s="0" t="n">
        <v>0</v>
      </c>
      <c r="BI948" s="0" t="n">
        <v>0</v>
      </c>
      <c r="BJ948" s="0" t="n">
        <v>0</v>
      </c>
      <c r="BK948" s="0" t="n">
        <v>0</v>
      </c>
      <c r="BM948" s="6" t="n">
        <f aca="false">IFERROR(VALUE(F948),"")</f>
        <v>342.34</v>
      </c>
      <c r="BN948" s="6" t="n">
        <f aca="false">IF(R948="-","",IFERROR(VALUE(LEFT(Q948,LEN(Q948)-2)),""))</f>
        <v>106.92</v>
      </c>
      <c r="BO948" s="6" t="n">
        <f aca="false">IF(R948="-","",IFERROR(VALUE(LEFT(R948,LEN(R948)-5)),""))</f>
        <v>3.2</v>
      </c>
      <c r="BP948" s="6" t="n">
        <f aca="false">IF(R948="-","",IFERROR(VALUE(F948),""))</f>
        <v>342.34</v>
      </c>
      <c r="BQ948" s="4" t="n">
        <f aca="false">IF(R948="-",1,0)</f>
        <v>0</v>
      </c>
    </row>
    <row r="949" customFormat="false" ht="15" hidden="false" customHeight="false" outlineLevel="0" collapsed="false">
      <c r="A949" s="0" t="s">
        <v>3776</v>
      </c>
      <c r="B949" s="0" t="s">
        <v>3777</v>
      </c>
      <c r="C949" s="0" t="s">
        <v>70</v>
      </c>
      <c r="D949" s="0" t="s">
        <v>3786</v>
      </c>
      <c r="E949" s="3" t="n">
        <v>46277</v>
      </c>
      <c r="F949" s="4" t="s">
        <v>3787</v>
      </c>
      <c r="G949" s="5" t="n">
        <v>0.572824074074074</v>
      </c>
      <c r="H949" s="5" t="n">
        <v>0.376643518518519</v>
      </c>
      <c r="I949" s="5" t="n">
        <v>0.00394675925925926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5" t="n">
        <v>0</v>
      </c>
      <c r="P949" s="5" t="n">
        <v>0.0169328703703704</v>
      </c>
      <c r="Q949" s="4" t="s">
        <v>3788</v>
      </c>
      <c r="R949" s="4" t="s">
        <v>535</v>
      </c>
      <c r="S949" s="5" t="n">
        <v>0.000578703703703704</v>
      </c>
      <c r="T949" s="5" t="n">
        <v>0.0925925925925926</v>
      </c>
      <c r="U949" s="5" t="n">
        <v>0.349884259259259</v>
      </c>
      <c r="V949" s="5" t="n">
        <v>0.0217592592592593</v>
      </c>
      <c r="W949" s="5" t="n">
        <v>0</v>
      </c>
      <c r="X949" s="5" t="n">
        <v>0</v>
      </c>
      <c r="Y949" s="5" t="n">
        <v>0</v>
      </c>
      <c r="Z949" s="0" t="n">
        <v>0</v>
      </c>
      <c r="AA949" s="0" t="n">
        <v>0</v>
      </c>
      <c r="AB949" s="0" t="n">
        <v>0</v>
      </c>
      <c r="AC949" s="4" t="s">
        <v>593</v>
      </c>
      <c r="AD949" s="4" t="s">
        <v>1998</v>
      </c>
      <c r="AE949" s="4" t="s">
        <v>3789</v>
      </c>
      <c r="AF949" s="4" t="s">
        <v>3790</v>
      </c>
      <c r="AG949" s="5" t="n">
        <v>0.41244212962963</v>
      </c>
      <c r="AH949" s="5" t="n">
        <v>0.217407407407407</v>
      </c>
      <c r="AI949" s="5" t="n">
        <v>0</v>
      </c>
      <c r="AJ949" s="5" t="n">
        <v>0</v>
      </c>
      <c r="AK949" s="5" t="n">
        <v>0</v>
      </c>
      <c r="AL949" s="5" t="n">
        <v>0</v>
      </c>
      <c r="AM949" s="4" t="s">
        <v>78</v>
      </c>
      <c r="AN949" s="0" t="n">
        <v>0</v>
      </c>
      <c r="AO949" s="0" t="n">
        <v>0</v>
      </c>
      <c r="AP949" s="0" t="n">
        <v>0</v>
      </c>
      <c r="AQ949" s="0" t="n">
        <v>0</v>
      </c>
      <c r="AR949" s="0" t="n">
        <v>0</v>
      </c>
      <c r="AS949" s="0" t="n">
        <v>0</v>
      </c>
      <c r="AT949" s="0" t="n">
        <v>0</v>
      </c>
      <c r="AU949" s="0" t="n">
        <v>1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0</v>
      </c>
      <c r="BA949" s="0" t="n">
        <v>0</v>
      </c>
      <c r="BB949" s="0" t="n">
        <v>0</v>
      </c>
      <c r="BC949" s="0" t="n">
        <v>9</v>
      </c>
      <c r="BD949" s="0" t="n">
        <v>0</v>
      </c>
      <c r="BE949" s="0" t="n">
        <v>0</v>
      </c>
      <c r="BF949" s="0" t="n">
        <v>0</v>
      </c>
      <c r="BG949" s="0" t="n">
        <v>0</v>
      </c>
      <c r="BH949" s="0" t="n">
        <v>0</v>
      </c>
      <c r="BI949" s="0" t="n">
        <v>0</v>
      </c>
      <c r="BJ949" s="0" t="n">
        <v>0</v>
      </c>
      <c r="BK949" s="0" t="n">
        <v>0</v>
      </c>
      <c r="BM949" s="6" t="n">
        <f aca="false">IFERROR(VALUE(F949),"")</f>
        <v>525.48</v>
      </c>
      <c r="BN949" s="6" t="n">
        <f aca="false">IF(R949="-","",IFERROR(VALUE(LEFT(Q949,LEN(Q949)-2)),""))</f>
        <v>166.76</v>
      </c>
      <c r="BO949" s="6" t="n">
        <f aca="false">IF(R949="-","",IFERROR(VALUE(LEFT(R949,LEN(R949)-5)),""))</f>
        <v>3.15</v>
      </c>
      <c r="BP949" s="6" t="n">
        <f aca="false">IF(R949="-","",IFERROR(VALUE(F949),""))</f>
        <v>525.48</v>
      </c>
      <c r="BQ949" s="4" t="n">
        <f aca="false">IF(R949="-",1,0)</f>
        <v>0</v>
      </c>
    </row>
    <row r="950" customFormat="false" ht="15" hidden="false" customHeight="false" outlineLevel="0" collapsed="false">
      <c r="A950" s="0" t="s">
        <v>3776</v>
      </c>
      <c r="B950" s="0" t="s">
        <v>3777</v>
      </c>
      <c r="C950" s="0" t="s">
        <v>70</v>
      </c>
      <c r="D950" s="0" t="s">
        <v>2505</v>
      </c>
      <c r="E950" s="3" t="n">
        <v>46278</v>
      </c>
      <c r="F950" s="4" t="s">
        <v>3791</v>
      </c>
      <c r="G950" s="5" t="n">
        <v>0.430787037037037</v>
      </c>
      <c r="H950" s="5" t="n">
        <v>0.402673611111111</v>
      </c>
      <c r="I950" s="5" t="n">
        <v>0.00216435185185185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5" t="n">
        <v>0</v>
      </c>
      <c r="P950" s="5" t="n">
        <v>0.00758101851851852</v>
      </c>
      <c r="Q950" s="4" t="s">
        <v>3792</v>
      </c>
      <c r="R950" s="4" t="s">
        <v>365</v>
      </c>
      <c r="S950" s="5" t="n">
        <v>0.000347222222222222</v>
      </c>
      <c r="T950" s="5" t="n">
        <v>0.0606481481481482</v>
      </c>
      <c r="U950" s="5" t="n">
        <v>0.297222222222222</v>
      </c>
      <c r="V950" s="5" t="n">
        <v>0.0197916666666667</v>
      </c>
      <c r="W950" s="5" t="n">
        <v>0</v>
      </c>
      <c r="X950" s="5" t="n">
        <v>0</v>
      </c>
      <c r="Y950" s="5" t="n">
        <v>0</v>
      </c>
      <c r="Z950" s="0" t="n">
        <v>0</v>
      </c>
      <c r="AA950" s="0" t="n">
        <v>0</v>
      </c>
      <c r="AB950" s="0" t="n">
        <v>0</v>
      </c>
      <c r="AC950" s="4" t="s">
        <v>1998</v>
      </c>
      <c r="AD950" s="4" t="s">
        <v>208</v>
      </c>
      <c r="AE950" s="4" t="s">
        <v>3790</v>
      </c>
      <c r="AF950" s="4" t="s">
        <v>3793</v>
      </c>
      <c r="AG950" s="5" t="n">
        <v>0.349282407407407</v>
      </c>
      <c r="AH950" s="5" t="n">
        <v>0.100416666666667</v>
      </c>
      <c r="AI950" s="5" t="n">
        <v>0</v>
      </c>
      <c r="AJ950" s="5" t="n">
        <v>0</v>
      </c>
      <c r="AK950" s="5" t="n">
        <v>0</v>
      </c>
      <c r="AL950" s="5" t="n">
        <v>0</v>
      </c>
      <c r="AM950" s="4" t="s">
        <v>78</v>
      </c>
      <c r="AN950" s="0" t="n">
        <v>0</v>
      </c>
      <c r="AO950" s="0" t="n">
        <v>0</v>
      </c>
      <c r="AP950" s="0" t="n">
        <v>0</v>
      </c>
      <c r="AQ950" s="0" t="n">
        <v>0</v>
      </c>
      <c r="AR950" s="0" t="n">
        <v>0</v>
      </c>
      <c r="AS950" s="0" t="n">
        <v>0</v>
      </c>
      <c r="AT950" s="0" t="n">
        <v>0</v>
      </c>
      <c r="AU950" s="0" t="n">
        <v>3</v>
      </c>
      <c r="AV950" s="0" t="n">
        <v>0</v>
      </c>
      <c r="AW950" s="0" t="n">
        <v>1</v>
      </c>
      <c r="AX950" s="0" t="n">
        <v>0</v>
      </c>
      <c r="AY950" s="0" t="n">
        <v>0</v>
      </c>
      <c r="AZ950" s="0" t="n">
        <v>0</v>
      </c>
      <c r="BA950" s="0" t="n">
        <v>0</v>
      </c>
      <c r="BB950" s="0" t="n">
        <v>0</v>
      </c>
      <c r="BC950" s="0" t="n">
        <v>4</v>
      </c>
      <c r="BD950" s="0" t="n">
        <v>0</v>
      </c>
      <c r="BE950" s="0" t="n">
        <v>0</v>
      </c>
      <c r="BF950" s="0" t="n">
        <v>0</v>
      </c>
      <c r="BG950" s="0" t="n">
        <v>0</v>
      </c>
      <c r="BH950" s="0" t="n">
        <v>0</v>
      </c>
      <c r="BI950" s="0" t="n">
        <v>0</v>
      </c>
      <c r="BJ950" s="0" t="n">
        <v>0</v>
      </c>
      <c r="BK950" s="0" t="n">
        <v>0</v>
      </c>
      <c r="BM950" s="6" t="n">
        <f aca="false">IFERROR(VALUE(F950),"")</f>
        <v>486.84</v>
      </c>
      <c r="BN950" s="6" t="n">
        <f aca="false">IF(R950="-","",IFERROR(VALUE(LEFT(Q950,LEN(Q950)-2)),""))</f>
        <v>152.29</v>
      </c>
      <c r="BO950" s="6" t="n">
        <f aca="false">IF(R950="-","",IFERROR(VALUE(LEFT(R950,LEN(R950)-5)),""))</f>
        <v>3.2</v>
      </c>
      <c r="BP950" s="6" t="n">
        <f aca="false">IF(R950="-","",IFERROR(VALUE(F950),""))</f>
        <v>486.84</v>
      </c>
      <c r="BQ950" s="4" t="n">
        <f aca="false">IF(R950="-",1,0)</f>
        <v>0</v>
      </c>
    </row>
    <row r="951" customFormat="false" ht="15" hidden="false" customHeight="false" outlineLevel="0" collapsed="false">
      <c r="A951" s="0" t="s">
        <v>3776</v>
      </c>
      <c r="B951" s="0" t="s">
        <v>3777</v>
      </c>
      <c r="C951" s="0" t="s">
        <v>70</v>
      </c>
      <c r="D951" s="0" t="s">
        <v>3794</v>
      </c>
      <c r="E951" s="3" t="n">
        <v>46279</v>
      </c>
      <c r="F951" s="4" t="s">
        <v>3795</v>
      </c>
      <c r="G951" s="5" t="n">
        <v>0.573564814814815</v>
      </c>
      <c r="H951" s="5" t="n">
        <v>0.223402777777778</v>
      </c>
      <c r="I951" s="5" t="n">
        <v>0.000752314814814815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5" t="n">
        <v>0</v>
      </c>
      <c r="P951" s="5" t="n">
        <v>0.0240046296296296</v>
      </c>
      <c r="Q951" s="4" t="s">
        <v>3796</v>
      </c>
      <c r="R951" s="4" t="s">
        <v>361</v>
      </c>
      <c r="S951" s="5" t="n">
        <v>0.000231481481481482</v>
      </c>
      <c r="T951" s="5" t="n">
        <v>0.0989583333333333</v>
      </c>
      <c r="U951" s="5" t="n">
        <v>0.414861111111111</v>
      </c>
      <c r="V951" s="5" t="n">
        <v>0.0309027777777778</v>
      </c>
      <c r="W951" s="5" t="n">
        <v>0.000208333333333333</v>
      </c>
      <c r="X951" s="5" t="n">
        <v>0</v>
      </c>
      <c r="Y951" s="5" t="n">
        <v>9.25925925925926E-005</v>
      </c>
      <c r="Z951" s="0" t="n">
        <v>0</v>
      </c>
      <c r="AA951" s="0" t="n">
        <v>0</v>
      </c>
      <c r="AB951" s="0" t="n">
        <v>0</v>
      </c>
      <c r="AC951" s="4" t="s">
        <v>208</v>
      </c>
      <c r="AD951" s="4" t="s">
        <v>3797</v>
      </c>
      <c r="AE951" s="4" t="s">
        <v>3793</v>
      </c>
      <c r="AF951" s="4" t="s">
        <v>3798</v>
      </c>
      <c r="AG951" s="5" t="n">
        <v>0.494247685185185</v>
      </c>
      <c r="AH951" s="5" t="n">
        <v>0.118726851851852</v>
      </c>
      <c r="AI951" s="5" t="n">
        <v>0</v>
      </c>
      <c r="AJ951" s="5" t="n">
        <v>0</v>
      </c>
      <c r="AK951" s="5" t="n">
        <v>0</v>
      </c>
      <c r="AL951" s="5" t="n">
        <v>0</v>
      </c>
      <c r="AM951" s="4" t="s">
        <v>78</v>
      </c>
      <c r="AN951" s="0" t="n">
        <v>0</v>
      </c>
      <c r="AO951" s="0" t="n">
        <v>0</v>
      </c>
      <c r="AP951" s="0" t="n">
        <v>0</v>
      </c>
      <c r="AQ951" s="0" t="n">
        <v>0</v>
      </c>
      <c r="AR951" s="0" t="n">
        <v>0</v>
      </c>
      <c r="AS951" s="0" t="n">
        <v>0</v>
      </c>
      <c r="AT951" s="0" t="n">
        <v>0</v>
      </c>
      <c r="AU951" s="0" t="n">
        <v>2</v>
      </c>
      <c r="AV951" s="0" t="n">
        <v>0</v>
      </c>
      <c r="AW951" s="0" t="n">
        <v>1</v>
      </c>
      <c r="AX951" s="0" t="n">
        <v>0</v>
      </c>
      <c r="AY951" s="0" t="n">
        <v>0</v>
      </c>
      <c r="AZ951" s="0" t="n">
        <v>0</v>
      </c>
      <c r="BA951" s="0" t="n">
        <v>0</v>
      </c>
      <c r="BB951" s="0" t="n">
        <v>0</v>
      </c>
      <c r="BC951" s="0" t="n">
        <v>3</v>
      </c>
      <c r="BD951" s="0" t="n">
        <v>0</v>
      </c>
      <c r="BE951" s="0" t="n">
        <v>0</v>
      </c>
      <c r="BF951" s="0" t="n">
        <v>0</v>
      </c>
      <c r="BG951" s="0" t="n">
        <v>0</v>
      </c>
      <c r="BH951" s="0" t="n">
        <v>0</v>
      </c>
      <c r="BI951" s="0" t="n">
        <v>0</v>
      </c>
      <c r="BJ951" s="0" t="n">
        <v>0</v>
      </c>
      <c r="BK951" s="0" t="n">
        <v>0</v>
      </c>
      <c r="BM951" s="6" t="n">
        <f aca="false">IFERROR(VALUE(F951),"")</f>
        <v>674.81</v>
      </c>
      <c r="BN951" s="6" t="n">
        <f aca="false">IF(R951="-","",IFERROR(VALUE(LEFT(Q951,LEN(Q951)-2)),""))</f>
        <v>216.42</v>
      </c>
      <c r="BO951" s="6" t="n">
        <f aca="false">IF(R951="-","",IFERROR(VALUE(LEFT(R951,LEN(R951)-5)),""))</f>
        <v>3.12</v>
      </c>
      <c r="BP951" s="6" t="n">
        <f aca="false">IF(R951="-","",IFERROR(VALUE(F951),""))</f>
        <v>674.81</v>
      </c>
      <c r="BQ951" s="4" t="n">
        <f aca="false">IF(R951="-",1,0)</f>
        <v>0</v>
      </c>
    </row>
    <row r="952" customFormat="false" ht="15" hidden="false" customHeight="false" outlineLevel="0" collapsed="false">
      <c r="A952" s="0" t="s">
        <v>3799</v>
      </c>
      <c r="B952" s="0" t="s">
        <v>3800</v>
      </c>
      <c r="C952" s="0" t="s">
        <v>70</v>
      </c>
      <c r="D952" s="0" t="s">
        <v>3801</v>
      </c>
      <c r="E952" s="3" t="n">
        <v>46273</v>
      </c>
      <c r="F952" s="4" t="s">
        <v>3802</v>
      </c>
      <c r="G952" s="5" t="n">
        <v>0.671701388888889</v>
      </c>
      <c r="H952" s="5" t="n">
        <v>0.556134259259259</v>
      </c>
      <c r="I952" s="5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5" t="n">
        <v>0</v>
      </c>
      <c r="P952" s="5" t="n">
        <v>0.0135069444444444</v>
      </c>
      <c r="Q952" s="4" t="s">
        <v>3803</v>
      </c>
      <c r="R952" s="4" t="s">
        <v>431</v>
      </c>
      <c r="S952" s="5" t="n">
        <v>0.000810185185185185</v>
      </c>
      <c r="T952" s="5" t="n">
        <v>0.138310185185185</v>
      </c>
      <c r="U952" s="5" t="n">
        <v>0.399421296296296</v>
      </c>
      <c r="V952" s="5" t="n">
        <v>0.0412037037037037</v>
      </c>
      <c r="W952" s="5" t="n">
        <v>0</v>
      </c>
      <c r="X952" s="5" t="n">
        <v>0</v>
      </c>
      <c r="Y952" s="5" t="n">
        <v>0</v>
      </c>
      <c r="Z952" s="0" t="n">
        <v>0</v>
      </c>
      <c r="AA952" s="0" t="n">
        <v>0</v>
      </c>
      <c r="AB952" s="0" t="n">
        <v>0</v>
      </c>
      <c r="AC952" s="4" t="s">
        <v>228</v>
      </c>
      <c r="AD952" s="4" t="s">
        <v>1026</v>
      </c>
      <c r="AE952" s="4" t="s">
        <v>3804</v>
      </c>
      <c r="AF952" s="4" t="s">
        <v>3805</v>
      </c>
      <c r="AG952" s="5" t="n">
        <v>0.497615740740741</v>
      </c>
      <c r="AH952" s="5" t="n">
        <v>0.251099537037037</v>
      </c>
      <c r="AI952" s="5" t="n">
        <v>0</v>
      </c>
      <c r="AJ952" s="5" t="n">
        <v>0</v>
      </c>
      <c r="AK952" s="5" t="n">
        <v>0</v>
      </c>
      <c r="AL952" s="5" t="n">
        <v>0</v>
      </c>
      <c r="AM952" s="4" t="s">
        <v>78</v>
      </c>
      <c r="AN952" s="0" t="n">
        <v>0</v>
      </c>
      <c r="AO952" s="0" t="n">
        <v>0</v>
      </c>
      <c r="AP952" s="0" t="n">
        <v>0</v>
      </c>
      <c r="AQ952" s="0" t="n">
        <v>0</v>
      </c>
      <c r="AR952" s="0" t="n">
        <v>0</v>
      </c>
      <c r="AS952" s="0" t="n">
        <v>0</v>
      </c>
      <c r="AT952" s="0" t="n">
        <v>0</v>
      </c>
      <c r="AU952" s="0" t="n">
        <v>2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  <c r="BA952" s="0" t="n">
        <v>0</v>
      </c>
      <c r="BB952" s="0" t="n">
        <v>0</v>
      </c>
      <c r="BC952" s="0" t="n">
        <v>0</v>
      </c>
      <c r="BD952" s="0" t="n">
        <v>0</v>
      </c>
      <c r="BE952" s="0" t="n">
        <v>0</v>
      </c>
      <c r="BF952" s="0" t="n">
        <v>0</v>
      </c>
      <c r="BG952" s="0" t="n">
        <v>0</v>
      </c>
      <c r="BH952" s="0" t="n">
        <v>0</v>
      </c>
      <c r="BI952" s="0" t="n">
        <v>0</v>
      </c>
      <c r="BJ952" s="0" t="n">
        <v>0</v>
      </c>
      <c r="BK952" s="0" t="n">
        <v>0</v>
      </c>
      <c r="BM952" s="6" t="n">
        <f aca="false">IFERROR(VALUE(F952),"")</f>
        <v>701.1</v>
      </c>
      <c r="BN952" s="6" t="n">
        <f aca="false">IF(R952="-","",IFERROR(VALUE(LEFT(Q952,LEN(Q952)-2)),""))</f>
        <v>209.91</v>
      </c>
      <c r="BO952" s="6" t="n">
        <f aca="false">IF(R952="-","",IFERROR(VALUE(LEFT(R952,LEN(R952)-5)),""))</f>
        <v>3.34</v>
      </c>
      <c r="BP952" s="6" t="n">
        <f aca="false">IF(R952="-","",IFERROR(VALUE(F952),""))</f>
        <v>701.1</v>
      </c>
      <c r="BQ952" s="4" t="n">
        <f aca="false">IF(R952="-",1,0)</f>
        <v>0</v>
      </c>
    </row>
    <row r="953" customFormat="false" ht="15" hidden="false" customHeight="false" outlineLevel="0" collapsed="false">
      <c r="A953" s="0" t="s">
        <v>3799</v>
      </c>
      <c r="B953" s="0" t="s">
        <v>3800</v>
      </c>
      <c r="C953" s="0" t="s">
        <v>70</v>
      </c>
      <c r="D953" s="0" t="s">
        <v>3806</v>
      </c>
      <c r="E953" s="3" t="n">
        <v>46274</v>
      </c>
      <c r="F953" s="4" t="s">
        <v>3807</v>
      </c>
      <c r="G953" s="5" t="n">
        <v>0.626180555555556</v>
      </c>
      <c r="H953" s="5" t="n">
        <v>0.602777777777778</v>
      </c>
      <c r="I953" s="5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5" t="n">
        <v>0</v>
      </c>
      <c r="P953" s="5" t="n">
        <v>0</v>
      </c>
      <c r="Q953" s="4" t="s">
        <v>3808</v>
      </c>
      <c r="R953" s="4" t="s">
        <v>3809</v>
      </c>
      <c r="S953" s="5" t="n">
        <v>0.000694444444444445</v>
      </c>
      <c r="T953" s="5" t="n">
        <v>0.104976851851852</v>
      </c>
      <c r="U953" s="5" t="n">
        <v>0.403935185185185</v>
      </c>
      <c r="V953" s="5" t="n">
        <v>0.0488425925925926</v>
      </c>
      <c r="W953" s="5" t="n">
        <v>0</v>
      </c>
      <c r="X953" s="5" t="n">
        <v>0</v>
      </c>
      <c r="Y953" s="5" t="n">
        <v>0</v>
      </c>
      <c r="Z953" s="0" t="n">
        <v>0</v>
      </c>
      <c r="AA953" s="0" t="n">
        <v>0</v>
      </c>
      <c r="AB953" s="0" t="n">
        <v>0</v>
      </c>
      <c r="AC953" s="4" t="s">
        <v>1026</v>
      </c>
      <c r="AD953" s="4" t="s">
        <v>75</v>
      </c>
      <c r="AE953" s="4" t="s">
        <v>3810</v>
      </c>
      <c r="AF953" s="4" t="s">
        <v>3811</v>
      </c>
      <c r="AG953" s="5" t="n">
        <v>0.514305555555556</v>
      </c>
      <c r="AH953" s="5" t="n">
        <v>0.144814814814815</v>
      </c>
      <c r="AI953" s="5" t="n">
        <v>0</v>
      </c>
      <c r="AJ953" s="5" t="n">
        <v>0</v>
      </c>
      <c r="AK953" s="5" t="n">
        <v>0</v>
      </c>
      <c r="AL953" s="5" t="n">
        <v>0</v>
      </c>
      <c r="AM953" s="4" t="s">
        <v>78</v>
      </c>
      <c r="AN953" s="0" t="n">
        <v>0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0</v>
      </c>
      <c r="AT953" s="0" t="n">
        <v>0</v>
      </c>
      <c r="AU953" s="0" t="n">
        <v>3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0</v>
      </c>
      <c r="BE953" s="0" t="n">
        <v>0</v>
      </c>
      <c r="BF953" s="0" t="n">
        <v>0</v>
      </c>
      <c r="BG953" s="0" t="n">
        <v>0</v>
      </c>
      <c r="BH953" s="0" t="n">
        <v>0</v>
      </c>
      <c r="BI953" s="0" t="n">
        <v>0</v>
      </c>
      <c r="BJ953" s="0" t="n">
        <v>0</v>
      </c>
      <c r="BK953" s="0" t="n">
        <v>0</v>
      </c>
      <c r="BM953" s="6" t="n">
        <f aca="false">IFERROR(VALUE(F953),"")</f>
        <v>698.1</v>
      </c>
      <c r="BN953" s="6" t="n">
        <f aca="false">IF(R953="-","",IFERROR(VALUE(LEFT(Q953,LEN(Q953)-2)),""))</f>
        <v>192.07</v>
      </c>
      <c r="BO953" s="6" t="n">
        <f aca="false">IF(R953="-","",IFERROR(VALUE(LEFT(R953,LEN(R953)-5)),""))</f>
        <v>3.63</v>
      </c>
      <c r="BP953" s="6" t="n">
        <f aca="false">IF(R953="-","",IFERROR(VALUE(F953),""))</f>
        <v>698.1</v>
      </c>
      <c r="BQ953" s="4" t="n">
        <f aca="false">IF(R953="-",1,0)</f>
        <v>0</v>
      </c>
    </row>
    <row r="954" customFormat="false" ht="15" hidden="false" customHeight="false" outlineLevel="0" collapsed="false">
      <c r="A954" s="0" t="s">
        <v>3799</v>
      </c>
      <c r="B954" s="0" t="s">
        <v>3800</v>
      </c>
      <c r="C954" s="0" t="s">
        <v>70</v>
      </c>
      <c r="D954" s="0" t="s">
        <v>3812</v>
      </c>
      <c r="E954" s="3" t="n">
        <v>46275</v>
      </c>
      <c r="F954" s="4" t="s">
        <v>3813</v>
      </c>
      <c r="G954" s="5" t="n">
        <v>0.25537037037037</v>
      </c>
      <c r="H954" s="5" t="n">
        <v>0.210474537037037</v>
      </c>
      <c r="I954" s="5" t="n">
        <v>0.000347222222222222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5" t="n">
        <v>0</v>
      </c>
      <c r="P954" s="5" t="n">
        <v>0</v>
      </c>
      <c r="Q954" s="4" t="s">
        <v>3814</v>
      </c>
      <c r="R954" s="4" t="s">
        <v>482</v>
      </c>
      <c r="S954" s="5" t="n">
        <v>0.000347222222222222</v>
      </c>
      <c r="T954" s="5" t="n">
        <v>0.0778935185185185</v>
      </c>
      <c r="U954" s="5" t="n">
        <v>0.124768518518519</v>
      </c>
      <c r="V954" s="5" t="n">
        <v>0.00856481481481482</v>
      </c>
      <c r="W954" s="5" t="n">
        <v>0.000115740740740741</v>
      </c>
      <c r="X954" s="5" t="n">
        <v>0</v>
      </c>
      <c r="Y954" s="5" t="n">
        <v>0</v>
      </c>
      <c r="Z954" s="0" t="n">
        <v>0</v>
      </c>
      <c r="AA954" s="0" t="n">
        <v>0</v>
      </c>
      <c r="AB954" s="0" t="n">
        <v>0</v>
      </c>
      <c r="AC954" s="4" t="s">
        <v>81</v>
      </c>
      <c r="AD954" s="4" t="s">
        <v>228</v>
      </c>
      <c r="AE954" s="4" t="s">
        <v>3811</v>
      </c>
      <c r="AF954" s="4" t="s">
        <v>3815</v>
      </c>
      <c r="AG954" s="5" t="n">
        <v>0.179131944444444</v>
      </c>
      <c r="AH954" s="5" t="n">
        <v>0.181342592592593</v>
      </c>
      <c r="AI954" s="5" t="n">
        <v>0</v>
      </c>
      <c r="AJ954" s="5" t="n">
        <v>0</v>
      </c>
      <c r="AK954" s="5" t="n">
        <v>0</v>
      </c>
      <c r="AL954" s="5" t="n">
        <v>0</v>
      </c>
      <c r="AM954" s="4" t="s">
        <v>78</v>
      </c>
      <c r="AN954" s="0" t="n">
        <v>0</v>
      </c>
      <c r="AO954" s="0" t="n">
        <v>0</v>
      </c>
      <c r="AP954" s="0" t="n">
        <v>0</v>
      </c>
      <c r="AQ954" s="0" t="n">
        <v>0</v>
      </c>
      <c r="AR954" s="0" t="n">
        <v>0</v>
      </c>
      <c r="AS954" s="0" t="n">
        <v>0</v>
      </c>
      <c r="AT954" s="0" t="n">
        <v>0</v>
      </c>
      <c r="AU954" s="0" t="n">
        <v>3</v>
      </c>
      <c r="AV954" s="0" t="n">
        <v>0</v>
      </c>
      <c r="AW954" s="0" t="n">
        <v>0</v>
      </c>
      <c r="AX954" s="0" t="n">
        <v>0</v>
      </c>
      <c r="AY954" s="0" t="n">
        <v>0</v>
      </c>
      <c r="AZ954" s="0" t="n">
        <v>0</v>
      </c>
      <c r="BA954" s="0" t="n">
        <v>0</v>
      </c>
      <c r="BB954" s="0" t="n">
        <v>0</v>
      </c>
      <c r="BC954" s="0" t="n">
        <v>0</v>
      </c>
      <c r="BD954" s="0" t="n">
        <v>0</v>
      </c>
      <c r="BE954" s="0" t="n">
        <v>0</v>
      </c>
      <c r="BF954" s="0" t="n">
        <v>0</v>
      </c>
      <c r="BG954" s="0" t="n">
        <v>0</v>
      </c>
      <c r="BH954" s="0" t="n">
        <v>0</v>
      </c>
      <c r="BI954" s="0" t="n">
        <v>0</v>
      </c>
      <c r="BJ954" s="0" t="n">
        <v>0</v>
      </c>
      <c r="BK954" s="0" t="n">
        <v>0</v>
      </c>
      <c r="BM954" s="6" t="n">
        <f aca="false">IFERROR(VALUE(F954),"")</f>
        <v>136.8</v>
      </c>
      <c r="BN954" s="6" t="n">
        <f aca="false">IF(R954="-","",IFERROR(VALUE(LEFT(Q954,LEN(Q954)-2)),""))</f>
        <v>50.13</v>
      </c>
      <c r="BO954" s="6" t="n">
        <f aca="false">IF(R954="-","",IFERROR(VALUE(LEFT(R954,LEN(R954)-5)),""))</f>
        <v>2.73</v>
      </c>
      <c r="BP954" s="6" t="n">
        <f aca="false">IF(R954="-","",IFERROR(VALUE(F954),""))</f>
        <v>136.8</v>
      </c>
      <c r="BQ954" s="4" t="n">
        <f aca="false">IF(R954="-",1,0)</f>
        <v>0</v>
      </c>
    </row>
    <row r="955" customFormat="false" ht="15" hidden="false" customHeight="false" outlineLevel="0" collapsed="false">
      <c r="A955" s="0" t="s">
        <v>3799</v>
      </c>
      <c r="B955" s="0" t="s">
        <v>3800</v>
      </c>
      <c r="C955" s="0" t="s">
        <v>70</v>
      </c>
      <c r="D955" s="0" t="s">
        <v>3816</v>
      </c>
      <c r="E955" s="3" t="n">
        <v>46276</v>
      </c>
      <c r="F955" s="4" t="s">
        <v>3817</v>
      </c>
      <c r="G955" s="5" t="n">
        <v>0.5828125</v>
      </c>
      <c r="H955" s="5" t="n">
        <v>0.507893518518519</v>
      </c>
      <c r="I955" s="5" t="n">
        <v>0.00159722222222222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1</v>
      </c>
      <c r="O955" s="5" t="n">
        <v>0</v>
      </c>
      <c r="P955" s="5" t="n">
        <v>0</v>
      </c>
      <c r="Q955" s="4" t="s">
        <v>3818</v>
      </c>
      <c r="R955" s="4" t="s">
        <v>967</v>
      </c>
      <c r="S955" s="5" t="n">
        <v>0.000694444444444445</v>
      </c>
      <c r="T955" s="5" t="n">
        <v>0.118402777777778</v>
      </c>
      <c r="U955" s="5" t="n">
        <v>0.337847222222222</v>
      </c>
      <c r="V955" s="5" t="n">
        <v>0.0215277777777778</v>
      </c>
      <c r="W955" s="5" t="n">
        <v>0.000231481481481482</v>
      </c>
      <c r="X955" s="5" t="n">
        <v>0</v>
      </c>
      <c r="Y955" s="5" t="n">
        <v>0</v>
      </c>
      <c r="Z955" s="0" t="n">
        <v>0</v>
      </c>
      <c r="AA955" s="0" t="n">
        <v>0</v>
      </c>
      <c r="AB955" s="0" t="n">
        <v>0</v>
      </c>
      <c r="AC955" s="4" t="s">
        <v>75</v>
      </c>
      <c r="AD955" s="4" t="s">
        <v>432</v>
      </c>
      <c r="AE955" s="4" t="s">
        <v>3815</v>
      </c>
      <c r="AF955" s="4" t="s">
        <v>3819</v>
      </c>
      <c r="AG955" s="5" t="n">
        <v>0.430486111111111</v>
      </c>
      <c r="AH955" s="5" t="n">
        <v>0.169467592592593</v>
      </c>
      <c r="AI955" s="5" t="n">
        <v>0</v>
      </c>
      <c r="AJ955" s="5" t="n">
        <v>0</v>
      </c>
      <c r="AK955" s="5" t="n">
        <v>0</v>
      </c>
      <c r="AL955" s="5" t="n">
        <v>0</v>
      </c>
      <c r="AM955" s="4" t="s">
        <v>78</v>
      </c>
      <c r="AN955" s="0" t="n">
        <v>0</v>
      </c>
      <c r="AO955" s="0" t="n">
        <v>0</v>
      </c>
      <c r="AP955" s="0" t="n">
        <v>0</v>
      </c>
      <c r="AQ955" s="0" t="n">
        <v>0</v>
      </c>
      <c r="AR955" s="0" t="n">
        <v>0</v>
      </c>
      <c r="AS955" s="0" t="n">
        <v>0</v>
      </c>
      <c r="AT955" s="0" t="n">
        <v>0</v>
      </c>
      <c r="AU955" s="0" t="n">
        <v>11</v>
      </c>
      <c r="AV955" s="0" t="n">
        <v>0</v>
      </c>
      <c r="AW955" s="0" t="n">
        <v>0</v>
      </c>
      <c r="AX955" s="0" t="n">
        <v>0</v>
      </c>
      <c r="AY955" s="0" t="n">
        <v>0</v>
      </c>
      <c r="AZ955" s="0" t="n">
        <v>0</v>
      </c>
      <c r="BA955" s="0" t="n">
        <v>0</v>
      </c>
      <c r="BB955" s="0" t="n">
        <v>0</v>
      </c>
      <c r="BC955" s="0" t="n">
        <v>0</v>
      </c>
      <c r="BD955" s="0" t="n">
        <v>0</v>
      </c>
      <c r="BE955" s="0" t="n">
        <v>0</v>
      </c>
      <c r="BF955" s="0" t="n">
        <v>0</v>
      </c>
      <c r="BG955" s="0" t="n">
        <v>0</v>
      </c>
      <c r="BH955" s="0" t="n">
        <v>0</v>
      </c>
      <c r="BI955" s="0" t="n">
        <v>0</v>
      </c>
      <c r="BJ955" s="0" t="n">
        <v>0</v>
      </c>
      <c r="BK955" s="0" t="n">
        <v>0</v>
      </c>
      <c r="BM955" s="6" t="n">
        <f aca="false">IFERROR(VALUE(F955),"")</f>
        <v>502.69</v>
      </c>
      <c r="BN955" s="6" t="n">
        <f aca="false">IF(R955="-","",IFERROR(VALUE(LEFT(Q955,LEN(Q955)-2)),""))</f>
        <v>160.56</v>
      </c>
      <c r="BO955" s="6" t="n">
        <f aca="false">IF(R955="-","",IFERROR(VALUE(LEFT(R955,LEN(R955)-5)),""))</f>
        <v>3.13</v>
      </c>
      <c r="BP955" s="6" t="n">
        <f aca="false">IF(R955="-","",IFERROR(VALUE(F955),""))</f>
        <v>502.69</v>
      </c>
      <c r="BQ955" s="4" t="n">
        <f aca="false">IF(R955="-",1,0)</f>
        <v>0</v>
      </c>
    </row>
    <row r="956" customFormat="false" ht="15" hidden="false" customHeight="false" outlineLevel="0" collapsed="false">
      <c r="A956" s="0" t="s">
        <v>3799</v>
      </c>
      <c r="B956" s="0" t="s">
        <v>3800</v>
      </c>
      <c r="C956" s="0" t="s">
        <v>70</v>
      </c>
      <c r="D956" s="0" t="s">
        <v>3361</v>
      </c>
      <c r="E956" s="3" t="n">
        <v>46277</v>
      </c>
      <c r="F956" s="4" t="s">
        <v>3820</v>
      </c>
      <c r="G956" s="5" t="n">
        <v>0.472916666666667</v>
      </c>
      <c r="H956" s="5" t="n">
        <v>0.250914351851852</v>
      </c>
      <c r="I956" s="5" t="n">
        <v>0.00619212962962963</v>
      </c>
      <c r="J956" s="0" t="n">
        <v>0</v>
      </c>
      <c r="K956" s="0" t="n">
        <v>1</v>
      </c>
      <c r="L956" s="0" t="n">
        <v>0</v>
      </c>
      <c r="M956" s="0" t="n">
        <v>0</v>
      </c>
      <c r="N956" s="0" t="n">
        <v>0</v>
      </c>
      <c r="O956" s="5" t="n">
        <v>0</v>
      </c>
      <c r="P956" s="5" t="n">
        <v>0</v>
      </c>
      <c r="Q956" s="4" t="s">
        <v>3821</v>
      </c>
      <c r="R956" s="4" t="s">
        <v>943</v>
      </c>
      <c r="S956" s="5" t="n">
        <v>0.000925925925925926</v>
      </c>
      <c r="T956" s="5" t="n">
        <v>0.0887731481481481</v>
      </c>
      <c r="U956" s="5" t="n">
        <v>0.175</v>
      </c>
      <c r="V956" s="5" t="n">
        <v>0.0165509259259259</v>
      </c>
      <c r="W956" s="5" t="n">
        <v>0</v>
      </c>
      <c r="X956" s="5" t="n">
        <v>0</v>
      </c>
      <c r="Y956" s="5" t="n">
        <v>0</v>
      </c>
      <c r="Z956" s="0" t="n">
        <v>0</v>
      </c>
      <c r="AA956" s="0" t="n">
        <v>0</v>
      </c>
      <c r="AB956" s="0" t="n">
        <v>0</v>
      </c>
      <c r="AC956" s="4" t="s">
        <v>432</v>
      </c>
      <c r="AD956" s="4" t="s">
        <v>75</v>
      </c>
      <c r="AE956" s="4" t="s">
        <v>3819</v>
      </c>
      <c r="AF956" s="4" t="s">
        <v>3822</v>
      </c>
      <c r="AG956" s="5" t="n">
        <v>0.225914351851852</v>
      </c>
      <c r="AH956" s="5" t="n">
        <v>0.293703703703704</v>
      </c>
      <c r="AI956" s="5" t="n">
        <v>0</v>
      </c>
      <c r="AJ956" s="5" t="n">
        <v>0</v>
      </c>
      <c r="AK956" s="5" t="n">
        <v>0</v>
      </c>
      <c r="AL956" s="5" t="n">
        <v>0</v>
      </c>
      <c r="AM956" s="4" t="s">
        <v>78</v>
      </c>
      <c r="AN956" s="0" t="n">
        <v>0</v>
      </c>
      <c r="AO956" s="0" t="n">
        <v>0</v>
      </c>
      <c r="AP956" s="0" t="n">
        <v>0</v>
      </c>
      <c r="AQ956" s="0" t="n">
        <v>0</v>
      </c>
      <c r="AR956" s="0" t="n">
        <v>0</v>
      </c>
      <c r="AS956" s="0" t="n">
        <v>0</v>
      </c>
      <c r="AT956" s="0" t="n">
        <v>0</v>
      </c>
      <c r="AU956" s="0" t="n">
        <v>4</v>
      </c>
      <c r="AV956" s="0" t="n">
        <v>0</v>
      </c>
      <c r="AW956" s="0" t="n">
        <v>0</v>
      </c>
      <c r="AX956" s="0" t="n">
        <v>0</v>
      </c>
      <c r="AY956" s="0" t="n">
        <v>0</v>
      </c>
      <c r="AZ956" s="0" t="n">
        <v>0</v>
      </c>
      <c r="BA956" s="0" t="n">
        <v>0</v>
      </c>
      <c r="BB956" s="0" t="n">
        <v>0</v>
      </c>
      <c r="BC956" s="0" t="n">
        <v>0</v>
      </c>
      <c r="BD956" s="0" t="n">
        <v>0</v>
      </c>
      <c r="BE956" s="0" t="n">
        <v>0</v>
      </c>
      <c r="BF956" s="0" t="n">
        <v>0</v>
      </c>
      <c r="BG956" s="0" t="n">
        <v>0</v>
      </c>
      <c r="BH956" s="0" t="n">
        <v>0</v>
      </c>
      <c r="BI956" s="0" t="n">
        <v>0</v>
      </c>
      <c r="BJ956" s="0" t="n">
        <v>0</v>
      </c>
      <c r="BK956" s="0" t="n">
        <v>0</v>
      </c>
      <c r="BM956" s="6" t="n">
        <f aca="false">IFERROR(VALUE(F956),"")</f>
        <v>297.48</v>
      </c>
      <c r="BN956" s="6" t="n">
        <f aca="false">IF(R956="-","",IFERROR(VALUE(LEFT(Q956,LEN(Q956)-2)),""))</f>
        <v>92.18</v>
      </c>
      <c r="BO956" s="6" t="n">
        <f aca="false">IF(R956="-","",IFERROR(VALUE(LEFT(R956,LEN(R956)-5)),""))</f>
        <v>3.23</v>
      </c>
      <c r="BP956" s="6" t="n">
        <f aca="false">IF(R956="-","",IFERROR(VALUE(F956),""))</f>
        <v>297.48</v>
      </c>
      <c r="BQ956" s="4" t="n">
        <f aca="false">IF(R956="-",1,0)</f>
        <v>0</v>
      </c>
    </row>
    <row r="957" customFormat="false" ht="15" hidden="false" customHeight="false" outlineLevel="0" collapsed="false">
      <c r="A957" s="0" t="s">
        <v>3799</v>
      </c>
      <c r="B957" s="0" t="s">
        <v>3800</v>
      </c>
      <c r="C957" s="0" t="s">
        <v>70</v>
      </c>
      <c r="D957" s="0" t="s">
        <v>3316</v>
      </c>
      <c r="E957" s="3" t="n">
        <v>46278</v>
      </c>
      <c r="F957" s="4" t="s">
        <v>695</v>
      </c>
      <c r="G957" s="5" t="n">
        <v>0.261157407407407</v>
      </c>
      <c r="H957" s="5" t="n">
        <v>0.23630787037037</v>
      </c>
      <c r="I957" s="5" t="n">
        <v>0.000208333333333333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1</v>
      </c>
      <c r="O957" s="5" t="n">
        <v>0</v>
      </c>
      <c r="P957" s="5" t="n">
        <v>0</v>
      </c>
      <c r="Q957" s="4" t="s">
        <v>3823</v>
      </c>
      <c r="R957" s="4" t="s">
        <v>1061</v>
      </c>
      <c r="S957" s="5" t="n">
        <v>0.000231481481481482</v>
      </c>
      <c r="T957" s="5" t="n">
        <v>0.0601851851851852</v>
      </c>
      <c r="U957" s="5" t="n">
        <v>0.164351851851852</v>
      </c>
      <c r="V957" s="5" t="n">
        <v>0.00625</v>
      </c>
      <c r="W957" s="5" t="n">
        <v>0</v>
      </c>
      <c r="X957" s="5" t="n">
        <v>0</v>
      </c>
      <c r="Y957" s="5" t="n">
        <v>0</v>
      </c>
      <c r="Z957" s="0" t="n">
        <v>0</v>
      </c>
      <c r="AA957" s="0" t="n">
        <v>0</v>
      </c>
      <c r="AB957" s="0" t="n">
        <v>0</v>
      </c>
      <c r="AC957" s="4" t="s">
        <v>228</v>
      </c>
      <c r="AD957" s="4" t="s">
        <v>864</v>
      </c>
      <c r="AE957" s="4" t="s">
        <v>3822</v>
      </c>
      <c r="AF957" s="4" t="s">
        <v>3824</v>
      </c>
      <c r="AG957" s="5" t="n">
        <v>0.197430555555556</v>
      </c>
      <c r="AH957" s="5" t="n">
        <v>0.0998032407407407</v>
      </c>
      <c r="AI957" s="5" t="n">
        <v>0</v>
      </c>
      <c r="AJ957" s="5" t="n">
        <v>0</v>
      </c>
      <c r="AK957" s="5" t="n">
        <v>0</v>
      </c>
      <c r="AL957" s="5" t="n">
        <v>0</v>
      </c>
      <c r="AM957" s="4" t="s">
        <v>78</v>
      </c>
      <c r="AN957" s="0" t="n">
        <v>0</v>
      </c>
      <c r="AO957" s="0" t="n">
        <v>0</v>
      </c>
      <c r="AP957" s="0" t="n">
        <v>0</v>
      </c>
      <c r="AQ957" s="0" t="n">
        <v>0</v>
      </c>
      <c r="AR957" s="0" t="n">
        <v>0</v>
      </c>
      <c r="AS957" s="0" t="n">
        <v>0</v>
      </c>
      <c r="AT957" s="0" t="n">
        <v>0</v>
      </c>
      <c r="AU957" s="0" t="n">
        <v>2</v>
      </c>
      <c r="AV957" s="0" t="n">
        <v>0</v>
      </c>
      <c r="AW957" s="0" t="n">
        <v>0</v>
      </c>
      <c r="AX957" s="0" t="n">
        <v>0</v>
      </c>
      <c r="AY957" s="0" t="n">
        <v>0</v>
      </c>
      <c r="AZ957" s="0" t="n">
        <v>0</v>
      </c>
      <c r="BA957" s="0" t="n">
        <v>0</v>
      </c>
      <c r="BB957" s="0" t="n">
        <v>0</v>
      </c>
      <c r="BC957" s="0" t="n">
        <v>0</v>
      </c>
      <c r="BD957" s="0" t="n">
        <v>0</v>
      </c>
      <c r="BE957" s="0" t="n">
        <v>0</v>
      </c>
      <c r="BF957" s="0" t="n">
        <v>0</v>
      </c>
      <c r="BG957" s="0" t="n">
        <v>0</v>
      </c>
      <c r="BH957" s="0" t="n">
        <v>0</v>
      </c>
      <c r="BI957" s="0" t="n">
        <v>0</v>
      </c>
      <c r="BJ957" s="0" t="n">
        <v>0</v>
      </c>
      <c r="BK957" s="0" t="n">
        <v>0</v>
      </c>
      <c r="BM957" s="6" t="n">
        <f aca="false">IFERROR(VALUE(F957),"")</f>
        <v>255.59</v>
      </c>
      <c r="BN957" s="6" t="n">
        <f aca="false">IF(R957="-","",IFERROR(VALUE(LEFT(Q957,LEN(Q957)-2)),""))</f>
        <v>84.04</v>
      </c>
      <c r="BO957" s="6" t="n">
        <f aca="false">IF(R957="-","",IFERROR(VALUE(LEFT(R957,LEN(R957)-5)),""))</f>
        <v>3.04</v>
      </c>
      <c r="BP957" s="6" t="n">
        <f aca="false">IF(R957="-","",IFERROR(VALUE(F957),""))</f>
        <v>255.59</v>
      </c>
      <c r="BQ957" s="4" t="n">
        <f aca="false">IF(R957="-",1,0)</f>
        <v>0</v>
      </c>
    </row>
    <row r="958" customFormat="false" ht="15" hidden="false" customHeight="false" outlineLevel="0" collapsed="false">
      <c r="A958" s="0" t="s">
        <v>3799</v>
      </c>
      <c r="B958" s="0" t="s">
        <v>3800</v>
      </c>
      <c r="C958" s="0" t="s">
        <v>70</v>
      </c>
      <c r="D958" s="0" t="s">
        <v>3825</v>
      </c>
      <c r="E958" s="3" t="n">
        <v>46279</v>
      </c>
      <c r="F958" s="4" t="s">
        <v>3826</v>
      </c>
      <c r="G958" s="5" t="n">
        <v>0.0725347222222222</v>
      </c>
      <c r="H958" s="5" t="n">
        <v>0.0512384259259259</v>
      </c>
      <c r="I958" s="5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5" t="n">
        <v>0</v>
      </c>
      <c r="P958" s="5" t="n">
        <v>0</v>
      </c>
      <c r="Q958" s="4" t="s">
        <v>3827</v>
      </c>
      <c r="R958" s="4" t="s">
        <v>978</v>
      </c>
      <c r="S958" s="5" t="n">
        <v>0.000115740740740741</v>
      </c>
      <c r="T958" s="5" t="n">
        <v>0.0150462962962963</v>
      </c>
      <c r="U958" s="5" t="n">
        <v>0.0172453703703704</v>
      </c>
      <c r="V958" s="5" t="n">
        <v>0.00150462962962963</v>
      </c>
      <c r="W958" s="5" t="n">
        <v>0</v>
      </c>
      <c r="X958" s="5" t="n">
        <v>0</v>
      </c>
      <c r="Y958" s="5" t="n">
        <v>0</v>
      </c>
      <c r="Z958" s="0" t="n">
        <v>0</v>
      </c>
      <c r="AA958" s="0" t="n">
        <v>0</v>
      </c>
      <c r="AB958" s="0" t="n">
        <v>0</v>
      </c>
      <c r="AC958" s="4" t="s">
        <v>877</v>
      </c>
      <c r="AD958" s="4" t="s">
        <v>852</v>
      </c>
      <c r="AE958" s="4" t="s">
        <v>3824</v>
      </c>
      <c r="AF958" s="4" t="s">
        <v>3828</v>
      </c>
      <c r="AG958" s="5" t="n">
        <v>0.0279166666666667</v>
      </c>
      <c r="AH958" s="5" t="n">
        <v>0.0530439814814815</v>
      </c>
      <c r="AI958" s="5" t="n">
        <v>0</v>
      </c>
      <c r="AJ958" s="5" t="n">
        <v>0</v>
      </c>
      <c r="AK958" s="5" t="n">
        <v>0</v>
      </c>
      <c r="AL958" s="5" t="n">
        <v>0</v>
      </c>
      <c r="AM958" s="4" t="s">
        <v>78</v>
      </c>
      <c r="AN958" s="0" t="n">
        <v>0</v>
      </c>
      <c r="AO958" s="0" t="n">
        <v>0</v>
      </c>
      <c r="AP958" s="0" t="n">
        <v>0</v>
      </c>
      <c r="AQ958" s="0" t="n">
        <v>0</v>
      </c>
      <c r="AR958" s="0" t="n">
        <v>0</v>
      </c>
      <c r="AS958" s="0" t="n">
        <v>0</v>
      </c>
      <c r="AT958" s="0" t="n">
        <v>0</v>
      </c>
      <c r="AU958" s="0" t="n">
        <v>0</v>
      </c>
      <c r="AV958" s="0" t="n">
        <v>0</v>
      </c>
      <c r="AW958" s="0" t="n">
        <v>0</v>
      </c>
      <c r="AX958" s="0" t="n">
        <v>0</v>
      </c>
      <c r="AY958" s="0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0" t="n">
        <v>0</v>
      </c>
      <c r="BE958" s="0" t="n">
        <v>0</v>
      </c>
      <c r="BF958" s="0" t="n">
        <v>0</v>
      </c>
      <c r="BG958" s="0" t="n">
        <v>0</v>
      </c>
      <c r="BH958" s="0" t="n">
        <v>0</v>
      </c>
      <c r="BI958" s="0" t="n">
        <v>0</v>
      </c>
      <c r="BJ958" s="0" t="n">
        <v>0</v>
      </c>
      <c r="BK958" s="0" t="n">
        <v>0</v>
      </c>
      <c r="BM958" s="6" t="n">
        <f aca="false">IFERROR(VALUE(F958),"")</f>
        <v>30.19</v>
      </c>
      <c r="BN958" s="6" t="n">
        <f aca="false">IF(R958="-","",IFERROR(VALUE(LEFT(Q958,LEN(Q958)-2)),""))</f>
        <v>12.59</v>
      </c>
      <c r="BO958" s="6" t="n">
        <f aca="false">IF(R958="-","",IFERROR(VALUE(LEFT(R958,LEN(R958)-5)),""))</f>
        <v>2.4</v>
      </c>
      <c r="BP958" s="6" t="n">
        <f aca="false">IF(R958="-","",IFERROR(VALUE(F958),""))</f>
        <v>30.19</v>
      </c>
      <c r="BQ958" s="4" t="n">
        <f aca="false">IF(R958="-",1,0)</f>
        <v>0</v>
      </c>
    </row>
    <row r="959" customFormat="false" ht="15" hidden="false" customHeight="false" outlineLevel="0" collapsed="false">
      <c r="A959" s="0" t="s">
        <v>3829</v>
      </c>
      <c r="B959" s="0" t="s">
        <v>3830</v>
      </c>
      <c r="C959" s="0" t="s">
        <v>70</v>
      </c>
      <c r="D959" s="0" t="s">
        <v>3831</v>
      </c>
      <c r="E959" s="3" t="n">
        <v>46273</v>
      </c>
      <c r="F959" s="4" t="s">
        <v>3832</v>
      </c>
      <c r="G959" s="5" t="n">
        <v>0.618657407407407</v>
      </c>
      <c r="H959" s="5" t="n">
        <v>0.586712962962963</v>
      </c>
      <c r="I959" s="5" t="n">
        <v>0.000138888888888889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5" t="n">
        <v>0</v>
      </c>
      <c r="P959" s="5" t="n">
        <v>0</v>
      </c>
      <c r="Q959" s="4" t="s">
        <v>3833</v>
      </c>
      <c r="R959" s="4" t="s">
        <v>1209</v>
      </c>
      <c r="S959" s="5" t="n">
        <v>0.000115740740740741</v>
      </c>
      <c r="T959" s="5" t="n">
        <v>0.114467592592593</v>
      </c>
      <c r="U959" s="5" t="n">
        <v>0.386921296296296</v>
      </c>
      <c r="V959" s="5" t="n">
        <v>0.0238425925925926</v>
      </c>
      <c r="W959" s="5" t="n">
        <v>0</v>
      </c>
      <c r="X959" s="5" t="n">
        <v>0</v>
      </c>
      <c r="Y959" s="5" t="n">
        <v>0</v>
      </c>
      <c r="Z959" s="0" t="n">
        <v>0</v>
      </c>
      <c r="AA959" s="0" t="n">
        <v>0</v>
      </c>
      <c r="AB959" s="0" t="n">
        <v>0</v>
      </c>
      <c r="AC959" s="4" t="s">
        <v>1026</v>
      </c>
      <c r="AD959" s="4" t="s">
        <v>1026</v>
      </c>
      <c r="AE959" s="4" t="s">
        <v>3834</v>
      </c>
      <c r="AF959" s="4" t="s">
        <v>3835</v>
      </c>
      <c r="AG959" s="5" t="n">
        <v>0.47650462962963</v>
      </c>
      <c r="AH959" s="5" t="n">
        <v>0.232534722222222</v>
      </c>
      <c r="AI959" s="5" t="n">
        <v>0</v>
      </c>
      <c r="AJ959" s="5" t="n">
        <v>0</v>
      </c>
      <c r="AK959" s="5" t="n">
        <v>0</v>
      </c>
      <c r="AL959" s="5" t="n">
        <v>0</v>
      </c>
      <c r="AM959" s="4" t="s">
        <v>78</v>
      </c>
      <c r="AN959" s="0" t="n">
        <v>0</v>
      </c>
      <c r="AO959" s="0" t="n">
        <v>0</v>
      </c>
      <c r="AP959" s="0" t="n">
        <v>0</v>
      </c>
      <c r="AQ959" s="0" t="n">
        <v>0</v>
      </c>
      <c r="AR959" s="0" t="n">
        <v>0</v>
      </c>
      <c r="AS959" s="0" t="n">
        <v>0</v>
      </c>
      <c r="AT959" s="0" t="n">
        <v>0</v>
      </c>
      <c r="AU959" s="0" t="n">
        <v>4</v>
      </c>
      <c r="AV959" s="0" t="n">
        <v>0</v>
      </c>
      <c r="AW959" s="0" t="n">
        <v>0</v>
      </c>
      <c r="AX959" s="0" t="n">
        <v>0</v>
      </c>
      <c r="AY959" s="0" t="n">
        <v>0</v>
      </c>
      <c r="AZ959" s="0" t="n">
        <v>0</v>
      </c>
      <c r="BA959" s="0" t="n">
        <v>0</v>
      </c>
      <c r="BB959" s="0" t="n">
        <v>0</v>
      </c>
      <c r="BC959" s="0" t="n">
        <v>0</v>
      </c>
      <c r="BD959" s="0" t="n">
        <v>0</v>
      </c>
      <c r="BE959" s="0" t="n">
        <v>0</v>
      </c>
      <c r="BF959" s="0" t="n">
        <v>0</v>
      </c>
      <c r="BG959" s="0" t="n">
        <v>0</v>
      </c>
      <c r="BH959" s="0" t="n">
        <v>0</v>
      </c>
      <c r="BI959" s="0" t="n">
        <v>0</v>
      </c>
      <c r="BJ959" s="0" t="n">
        <v>0</v>
      </c>
      <c r="BK959" s="0" t="n">
        <v>0</v>
      </c>
      <c r="BM959" s="6" t="n">
        <f aca="false">IFERROR(VALUE(F959),"")</f>
        <v>565.67</v>
      </c>
      <c r="BN959" s="6" t="n">
        <f aca="false">IF(R959="-","",IFERROR(VALUE(LEFT(Q959,LEN(Q959)-2)),""))</f>
        <v>203.79</v>
      </c>
      <c r="BO959" s="6" t="n">
        <f aca="false">IF(R959="-","",IFERROR(VALUE(LEFT(R959,LEN(R959)-5)),""))</f>
        <v>2.78</v>
      </c>
      <c r="BP959" s="6" t="n">
        <f aca="false">IF(R959="-","",IFERROR(VALUE(F959),""))</f>
        <v>565.67</v>
      </c>
      <c r="BQ959" s="4" t="n">
        <f aca="false">IF(R959="-",1,0)</f>
        <v>0</v>
      </c>
    </row>
    <row r="960" customFormat="false" ht="15" hidden="false" customHeight="false" outlineLevel="0" collapsed="false">
      <c r="A960" s="0" t="s">
        <v>3829</v>
      </c>
      <c r="B960" s="0" t="s">
        <v>3830</v>
      </c>
      <c r="C960" s="0" t="s">
        <v>70</v>
      </c>
      <c r="D960" s="0" t="s">
        <v>3836</v>
      </c>
      <c r="E960" s="3" t="n">
        <v>46274</v>
      </c>
      <c r="F960" s="4" t="s">
        <v>3837</v>
      </c>
      <c r="G960" s="5" t="n">
        <v>0.595150462962963</v>
      </c>
      <c r="H960" s="5" t="n">
        <v>0.52087962962963</v>
      </c>
      <c r="I960" s="5" t="n">
        <v>5.78703703703704E-005</v>
      </c>
      <c r="J960" s="0" t="n">
        <v>0</v>
      </c>
      <c r="K960" s="0" t="n">
        <v>2</v>
      </c>
      <c r="L960" s="0" t="n">
        <v>0</v>
      </c>
      <c r="M960" s="0" t="n">
        <v>0</v>
      </c>
      <c r="N960" s="0" t="n">
        <v>3</v>
      </c>
      <c r="O960" s="5" t="n">
        <v>0</v>
      </c>
      <c r="P960" s="5" t="n">
        <v>0</v>
      </c>
      <c r="Q960" s="4" t="s">
        <v>3838</v>
      </c>
      <c r="R960" s="4" t="s">
        <v>492</v>
      </c>
      <c r="S960" s="5" t="n">
        <v>0.000462962962962963</v>
      </c>
      <c r="T960" s="5" t="n">
        <v>0.122337962962963</v>
      </c>
      <c r="U960" s="5" t="n">
        <v>0.345486111111111</v>
      </c>
      <c r="V960" s="5" t="n">
        <v>0.0193287037037037</v>
      </c>
      <c r="W960" s="5" t="n">
        <v>0</v>
      </c>
      <c r="X960" s="5" t="n">
        <v>0</v>
      </c>
      <c r="Y960" s="5" t="n">
        <v>0</v>
      </c>
      <c r="Z960" s="0" t="n">
        <v>0</v>
      </c>
      <c r="AA960" s="0" t="n">
        <v>0</v>
      </c>
      <c r="AB960" s="0" t="n">
        <v>0</v>
      </c>
      <c r="AC960" s="4" t="s">
        <v>1026</v>
      </c>
      <c r="AD960" s="4" t="s">
        <v>1026</v>
      </c>
      <c r="AE960" s="4" t="s">
        <v>3835</v>
      </c>
      <c r="AF960" s="4" t="s">
        <v>3839</v>
      </c>
      <c r="AG960" s="5" t="n">
        <v>0.42712962962963</v>
      </c>
      <c r="AH960" s="5" t="n">
        <v>0.24662037037037</v>
      </c>
      <c r="AI960" s="5" t="n">
        <v>0</v>
      </c>
      <c r="AJ960" s="5" t="n">
        <v>0</v>
      </c>
      <c r="AK960" s="5" t="n">
        <v>0</v>
      </c>
      <c r="AL960" s="5" t="n">
        <v>0</v>
      </c>
      <c r="AM960" s="4" t="s">
        <v>78</v>
      </c>
      <c r="AN960" s="0" t="n">
        <v>0</v>
      </c>
      <c r="AO960" s="0" t="n">
        <v>0</v>
      </c>
      <c r="AP960" s="0" t="n">
        <v>0</v>
      </c>
      <c r="AQ960" s="0" t="n">
        <v>0</v>
      </c>
      <c r="AR960" s="0" t="n">
        <v>0</v>
      </c>
      <c r="AS960" s="0" t="n">
        <v>0</v>
      </c>
      <c r="AT960" s="0" t="n">
        <v>0</v>
      </c>
      <c r="AU960" s="0" t="n">
        <v>16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0" t="n">
        <v>0</v>
      </c>
      <c r="BE960" s="0" t="n">
        <v>0</v>
      </c>
      <c r="BF960" s="0" t="n">
        <v>0</v>
      </c>
      <c r="BG960" s="0" t="n">
        <v>0</v>
      </c>
      <c r="BH960" s="0" t="n">
        <v>0</v>
      </c>
      <c r="BI960" s="0" t="n">
        <v>0</v>
      </c>
      <c r="BJ960" s="0" t="n">
        <v>0</v>
      </c>
      <c r="BK960" s="0" t="n">
        <v>0</v>
      </c>
      <c r="BM960" s="6" t="n">
        <f aca="false">IFERROR(VALUE(F960),"")</f>
        <v>545.9</v>
      </c>
      <c r="BN960" s="6" t="n">
        <f aca="false">IF(R960="-","",IFERROR(VALUE(LEFT(Q960,LEN(Q960)-2)),""))</f>
        <v>191.59</v>
      </c>
      <c r="BO960" s="6" t="n">
        <f aca="false">IF(R960="-","",IFERROR(VALUE(LEFT(R960,LEN(R960)-5)),""))</f>
        <v>2.85</v>
      </c>
      <c r="BP960" s="6" t="n">
        <f aca="false">IF(R960="-","",IFERROR(VALUE(F960),""))</f>
        <v>545.9</v>
      </c>
      <c r="BQ960" s="4" t="n">
        <f aca="false">IF(R960="-",1,0)</f>
        <v>0</v>
      </c>
    </row>
    <row r="961" customFormat="false" ht="15" hidden="false" customHeight="false" outlineLevel="0" collapsed="false">
      <c r="A961" s="0" t="s">
        <v>3829</v>
      </c>
      <c r="B961" s="0" t="s">
        <v>3830</v>
      </c>
      <c r="C961" s="0" t="s">
        <v>70</v>
      </c>
      <c r="D961" s="0" t="s">
        <v>3840</v>
      </c>
      <c r="E961" s="3" t="n">
        <v>46275</v>
      </c>
      <c r="F961" s="4" t="s">
        <v>3841</v>
      </c>
      <c r="G961" s="5" t="n">
        <v>0.623611111111111</v>
      </c>
      <c r="H961" s="5" t="n">
        <v>0.539826388888889</v>
      </c>
      <c r="I961" s="5" t="n">
        <v>8.10185185185185E-005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5" t="n">
        <v>0</v>
      </c>
      <c r="P961" s="5" t="n">
        <v>0</v>
      </c>
      <c r="Q961" s="4" t="s">
        <v>3842</v>
      </c>
      <c r="R961" s="4" t="s">
        <v>2964</v>
      </c>
      <c r="S961" s="5" t="n">
        <v>0.000694444444444445</v>
      </c>
      <c r="T961" s="5" t="n">
        <v>0.0993055555555556</v>
      </c>
      <c r="U961" s="5" t="n">
        <v>0.420717592592593</v>
      </c>
      <c r="V961" s="5" t="n">
        <v>0.0215277777777778</v>
      </c>
      <c r="W961" s="5" t="n">
        <v>0</v>
      </c>
      <c r="X961" s="5" t="n">
        <v>0</v>
      </c>
      <c r="Y961" s="5" t="n">
        <v>0</v>
      </c>
      <c r="Z961" s="0" t="n">
        <v>0</v>
      </c>
      <c r="AA961" s="0" t="n">
        <v>0</v>
      </c>
      <c r="AB961" s="0" t="n">
        <v>0</v>
      </c>
      <c r="AC961" s="4" t="s">
        <v>3843</v>
      </c>
      <c r="AD961" s="4" t="s">
        <v>74</v>
      </c>
      <c r="AE961" s="4" t="s">
        <v>3839</v>
      </c>
      <c r="AF961" s="4" t="s">
        <v>3844</v>
      </c>
      <c r="AG961" s="5" t="n">
        <v>0.492916666666667</v>
      </c>
      <c r="AH961" s="5" t="n">
        <v>0.184849537037037</v>
      </c>
      <c r="AI961" s="5" t="n">
        <v>0</v>
      </c>
      <c r="AJ961" s="5" t="n">
        <v>0</v>
      </c>
      <c r="AK961" s="5" t="n">
        <v>0</v>
      </c>
      <c r="AL961" s="5" t="n">
        <v>0</v>
      </c>
      <c r="AM961" s="4" t="s">
        <v>78</v>
      </c>
      <c r="AN961" s="0" t="n">
        <v>0</v>
      </c>
      <c r="AO961" s="0" t="n">
        <v>0</v>
      </c>
      <c r="AP961" s="0" t="n">
        <v>0</v>
      </c>
      <c r="AQ961" s="0" t="n">
        <v>0</v>
      </c>
      <c r="AR961" s="0" t="n">
        <v>0</v>
      </c>
      <c r="AS961" s="0" t="n">
        <v>0</v>
      </c>
      <c r="AT961" s="0" t="n">
        <v>0</v>
      </c>
      <c r="AU961" s="0" t="n">
        <v>4</v>
      </c>
      <c r="AV961" s="0" t="n">
        <v>0</v>
      </c>
      <c r="AW961" s="0" t="n">
        <v>0</v>
      </c>
      <c r="AX961" s="0" t="n">
        <v>0</v>
      </c>
      <c r="AY961" s="0" t="n">
        <v>0</v>
      </c>
      <c r="AZ961" s="0" t="n">
        <v>0</v>
      </c>
      <c r="BA961" s="0" t="n">
        <v>0</v>
      </c>
      <c r="BB961" s="0" t="n">
        <v>0</v>
      </c>
      <c r="BC961" s="0" t="n">
        <v>0</v>
      </c>
      <c r="BD961" s="0" t="n">
        <v>0</v>
      </c>
      <c r="BE961" s="0" t="n">
        <v>0</v>
      </c>
      <c r="BF961" s="0" t="n">
        <v>0</v>
      </c>
      <c r="BG961" s="0" t="n">
        <v>0</v>
      </c>
      <c r="BH961" s="0" t="n">
        <v>0</v>
      </c>
      <c r="BI961" s="0" t="n">
        <v>0</v>
      </c>
      <c r="BJ961" s="0" t="n">
        <v>0</v>
      </c>
      <c r="BK961" s="0" t="n">
        <v>0</v>
      </c>
      <c r="BM961" s="6" t="n">
        <f aca="false">IFERROR(VALUE(F961),"")</f>
        <v>677.85</v>
      </c>
      <c r="BN961" s="6" t="n">
        <f aca="false">IF(R961="-","",IFERROR(VALUE(LEFT(Q961,LEN(Q961)-2)),""))</f>
        <v>210.23</v>
      </c>
      <c r="BO961" s="6" t="n">
        <f aca="false">IF(R961="-","",IFERROR(VALUE(LEFT(R961,LEN(R961)-5)),""))</f>
        <v>3.22</v>
      </c>
      <c r="BP961" s="6" t="n">
        <f aca="false">IF(R961="-","",IFERROR(VALUE(F961),""))</f>
        <v>677.85</v>
      </c>
      <c r="BQ961" s="4" t="n">
        <f aca="false">IF(R961="-",1,0)</f>
        <v>0</v>
      </c>
    </row>
    <row r="962" customFormat="false" ht="15" hidden="false" customHeight="false" outlineLevel="0" collapsed="false">
      <c r="A962" s="0" t="s">
        <v>3829</v>
      </c>
      <c r="B962" s="0" t="s">
        <v>3830</v>
      </c>
      <c r="C962" s="0" t="s">
        <v>70</v>
      </c>
      <c r="D962" s="0" t="s">
        <v>3845</v>
      </c>
      <c r="E962" s="3" t="n">
        <v>46276</v>
      </c>
      <c r="F962" s="4" t="s">
        <v>3846</v>
      </c>
      <c r="G962" s="5" t="n">
        <v>0.609652777777778</v>
      </c>
      <c r="H962" s="5" t="n">
        <v>0.583171296296296</v>
      </c>
      <c r="I962" s="5" t="n">
        <v>8.10185185185185E-005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5" t="n">
        <v>0</v>
      </c>
      <c r="P962" s="5" t="n">
        <v>0</v>
      </c>
      <c r="Q962" s="4" t="s">
        <v>3847</v>
      </c>
      <c r="R962" s="4" t="s">
        <v>863</v>
      </c>
      <c r="S962" s="5" t="n">
        <v>0.000578703703703704</v>
      </c>
      <c r="T962" s="5" t="n">
        <v>0.111574074074074</v>
      </c>
      <c r="U962" s="5" t="n">
        <v>0.41400462962963</v>
      </c>
      <c r="V962" s="5" t="n">
        <v>0.0233796296296296</v>
      </c>
      <c r="W962" s="5" t="n">
        <v>0</v>
      </c>
      <c r="X962" s="5" t="n">
        <v>0</v>
      </c>
      <c r="Y962" s="5" t="n">
        <v>0</v>
      </c>
      <c r="Z962" s="0" t="n">
        <v>0</v>
      </c>
      <c r="AA962" s="0" t="n">
        <v>0</v>
      </c>
      <c r="AB962" s="0" t="n">
        <v>0</v>
      </c>
      <c r="AC962" s="4" t="s">
        <v>81</v>
      </c>
      <c r="AD962" s="4" t="s">
        <v>1026</v>
      </c>
      <c r="AE962" s="4" t="s">
        <v>3844</v>
      </c>
      <c r="AF962" s="4" t="s">
        <v>3848</v>
      </c>
      <c r="AG962" s="5" t="n">
        <v>0.485555555555556</v>
      </c>
      <c r="AH962" s="5" t="n">
        <v>0.204131944444444</v>
      </c>
      <c r="AI962" s="5" t="n">
        <v>0</v>
      </c>
      <c r="AJ962" s="5" t="n">
        <v>0</v>
      </c>
      <c r="AK962" s="5" t="n">
        <v>0</v>
      </c>
      <c r="AL962" s="5" t="n">
        <v>0</v>
      </c>
      <c r="AM962" s="4" t="s">
        <v>78</v>
      </c>
      <c r="AN962" s="0" t="n">
        <v>0</v>
      </c>
      <c r="AO962" s="0" t="n">
        <v>0</v>
      </c>
      <c r="AP962" s="0" t="n">
        <v>0</v>
      </c>
      <c r="AQ962" s="0" t="n">
        <v>0</v>
      </c>
      <c r="AR962" s="0" t="n">
        <v>0</v>
      </c>
      <c r="AS962" s="0" t="n">
        <v>0</v>
      </c>
      <c r="AT962" s="0" t="n">
        <v>0</v>
      </c>
      <c r="AU962" s="0" t="n">
        <v>2</v>
      </c>
      <c r="AV962" s="0" t="n">
        <v>0</v>
      </c>
      <c r="AW962" s="0" t="n">
        <v>0</v>
      </c>
      <c r="AX962" s="0" t="n">
        <v>0</v>
      </c>
      <c r="AY962" s="0" t="n">
        <v>0</v>
      </c>
      <c r="AZ962" s="0" t="n">
        <v>0</v>
      </c>
      <c r="BA962" s="0" t="n">
        <v>0</v>
      </c>
      <c r="BB962" s="0" t="n">
        <v>0</v>
      </c>
      <c r="BC962" s="0" t="n">
        <v>0</v>
      </c>
      <c r="BD962" s="0" t="n">
        <v>0</v>
      </c>
      <c r="BE962" s="0" t="n">
        <v>0</v>
      </c>
      <c r="BF962" s="0" t="n">
        <v>0</v>
      </c>
      <c r="BG962" s="0" t="n">
        <v>0</v>
      </c>
      <c r="BH962" s="0" t="n">
        <v>0</v>
      </c>
      <c r="BI962" s="0" t="n">
        <v>0</v>
      </c>
      <c r="BJ962" s="0" t="n">
        <v>0</v>
      </c>
      <c r="BK962" s="0" t="n">
        <v>0</v>
      </c>
      <c r="BM962" s="6" t="n">
        <f aca="false">IFERROR(VALUE(F962),"")</f>
        <v>681.23</v>
      </c>
      <c r="BN962" s="6" t="n">
        <f aca="false">IF(R962="-","",IFERROR(VALUE(LEFT(Q962,LEN(Q962)-2)),""))</f>
        <v>208.05</v>
      </c>
      <c r="BO962" s="6" t="n">
        <f aca="false">IF(R962="-","",IFERROR(VALUE(LEFT(R962,LEN(R962)-5)),""))</f>
        <v>3.27</v>
      </c>
      <c r="BP962" s="6" t="n">
        <f aca="false">IF(R962="-","",IFERROR(VALUE(F962),""))</f>
        <v>681.23</v>
      </c>
      <c r="BQ962" s="4" t="n">
        <f aca="false">IF(R962="-",1,0)</f>
        <v>0</v>
      </c>
    </row>
    <row r="963" customFormat="false" ht="15" hidden="false" customHeight="false" outlineLevel="0" collapsed="false">
      <c r="A963" s="0" t="s">
        <v>3829</v>
      </c>
      <c r="B963" s="0" t="s">
        <v>3830</v>
      </c>
      <c r="C963" s="0" t="s">
        <v>70</v>
      </c>
      <c r="D963" s="0" t="s">
        <v>3849</v>
      </c>
      <c r="E963" s="3" t="n">
        <v>46277</v>
      </c>
      <c r="F963" s="4" t="s">
        <v>3850</v>
      </c>
      <c r="G963" s="5" t="n">
        <v>0.621840277777778</v>
      </c>
      <c r="H963" s="5" t="n">
        <v>0.578368055555556</v>
      </c>
      <c r="I963" s="5" t="n">
        <v>0.000243055555555556</v>
      </c>
      <c r="J963" s="0" t="n">
        <v>0</v>
      </c>
      <c r="K963" s="0" t="n">
        <v>1</v>
      </c>
      <c r="L963" s="0" t="n">
        <v>0</v>
      </c>
      <c r="M963" s="0" t="n">
        <v>0</v>
      </c>
      <c r="N963" s="0" t="n">
        <v>0</v>
      </c>
      <c r="O963" s="5" t="n">
        <v>0</v>
      </c>
      <c r="P963" s="5" t="n">
        <v>0</v>
      </c>
      <c r="Q963" s="4" t="s">
        <v>3851</v>
      </c>
      <c r="R963" s="4" t="s">
        <v>420</v>
      </c>
      <c r="S963" s="5" t="n">
        <v>0.000810185185185185</v>
      </c>
      <c r="T963" s="5" t="n">
        <v>0.112037037037037</v>
      </c>
      <c r="U963" s="5" t="n">
        <v>0.415625</v>
      </c>
      <c r="V963" s="5" t="n">
        <v>0.0188657407407407</v>
      </c>
      <c r="W963" s="5" t="n">
        <v>0.000115740740740741</v>
      </c>
      <c r="X963" s="5" t="n">
        <v>0</v>
      </c>
      <c r="Y963" s="5" t="n">
        <v>0</v>
      </c>
      <c r="Z963" s="0" t="n">
        <v>0</v>
      </c>
      <c r="AA963" s="0" t="n">
        <v>0</v>
      </c>
      <c r="AB963" s="0" t="n">
        <v>0</v>
      </c>
      <c r="AC963" s="4" t="s">
        <v>1026</v>
      </c>
      <c r="AD963" s="4" t="s">
        <v>74</v>
      </c>
      <c r="AE963" s="4" t="s">
        <v>3848</v>
      </c>
      <c r="AF963" s="4" t="s">
        <v>3852</v>
      </c>
      <c r="AG963" s="5" t="n">
        <v>0.479895833333333</v>
      </c>
      <c r="AH963" s="5" t="n">
        <v>0.256516203703704</v>
      </c>
      <c r="AI963" s="5" t="n">
        <v>0</v>
      </c>
      <c r="AJ963" s="5" t="n">
        <v>0</v>
      </c>
      <c r="AK963" s="5" t="n">
        <v>0</v>
      </c>
      <c r="AL963" s="5" t="n">
        <v>0</v>
      </c>
      <c r="AM963" s="4" t="s">
        <v>78</v>
      </c>
      <c r="AN963" s="0" t="n">
        <v>0</v>
      </c>
      <c r="AO963" s="0" t="n">
        <v>0</v>
      </c>
      <c r="AP963" s="0" t="n">
        <v>0</v>
      </c>
      <c r="AQ963" s="0" t="n">
        <v>0</v>
      </c>
      <c r="AR963" s="0" t="n">
        <v>0</v>
      </c>
      <c r="AS963" s="0" t="n">
        <v>0</v>
      </c>
      <c r="AT963" s="0" t="n">
        <v>0</v>
      </c>
      <c r="AU963" s="0" t="n">
        <v>4</v>
      </c>
      <c r="AV963" s="0" t="n">
        <v>0</v>
      </c>
      <c r="AW963" s="0" t="n">
        <v>0</v>
      </c>
      <c r="AX963" s="0" t="n">
        <v>0</v>
      </c>
      <c r="AY963" s="0" t="n">
        <v>0</v>
      </c>
      <c r="AZ963" s="0" t="n">
        <v>0</v>
      </c>
      <c r="BA963" s="0" t="n">
        <v>0</v>
      </c>
      <c r="BB963" s="0" t="n">
        <v>0</v>
      </c>
      <c r="BC963" s="0" t="n">
        <v>0</v>
      </c>
      <c r="BD963" s="0" t="n">
        <v>0</v>
      </c>
      <c r="BE963" s="0" t="n">
        <v>0</v>
      </c>
      <c r="BF963" s="0" t="n">
        <v>0</v>
      </c>
      <c r="BG963" s="0" t="n">
        <v>0</v>
      </c>
      <c r="BH963" s="0" t="n">
        <v>0</v>
      </c>
      <c r="BI963" s="0" t="n">
        <v>0</v>
      </c>
      <c r="BJ963" s="0" t="n">
        <v>0</v>
      </c>
      <c r="BK963" s="0" t="n">
        <v>0</v>
      </c>
      <c r="BM963" s="6" t="n">
        <f aca="false">IFERROR(VALUE(F963),"")</f>
        <v>679.31</v>
      </c>
      <c r="BN963" s="6" t="n">
        <f aca="false">IF(R963="-","",IFERROR(VALUE(LEFT(Q963,LEN(Q963)-2)),""))</f>
        <v>208.23</v>
      </c>
      <c r="BO963" s="6" t="n">
        <f aca="false">IF(R963="-","",IFERROR(VALUE(LEFT(R963,LEN(R963)-5)),""))</f>
        <v>3.26</v>
      </c>
      <c r="BP963" s="6" t="n">
        <f aca="false">IF(R963="-","",IFERROR(VALUE(F963),""))</f>
        <v>679.31</v>
      </c>
      <c r="BQ963" s="4" t="n">
        <f aca="false">IF(R963="-",1,0)</f>
        <v>0</v>
      </c>
    </row>
    <row r="964" customFormat="false" ht="15" hidden="false" customHeight="false" outlineLevel="0" collapsed="false">
      <c r="A964" s="0" t="s">
        <v>3829</v>
      </c>
      <c r="B964" s="0" t="s">
        <v>3830</v>
      </c>
      <c r="C964" s="0" t="s">
        <v>70</v>
      </c>
      <c r="D964" s="0" t="s">
        <v>3853</v>
      </c>
      <c r="E964" s="3" t="n">
        <v>46278</v>
      </c>
      <c r="F964" s="4" t="s">
        <v>3854</v>
      </c>
      <c r="G964" s="5" t="n">
        <v>0.621458333333333</v>
      </c>
      <c r="H964" s="5" t="n">
        <v>0.613784722222222</v>
      </c>
      <c r="I964" s="5" t="n">
        <v>0.000150462962962963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5" t="n">
        <v>0</v>
      </c>
      <c r="P964" s="5" t="n">
        <v>0</v>
      </c>
      <c r="Q964" s="4" t="s">
        <v>3855</v>
      </c>
      <c r="R964" s="4" t="s">
        <v>967</v>
      </c>
      <c r="S964" s="5" t="n">
        <v>0.000578703703703704</v>
      </c>
      <c r="T964" s="5" t="n">
        <v>0.115740740740741</v>
      </c>
      <c r="U964" s="5" t="n">
        <v>0.407175925925926</v>
      </c>
      <c r="V964" s="5" t="n">
        <v>0.0199074074074074</v>
      </c>
      <c r="W964" s="5" t="n">
        <v>0.000115740740740741</v>
      </c>
      <c r="X964" s="5" t="n">
        <v>0</v>
      </c>
      <c r="Y964" s="5" t="n">
        <v>0</v>
      </c>
      <c r="Z964" s="0" t="n">
        <v>0</v>
      </c>
      <c r="AA964" s="0" t="n">
        <v>0</v>
      </c>
      <c r="AB964" s="0" t="n">
        <v>0</v>
      </c>
      <c r="AC964" s="4" t="s">
        <v>228</v>
      </c>
      <c r="AD964" s="4" t="s">
        <v>1026</v>
      </c>
      <c r="AE964" s="4" t="s">
        <v>3852</v>
      </c>
      <c r="AF964" s="4" t="s">
        <v>3856</v>
      </c>
      <c r="AG964" s="5" t="n">
        <v>0.473368055555556</v>
      </c>
      <c r="AH964" s="5" t="n">
        <v>0.198414351851852</v>
      </c>
      <c r="AI964" s="5" t="n">
        <v>0</v>
      </c>
      <c r="AJ964" s="5" t="n">
        <v>0</v>
      </c>
      <c r="AK964" s="5" t="n">
        <v>0</v>
      </c>
      <c r="AL964" s="5" t="n">
        <v>0</v>
      </c>
      <c r="AM964" s="4" t="s">
        <v>78</v>
      </c>
      <c r="AN964" s="0" t="n">
        <v>0</v>
      </c>
      <c r="AO964" s="0" t="n">
        <v>0</v>
      </c>
      <c r="AP964" s="0" t="n">
        <v>0</v>
      </c>
      <c r="AQ964" s="0" t="n">
        <v>0</v>
      </c>
      <c r="AR964" s="0" t="n">
        <v>0</v>
      </c>
      <c r="AS964" s="0" t="n">
        <v>0</v>
      </c>
      <c r="AT964" s="0" t="n">
        <v>0</v>
      </c>
      <c r="AU964" s="0" t="n">
        <v>1</v>
      </c>
      <c r="AV964" s="0" t="n">
        <v>0</v>
      </c>
      <c r="AW964" s="0" t="n">
        <v>0</v>
      </c>
      <c r="AX964" s="0" t="n">
        <v>0</v>
      </c>
      <c r="AY964" s="0" t="n">
        <v>0</v>
      </c>
      <c r="AZ964" s="0" t="n">
        <v>0</v>
      </c>
      <c r="BA964" s="0" t="n">
        <v>0</v>
      </c>
      <c r="BB964" s="0" t="n">
        <v>0</v>
      </c>
      <c r="BC964" s="0" t="n">
        <v>0</v>
      </c>
      <c r="BD964" s="0" t="n">
        <v>0</v>
      </c>
      <c r="BE964" s="0" t="n">
        <v>0</v>
      </c>
      <c r="BF964" s="0" t="n">
        <v>0</v>
      </c>
      <c r="BG964" s="0" t="n">
        <v>0</v>
      </c>
      <c r="BH964" s="0" t="n">
        <v>0</v>
      </c>
      <c r="BI964" s="0" t="n">
        <v>0</v>
      </c>
      <c r="BJ964" s="0" t="n">
        <v>0</v>
      </c>
      <c r="BK964" s="0" t="n">
        <v>0</v>
      </c>
      <c r="BM964" s="6" t="n">
        <f aca="false">IFERROR(VALUE(F964),"")</f>
        <v>683.84</v>
      </c>
      <c r="BN964" s="6" t="n">
        <f aca="false">IF(R964="-","",IFERROR(VALUE(LEFT(Q964,LEN(Q964)-2)),""))</f>
        <v>218.65</v>
      </c>
      <c r="BO964" s="6" t="n">
        <f aca="false">IF(R964="-","",IFERROR(VALUE(LEFT(R964,LEN(R964)-5)),""))</f>
        <v>3.13</v>
      </c>
      <c r="BP964" s="6" t="n">
        <f aca="false">IF(R964="-","",IFERROR(VALUE(F964),""))</f>
        <v>683.84</v>
      </c>
      <c r="BQ964" s="4" t="n">
        <f aca="false">IF(R964="-",1,0)</f>
        <v>0</v>
      </c>
    </row>
    <row r="965" customFormat="false" ht="15" hidden="false" customHeight="false" outlineLevel="0" collapsed="false">
      <c r="A965" s="0" t="s">
        <v>3829</v>
      </c>
      <c r="B965" s="0" t="s">
        <v>3830</v>
      </c>
      <c r="C965" s="0" t="s">
        <v>70</v>
      </c>
      <c r="D965" s="0" t="s">
        <v>3857</v>
      </c>
      <c r="E965" s="3" t="n">
        <v>46279</v>
      </c>
      <c r="F965" s="4" t="s">
        <v>3858</v>
      </c>
      <c r="G965" s="5" t="n">
        <v>0.731701388888889</v>
      </c>
      <c r="H965" s="5" t="n">
        <v>0.648263888888889</v>
      </c>
      <c r="I965" s="5" t="n">
        <v>0.000613425925925926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5" t="n">
        <v>0</v>
      </c>
      <c r="P965" s="5" t="n">
        <v>0</v>
      </c>
      <c r="Q965" s="4" t="s">
        <v>3859</v>
      </c>
      <c r="R965" s="4" t="s">
        <v>437</v>
      </c>
      <c r="S965" s="5" t="n">
        <v>0.000347222222222222</v>
      </c>
      <c r="T965" s="5" t="n">
        <v>0.137847222222222</v>
      </c>
      <c r="U965" s="5" t="n">
        <v>0.472106481481482</v>
      </c>
      <c r="V965" s="5" t="n">
        <v>0.0270833333333333</v>
      </c>
      <c r="W965" s="5" t="n">
        <v>0.000115740740740741</v>
      </c>
      <c r="X965" s="5" t="n">
        <v>0</v>
      </c>
      <c r="Y965" s="5" t="n">
        <v>0</v>
      </c>
      <c r="Z965" s="0" t="n">
        <v>0</v>
      </c>
      <c r="AA965" s="0" t="n">
        <v>0</v>
      </c>
      <c r="AB965" s="0" t="n">
        <v>0</v>
      </c>
      <c r="AC965" s="4" t="s">
        <v>2377</v>
      </c>
      <c r="AD965" s="4" t="s">
        <v>2911</v>
      </c>
      <c r="AE965" s="4" t="s">
        <v>3856</v>
      </c>
      <c r="AF965" s="4" t="s">
        <v>3860</v>
      </c>
      <c r="AG965" s="5" t="n">
        <v>0.574537037037037</v>
      </c>
      <c r="AH965" s="5" t="n">
        <v>0.247210648148148</v>
      </c>
      <c r="AI965" s="5" t="n">
        <v>0</v>
      </c>
      <c r="AJ965" s="5" t="n">
        <v>0</v>
      </c>
      <c r="AK965" s="5" t="n">
        <v>0</v>
      </c>
      <c r="AL965" s="5" t="n">
        <v>0</v>
      </c>
      <c r="AM965" s="4" t="s">
        <v>78</v>
      </c>
      <c r="AN965" s="0" t="n">
        <v>0</v>
      </c>
      <c r="AO965" s="0" t="n">
        <v>0</v>
      </c>
      <c r="AP965" s="0" t="n">
        <v>0</v>
      </c>
      <c r="AQ965" s="0" t="n">
        <v>0</v>
      </c>
      <c r="AR965" s="0" t="n">
        <v>0</v>
      </c>
      <c r="AS965" s="0" t="n">
        <v>0</v>
      </c>
      <c r="AT965" s="0" t="n">
        <v>0</v>
      </c>
      <c r="AU965" s="0" t="n">
        <v>3</v>
      </c>
      <c r="AV965" s="0" t="n">
        <v>0</v>
      </c>
      <c r="AW965" s="0" t="n">
        <v>1</v>
      </c>
      <c r="AX965" s="0" t="n">
        <v>0</v>
      </c>
      <c r="AY965" s="0" t="n">
        <v>0</v>
      </c>
      <c r="AZ965" s="0" t="n">
        <v>0</v>
      </c>
      <c r="BA965" s="0" t="n">
        <v>0</v>
      </c>
      <c r="BB965" s="0" t="n">
        <v>0</v>
      </c>
      <c r="BC965" s="0" t="n">
        <v>0</v>
      </c>
      <c r="BD965" s="0" t="n">
        <v>0</v>
      </c>
      <c r="BE965" s="0" t="n">
        <v>0</v>
      </c>
      <c r="BF965" s="0" t="n">
        <v>0</v>
      </c>
      <c r="BG965" s="0" t="n">
        <v>0</v>
      </c>
      <c r="BH965" s="0" t="n">
        <v>0</v>
      </c>
      <c r="BI965" s="0" t="n">
        <v>0</v>
      </c>
      <c r="BJ965" s="0" t="n">
        <v>0</v>
      </c>
      <c r="BK965" s="0" t="n">
        <v>0</v>
      </c>
      <c r="BM965" s="6" t="n">
        <f aca="false">IFERROR(VALUE(F965),"")</f>
        <v>734.29</v>
      </c>
      <c r="BN965" s="6" t="n">
        <f aca="false">IF(R965="-","",IFERROR(VALUE(LEFT(Q965,LEN(Q965)-2)),""))</f>
        <v>249.02</v>
      </c>
      <c r="BO965" s="6" t="n">
        <f aca="false">IF(R965="-","",IFERROR(VALUE(LEFT(R965,LEN(R965)-5)),""))</f>
        <v>2.95</v>
      </c>
      <c r="BP965" s="6" t="n">
        <f aca="false">IF(R965="-","",IFERROR(VALUE(F965),""))</f>
        <v>734.29</v>
      </c>
      <c r="BQ965" s="4" t="n">
        <f aca="false">IF(R965="-",1,0)</f>
        <v>0</v>
      </c>
    </row>
    <row r="966" customFormat="false" ht="15" hidden="false" customHeight="false" outlineLevel="0" collapsed="false">
      <c r="A966" s="0" t="s">
        <v>3861</v>
      </c>
      <c r="B966" s="0" t="s">
        <v>3862</v>
      </c>
      <c r="C966" s="0" t="s">
        <v>70</v>
      </c>
      <c r="D966" s="0" t="s">
        <v>3863</v>
      </c>
      <c r="E966" s="3" t="n">
        <v>46273</v>
      </c>
      <c r="F966" s="4" t="s">
        <v>1059</v>
      </c>
      <c r="G966" s="5" t="n">
        <v>0.534201388888889</v>
      </c>
      <c r="H966" s="5" t="n">
        <v>0.220300925925926</v>
      </c>
      <c r="I966" s="5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5" t="n">
        <v>0</v>
      </c>
      <c r="P966" s="5" t="n">
        <v>0</v>
      </c>
      <c r="Q966" s="4" t="s">
        <v>3864</v>
      </c>
      <c r="R966" s="4" t="s">
        <v>3125</v>
      </c>
      <c r="S966" s="5" t="n">
        <v>0.000347222222222222</v>
      </c>
      <c r="T966" s="5" t="n">
        <v>0.174652777777778</v>
      </c>
      <c r="U966" s="5" t="n">
        <v>0.297453703703704</v>
      </c>
      <c r="V966" s="5" t="n">
        <v>0.0489583333333333</v>
      </c>
      <c r="W966" s="5" t="n">
        <v>0</v>
      </c>
      <c r="X966" s="5" t="n">
        <v>0</v>
      </c>
      <c r="Y966" s="5" t="n">
        <v>0</v>
      </c>
      <c r="Z966" s="0" t="n">
        <v>0</v>
      </c>
      <c r="AA966" s="0" t="n">
        <v>0</v>
      </c>
      <c r="AB966" s="0" t="n">
        <v>0</v>
      </c>
      <c r="AC966" s="4" t="s">
        <v>3865</v>
      </c>
      <c r="AD966" s="4" t="s">
        <v>3866</v>
      </c>
      <c r="AE966" s="4" t="s">
        <v>3867</v>
      </c>
      <c r="AF966" s="4" t="s">
        <v>3868</v>
      </c>
      <c r="AG966" s="5" t="n">
        <v>0.49349537037037</v>
      </c>
      <c r="AH966" s="5" t="n">
        <v>0.145555555555556</v>
      </c>
      <c r="AI966" s="5" t="n">
        <v>0</v>
      </c>
      <c r="AJ966" s="5" t="n">
        <v>0</v>
      </c>
      <c r="AK966" s="5" t="n">
        <v>0</v>
      </c>
      <c r="AL966" s="5" t="n">
        <v>0</v>
      </c>
      <c r="AM966" s="4" t="s">
        <v>78</v>
      </c>
      <c r="AN966" s="0" t="n">
        <v>0</v>
      </c>
      <c r="AO966" s="0" t="n">
        <v>0</v>
      </c>
      <c r="AP966" s="0" t="n">
        <v>0</v>
      </c>
      <c r="AQ966" s="0" t="n">
        <v>0</v>
      </c>
      <c r="AR966" s="0" t="n">
        <v>0</v>
      </c>
      <c r="AS966" s="0" t="n">
        <v>0</v>
      </c>
      <c r="AT966" s="0" t="n">
        <v>0</v>
      </c>
      <c r="AU966" s="0" t="n">
        <v>13</v>
      </c>
      <c r="AV966" s="0" t="n">
        <v>0</v>
      </c>
      <c r="AW966" s="0" t="n">
        <v>0</v>
      </c>
      <c r="AX966" s="0" t="n">
        <v>0</v>
      </c>
      <c r="AY966" s="0" t="n">
        <v>0</v>
      </c>
      <c r="AZ966" s="0" t="n">
        <v>0</v>
      </c>
      <c r="BA966" s="0" t="n">
        <v>0</v>
      </c>
      <c r="BB966" s="0" t="n">
        <v>0</v>
      </c>
      <c r="BC966" s="0" t="n">
        <v>0</v>
      </c>
      <c r="BD966" s="0" t="n">
        <v>0</v>
      </c>
      <c r="BE966" s="0" t="n">
        <v>0</v>
      </c>
      <c r="BF966" s="0" t="n">
        <v>0</v>
      </c>
      <c r="BG966" s="0" t="n">
        <v>0</v>
      </c>
      <c r="BH966" s="0" t="n">
        <v>0</v>
      </c>
      <c r="BI966" s="0" t="n">
        <v>0</v>
      </c>
      <c r="BJ966" s="0" t="n">
        <v>0</v>
      </c>
      <c r="BK966" s="0" t="n">
        <v>0</v>
      </c>
      <c r="BM966" s="6" t="n">
        <f aca="false">IFERROR(VALUE(F966),"")</f>
        <v>284.08</v>
      </c>
      <c r="BN966" s="6" t="n">
        <f aca="false">IF(R966="-","",IFERROR(VALUE(LEFT(Q966,LEN(Q966)-2)),""))</f>
        <v>80.8</v>
      </c>
      <c r="BO966" s="6" t="n">
        <f aca="false">IF(R966="-","",IFERROR(VALUE(LEFT(R966,LEN(R966)-5)),""))</f>
        <v>3.52</v>
      </c>
      <c r="BP966" s="6" t="n">
        <f aca="false">IF(R966="-","",IFERROR(VALUE(F966),""))</f>
        <v>284.08</v>
      </c>
      <c r="BQ966" s="4" t="n">
        <f aca="false">IF(R966="-",1,0)</f>
        <v>0</v>
      </c>
    </row>
    <row r="967" customFormat="false" ht="15" hidden="false" customHeight="false" outlineLevel="0" collapsed="false">
      <c r="A967" s="0" t="s">
        <v>3861</v>
      </c>
      <c r="B967" s="0" t="s">
        <v>3862</v>
      </c>
      <c r="C967" s="0" t="s">
        <v>70</v>
      </c>
      <c r="D967" s="0" t="s">
        <v>3869</v>
      </c>
      <c r="E967" s="3" t="n">
        <v>46274</v>
      </c>
      <c r="F967" s="4" t="s">
        <v>3870</v>
      </c>
      <c r="G967" s="5" t="n">
        <v>0.511215277777778</v>
      </c>
      <c r="H967" s="5" t="n">
        <v>0.23369212962963</v>
      </c>
      <c r="I967" s="5" t="n">
        <v>0.000231481481481482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5" t="n">
        <v>0</v>
      </c>
      <c r="P967" s="5" t="n">
        <v>0</v>
      </c>
      <c r="Q967" s="4" t="s">
        <v>3871</v>
      </c>
      <c r="R967" s="4" t="s">
        <v>2412</v>
      </c>
      <c r="S967" s="5" t="n">
        <v>0.000925925925925926</v>
      </c>
      <c r="T967" s="5" t="n">
        <v>0.144675925925926</v>
      </c>
      <c r="U967" s="5" t="n">
        <v>0.263425925925926</v>
      </c>
      <c r="V967" s="5" t="n">
        <v>0.0899305555555556</v>
      </c>
      <c r="W967" s="5" t="n">
        <v>0</v>
      </c>
      <c r="X967" s="5" t="n">
        <v>0</v>
      </c>
      <c r="Y967" s="5" t="n">
        <v>0</v>
      </c>
      <c r="Z967" s="0" t="n">
        <v>0</v>
      </c>
      <c r="AA967" s="0" t="n">
        <v>0</v>
      </c>
      <c r="AB967" s="0" t="n">
        <v>0</v>
      </c>
      <c r="AC967" s="4" t="s">
        <v>208</v>
      </c>
      <c r="AD967" s="4" t="s">
        <v>3866</v>
      </c>
      <c r="AE967" s="4" t="s">
        <v>3872</v>
      </c>
      <c r="AF967" s="4" t="s">
        <v>3873</v>
      </c>
      <c r="AG967" s="5" t="n">
        <v>0.469814814814815</v>
      </c>
      <c r="AH967" s="5" t="n">
        <v>0.164814814814815</v>
      </c>
      <c r="AI967" s="5" t="n">
        <v>0</v>
      </c>
      <c r="AJ967" s="5" t="n">
        <v>0</v>
      </c>
      <c r="AK967" s="5" t="n">
        <v>0</v>
      </c>
      <c r="AL967" s="5" t="n">
        <v>0</v>
      </c>
      <c r="AM967" s="4" t="s">
        <v>78</v>
      </c>
      <c r="AN967" s="0" t="n">
        <v>0</v>
      </c>
      <c r="AO967" s="0" t="n">
        <v>0</v>
      </c>
      <c r="AP967" s="0" t="n">
        <v>0</v>
      </c>
      <c r="AQ967" s="0" t="n">
        <v>0</v>
      </c>
      <c r="AR967" s="0" t="n">
        <v>0</v>
      </c>
      <c r="AS967" s="0" t="n">
        <v>0</v>
      </c>
      <c r="AT967" s="0" t="n">
        <v>0</v>
      </c>
      <c r="AU967" s="0" t="n">
        <v>15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0</v>
      </c>
      <c r="BA967" s="0" t="n">
        <v>0</v>
      </c>
      <c r="BB967" s="0" t="n">
        <v>0</v>
      </c>
      <c r="BC967" s="0" t="n">
        <v>0</v>
      </c>
      <c r="BD967" s="0" t="n">
        <v>0</v>
      </c>
      <c r="BE967" s="0" t="n">
        <v>0</v>
      </c>
      <c r="BF967" s="0" t="n">
        <v>0</v>
      </c>
      <c r="BG967" s="0" t="n">
        <v>0</v>
      </c>
      <c r="BH967" s="0" t="n">
        <v>0</v>
      </c>
      <c r="BI967" s="0" t="n">
        <v>0</v>
      </c>
      <c r="BJ967" s="0" t="n">
        <v>0</v>
      </c>
      <c r="BK967" s="0" t="n">
        <v>0</v>
      </c>
      <c r="BM967" s="6" t="n">
        <f aca="false">IFERROR(VALUE(F967),"")</f>
        <v>283.41</v>
      </c>
      <c r="BN967" s="6" t="n">
        <f aca="false">IF(R967="-","",IFERROR(VALUE(LEFT(Q967,LEN(Q967)-2)),""))</f>
        <v>81.94</v>
      </c>
      <c r="BO967" s="6" t="n">
        <f aca="false">IF(R967="-","",IFERROR(VALUE(LEFT(R967,LEN(R967)-5)),""))</f>
        <v>3.46</v>
      </c>
      <c r="BP967" s="6" t="n">
        <f aca="false">IF(R967="-","",IFERROR(VALUE(F967),""))</f>
        <v>283.41</v>
      </c>
      <c r="BQ967" s="4" t="n">
        <f aca="false">IF(R967="-",1,0)</f>
        <v>0</v>
      </c>
    </row>
    <row r="968" customFormat="false" ht="15" hidden="false" customHeight="false" outlineLevel="0" collapsed="false">
      <c r="A968" s="0" t="s">
        <v>3861</v>
      </c>
      <c r="B968" s="0" t="s">
        <v>3862</v>
      </c>
      <c r="C968" s="0" t="s">
        <v>70</v>
      </c>
      <c r="D968" s="0" t="s">
        <v>3874</v>
      </c>
      <c r="E968" s="3" t="n">
        <v>46275</v>
      </c>
      <c r="F968" s="4" t="s">
        <v>3875</v>
      </c>
      <c r="G968" s="5" t="n">
        <v>0.535949074074074</v>
      </c>
      <c r="H968" s="5" t="n">
        <v>0.313831018518519</v>
      </c>
      <c r="I968" s="5" t="n">
        <v>0.000532407407407407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5" t="n">
        <v>0</v>
      </c>
      <c r="P968" s="5" t="n">
        <v>0</v>
      </c>
      <c r="Q968" s="4" t="s">
        <v>3876</v>
      </c>
      <c r="R968" s="4" t="s">
        <v>3509</v>
      </c>
      <c r="S968" s="5" t="n">
        <v>0.000925925925925926</v>
      </c>
      <c r="T968" s="5" t="n">
        <v>0.159027777777778</v>
      </c>
      <c r="U968" s="5" t="n">
        <v>0.284837962962963</v>
      </c>
      <c r="V968" s="5" t="n">
        <v>0.069375</v>
      </c>
      <c r="W968" s="5" t="n">
        <v>0.000208333333333333</v>
      </c>
      <c r="X968" s="5" t="n">
        <v>0</v>
      </c>
      <c r="Y968" s="5" t="n">
        <v>9.25925925925926E-005</v>
      </c>
      <c r="Z968" s="0" t="n">
        <v>0</v>
      </c>
      <c r="AA968" s="0" t="n">
        <v>0</v>
      </c>
      <c r="AB968" s="0" t="n">
        <v>0</v>
      </c>
      <c r="AC968" s="4" t="s">
        <v>208</v>
      </c>
      <c r="AD968" s="4" t="s">
        <v>3866</v>
      </c>
      <c r="AE968" s="4" t="s">
        <v>3877</v>
      </c>
      <c r="AF968" s="4" t="s">
        <v>3878</v>
      </c>
      <c r="AG968" s="5" t="n">
        <v>0.481064814814815</v>
      </c>
      <c r="AH968" s="5" t="n">
        <v>0.223564814814815</v>
      </c>
      <c r="AI968" s="5" t="n">
        <v>0</v>
      </c>
      <c r="AJ968" s="5" t="n">
        <v>0</v>
      </c>
      <c r="AK968" s="5" t="n">
        <v>0</v>
      </c>
      <c r="AL968" s="5" t="n">
        <v>0</v>
      </c>
      <c r="AM968" s="4" t="s">
        <v>78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0</v>
      </c>
      <c r="AS968" s="0" t="n">
        <v>0</v>
      </c>
      <c r="AT968" s="0" t="n">
        <v>0</v>
      </c>
      <c r="AU968" s="0" t="n">
        <v>10</v>
      </c>
      <c r="AV968" s="0" t="n">
        <v>0</v>
      </c>
      <c r="AW968" s="0" t="n">
        <v>0</v>
      </c>
      <c r="AX968" s="0" t="n">
        <v>0</v>
      </c>
      <c r="AY968" s="0" t="n">
        <v>0</v>
      </c>
      <c r="AZ968" s="0" t="n">
        <v>0</v>
      </c>
      <c r="BA968" s="0" t="n">
        <v>0</v>
      </c>
      <c r="BB968" s="0" t="n">
        <v>0</v>
      </c>
      <c r="BC968" s="0" t="n">
        <v>0</v>
      </c>
      <c r="BD968" s="0" t="n">
        <v>0</v>
      </c>
      <c r="BE968" s="0" t="n">
        <v>0</v>
      </c>
      <c r="BF968" s="0" t="n">
        <v>0</v>
      </c>
      <c r="BG968" s="0" t="n">
        <v>0</v>
      </c>
      <c r="BH968" s="0" t="n">
        <v>0</v>
      </c>
      <c r="BI968" s="0" t="n">
        <v>0</v>
      </c>
      <c r="BJ968" s="0" t="n">
        <v>0</v>
      </c>
      <c r="BK968" s="0" t="n">
        <v>0</v>
      </c>
      <c r="BM968" s="6" t="n">
        <f aca="false">IFERROR(VALUE(F968),"")</f>
        <v>273.8</v>
      </c>
      <c r="BN968" s="6" t="n">
        <f aca="false">IF(R968="-","",IFERROR(VALUE(LEFT(Q968,LEN(Q968)-2)),""))</f>
        <v>77.67</v>
      </c>
      <c r="BO968" s="6" t="n">
        <f aca="false">IF(R968="-","",IFERROR(VALUE(LEFT(R968,LEN(R968)-5)),""))</f>
        <v>3.53</v>
      </c>
      <c r="BP968" s="6" t="n">
        <f aca="false">IF(R968="-","",IFERROR(VALUE(F968),""))</f>
        <v>273.8</v>
      </c>
      <c r="BQ968" s="4" t="n">
        <f aca="false">IF(R968="-",1,0)</f>
        <v>0</v>
      </c>
    </row>
    <row r="969" customFormat="false" ht="15" hidden="false" customHeight="false" outlineLevel="0" collapsed="false">
      <c r="A969" s="0" t="s">
        <v>3861</v>
      </c>
      <c r="B969" s="0" t="s">
        <v>3862</v>
      </c>
      <c r="C969" s="0" t="s">
        <v>70</v>
      </c>
      <c r="D969" s="0" t="s">
        <v>3874</v>
      </c>
      <c r="E969" s="3" t="n">
        <v>46276</v>
      </c>
      <c r="F969" s="4" t="s">
        <v>3879</v>
      </c>
      <c r="G969" s="5" t="n">
        <v>0.41875</v>
      </c>
      <c r="H969" s="5" t="n">
        <v>0.325462962962963</v>
      </c>
      <c r="I969" s="5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5" t="n">
        <v>0</v>
      </c>
      <c r="P969" s="5" t="n">
        <v>0</v>
      </c>
      <c r="Q969" s="4" t="s">
        <v>3880</v>
      </c>
      <c r="R969" s="4" t="s">
        <v>431</v>
      </c>
      <c r="S969" s="5" t="n">
        <v>0.000578703703703704</v>
      </c>
      <c r="T969" s="5" t="n">
        <v>0.134143518518519</v>
      </c>
      <c r="U969" s="5" t="n">
        <v>0.229398148148148</v>
      </c>
      <c r="V969" s="5" t="n">
        <v>0.0413194444444444</v>
      </c>
      <c r="W969" s="5" t="n">
        <v>0</v>
      </c>
      <c r="X969" s="5" t="n">
        <v>0</v>
      </c>
      <c r="Y969" s="5" t="n">
        <v>0</v>
      </c>
      <c r="Z969" s="0" t="n">
        <v>0</v>
      </c>
      <c r="AA969" s="0" t="n">
        <v>0</v>
      </c>
      <c r="AB969" s="0" t="n">
        <v>0</v>
      </c>
      <c r="AC969" s="4" t="s">
        <v>208</v>
      </c>
      <c r="AD969" s="4" t="s">
        <v>3866</v>
      </c>
      <c r="AE969" s="4" t="s">
        <v>3881</v>
      </c>
      <c r="AF969" s="4" t="s">
        <v>3882</v>
      </c>
      <c r="AG969" s="5" t="n">
        <v>0.384236111111111</v>
      </c>
      <c r="AH969" s="5" t="n">
        <v>0.176342592592593</v>
      </c>
      <c r="AI969" s="5" t="n">
        <v>0</v>
      </c>
      <c r="AJ969" s="5" t="n">
        <v>0</v>
      </c>
      <c r="AK969" s="5" t="n">
        <v>0</v>
      </c>
      <c r="AL969" s="5" t="n">
        <v>0</v>
      </c>
      <c r="AM969" s="4" t="s">
        <v>78</v>
      </c>
      <c r="AN969" s="0" t="n">
        <v>0</v>
      </c>
      <c r="AO969" s="0" t="n">
        <v>0</v>
      </c>
      <c r="AP969" s="0" t="n">
        <v>0</v>
      </c>
      <c r="AQ969" s="0" t="n">
        <v>0</v>
      </c>
      <c r="AR969" s="0" t="n">
        <v>1</v>
      </c>
      <c r="AS969" s="0" t="n">
        <v>0</v>
      </c>
      <c r="AT969" s="0" t="n">
        <v>0</v>
      </c>
      <c r="AU969" s="0" t="n">
        <v>4</v>
      </c>
      <c r="AV969" s="0" t="n">
        <v>0</v>
      </c>
      <c r="AW969" s="0" t="n">
        <v>0</v>
      </c>
      <c r="AX969" s="0" t="n">
        <v>0</v>
      </c>
      <c r="AY969" s="0" t="n">
        <v>0</v>
      </c>
      <c r="AZ969" s="0" t="n">
        <v>0</v>
      </c>
      <c r="BA969" s="0" t="n">
        <v>0</v>
      </c>
      <c r="BB969" s="0" t="n">
        <v>0</v>
      </c>
      <c r="BC969" s="0" t="n">
        <v>0</v>
      </c>
      <c r="BD969" s="0" t="n">
        <v>0</v>
      </c>
      <c r="BE969" s="0" t="n">
        <v>0</v>
      </c>
      <c r="BF969" s="0" t="n">
        <v>0</v>
      </c>
      <c r="BG969" s="0" t="n">
        <v>0</v>
      </c>
      <c r="BH969" s="0" t="n">
        <v>0</v>
      </c>
      <c r="BI969" s="0" t="n">
        <v>0</v>
      </c>
      <c r="BJ969" s="0" t="n">
        <v>0</v>
      </c>
      <c r="BK969" s="0" t="n">
        <v>0</v>
      </c>
      <c r="BM969" s="6" t="n">
        <f aca="false">IFERROR(VALUE(F969),"")</f>
        <v>211.86</v>
      </c>
      <c r="BN969" s="6" t="n">
        <f aca="false">IF(R969="-","",IFERROR(VALUE(LEFT(Q969,LEN(Q969)-2)),""))</f>
        <v>63.38</v>
      </c>
      <c r="BO969" s="6" t="n">
        <f aca="false">IF(R969="-","",IFERROR(VALUE(LEFT(R969,LEN(R969)-5)),""))</f>
        <v>3.34</v>
      </c>
      <c r="BP969" s="6" t="n">
        <f aca="false">IF(R969="-","",IFERROR(VALUE(F969),""))</f>
        <v>211.86</v>
      </c>
      <c r="BQ969" s="4" t="n">
        <f aca="false">IF(R969="-",1,0)</f>
        <v>0</v>
      </c>
    </row>
    <row r="970" customFormat="false" ht="15" hidden="false" customHeight="false" outlineLevel="0" collapsed="false">
      <c r="A970" s="0" t="s">
        <v>3861</v>
      </c>
      <c r="B970" s="0" t="s">
        <v>3862</v>
      </c>
      <c r="C970" s="0" t="s">
        <v>70</v>
      </c>
      <c r="D970" s="0" t="s">
        <v>3883</v>
      </c>
      <c r="E970" s="3" t="n">
        <v>46277</v>
      </c>
      <c r="F970" s="4" t="s">
        <v>3884</v>
      </c>
      <c r="G970" s="5" t="n">
        <v>0.551921296296296</v>
      </c>
      <c r="H970" s="5" t="n">
        <v>0.165208333333333</v>
      </c>
      <c r="I970" s="5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5" t="n">
        <v>0</v>
      </c>
      <c r="P970" s="5" t="n">
        <v>0.00747685185185185</v>
      </c>
      <c r="Q970" s="4" t="s">
        <v>3885</v>
      </c>
      <c r="R970" s="4" t="s">
        <v>958</v>
      </c>
      <c r="S970" s="5" t="n">
        <v>0.000347222222222222</v>
      </c>
      <c r="T970" s="5" t="n">
        <v>0.122685185185185</v>
      </c>
      <c r="U970" s="5" t="n">
        <v>0.223032407407407</v>
      </c>
      <c r="V970" s="5" t="n">
        <v>0.0351851851851852</v>
      </c>
      <c r="W970" s="5" t="n">
        <v>0</v>
      </c>
      <c r="X970" s="5" t="n">
        <v>0</v>
      </c>
      <c r="Y970" s="5" t="n">
        <v>0</v>
      </c>
      <c r="Z970" s="0" t="n">
        <v>0</v>
      </c>
      <c r="AA970" s="0" t="n">
        <v>0</v>
      </c>
      <c r="AB970" s="0" t="n">
        <v>0</v>
      </c>
      <c r="AC970" s="4" t="s">
        <v>3886</v>
      </c>
      <c r="AD970" s="4" t="s">
        <v>3866</v>
      </c>
      <c r="AE970" s="4" t="s">
        <v>3887</v>
      </c>
      <c r="AF970" s="4" t="s">
        <v>3888</v>
      </c>
      <c r="AG970" s="5" t="n">
        <v>0.346180555555556</v>
      </c>
      <c r="AH970" s="5" t="n">
        <v>0.290763888888889</v>
      </c>
      <c r="AI970" s="5" t="n">
        <v>0</v>
      </c>
      <c r="AJ970" s="5" t="n">
        <v>0</v>
      </c>
      <c r="AK970" s="5" t="n">
        <v>0</v>
      </c>
      <c r="AL970" s="5" t="n">
        <v>0</v>
      </c>
      <c r="AM970" s="4" t="s">
        <v>78</v>
      </c>
      <c r="AN970" s="0" t="n">
        <v>0</v>
      </c>
      <c r="AO970" s="0" t="n">
        <v>0</v>
      </c>
      <c r="AP970" s="0" t="n">
        <v>0</v>
      </c>
      <c r="AQ970" s="0" t="n">
        <v>0</v>
      </c>
      <c r="AR970" s="0" t="n">
        <v>0</v>
      </c>
      <c r="AS970" s="0" t="n">
        <v>0</v>
      </c>
      <c r="AT970" s="0" t="n">
        <v>0</v>
      </c>
      <c r="AU970" s="0" t="n">
        <v>3</v>
      </c>
      <c r="AV970" s="0" t="n">
        <v>0</v>
      </c>
      <c r="AW970" s="0" t="n">
        <v>0</v>
      </c>
      <c r="AX970" s="0" t="n">
        <v>0</v>
      </c>
      <c r="AY970" s="0" t="n">
        <v>0</v>
      </c>
      <c r="AZ970" s="0" t="n">
        <v>0</v>
      </c>
      <c r="BA970" s="0" t="n">
        <v>0</v>
      </c>
      <c r="BB970" s="0" t="n">
        <v>0</v>
      </c>
      <c r="BC970" s="0" t="n">
        <v>0</v>
      </c>
      <c r="BD970" s="0" t="n">
        <v>0</v>
      </c>
      <c r="BE970" s="0" t="n">
        <v>0</v>
      </c>
      <c r="BF970" s="0" t="n">
        <v>0</v>
      </c>
      <c r="BG970" s="0" t="n">
        <v>0</v>
      </c>
      <c r="BH970" s="0" t="n">
        <v>0</v>
      </c>
      <c r="BI970" s="0" t="n">
        <v>0</v>
      </c>
      <c r="BJ970" s="0" t="n">
        <v>0</v>
      </c>
      <c r="BK970" s="0" t="n">
        <v>0</v>
      </c>
      <c r="BM970" s="6" t="n">
        <f aca="false">IFERROR(VALUE(F970),"")</f>
        <v>188.61</v>
      </c>
      <c r="BN970" s="6" t="n">
        <f aca="false">IF(R970="-","",IFERROR(VALUE(LEFT(Q970,LEN(Q970)-2)),""))</f>
        <v>56.2</v>
      </c>
      <c r="BO970" s="6" t="n">
        <f aca="false">IF(R970="-","",IFERROR(VALUE(LEFT(R970,LEN(R970)-5)),""))</f>
        <v>3.36</v>
      </c>
      <c r="BP970" s="6" t="n">
        <f aca="false">IF(R970="-","",IFERROR(VALUE(F970),""))</f>
        <v>188.61</v>
      </c>
      <c r="BQ970" s="4" t="n">
        <f aca="false">IF(R970="-",1,0)</f>
        <v>0</v>
      </c>
    </row>
    <row r="971" customFormat="false" ht="15" hidden="false" customHeight="false" outlineLevel="0" collapsed="false">
      <c r="A971" s="0" t="s">
        <v>3861</v>
      </c>
      <c r="B971" s="0" t="s">
        <v>3862</v>
      </c>
      <c r="C971" s="0" t="s">
        <v>70</v>
      </c>
      <c r="D971" s="0" t="s">
        <v>3869</v>
      </c>
      <c r="E971" s="3" t="n">
        <v>46278</v>
      </c>
      <c r="F971" s="4" t="s">
        <v>3889</v>
      </c>
      <c r="G971" s="5" t="n">
        <v>0.376423611111111</v>
      </c>
      <c r="H971" s="5" t="n">
        <v>0.12681712962963</v>
      </c>
      <c r="I971" s="5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5" t="n">
        <v>0</v>
      </c>
      <c r="P971" s="5" t="n">
        <v>0</v>
      </c>
      <c r="Q971" s="4" t="s">
        <v>3890</v>
      </c>
      <c r="R971" s="4" t="s">
        <v>3509</v>
      </c>
      <c r="S971" s="5" t="n">
        <v>0</v>
      </c>
      <c r="T971" s="5" t="n">
        <v>0.11412037037037</v>
      </c>
      <c r="U971" s="5" t="n">
        <v>0.201157407407407</v>
      </c>
      <c r="V971" s="5" t="n">
        <v>0.0552083333333333</v>
      </c>
      <c r="W971" s="5" t="n">
        <v>0</v>
      </c>
      <c r="X971" s="5" t="n">
        <v>0</v>
      </c>
      <c r="Y971" s="5" t="n">
        <v>0</v>
      </c>
      <c r="Z971" s="0" t="n">
        <v>0</v>
      </c>
      <c r="AA971" s="0" t="n">
        <v>0</v>
      </c>
      <c r="AB971" s="0" t="n">
        <v>0</v>
      </c>
      <c r="AC971" s="4" t="s">
        <v>208</v>
      </c>
      <c r="AD971" s="4" t="s">
        <v>3866</v>
      </c>
      <c r="AE971" s="4" t="s">
        <v>3891</v>
      </c>
      <c r="AF971" s="4" t="s">
        <v>3892</v>
      </c>
      <c r="AG971" s="5" t="n">
        <v>0.345925925925926</v>
      </c>
      <c r="AH971" s="5" t="n">
        <v>0.171180555555556</v>
      </c>
      <c r="AI971" s="5" t="n">
        <v>0</v>
      </c>
      <c r="AJ971" s="5" t="n">
        <v>0</v>
      </c>
      <c r="AK971" s="5" t="n">
        <v>0</v>
      </c>
      <c r="AL971" s="5" t="n">
        <v>0</v>
      </c>
      <c r="AM971" s="4" t="s">
        <v>78</v>
      </c>
      <c r="AN971" s="0" t="n">
        <v>0</v>
      </c>
      <c r="AO971" s="0" t="n">
        <v>0</v>
      </c>
      <c r="AP971" s="0" t="n">
        <v>0</v>
      </c>
      <c r="AQ971" s="0" t="n">
        <v>0</v>
      </c>
      <c r="AR971" s="0" t="n">
        <v>0</v>
      </c>
      <c r="AS971" s="0" t="n">
        <v>0</v>
      </c>
      <c r="AT971" s="0" t="n">
        <v>0</v>
      </c>
      <c r="AU971" s="0" t="n">
        <v>6</v>
      </c>
      <c r="AV971" s="0" t="n">
        <v>0</v>
      </c>
      <c r="AW971" s="0" t="n">
        <v>0</v>
      </c>
      <c r="AX971" s="0" t="n">
        <v>0</v>
      </c>
      <c r="AY971" s="0" t="n">
        <v>0</v>
      </c>
      <c r="AZ971" s="0" t="n">
        <v>0</v>
      </c>
      <c r="BA971" s="0" t="n">
        <v>0</v>
      </c>
      <c r="BB971" s="0" t="n">
        <v>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0</v>
      </c>
      <c r="BH971" s="0" t="n">
        <v>0</v>
      </c>
      <c r="BI971" s="0" t="n">
        <v>0</v>
      </c>
      <c r="BJ971" s="0" t="n">
        <v>0</v>
      </c>
      <c r="BK971" s="0" t="n">
        <v>0</v>
      </c>
      <c r="BM971" s="6" t="n">
        <f aca="false">IFERROR(VALUE(F971),"")</f>
        <v>204.78</v>
      </c>
      <c r="BN971" s="6" t="n">
        <f aca="false">IF(R971="-","",IFERROR(VALUE(LEFT(Q971,LEN(Q971)-2)),""))</f>
        <v>58.06</v>
      </c>
      <c r="BO971" s="6" t="n">
        <f aca="false">IF(R971="-","",IFERROR(VALUE(LEFT(R971,LEN(R971)-5)),""))</f>
        <v>3.53</v>
      </c>
      <c r="BP971" s="6" t="n">
        <f aca="false">IF(R971="-","",IFERROR(VALUE(F971),""))</f>
        <v>204.78</v>
      </c>
      <c r="BQ971" s="4" t="n">
        <f aca="false">IF(R971="-",1,0)</f>
        <v>0</v>
      </c>
    </row>
    <row r="972" customFormat="false" ht="15" hidden="false" customHeight="false" outlineLevel="0" collapsed="false">
      <c r="A972" s="0" t="s">
        <v>3861</v>
      </c>
      <c r="B972" s="0" t="s">
        <v>3862</v>
      </c>
      <c r="C972" s="0" t="s">
        <v>70</v>
      </c>
      <c r="D972" s="0" t="s">
        <v>3863</v>
      </c>
      <c r="E972" s="3" t="n">
        <v>46279</v>
      </c>
      <c r="F972" s="4" t="s">
        <v>3893</v>
      </c>
      <c r="G972" s="5" t="n">
        <v>0.506134259259259</v>
      </c>
      <c r="H972" s="5" t="n">
        <v>0.2240625</v>
      </c>
      <c r="I972" s="5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5" t="n">
        <v>0</v>
      </c>
      <c r="P972" s="5" t="n">
        <v>0</v>
      </c>
      <c r="Q972" s="4" t="s">
        <v>3894</v>
      </c>
      <c r="R972" s="4" t="s">
        <v>3509</v>
      </c>
      <c r="S972" s="5" t="n">
        <v>0.000810185185185185</v>
      </c>
      <c r="T972" s="5" t="n">
        <v>0.154282407407407</v>
      </c>
      <c r="U972" s="5" t="n">
        <v>0.284606481481482</v>
      </c>
      <c r="V972" s="5" t="n">
        <v>0.0561342592592593</v>
      </c>
      <c r="W972" s="5" t="n">
        <v>0</v>
      </c>
      <c r="X972" s="5" t="n">
        <v>0</v>
      </c>
      <c r="Y972" s="5" t="n">
        <v>0</v>
      </c>
      <c r="Z972" s="0" t="n">
        <v>0</v>
      </c>
      <c r="AA972" s="0" t="n">
        <v>0</v>
      </c>
      <c r="AB972" s="0" t="n">
        <v>0</v>
      </c>
      <c r="AC972" s="4" t="s">
        <v>3895</v>
      </c>
      <c r="AD972" s="4" t="s">
        <v>3866</v>
      </c>
      <c r="AE972" s="4" t="s">
        <v>3896</v>
      </c>
      <c r="AF972" s="4" t="s">
        <v>3897</v>
      </c>
      <c r="AG972" s="5" t="n">
        <v>0.47068287037037</v>
      </c>
      <c r="AH972" s="5" t="n">
        <v>0.16912037037037</v>
      </c>
      <c r="AI972" s="5" t="n">
        <v>0</v>
      </c>
      <c r="AJ972" s="5" t="n">
        <v>0</v>
      </c>
      <c r="AK972" s="5" t="n">
        <v>0</v>
      </c>
      <c r="AL972" s="5" t="n">
        <v>0</v>
      </c>
      <c r="AM972" s="4" t="s">
        <v>78</v>
      </c>
      <c r="AN972" s="0" t="n">
        <v>0</v>
      </c>
      <c r="AO972" s="0" t="n">
        <v>0</v>
      </c>
      <c r="AP972" s="0" t="n">
        <v>0</v>
      </c>
      <c r="AQ972" s="0" t="n">
        <v>0</v>
      </c>
      <c r="AR972" s="0" t="n">
        <v>0</v>
      </c>
      <c r="AS972" s="0" t="n">
        <v>0</v>
      </c>
      <c r="AT972" s="0" t="n">
        <v>0</v>
      </c>
      <c r="AU972" s="0" t="n">
        <v>12</v>
      </c>
      <c r="AV972" s="0" t="n">
        <v>0</v>
      </c>
      <c r="AW972" s="0" t="n">
        <v>0</v>
      </c>
      <c r="AX972" s="0" t="n">
        <v>0</v>
      </c>
      <c r="AY972" s="0" t="n">
        <v>0</v>
      </c>
      <c r="AZ972" s="0" t="n">
        <v>0</v>
      </c>
      <c r="BA972" s="0" t="n">
        <v>0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  <c r="BH972" s="0" t="n">
        <v>0</v>
      </c>
      <c r="BI972" s="0" t="n">
        <v>0</v>
      </c>
      <c r="BJ972" s="0" t="n">
        <v>0</v>
      </c>
      <c r="BK972" s="0" t="n">
        <v>0</v>
      </c>
      <c r="BM972" s="6" t="n">
        <f aca="false">IFERROR(VALUE(F972),"")</f>
        <v>283.9</v>
      </c>
      <c r="BN972" s="6" t="n">
        <f aca="false">IF(R972="-","",IFERROR(VALUE(LEFT(Q972,LEN(Q972)-2)),""))</f>
        <v>80.38</v>
      </c>
      <c r="BO972" s="6" t="n">
        <f aca="false">IF(R972="-","",IFERROR(VALUE(LEFT(R972,LEN(R972)-5)),""))</f>
        <v>3.53</v>
      </c>
      <c r="BP972" s="6" t="n">
        <f aca="false">IF(R972="-","",IFERROR(VALUE(F972),""))</f>
        <v>283.9</v>
      </c>
      <c r="BQ972" s="4" t="n">
        <f aca="false">IF(R972="-",1,0)</f>
        <v>0</v>
      </c>
    </row>
    <row r="973" customFormat="false" ht="15" hidden="false" customHeight="false" outlineLevel="0" collapsed="false">
      <c r="A973" s="0" t="s">
        <v>3898</v>
      </c>
      <c r="B973" s="0" t="s">
        <v>3899</v>
      </c>
      <c r="C973" s="0" t="s">
        <v>70</v>
      </c>
      <c r="E973" s="3" t="n">
        <v>46273</v>
      </c>
      <c r="F973" s="4" t="s">
        <v>3900</v>
      </c>
      <c r="G973" s="5" t="n">
        <v>0.189236111111111</v>
      </c>
      <c r="H973" s="5" t="n">
        <v>0</v>
      </c>
      <c r="I973" s="5" t="n">
        <v>0.000243055555555556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5" t="n">
        <v>0</v>
      </c>
      <c r="P973" s="5" t="n">
        <v>0</v>
      </c>
      <c r="Q973" s="4" t="s">
        <v>3901</v>
      </c>
      <c r="R973" s="4" t="s">
        <v>3702</v>
      </c>
      <c r="S973" s="5" t="n">
        <v>0</v>
      </c>
      <c r="T973" s="5" t="n">
        <v>0.06875</v>
      </c>
      <c r="U973" s="5" t="n">
        <v>0.0525462962962963</v>
      </c>
      <c r="V973" s="5" t="n">
        <v>0.0634259259259259</v>
      </c>
      <c r="W973" s="5" t="n">
        <v>0.000115740740740741</v>
      </c>
      <c r="X973" s="5" t="n">
        <v>0</v>
      </c>
      <c r="Y973" s="5" t="n">
        <v>0</v>
      </c>
      <c r="Z973" s="0" t="n">
        <v>0</v>
      </c>
      <c r="AA973" s="0" t="n">
        <v>0</v>
      </c>
      <c r="AB973" s="0" t="n">
        <v>0</v>
      </c>
      <c r="AC973" s="4" t="s">
        <v>159</v>
      </c>
      <c r="AD973" s="4" t="s">
        <v>159</v>
      </c>
      <c r="AE973" s="4" t="s">
        <v>3902</v>
      </c>
      <c r="AF973" s="4" t="s">
        <v>3903</v>
      </c>
      <c r="AG973" s="5" t="n">
        <v>0.168634259259259</v>
      </c>
      <c r="AH973" s="5" t="n">
        <v>0.0534606481481482</v>
      </c>
      <c r="AI973" s="5" t="n">
        <v>0</v>
      </c>
      <c r="AJ973" s="5" t="n">
        <v>0</v>
      </c>
      <c r="AK973" s="5" t="n">
        <v>0</v>
      </c>
      <c r="AL973" s="5" t="n">
        <v>0</v>
      </c>
      <c r="AM973" s="4" t="s">
        <v>78</v>
      </c>
      <c r="AN973" s="0" t="n">
        <v>0</v>
      </c>
      <c r="AO973" s="0" t="n">
        <v>0</v>
      </c>
      <c r="AP973" s="0" t="n">
        <v>0</v>
      </c>
      <c r="AQ973" s="0" t="n">
        <v>0</v>
      </c>
      <c r="AR973" s="0" t="n">
        <v>0</v>
      </c>
      <c r="AS973" s="0" t="n">
        <v>0</v>
      </c>
      <c r="AT973" s="0" t="n">
        <v>0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0</v>
      </c>
      <c r="AZ973" s="0" t="n">
        <v>0</v>
      </c>
      <c r="BA973" s="0" t="n">
        <v>0</v>
      </c>
      <c r="BB973" s="0" t="n">
        <v>0</v>
      </c>
      <c r="BC973" s="0" t="n">
        <v>0</v>
      </c>
      <c r="BD973" s="0" t="n">
        <v>0</v>
      </c>
      <c r="BE973" s="0" t="n">
        <v>0</v>
      </c>
      <c r="BF973" s="0" t="n">
        <v>0</v>
      </c>
      <c r="BG973" s="0" t="n">
        <v>0</v>
      </c>
      <c r="BH973" s="0" t="n">
        <v>0</v>
      </c>
      <c r="BI973" s="0" t="n">
        <v>0</v>
      </c>
      <c r="BJ973" s="0" t="n">
        <v>0</v>
      </c>
      <c r="BK973" s="0" t="n">
        <v>0</v>
      </c>
      <c r="BM973" s="6" t="n">
        <f aca="false">IFERROR(VALUE(F973),"")</f>
        <v>147.89</v>
      </c>
      <c r="BN973" s="6" t="n">
        <f aca="false">IF(R973="-","",IFERROR(VALUE(LEFT(Q973,LEN(Q973)-2)),""))</f>
        <v>33.17</v>
      </c>
      <c r="BO973" s="6" t="n">
        <f aca="false">IF(R973="-","",IFERROR(VALUE(LEFT(R973,LEN(R973)-5)),""))</f>
        <v>4.46</v>
      </c>
      <c r="BP973" s="6" t="n">
        <f aca="false">IF(R973="-","",IFERROR(VALUE(F973),""))</f>
        <v>147.89</v>
      </c>
      <c r="BQ973" s="4" t="n">
        <f aca="false">IF(R973="-",1,0)</f>
        <v>0</v>
      </c>
    </row>
    <row r="974" customFormat="false" ht="15" hidden="false" customHeight="false" outlineLevel="0" collapsed="false">
      <c r="A974" s="0" t="s">
        <v>3898</v>
      </c>
      <c r="B974" s="0" t="s">
        <v>3899</v>
      </c>
      <c r="C974" s="0" t="s">
        <v>70</v>
      </c>
      <c r="E974" s="3" t="n">
        <v>46274</v>
      </c>
      <c r="F974" s="4" t="s">
        <v>3904</v>
      </c>
      <c r="G974" s="5" t="n">
        <v>0.193946759259259</v>
      </c>
      <c r="H974" s="5" t="n">
        <v>0</v>
      </c>
      <c r="I974" s="5" t="n">
        <v>0.00037037037037037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5" t="n">
        <v>0</v>
      </c>
      <c r="P974" s="5" t="n">
        <v>0</v>
      </c>
      <c r="Q974" s="4" t="s">
        <v>3905</v>
      </c>
      <c r="R974" s="4" t="s">
        <v>3906</v>
      </c>
      <c r="S974" s="5" t="n">
        <v>0</v>
      </c>
      <c r="T974" s="5" t="n">
        <v>0.0642361111111111</v>
      </c>
      <c r="U974" s="5" t="n">
        <v>0.0603009259259259</v>
      </c>
      <c r="V974" s="5" t="n">
        <v>0.062962962962963</v>
      </c>
      <c r="W974" s="5" t="n">
        <v>0.000115740740740741</v>
      </c>
      <c r="X974" s="5" t="n">
        <v>0</v>
      </c>
      <c r="Y974" s="5" t="n">
        <v>0</v>
      </c>
      <c r="Z974" s="0" t="n">
        <v>0</v>
      </c>
      <c r="AA974" s="0" t="n">
        <v>0</v>
      </c>
      <c r="AB974" s="0" t="n">
        <v>0</v>
      </c>
      <c r="AC974" s="4" t="s">
        <v>159</v>
      </c>
      <c r="AD974" s="4" t="s">
        <v>159</v>
      </c>
      <c r="AE974" s="4" t="s">
        <v>3903</v>
      </c>
      <c r="AF974" s="4" t="s">
        <v>3907</v>
      </c>
      <c r="AG974" s="5" t="n">
        <v>0.172743055555556</v>
      </c>
      <c r="AH974" s="5" t="n">
        <v>0.0681134259259259</v>
      </c>
      <c r="AI974" s="5" t="n">
        <v>0</v>
      </c>
      <c r="AJ974" s="5" t="n">
        <v>0</v>
      </c>
      <c r="AK974" s="5" t="n">
        <v>0</v>
      </c>
      <c r="AL974" s="5" t="n">
        <v>0</v>
      </c>
      <c r="AM974" s="4" t="s">
        <v>78</v>
      </c>
      <c r="AN974" s="0" t="n">
        <v>0</v>
      </c>
      <c r="AO974" s="0" t="n">
        <v>0</v>
      </c>
      <c r="AP974" s="0" t="n">
        <v>0</v>
      </c>
      <c r="AQ974" s="0" t="n">
        <v>0</v>
      </c>
      <c r="AR974" s="0" t="n">
        <v>0</v>
      </c>
      <c r="AS974" s="0" t="n">
        <v>0</v>
      </c>
      <c r="AT974" s="0" t="n">
        <v>0</v>
      </c>
      <c r="AU974" s="0" t="n">
        <v>0</v>
      </c>
      <c r="AV974" s="0" t="n">
        <v>0</v>
      </c>
      <c r="AW974" s="0" t="n">
        <v>0</v>
      </c>
      <c r="AX974" s="0" t="n">
        <v>0</v>
      </c>
      <c r="AY974" s="0" t="n">
        <v>0</v>
      </c>
      <c r="AZ974" s="0" t="n">
        <v>0</v>
      </c>
      <c r="BA974" s="0" t="n">
        <v>0</v>
      </c>
      <c r="BB974" s="0" t="n">
        <v>2</v>
      </c>
      <c r="BC974" s="0" t="n">
        <v>0</v>
      </c>
      <c r="BD974" s="0" t="n">
        <v>0</v>
      </c>
      <c r="BE974" s="0" t="n">
        <v>0</v>
      </c>
      <c r="BF974" s="0" t="n">
        <v>0</v>
      </c>
      <c r="BG974" s="0" t="n">
        <v>0</v>
      </c>
      <c r="BH974" s="0" t="n">
        <v>0</v>
      </c>
      <c r="BI974" s="0" t="n">
        <v>0</v>
      </c>
      <c r="BJ974" s="0" t="n">
        <v>0</v>
      </c>
      <c r="BK974" s="0" t="n">
        <v>0</v>
      </c>
      <c r="BM974" s="6" t="n">
        <f aca="false">IFERROR(VALUE(F974),"")</f>
        <v>149.6</v>
      </c>
      <c r="BN974" s="6" t="n">
        <f aca="false">IF(R974="-","",IFERROR(VALUE(LEFT(Q974,LEN(Q974)-2)),""))</f>
        <v>35.06</v>
      </c>
      <c r="BO974" s="6" t="n">
        <f aca="false">IF(R974="-","",IFERROR(VALUE(LEFT(R974,LEN(R974)-5)),""))</f>
        <v>4.27</v>
      </c>
      <c r="BP974" s="6" t="n">
        <f aca="false">IF(R974="-","",IFERROR(VALUE(F974),""))</f>
        <v>149.6</v>
      </c>
      <c r="BQ974" s="4" t="n">
        <f aca="false">IF(R974="-",1,0)</f>
        <v>0</v>
      </c>
    </row>
    <row r="975" customFormat="false" ht="15" hidden="false" customHeight="false" outlineLevel="0" collapsed="false">
      <c r="A975" s="0" t="s">
        <v>3898</v>
      </c>
      <c r="B975" s="0" t="s">
        <v>3899</v>
      </c>
      <c r="C975" s="0" t="s">
        <v>70</v>
      </c>
      <c r="E975" s="3" t="n">
        <v>46275</v>
      </c>
      <c r="F975" s="4" t="s">
        <v>3908</v>
      </c>
      <c r="G975" s="5" t="n">
        <v>0.218229166666667</v>
      </c>
      <c r="H975" s="5" t="n">
        <v>0</v>
      </c>
      <c r="I975" s="5" t="n">
        <v>0.00101851851851852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5" t="n">
        <v>0</v>
      </c>
      <c r="P975" s="5" t="n">
        <v>0</v>
      </c>
      <c r="Q975" s="4" t="s">
        <v>3909</v>
      </c>
      <c r="R975" s="4" t="s">
        <v>3535</v>
      </c>
      <c r="S975" s="5" t="n">
        <v>0</v>
      </c>
      <c r="T975" s="5" t="n">
        <v>0.08125</v>
      </c>
      <c r="U975" s="5" t="n">
        <v>0.06875</v>
      </c>
      <c r="V975" s="5" t="n">
        <v>0.0619212962962963</v>
      </c>
      <c r="W975" s="5" t="n">
        <v>0</v>
      </c>
      <c r="X975" s="5" t="n">
        <v>0</v>
      </c>
      <c r="Y975" s="5" t="n">
        <v>0</v>
      </c>
      <c r="Z975" s="0" t="n">
        <v>0</v>
      </c>
      <c r="AA975" s="0" t="n">
        <v>0</v>
      </c>
      <c r="AB975" s="0" t="n">
        <v>0</v>
      </c>
      <c r="AC975" s="4" t="s">
        <v>159</v>
      </c>
      <c r="AD975" s="4" t="s">
        <v>159</v>
      </c>
      <c r="AE975" s="4" t="s">
        <v>3907</v>
      </c>
      <c r="AF975" s="4" t="s">
        <v>3910</v>
      </c>
      <c r="AG975" s="5" t="n">
        <v>0.194259259259259</v>
      </c>
      <c r="AH975" s="5" t="n">
        <v>0.0651851851851852</v>
      </c>
      <c r="AI975" s="5" t="n">
        <v>0</v>
      </c>
      <c r="AJ975" s="5" t="n">
        <v>0</v>
      </c>
      <c r="AK975" s="5" t="n">
        <v>0</v>
      </c>
      <c r="AL975" s="5" t="n">
        <v>0</v>
      </c>
      <c r="AM975" s="4" t="s">
        <v>78</v>
      </c>
      <c r="AN975" s="0" t="n">
        <v>0</v>
      </c>
      <c r="AO975" s="0" t="n">
        <v>0</v>
      </c>
      <c r="AP975" s="0" t="n">
        <v>0</v>
      </c>
      <c r="AQ975" s="0" t="n">
        <v>0</v>
      </c>
      <c r="AR975" s="0" t="n">
        <v>0</v>
      </c>
      <c r="AS975" s="0" t="n">
        <v>0</v>
      </c>
      <c r="AT975" s="0" t="n">
        <v>0</v>
      </c>
      <c r="AU975" s="0" t="n">
        <v>0</v>
      </c>
      <c r="AV975" s="0" t="n">
        <v>0</v>
      </c>
      <c r="AW975" s="0" t="n">
        <v>0</v>
      </c>
      <c r="AX975" s="0" t="n">
        <v>0</v>
      </c>
      <c r="AY975" s="0" t="n">
        <v>0</v>
      </c>
      <c r="AZ975" s="0" t="n">
        <v>0</v>
      </c>
      <c r="BA975" s="0" t="n">
        <v>0</v>
      </c>
      <c r="BB975" s="0" t="n">
        <v>1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0</v>
      </c>
      <c r="BH975" s="0" t="n">
        <v>0</v>
      </c>
      <c r="BI975" s="0" t="n">
        <v>0</v>
      </c>
      <c r="BJ975" s="0" t="n">
        <v>0</v>
      </c>
      <c r="BK975" s="0" t="n">
        <v>0</v>
      </c>
      <c r="BM975" s="6" t="n">
        <f aca="false">IFERROR(VALUE(F975),"")</f>
        <v>153.44</v>
      </c>
      <c r="BN975" s="6" t="n">
        <f aca="false">IF(R975="-","",IFERROR(VALUE(LEFT(Q975,LEN(Q975)-2)),""))</f>
        <v>34.64</v>
      </c>
      <c r="BO975" s="6" t="n">
        <f aca="false">IF(R975="-","",IFERROR(VALUE(LEFT(R975,LEN(R975)-5)),""))</f>
        <v>4.43</v>
      </c>
      <c r="BP975" s="6" t="n">
        <f aca="false">IF(R975="-","",IFERROR(VALUE(F975),""))</f>
        <v>153.44</v>
      </c>
      <c r="BQ975" s="4" t="n">
        <f aca="false">IF(R975="-",1,0)</f>
        <v>0</v>
      </c>
    </row>
    <row r="976" customFormat="false" ht="15" hidden="false" customHeight="false" outlineLevel="0" collapsed="false">
      <c r="A976" s="0" t="s">
        <v>3898</v>
      </c>
      <c r="B976" s="0" t="s">
        <v>3899</v>
      </c>
      <c r="C976" s="0" t="s">
        <v>70</v>
      </c>
      <c r="E976" s="3" t="n">
        <v>46276</v>
      </c>
      <c r="F976" s="4" t="s">
        <v>3911</v>
      </c>
      <c r="G976" s="5" t="n">
        <v>0.197303240740741</v>
      </c>
      <c r="H976" s="5" t="n">
        <v>0</v>
      </c>
      <c r="I976" s="5" t="n">
        <v>0.000196759259259259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5" t="n">
        <v>0</v>
      </c>
      <c r="P976" s="5" t="n">
        <v>0</v>
      </c>
      <c r="Q976" s="4" t="s">
        <v>3912</v>
      </c>
      <c r="R976" s="4" t="s">
        <v>3913</v>
      </c>
      <c r="S976" s="5" t="n">
        <v>0</v>
      </c>
      <c r="T976" s="5" t="n">
        <v>0.0768518518518519</v>
      </c>
      <c r="U976" s="5" t="n">
        <v>0.0645833333333333</v>
      </c>
      <c r="V976" s="5" t="n">
        <v>0.0615740740740741</v>
      </c>
      <c r="W976" s="5" t="n">
        <v>0</v>
      </c>
      <c r="X976" s="5" t="n">
        <v>0</v>
      </c>
      <c r="Y976" s="5" t="n">
        <v>0</v>
      </c>
      <c r="Z976" s="0" t="n">
        <v>0</v>
      </c>
      <c r="AA976" s="0" t="n">
        <v>0</v>
      </c>
      <c r="AB976" s="0" t="n">
        <v>0</v>
      </c>
      <c r="AC976" s="4" t="s">
        <v>3914</v>
      </c>
      <c r="AD976" s="4" t="s">
        <v>159</v>
      </c>
      <c r="AE976" s="4" t="s">
        <v>3910</v>
      </c>
      <c r="AF976" s="4" t="s">
        <v>3915</v>
      </c>
      <c r="AG976" s="5" t="n">
        <v>0.17837962962963</v>
      </c>
      <c r="AH976" s="5" t="n">
        <v>0.0995601851851852</v>
      </c>
      <c r="AI976" s="5" t="n">
        <v>0</v>
      </c>
      <c r="AJ976" s="5" t="n">
        <v>0</v>
      </c>
      <c r="AK976" s="5" t="n">
        <v>0</v>
      </c>
      <c r="AL976" s="5" t="n">
        <v>0</v>
      </c>
      <c r="AM976" s="4" t="s">
        <v>78</v>
      </c>
      <c r="AN976" s="0" t="n">
        <v>0</v>
      </c>
      <c r="AO976" s="0" t="n">
        <v>0</v>
      </c>
      <c r="AP976" s="0" t="n">
        <v>0</v>
      </c>
      <c r="AQ976" s="0" t="n">
        <v>0</v>
      </c>
      <c r="AR976" s="0" t="n">
        <v>0</v>
      </c>
      <c r="AS976" s="0" t="n">
        <v>0</v>
      </c>
      <c r="AT976" s="0" t="n">
        <v>0</v>
      </c>
      <c r="AU976" s="0" t="n">
        <v>0</v>
      </c>
      <c r="AV976" s="0" t="n">
        <v>0</v>
      </c>
      <c r="AW976" s="0" t="n">
        <v>0</v>
      </c>
      <c r="AX976" s="0" t="n">
        <v>0</v>
      </c>
      <c r="AY976" s="0" t="n">
        <v>0</v>
      </c>
      <c r="AZ976" s="0" t="n">
        <v>0</v>
      </c>
      <c r="BA976" s="0" t="n">
        <v>0</v>
      </c>
      <c r="BB976" s="0" t="n">
        <v>1</v>
      </c>
      <c r="BC976" s="0" t="n">
        <v>0</v>
      </c>
      <c r="BD976" s="0" t="n">
        <v>0</v>
      </c>
      <c r="BE976" s="0" t="n">
        <v>0</v>
      </c>
      <c r="BF976" s="0" t="n">
        <v>0</v>
      </c>
      <c r="BG976" s="0" t="n">
        <v>0</v>
      </c>
      <c r="BH976" s="0" t="n">
        <v>0</v>
      </c>
      <c r="BI976" s="0" t="n">
        <v>0</v>
      </c>
      <c r="BJ976" s="0" t="n">
        <v>0</v>
      </c>
      <c r="BK976" s="0" t="n">
        <v>0</v>
      </c>
      <c r="BM976" s="6" t="n">
        <f aca="false">IFERROR(VALUE(F976),"")</f>
        <v>149.22</v>
      </c>
      <c r="BN976" s="6" t="n">
        <f aca="false">IF(R976="-","",IFERROR(VALUE(LEFT(Q976,LEN(Q976)-2)),""))</f>
        <v>35.31</v>
      </c>
      <c r="BO976" s="6" t="n">
        <f aca="false">IF(R976="-","",IFERROR(VALUE(LEFT(R976,LEN(R976)-5)),""))</f>
        <v>4.23</v>
      </c>
      <c r="BP976" s="6" t="n">
        <f aca="false">IF(R976="-","",IFERROR(VALUE(F976),""))</f>
        <v>149.22</v>
      </c>
      <c r="BQ976" s="4" t="n">
        <f aca="false">IF(R976="-",1,0)</f>
        <v>0</v>
      </c>
    </row>
    <row r="977" customFormat="false" ht="15" hidden="false" customHeight="false" outlineLevel="0" collapsed="false">
      <c r="A977" s="0" t="s">
        <v>3898</v>
      </c>
      <c r="B977" s="0" t="s">
        <v>3899</v>
      </c>
      <c r="C977" s="0" t="s">
        <v>70</v>
      </c>
      <c r="E977" s="3" t="n">
        <v>46277</v>
      </c>
      <c r="F977" s="4" t="s">
        <v>3916</v>
      </c>
      <c r="G977" s="5" t="n">
        <v>0.12587962962963</v>
      </c>
      <c r="H977" s="5" t="n">
        <v>0</v>
      </c>
      <c r="I977" s="5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5" t="n">
        <v>0</v>
      </c>
      <c r="P977" s="5" t="n">
        <v>0</v>
      </c>
      <c r="Q977" s="4" t="s">
        <v>3917</v>
      </c>
      <c r="R977" s="4" t="s">
        <v>3918</v>
      </c>
      <c r="S977" s="5" t="n">
        <v>0.000115740740740741</v>
      </c>
      <c r="T977" s="5" t="n">
        <v>0.043287037037037</v>
      </c>
      <c r="U977" s="5" t="n">
        <v>0.0362268518518519</v>
      </c>
      <c r="V977" s="5" t="n">
        <v>0.0377314814814815</v>
      </c>
      <c r="W977" s="5" t="n">
        <v>0</v>
      </c>
      <c r="X977" s="5" t="n">
        <v>0</v>
      </c>
      <c r="Y977" s="5" t="n">
        <v>0</v>
      </c>
      <c r="Z977" s="0" t="n">
        <v>0</v>
      </c>
      <c r="AA977" s="0" t="n">
        <v>0</v>
      </c>
      <c r="AB977" s="0" t="n">
        <v>0</v>
      </c>
      <c r="AC977" s="4" t="s">
        <v>3919</v>
      </c>
      <c r="AD977" s="4" t="s">
        <v>158</v>
      </c>
      <c r="AE977" s="4" t="s">
        <v>3915</v>
      </c>
      <c r="AF977" s="4" t="s">
        <v>3920</v>
      </c>
      <c r="AG977" s="5" t="n">
        <v>0.0968865740740741</v>
      </c>
      <c r="AH977" s="5" t="n">
        <v>0.111087962962963</v>
      </c>
      <c r="AI977" s="5" t="n">
        <v>0</v>
      </c>
      <c r="AJ977" s="5" t="n">
        <v>0</v>
      </c>
      <c r="AK977" s="5" t="n">
        <v>0</v>
      </c>
      <c r="AL977" s="5" t="n">
        <v>0</v>
      </c>
      <c r="AM977" s="4" t="s">
        <v>78</v>
      </c>
      <c r="AN977" s="0" t="n">
        <v>0</v>
      </c>
      <c r="AO977" s="0" t="n">
        <v>0</v>
      </c>
      <c r="AP977" s="0" t="n">
        <v>0</v>
      </c>
      <c r="AQ977" s="0" t="n">
        <v>0</v>
      </c>
      <c r="AR977" s="0" t="n">
        <v>0</v>
      </c>
      <c r="AS977" s="0" t="n">
        <v>0</v>
      </c>
      <c r="AT977" s="0" t="n">
        <v>0</v>
      </c>
      <c r="AU977" s="0" t="n">
        <v>0</v>
      </c>
      <c r="AV977" s="0" t="n">
        <v>0</v>
      </c>
      <c r="AW977" s="0" t="n">
        <v>0</v>
      </c>
      <c r="AX977" s="0" t="n">
        <v>0</v>
      </c>
      <c r="AY977" s="0" t="n">
        <v>0</v>
      </c>
      <c r="AZ977" s="0" t="n">
        <v>0</v>
      </c>
      <c r="BA977" s="0" t="n">
        <v>0</v>
      </c>
      <c r="BB977" s="0" t="n">
        <v>0</v>
      </c>
      <c r="BC977" s="0" t="n">
        <v>0</v>
      </c>
      <c r="BD977" s="0" t="n">
        <v>0</v>
      </c>
      <c r="BE977" s="0" t="n">
        <v>0</v>
      </c>
      <c r="BF977" s="0" t="n">
        <v>0</v>
      </c>
      <c r="BG977" s="0" t="n">
        <v>0</v>
      </c>
      <c r="BH977" s="0" t="n">
        <v>0</v>
      </c>
      <c r="BI977" s="0" t="n">
        <v>0</v>
      </c>
      <c r="BJ977" s="0" t="n">
        <v>0</v>
      </c>
      <c r="BK977" s="0" t="n">
        <v>0</v>
      </c>
      <c r="BM977" s="6" t="n">
        <f aca="false">IFERROR(VALUE(F977),"")</f>
        <v>70.75</v>
      </c>
      <c r="BN977" s="6" t="n">
        <f aca="false">IF(R977="-","",IFERROR(VALUE(LEFT(Q977,LEN(Q977)-2)),""))</f>
        <v>18.24</v>
      </c>
      <c r="BO977" s="6" t="n">
        <f aca="false">IF(R977="-","",IFERROR(VALUE(LEFT(R977,LEN(R977)-5)),""))</f>
        <v>3.88</v>
      </c>
      <c r="BP977" s="6" t="n">
        <f aca="false">IF(R977="-","",IFERROR(VALUE(F977),""))</f>
        <v>70.75</v>
      </c>
      <c r="BQ977" s="4" t="n">
        <f aca="false">IF(R977="-",1,0)</f>
        <v>0</v>
      </c>
    </row>
    <row r="978" customFormat="false" ht="15" hidden="false" customHeight="false" outlineLevel="0" collapsed="false">
      <c r="A978" s="0" t="s">
        <v>3898</v>
      </c>
      <c r="B978" s="0" t="s">
        <v>3899</v>
      </c>
      <c r="C978" s="0" t="s">
        <v>70</v>
      </c>
      <c r="D978" s="0" t="s">
        <v>161</v>
      </c>
      <c r="E978" s="3" t="n">
        <v>46278</v>
      </c>
      <c r="F978" s="4" t="s">
        <v>3921</v>
      </c>
      <c r="G978" s="5" t="n">
        <v>0.11880787037037</v>
      </c>
      <c r="H978" s="5" t="n">
        <v>0.0715393518518519</v>
      </c>
      <c r="I978" s="5" t="n">
        <v>4.62962962962963E-005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2</v>
      </c>
      <c r="O978" s="5" t="n">
        <v>0</v>
      </c>
      <c r="P978" s="5" t="n">
        <v>0</v>
      </c>
      <c r="Q978" s="4" t="s">
        <v>3626</v>
      </c>
      <c r="R978" s="4" t="s">
        <v>3922</v>
      </c>
      <c r="S978" s="5" t="n">
        <v>0.000115740740740741</v>
      </c>
      <c r="T978" s="5" t="n">
        <v>0.0336805555555556</v>
      </c>
      <c r="U978" s="5" t="n">
        <v>0.0456018518518519</v>
      </c>
      <c r="V978" s="5" t="n">
        <v>0.0287037037037037</v>
      </c>
      <c r="W978" s="5" t="n">
        <v>0</v>
      </c>
      <c r="X978" s="5" t="n">
        <v>0</v>
      </c>
      <c r="Y978" s="5" t="n">
        <v>0</v>
      </c>
      <c r="Z978" s="0" t="n">
        <v>0</v>
      </c>
      <c r="AA978" s="0" t="n">
        <v>0</v>
      </c>
      <c r="AB978" s="0" t="n">
        <v>0</v>
      </c>
      <c r="AC978" s="4" t="s">
        <v>152</v>
      </c>
      <c r="AD978" s="4" t="s">
        <v>158</v>
      </c>
      <c r="AE978" s="4" t="s">
        <v>3920</v>
      </c>
      <c r="AF978" s="4" t="s">
        <v>3923</v>
      </c>
      <c r="AG978" s="5" t="n">
        <v>0.101226851851852</v>
      </c>
      <c r="AH978" s="5" t="n">
        <v>0.0743287037037037</v>
      </c>
      <c r="AI978" s="5" t="n">
        <v>0</v>
      </c>
      <c r="AJ978" s="5" t="n">
        <v>0</v>
      </c>
      <c r="AK978" s="5" t="n">
        <v>0</v>
      </c>
      <c r="AL978" s="5" t="n">
        <v>0</v>
      </c>
      <c r="AM978" s="4" t="s">
        <v>78</v>
      </c>
      <c r="AN978" s="0" t="n">
        <v>0</v>
      </c>
      <c r="AO978" s="0" t="n">
        <v>0</v>
      </c>
      <c r="AP978" s="0" t="n">
        <v>0</v>
      </c>
      <c r="AQ978" s="0" t="n">
        <v>0</v>
      </c>
      <c r="AR978" s="0" t="n">
        <v>0</v>
      </c>
      <c r="AS978" s="0" t="n">
        <v>0</v>
      </c>
      <c r="AT978" s="0" t="n">
        <v>0</v>
      </c>
      <c r="AU978" s="0" t="n">
        <v>0</v>
      </c>
      <c r="AV978" s="0" t="n">
        <v>0</v>
      </c>
      <c r="AW978" s="0" t="n">
        <v>0</v>
      </c>
      <c r="AX978" s="0" t="n">
        <v>0</v>
      </c>
      <c r="AY978" s="0" t="n">
        <v>0</v>
      </c>
      <c r="AZ978" s="0" t="n">
        <v>0</v>
      </c>
      <c r="BA978" s="0" t="n">
        <v>0</v>
      </c>
      <c r="BB978" s="0" t="n">
        <v>0</v>
      </c>
      <c r="BC978" s="0" t="n">
        <v>0</v>
      </c>
      <c r="BD978" s="0" t="n">
        <v>0</v>
      </c>
      <c r="BE978" s="0" t="n">
        <v>0</v>
      </c>
      <c r="BF978" s="0" t="n">
        <v>0</v>
      </c>
      <c r="BG978" s="0" t="n">
        <v>0</v>
      </c>
      <c r="BH978" s="0" t="n">
        <v>0</v>
      </c>
      <c r="BI978" s="0" t="n">
        <v>0</v>
      </c>
      <c r="BJ978" s="0" t="n">
        <v>0</v>
      </c>
      <c r="BK978" s="0" t="n">
        <v>0</v>
      </c>
      <c r="BM978" s="6" t="n">
        <f aca="false">IFERROR(VALUE(F978),"")</f>
        <v>76.32</v>
      </c>
      <c r="BN978" s="6" t="n">
        <f aca="false">IF(R978="-","",IFERROR(VALUE(LEFT(Q978,LEN(Q978)-2)),""))</f>
        <v>19.17</v>
      </c>
      <c r="BO978" s="6" t="n">
        <f aca="false">IF(R978="-","",IFERROR(VALUE(LEFT(R978,LEN(R978)-5)),""))</f>
        <v>3.98</v>
      </c>
      <c r="BP978" s="6" t="n">
        <f aca="false">IF(R978="-","",IFERROR(VALUE(F978),""))</f>
        <v>76.32</v>
      </c>
      <c r="BQ978" s="4" t="n">
        <f aca="false">IF(R978="-",1,0)</f>
        <v>0</v>
      </c>
    </row>
    <row r="979" customFormat="false" ht="15" hidden="false" customHeight="false" outlineLevel="0" collapsed="false">
      <c r="A979" s="0" t="s">
        <v>3898</v>
      </c>
      <c r="B979" s="0" t="s">
        <v>3899</v>
      </c>
      <c r="C979" s="0" t="s">
        <v>70</v>
      </c>
      <c r="E979" s="3" t="n">
        <v>46279</v>
      </c>
      <c r="F979" s="4" t="s">
        <v>3924</v>
      </c>
      <c r="G979" s="5" t="n">
        <v>0.202581018518519</v>
      </c>
      <c r="H979" s="5" t="n">
        <v>0</v>
      </c>
      <c r="I979" s="5" t="n">
        <v>0.0003125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1</v>
      </c>
      <c r="O979" s="5" t="n">
        <v>0</v>
      </c>
      <c r="P979" s="5" t="n">
        <v>0</v>
      </c>
      <c r="Q979" s="4" t="s">
        <v>3188</v>
      </c>
      <c r="R979" s="4" t="s">
        <v>3925</v>
      </c>
      <c r="S979" s="5" t="n">
        <v>0</v>
      </c>
      <c r="T979" s="5" t="n">
        <v>0.0664351851851852</v>
      </c>
      <c r="U979" s="5" t="n">
        <v>0.0638888888888889</v>
      </c>
      <c r="V979" s="5" t="n">
        <v>0.0622685185185185</v>
      </c>
      <c r="W979" s="5" t="n">
        <v>0</v>
      </c>
      <c r="X979" s="5" t="n">
        <v>0</v>
      </c>
      <c r="Y979" s="5" t="n">
        <v>0</v>
      </c>
      <c r="Z979" s="0" t="n">
        <v>0</v>
      </c>
      <c r="AA979" s="0" t="n">
        <v>0</v>
      </c>
      <c r="AB979" s="0" t="n">
        <v>0</v>
      </c>
      <c r="AC979" s="4" t="s">
        <v>158</v>
      </c>
      <c r="AD979" s="4" t="s">
        <v>159</v>
      </c>
      <c r="AE979" s="4" t="s">
        <v>3923</v>
      </c>
      <c r="AF979" s="4" t="s">
        <v>3926</v>
      </c>
      <c r="AG979" s="5" t="n">
        <v>0.175740740740741</v>
      </c>
      <c r="AH979" s="5" t="n">
        <v>0.0494444444444444</v>
      </c>
      <c r="AI979" s="5" t="n">
        <v>0</v>
      </c>
      <c r="AJ979" s="5" t="n">
        <v>0</v>
      </c>
      <c r="AK979" s="5" t="n">
        <v>0</v>
      </c>
      <c r="AL979" s="5" t="n">
        <v>0</v>
      </c>
      <c r="AM979" s="4" t="s">
        <v>78</v>
      </c>
      <c r="AN979" s="0" t="n">
        <v>0</v>
      </c>
      <c r="AO979" s="0" t="n">
        <v>1</v>
      </c>
      <c r="AP979" s="0" t="n">
        <v>0</v>
      </c>
      <c r="AQ979" s="0" t="n">
        <v>0</v>
      </c>
      <c r="AR979" s="0" t="n">
        <v>0</v>
      </c>
      <c r="AS979" s="0" t="n">
        <v>0</v>
      </c>
      <c r="AT979" s="0" t="n">
        <v>0</v>
      </c>
      <c r="AU979" s="0" t="n">
        <v>3</v>
      </c>
      <c r="AV979" s="0" t="n">
        <v>0</v>
      </c>
      <c r="AW979" s="0" t="n">
        <v>0</v>
      </c>
      <c r="AX979" s="0" t="n">
        <v>0</v>
      </c>
      <c r="AY979" s="0" t="n">
        <v>0</v>
      </c>
      <c r="AZ979" s="0" t="n">
        <v>0</v>
      </c>
      <c r="BA979" s="0" t="n">
        <v>0</v>
      </c>
      <c r="BB979" s="0" t="n">
        <v>0</v>
      </c>
      <c r="BC979" s="0" t="n">
        <v>0</v>
      </c>
      <c r="BD979" s="0" t="n">
        <v>0</v>
      </c>
      <c r="BE979" s="0" t="n">
        <v>0</v>
      </c>
      <c r="BF979" s="0" t="n">
        <v>0</v>
      </c>
      <c r="BG979" s="0" t="n">
        <v>0</v>
      </c>
      <c r="BH979" s="0" t="n">
        <v>0</v>
      </c>
      <c r="BI979" s="0" t="n">
        <v>0</v>
      </c>
      <c r="BJ979" s="0" t="n">
        <v>0</v>
      </c>
      <c r="BK979" s="0" t="n">
        <v>0</v>
      </c>
      <c r="BM979" s="6" t="n">
        <f aca="false">IFERROR(VALUE(F979),"")</f>
        <v>149.38</v>
      </c>
      <c r="BN979" s="6" t="n">
        <f aca="false">IF(R979="-","",IFERROR(VALUE(LEFT(Q979,LEN(Q979)-2)),""))</f>
        <v>34.15</v>
      </c>
      <c r="BO979" s="6" t="n">
        <f aca="false">IF(R979="-","",IFERROR(VALUE(LEFT(R979,LEN(R979)-5)),""))</f>
        <v>4.37</v>
      </c>
      <c r="BP979" s="6" t="n">
        <f aca="false">IF(R979="-","",IFERROR(VALUE(F979),""))</f>
        <v>149.38</v>
      </c>
      <c r="BQ979" s="4" t="n">
        <f aca="false">IF(R979="-",1,0)</f>
        <v>0</v>
      </c>
    </row>
    <row r="980" customFormat="false" ht="15" hidden="false" customHeight="false" outlineLevel="0" collapsed="false">
      <c r="A980" s="0" t="s">
        <v>3927</v>
      </c>
      <c r="B980" s="0" t="s">
        <v>3928</v>
      </c>
      <c r="C980" s="0" t="s">
        <v>70</v>
      </c>
      <c r="E980" s="3" t="n">
        <v>46273</v>
      </c>
      <c r="F980" s="4" t="s">
        <v>3929</v>
      </c>
      <c r="G980" s="5" t="n">
        <v>0.371041666666667</v>
      </c>
      <c r="H980" s="5" t="n">
        <v>0</v>
      </c>
      <c r="I980" s="5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10</v>
      </c>
      <c r="O980" s="5" t="n">
        <v>0</v>
      </c>
      <c r="P980" s="5" t="n">
        <v>0</v>
      </c>
      <c r="Q980" s="4" t="s">
        <v>3930</v>
      </c>
      <c r="R980" s="4" t="s">
        <v>443</v>
      </c>
      <c r="S980" s="5" t="n">
        <v>0.000115740740740741</v>
      </c>
      <c r="T980" s="5" t="n">
        <v>0.0563657407407407</v>
      </c>
      <c r="U980" s="5" t="n">
        <v>0.145023148148148</v>
      </c>
      <c r="V980" s="5" t="n">
        <v>0.15474537037037</v>
      </c>
      <c r="W980" s="5" t="n">
        <v>0.000694444444444445</v>
      </c>
      <c r="X980" s="5" t="n">
        <v>0</v>
      </c>
      <c r="Y980" s="5" t="n">
        <v>0</v>
      </c>
      <c r="Z980" s="0" t="n">
        <v>0</v>
      </c>
      <c r="AA980" s="0" t="n">
        <v>0</v>
      </c>
      <c r="AB980" s="0" t="n">
        <v>0</v>
      </c>
      <c r="AC980" s="4" t="s">
        <v>73</v>
      </c>
      <c r="AD980" s="4" t="s">
        <v>3206</v>
      </c>
      <c r="AE980" s="4" t="s">
        <v>3931</v>
      </c>
      <c r="AF980" s="4" t="s">
        <v>3932</v>
      </c>
      <c r="AG980" s="5" t="n">
        <v>0.34025462962963</v>
      </c>
      <c r="AH980" s="5" t="n">
        <v>0.165416666666667</v>
      </c>
      <c r="AI980" s="5" t="n">
        <v>0</v>
      </c>
      <c r="AJ980" s="5" t="n">
        <v>0</v>
      </c>
      <c r="AK980" s="5" t="n">
        <v>0</v>
      </c>
      <c r="AL980" s="5" t="n">
        <v>0</v>
      </c>
      <c r="AM980" s="4" t="s">
        <v>78</v>
      </c>
      <c r="AN980" s="0" t="n">
        <v>0</v>
      </c>
      <c r="AO980" s="0" t="n">
        <v>0</v>
      </c>
      <c r="AP980" s="0" t="n">
        <v>0</v>
      </c>
      <c r="AQ980" s="0" t="n">
        <v>0</v>
      </c>
      <c r="AR980" s="0" t="n">
        <v>0</v>
      </c>
      <c r="AS980" s="0" t="n">
        <v>0</v>
      </c>
      <c r="AT980" s="0" t="n">
        <v>0</v>
      </c>
      <c r="AU980" s="0" t="n">
        <v>0</v>
      </c>
      <c r="AV980" s="0" t="n">
        <v>0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0</v>
      </c>
      <c r="BB980" s="0" t="n">
        <v>0</v>
      </c>
      <c r="BC980" s="0" t="n">
        <v>0</v>
      </c>
      <c r="BD980" s="0" t="n">
        <v>0</v>
      </c>
      <c r="BE980" s="0" t="n">
        <v>0</v>
      </c>
      <c r="BF980" s="0" t="n">
        <v>0</v>
      </c>
      <c r="BG980" s="0" t="n">
        <v>0</v>
      </c>
      <c r="BH980" s="0" t="n">
        <v>0</v>
      </c>
      <c r="BI980" s="0" t="n">
        <v>0</v>
      </c>
      <c r="BJ980" s="0" t="n">
        <v>0</v>
      </c>
      <c r="BK980" s="0" t="n">
        <v>0</v>
      </c>
      <c r="BM980" s="6" t="n">
        <f aca="false">IFERROR(VALUE(F980),"")</f>
        <v>280.73</v>
      </c>
      <c r="BN980" s="6" t="n">
        <f aca="false">IF(R980="-","",IFERROR(VALUE(LEFT(Q980,LEN(Q980)-2)),""))</f>
        <v>102</v>
      </c>
      <c r="BO980" s="6" t="n">
        <f aca="false">IF(R980="-","",IFERROR(VALUE(LEFT(R980,LEN(R980)-5)),""))</f>
        <v>2.75</v>
      </c>
      <c r="BP980" s="6" t="n">
        <f aca="false">IF(R980="-","",IFERROR(VALUE(F980),""))</f>
        <v>280.73</v>
      </c>
      <c r="BQ980" s="4" t="n">
        <f aca="false">IF(R980="-",1,0)</f>
        <v>0</v>
      </c>
    </row>
    <row r="981" customFormat="false" ht="15" hidden="false" customHeight="false" outlineLevel="0" collapsed="false">
      <c r="A981" s="0" t="s">
        <v>3927</v>
      </c>
      <c r="B981" s="0" t="s">
        <v>3928</v>
      </c>
      <c r="C981" s="0" t="s">
        <v>70</v>
      </c>
      <c r="E981" s="3" t="n">
        <v>46274</v>
      </c>
      <c r="F981" s="4" t="s">
        <v>3933</v>
      </c>
      <c r="G981" s="5" t="n">
        <v>0.298946759259259</v>
      </c>
      <c r="H981" s="5" t="n">
        <v>0</v>
      </c>
      <c r="I981" s="5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8</v>
      </c>
      <c r="O981" s="5" t="n">
        <v>0</v>
      </c>
      <c r="P981" s="5" t="n">
        <v>0</v>
      </c>
      <c r="Q981" s="4" t="s">
        <v>3934</v>
      </c>
      <c r="R981" s="4" t="s">
        <v>448</v>
      </c>
      <c r="S981" s="5" t="n">
        <v>0.000231481481481482</v>
      </c>
      <c r="T981" s="5" t="n">
        <v>0.0587962962962963</v>
      </c>
      <c r="U981" s="5" t="n">
        <v>0.0856712962962963</v>
      </c>
      <c r="V981" s="5" t="n">
        <v>0.141226851851852</v>
      </c>
      <c r="W981" s="5" t="n">
        <v>0.000636574074074074</v>
      </c>
      <c r="X981" s="5" t="n">
        <v>0</v>
      </c>
      <c r="Y981" s="5" t="n">
        <v>5.78703703703704E-005</v>
      </c>
      <c r="Z981" s="0" t="n">
        <v>0</v>
      </c>
      <c r="AA981" s="0" t="n">
        <v>0</v>
      </c>
      <c r="AB981" s="0" t="n">
        <v>0</v>
      </c>
      <c r="AC981" s="4" t="s">
        <v>3219</v>
      </c>
      <c r="AD981" s="4" t="s">
        <v>3206</v>
      </c>
      <c r="AE981" s="4" t="s">
        <v>3932</v>
      </c>
      <c r="AF981" s="4" t="s">
        <v>3935</v>
      </c>
      <c r="AG981" s="5" t="n">
        <v>0.261053240740741</v>
      </c>
      <c r="AH981" s="5" t="n">
        <v>0.158831018518519</v>
      </c>
      <c r="AI981" s="5" t="n">
        <v>0</v>
      </c>
      <c r="AJ981" s="5" t="n">
        <v>0</v>
      </c>
      <c r="AK981" s="5" t="n">
        <v>0</v>
      </c>
      <c r="AL981" s="5" t="n">
        <v>0</v>
      </c>
      <c r="AM981" s="4" t="s">
        <v>78</v>
      </c>
      <c r="AN981" s="0" t="n">
        <v>0</v>
      </c>
      <c r="AO981" s="0" t="n">
        <v>0</v>
      </c>
      <c r="AP981" s="0" t="n">
        <v>0</v>
      </c>
      <c r="AQ981" s="0" t="n">
        <v>0</v>
      </c>
      <c r="AR981" s="0" t="n">
        <v>0</v>
      </c>
      <c r="AS981" s="0" t="n">
        <v>0</v>
      </c>
      <c r="AT981" s="0" t="n">
        <v>0</v>
      </c>
      <c r="AU981" s="0" t="n">
        <v>0</v>
      </c>
      <c r="AV981" s="0" t="n">
        <v>0</v>
      </c>
      <c r="AW981" s="0" t="n">
        <v>0</v>
      </c>
      <c r="AX981" s="0" t="n">
        <v>0</v>
      </c>
      <c r="AY981" s="0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0</v>
      </c>
      <c r="BH981" s="0" t="n">
        <v>0</v>
      </c>
      <c r="BI981" s="0" t="n">
        <v>0</v>
      </c>
      <c r="BJ981" s="0" t="n">
        <v>0</v>
      </c>
      <c r="BK981" s="0" t="n">
        <v>0</v>
      </c>
      <c r="BM981" s="6" t="n">
        <f aca="false">IFERROR(VALUE(F981),"")</f>
        <v>219.28</v>
      </c>
      <c r="BN981" s="6" t="n">
        <f aca="false">IF(R981="-","",IFERROR(VALUE(LEFT(Q981,LEN(Q981)-2)),""))</f>
        <v>82.79</v>
      </c>
      <c r="BO981" s="6" t="n">
        <f aca="false">IF(R981="-","",IFERROR(VALUE(LEFT(R981,LEN(R981)-5)),""))</f>
        <v>2.65</v>
      </c>
      <c r="BP981" s="6" t="n">
        <f aca="false">IF(R981="-","",IFERROR(VALUE(F981),""))</f>
        <v>219.28</v>
      </c>
      <c r="BQ981" s="4" t="n">
        <f aca="false">IF(R981="-",1,0)</f>
        <v>0</v>
      </c>
    </row>
    <row r="982" customFormat="false" ht="15" hidden="false" customHeight="false" outlineLevel="0" collapsed="false">
      <c r="A982" s="0" t="s">
        <v>3927</v>
      </c>
      <c r="B982" s="0" t="s">
        <v>3928</v>
      </c>
      <c r="C982" s="0" t="s">
        <v>70</v>
      </c>
      <c r="E982" s="3" t="n">
        <v>46275</v>
      </c>
      <c r="F982" s="4" t="s">
        <v>3936</v>
      </c>
      <c r="G982" s="5" t="n">
        <v>0.151203703703704</v>
      </c>
      <c r="H982" s="5" t="n">
        <v>0</v>
      </c>
      <c r="I982" s="5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4</v>
      </c>
      <c r="O982" s="5" t="n">
        <v>0</v>
      </c>
      <c r="P982" s="5" t="n">
        <v>0</v>
      </c>
      <c r="Q982" s="4" t="s">
        <v>3937</v>
      </c>
      <c r="R982" s="4" t="s">
        <v>2187</v>
      </c>
      <c r="S982" s="5" t="n">
        <v>0.000115740740740741</v>
      </c>
      <c r="T982" s="5" t="n">
        <v>0.028125</v>
      </c>
      <c r="U982" s="5" t="n">
        <v>0.0490740740740741</v>
      </c>
      <c r="V982" s="5" t="n">
        <v>0.071875</v>
      </c>
      <c r="W982" s="5" t="n">
        <v>0.000115740740740741</v>
      </c>
      <c r="X982" s="5" t="n">
        <v>0</v>
      </c>
      <c r="Y982" s="5" t="n">
        <v>0</v>
      </c>
      <c r="Z982" s="0" t="n">
        <v>0</v>
      </c>
      <c r="AA982" s="0" t="n">
        <v>0</v>
      </c>
      <c r="AB982" s="0" t="n">
        <v>0</v>
      </c>
      <c r="AC982" s="4" t="s">
        <v>3219</v>
      </c>
      <c r="AD982" s="4" t="s">
        <v>3938</v>
      </c>
      <c r="AE982" s="4" t="s">
        <v>3935</v>
      </c>
      <c r="AF982" s="4" t="s">
        <v>3939</v>
      </c>
      <c r="AG982" s="5" t="n">
        <v>0.141458333333333</v>
      </c>
      <c r="AH982" s="5" t="n">
        <v>0.0562037037037037</v>
      </c>
      <c r="AI982" s="5" t="n">
        <v>0</v>
      </c>
      <c r="AJ982" s="5" t="n">
        <v>0</v>
      </c>
      <c r="AK982" s="5" t="n">
        <v>0</v>
      </c>
      <c r="AL982" s="5" t="n">
        <v>0</v>
      </c>
      <c r="AM982" s="4" t="s">
        <v>78</v>
      </c>
      <c r="AN982" s="0" t="n">
        <v>0</v>
      </c>
      <c r="AO982" s="0" t="n">
        <v>0</v>
      </c>
      <c r="AP982" s="0" t="n">
        <v>0</v>
      </c>
      <c r="AQ982" s="0" t="n">
        <v>0</v>
      </c>
      <c r="AR982" s="0" t="n">
        <v>0</v>
      </c>
      <c r="AS982" s="0" t="n">
        <v>0</v>
      </c>
      <c r="AT982" s="0" t="n">
        <v>0</v>
      </c>
      <c r="AU982" s="0" t="n">
        <v>0</v>
      </c>
      <c r="AV982" s="0" t="n">
        <v>0</v>
      </c>
      <c r="AW982" s="0" t="n">
        <v>0</v>
      </c>
      <c r="AX982" s="0" t="n">
        <v>0</v>
      </c>
      <c r="AY982" s="0" t="n">
        <v>0</v>
      </c>
      <c r="AZ982" s="0" t="n">
        <v>0</v>
      </c>
      <c r="BA982" s="0" t="n">
        <v>0</v>
      </c>
      <c r="BB982" s="0" t="n">
        <v>0</v>
      </c>
      <c r="BC982" s="0" t="n">
        <v>0</v>
      </c>
      <c r="BD982" s="0" t="n">
        <v>0</v>
      </c>
      <c r="BE982" s="0" t="n">
        <v>0</v>
      </c>
      <c r="BF982" s="0" t="n">
        <v>0</v>
      </c>
      <c r="BG982" s="0" t="n">
        <v>0</v>
      </c>
      <c r="BH982" s="0" t="n">
        <v>0</v>
      </c>
      <c r="BI982" s="0" t="n">
        <v>0</v>
      </c>
      <c r="BJ982" s="0" t="n">
        <v>0</v>
      </c>
      <c r="BK982" s="0" t="n">
        <v>0</v>
      </c>
      <c r="BM982" s="6" t="n">
        <f aca="false">IFERROR(VALUE(F982),"")</f>
        <v>113.9</v>
      </c>
      <c r="BN982" s="6" t="n">
        <f aca="false">IF(R982="-","",IFERROR(VALUE(LEFT(Q982,LEN(Q982)-2)),""))</f>
        <v>44.71</v>
      </c>
      <c r="BO982" s="6" t="n">
        <f aca="false">IF(R982="-","",IFERROR(VALUE(LEFT(R982,LEN(R982)-5)),""))</f>
        <v>2.55</v>
      </c>
      <c r="BP982" s="6" t="n">
        <f aca="false">IF(R982="-","",IFERROR(VALUE(F982),""))</f>
        <v>113.9</v>
      </c>
      <c r="BQ982" s="4" t="n">
        <f aca="false">IF(R982="-",1,0)</f>
        <v>0</v>
      </c>
    </row>
    <row r="983" customFormat="false" ht="15" hidden="false" customHeight="false" outlineLevel="0" collapsed="false">
      <c r="A983" s="0" t="s">
        <v>3927</v>
      </c>
      <c r="B983" s="0" t="s">
        <v>3928</v>
      </c>
      <c r="C983" s="0" t="s">
        <v>70</v>
      </c>
      <c r="E983" s="3" t="n">
        <v>46276</v>
      </c>
      <c r="F983" s="4" t="s">
        <v>3940</v>
      </c>
      <c r="G983" s="5" t="n">
        <v>0.384652777777778</v>
      </c>
      <c r="H983" s="5" t="n">
        <v>0</v>
      </c>
      <c r="I983" s="5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10</v>
      </c>
      <c r="O983" s="5" t="n">
        <v>0</v>
      </c>
      <c r="P983" s="5" t="n">
        <v>0</v>
      </c>
      <c r="Q983" s="4" t="s">
        <v>3941</v>
      </c>
      <c r="R983" s="4" t="s">
        <v>1209</v>
      </c>
      <c r="S983" s="5" t="n">
        <v>0.000462962962962963</v>
      </c>
      <c r="T983" s="5" t="n">
        <v>0.0626157407407407</v>
      </c>
      <c r="U983" s="5" t="n">
        <v>0.101238425925926</v>
      </c>
      <c r="V983" s="5" t="n">
        <v>0.154375</v>
      </c>
      <c r="W983" s="5" t="n">
        <v>0.000509259259259259</v>
      </c>
      <c r="X983" s="5" t="n">
        <v>0</v>
      </c>
      <c r="Y983" s="5" t="n">
        <v>0.000231481481481482</v>
      </c>
      <c r="Z983" s="0" t="n">
        <v>0</v>
      </c>
      <c r="AA983" s="0" t="n">
        <v>0</v>
      </c>
      <c r="AB983" s="0" t="n">
        <v>0</v>
      </c>
      <c r="AC983" s="4" t="s">
        <v>3219</v>
      </c>
      <c r="AD983" s="4" t="s">
        <v>3206</v>
      </c>
      <c r="AE983" s="4" t="s">
        <v>3939</v>
      </c>
      <c r="AF983" s="4" t="s">
        <v>3942</v>
      </c>
      <c r="AG983" s="5" t="n">
        <v>0.295972222222222</v>
      </c>
      <c r="AH983" s="5" t="n">
        <v>0.190300925925926</v>
      </c>
      <c r="AI983" s="5" t="n">
        <v>0</v>
      </c>
      <c r="AJ983" s="5" t="n">
        <v>0</v>
      </c>
      <c r="AK983" s="5" t="n">
        <v>0</v>
      </c>
      <c r="AL983" s="5" t="n">
        <v>0</v>
      </c>
      <c r="AM983" s="4" t="s">
        <v>78</v>
      </c>
      <c r="AN983" s="0" t="n">
        <v>0</v>
      </c>
      <c r="AO983" s="0" t="n">
        <v>0</v>
      </c>
      <c r="AP983" s="0" t="n">
        <v>0</v>
      </c>
      <c r="AQ983" s="0" t="n">
        <v>0</v>
      </c>
      <c r="AR983" s="0" t="n">
        <v>0</v>
      </c>
      <c r="AS983" s="0" t="n">
        <v>0</v>
      </c>
      <c r="AT983" s="0" t="n">
        <v>0</v>
      </c>
      <c r="AU983" s="0" t="n">
        <v>0</v>
      </c>
      <c r="AV983" s="0" t="n">
        <v>0</v>
      </c>
      <c r="AW983" s="0" t="n">
        <v>0</v>
      </c>
      <c r="AX983" s="0" t="n">
        <v>0</v>
      </c>
      <c r="AY983" s="0" t="n">
        <v>0</v>
      </c>
      <c r="AZ983" s="0" t="n">
        <v>0</v>
      </c>
      <c r="BA983" s="0" t="n">
        <v>0</v>
      </c>
      <c r="BB983" s="0" t="n">
        <v>0</v>
      </c>
      <c r="BC983" s="0" t="n">
        <v>0</v>
      </c>
      <c r="BD983" s="0" t="n">
        <v>1</v>
      </c>
      <c r="BE983" s="0" t="n">
        <v>0</v>
      </c>
      <c r="BF983" s="0" t="n">
        <v>0</v>
      </c>
      <c r="BG983" s="0" t="n">
        <v>0</v>
      </c>
      <c r="BH983" s="0" t="n">
        <v>0</v>
      </c>
      <c r="BI983" s="0" t="n">
        <v>0</v>
      </c>
      <c r="BJ983" s="0" t="n">
        <v>0</v>
      </c>
      <c r="BK983" s="0" t="n">
        <v>0</v>
      </c>
      <c r="BM983" s="6" t="n">
        <f aca="false">IFERROR(VALUE(F983),"")</f>
        <v>253.44</v>
      </c>
      <c r="BN983" s="6" t="n">
        <f aca="false">IF(R983="-","",IFERROR(VALUE(LEFT(Q983,LEN(Q983)-2)),""))</f>
        <v>91.3</v>
      </c>
      <c r="BO983" s="6" t="n">
        <f aca="false">IF(R983="-","",IFERROR(VALUE(LEFT(R983,LEN(R983)-5)),""))</f>
        <v>2.78</v>
      </c>
      <c r="BP983" s="6" t="n">
        <f aca="false">IF(R983="-","",IFERROR(VALUE(F983),""))</f>
        <v>253.44</v>
      </c>
      <c r="BQ983" s="4" t="n">
        <f aca="false">IF(R983="-",1,0)</f>
        <v>0</v>
      </c>
    </row>
    <row r="984" customFormat="false" ht="15" hidden="false" customHeight="false" outlineLevel="0" collapsed="false">
      <c r="A984" s="0" t="s">
        <v>3927</v>
      </c>
      <c r="B984" s="0" t="s">
        <v>3928</v>
      </c>
      <c r="C984" s="0" t="s">
        <v>70</v>
      </c>
      <c r="E984" s="3" t="n">
        <v>46277</v>
      </c>
      <c r="F984" s="4" t="s">
        <v>3943</v>
      </c>
      <c r="G984" s="5" t="n">
        <v>0.132627314814815</v>
      </c>
      <c r="H984" s="5" t="n">
        <v>0</v>
      </c>
      <c r="I984" s="5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4</v>
      </c>
      <c r="O984" s="5" t="n">
        <v>0</v>
      </c>
      <c r="P984" s="5" t="n">
        <v>0</v>
      </c>
      <c r="Q984" s="4" t="s">
        <v>3944</v>
      </c>
      <c r="R984" s="4" t="s">
        <v>391</v>
      </c>
      <c r="S984" s="5" t="n">
        <v>0.000115740740740741</v>
      </c>
      <c r="T984" s="5" t="n">
        <v>0.0163194444444445</v>
      </c>
      <c r="U984" s="5" t="n">
        <v>0.0604166666666667</v>
      </c>
      <c r="V984" s="5" t="n">
        <v>0.0496527777777778</v>
      </c>
      <c r="W984" s="5" t="n">
        <v>0</v>
      </c>
      <c r="X984" s="5" t="n">
        <v>0</v>
      </c>
      <c r="Y984" s="5" t="n">
        <v>0</v>
      </c>
      <c r="Z984" s="0" t="n">
        <v>0</v>
      </c>
      <c r="AA984" s="0" t="n">
        <v>0</v>
      </c>
      <c r="AB984" s="0" t="n">
        <v>0</v>
      </c>
      <c r="AC984" s="4" t="s">
        <v>3219</v>
      </c>
      <c r="AD984" s="4" t="s">
        <v>3219</v>
      </c>
      <c r="AE984" s="4" t="s">
        <v>3942</v>
      </c>
      <c r="AF984" s="4" t="s">
        <v>3945</v>
      </c>
      <c r="AG984" s="5" t="n">
        <v>0.124467592592593</v>
      </c>
      <c r="AH984" s="5" t="n">
        <v>0.0631018518518519</v>
      </c>
      <c r="AI984" s="5" t="n">
        <v>0</v>
      </c>
      <c r="AJ984" s="5" t="n">
        <v>0</v>
      </c>
      <c r="AK984" s="5" t="n">
        <v>0</v>
      </c>
      <c r="AL984" s="5" t="n">
        <v>0</v>
      </c>
      <c r="AM984" s="4" t="s">
        <v>78</v>
      </c>
      <c r="AN984" s="0" t="n">
        <v>0</v>
      </c>
      <c r="AO984" s="0" t="n">
        <v>0</v>
      </c>
      <c r="AP984" s="0" t="n">
        <v>0</v>
      </c>
      <c r="AQ984" s="0" t="n">
        <v>0</v>
      </c>
      <c r="AR984" s="0" t="n">
        <v>0</v>
      </c>
      <c r="AS984" s="0" t="n">
        <v>0</v>
      </c>
      <c r="AT984" s="0" t="n">
        <v>0</v>
      </c>
      <c r="AU984" s="0" t="n">
        <v>0</v>
      </c>
      <c r="AV984" s="0" t="n">
        <v>0</v>
      </c>
      <c r="AW984" s="0" t="n">
        <v>0</v>
      </c>
      <c r="AX984" s="0" t="n">
        <v>0</v>
      </c>
      <c r="AY984" s="0" t="n">
        <v>0</v>
      </c>
      <c r="AZ984" s="0" t="n">
        <v>0</v>
      </c>
      <c r="BA984" s="0" t="n">
        <v>0</v>
      </c>
      <c r="BB984" s="0" t="n">
        <v>0</v>
      </c>
      <c r="BC984" s="0" t="n">
        <v>0</v>
      </c>
      <c r="BD984" s="0" t="n">
        <v>0</v>
      </c>
      <c r="BE984" s="0" t="n">
        <v>0</v>
      </c>
      <c r="BF984" s="0" t="n">
        <v>0</v>
      </c>
      <c r="BG984" s="0" t="n">
        <v>0</v>
      </c>
      <c r="BH984" s="0" t="n">
        <v>0</v>
      </c>
      <c r="BI984" s="0" t="n">
        <v>0</v>
      </c>
      <c r="BJ984" s="0" t="n">
        <v>0</v>
      </c>
      <c r="BK984" s="0" t="n">
        <v>0</v>
      </c>
      <c r="BM984" s="6" t="n">
        <f aca="false">IFERROR(VALUE(F984),"")</f>
        <v>109.66</v>
      </c>
      <c r="BN984" s="6" t="n">
        <f aca="false">IF(R984="-","",IFERROR(VALUE(LEFT(Q984,LEN(Q984)-2)),""))</f>
        <v>36.46</v>
      </c>
      <c r="BO984" s="6" t="n">
        <f aca="false">IF(R984="-","",IFERROR(VALUE(LEFT(R984,LEN(R984)-5)),""))</f>
        <v>3.01</v>
      </c>
      <c r="BP984" s="6" t="n">
        <f aca="false">IF(R984="-","",IFERROR(VALUE(F984),""))</f>
        <v>109.66</v>
      </c>
      <c r="BQ984" s="4" t="n">
        <f aca="false">IF(R984="-",1,0)</f>
        <v>0</v>
      </c>
    </row>
    <row r="985" customFormat="false" ht="15" hidden="false" customHeight="false" outlineLevel="0" collapsed="false">
      <c r="A985" s="0" t="s">
        <v>3927</v>
      </c>
      <c r="B985" s="0" t="s">
        <v>3928</v>
      </c>
      <c r="C985" s="0" t="s">
        <v>70</v>
      </c>
      <c r="E985" s="3" t="n">
        <v>46278</v>
      </c>
      <c r="F985" s="4" t="s">
        <v>3946</v>
      </c>
      <c r="G985" s="5" t="n">
        <v>0.126099537037037</v>
      </c>
      <c r="H985" s="5" t="n">
        <v>0</v>
      </c>
      <c r="I985" s="5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4</v>
      </c>
      <c r="O985" s="5" t="n">
        <v>0</v>
      </c>
      <c r="P985" s="5" t="n">
        <v>0</v>
      </c>
      <c r="Q985" s="4" t="s">
        <v>3947</v>
      </c>
      <c r="R985" s="4" t="s">
        <v>401</v>
      </c>
      <c r="S985" s="5" t="n">
        <v>0.000115740740740741</v>
      </c>
      <c r="T985" s="5" t="n">
        <v>0.0221064814814815</v>
      </c>
      <c r="U985" s="5" t="n">
        <v>0.0347222222222222</v>
      </c>
      <c r="V985" s="5" t="n">
        <v>0.0665972222222222</v>
      </c>
      <c r="W985" s="5" t="n">
        <v>0.000555555555555556</v>
      </c>
      <c r="X985" s="5" t="n">
        <v>0</v>
      </c>
      <c r="Y985" s="5" t="n">
        <v>0</v>
      </c>
      <c r="Z985" s="0" t="n">
        <v>0</v>
      </c>
      <c r="AA985" s="0" t="n">
        <v>0</v>
      </c>
      <c r="AB985" s="0" t="n">
        <v>0</v>
      </c>
      <c r="AC985" s="4" t="s">
        <v>3219</v>
      </c>
      <c r="AD985" s="4" t="s">
        <v>3206</v>
      </c>
      <c r="AE985" s="4" t="s">
        <v>3945</v>
      </c>
      <c r="AF985" s="4" t="s">
        <v>3948</v>
      </c>
      <c r="AG985" s="5" t="n">
        <v>0.11744212962963</v>
      </c>
      <c r="AH985" s="5" t="n">
        <v>0.0751273148148148</v>
      </c>
      <c r="AI985" s="5" t="n">
        <v>0</v>
      </c>
      <c r="AJ985" s="5" t="n">
        <v>0</v>
      </c>
      <c r="AK985" s="5" t="n">
        <v>0</v>
      </c>
      <c r="AL985" s="5" t="n">
        <v>0</v>
      </c>
      <c r="AM985" s="4" t="s">
        <v>78</v>
      </c>
      <c r="AN985" s="0" t="n">
        <v>0</v>
      </c>
      <c r="AO985" s="0" t="n">
        <v>0</v>
      </c>
      <c r="AP985" s="0" t="n">
        <v>0</v>
      </c>
      <c r="AQ985" s="0" t="n">
        <v>0</v>
      </c>
      <c r="AR985" s="0" t="n">
        <v>0</v>
      </c>
      <c r="AS985" s="0" t="n">
        <v>0</v>
      </c>
      <c r="AT985" s="0" t="n">
        <v>0</v>
      </c>
      <c r="AU985" s="0" t="n">
        <v>0</v>
      </c>
      <c r="AV985" s="0" t="n">
        <v>0</v>
      </c>
      <c r="AW985" s="0" t="n">
        <v>0</v>
      </c>
      <c r="AX985" s="0" t="n">
        <v>0</v>
      </c>
      <c r="AY985" s="0" t="n">
        <v>0</v>
      </c>
      <c r="AZ985" s="0" t="n">
        <v>0</v>
      </c>
      <c r="BA985" s="0" t="n">
        <v>0</v>
      </c>
      <c r="BB985" s="0" t="n">
        <v>0</v>
      </c>
      <c r="BC985" s="0" t="n">
        <v>0</v>
      </c>
      <c r="BD985" s="0" t="n">
        <v>0</v>
      </c>
      <c r="BE985" s="0" t="n">
        <v>0</v>
      </c>
      <c r="BF985" s="0" t="n">
        <v>0</v>
      </c>
      <c r="BG985" s="0" t="n">
        <v>0</v>
      </c>
      <c r="BH985" s="0" t="n">
        <v>0</v>
      </c>
      <c r="BI985" s="0" t="n">
        <v>0</v>
      </c>
      <c r="BJ985" s="0" t="n">
        <v>0</v>
      </c>
      <c r="BK985" s="0" t="n">
        <v>0</v>
      </c>
      <c r="BM985" s="6" t="n">
        <f aca="false">IFERROR(VALUE(F985),"")</f>
        <v>106.64</v>
      </c>
      <c r="BN985" s="6" t="n">
        <f aca="false">IF(R985="-","",IFERROR(VALUE(LEFT(Q985,LEN(Q985)-2)),""))</f>
        <v>37.35</v>
      </c>
      <c r="BO985" s="6" t="n">
        <f aca="false">IF(R985="-","",IFERROR(VALUE(LEFT(R985,LEN(R985)-5)),""))</f>
        <v>2.86</v>
      </c>
      <c r="BP985" s="6" t="n">
        <f aca="false">IF(R985="-","",IFERROR(VALUE(F985),""))</f>
        <v>106.64</v>
      </c>
      <c r="BQ985" s="4" t="n">
        <f aca="false">IF(R985="-",1,0)</f>
        <v>0</v>
      </c>
    </row>
    <row r="986" customFormat="false" ht="15" hidden="false" customHeight="false" outlineLevel="0" collapsed="false">
      <c r="A986" s="0" t="s">
        <v>3927</v>
      </c>
      <c r="B986" s="0" t="s">
        <v>3928</v>
      </c>
      <c r="C986" s="0" t="s">
        <v>70</v>
      </c>
      <c r="E986" s="3" t="n">
        <v>46279</v>
      </c>
      <c r="F986" s="4" t="s">
        <v>3949</v>
      </c>
      <c r="G986" s="5" t="n">
        <v>0.157638888888889</v>
      </c>
      <c r="H986" s="5" t="n">
        <v>0</v>
      </c>
      <c r="I986" s="5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2</v>
      </c>
      <c r="O986" s="5" t="n">
        <v>0</v>
      </c>
      <c r="P986" s="5" t="n">
        <v>0</v>
      </c>
      <c r="Q986" s="4" t="s">
        <v>3950</v>
      </c>
      <c r="R986" s="4" t="s">
        <v>283</v>
      </c>
      <c r="S986" s="5" t="n">
        <v>0</v>
      </c>
      <c r="T986" s="5" t="n">
        <v>0.0275462962962963</v>
      </c>
      <c r="U986" s="5" t="n">
        <v>0.0339699074074074</v>
      </c>
      <c r="V986" s="5" t="n">
        <v>0.0844907407407407</v>
      </c>
      <c r="W986" s="5" t="n">
        <v>0.00502314814814815</v>
      </c>
      <c r="X986" s="5" t="n">
        <v>0</v>
      </c>
      <c r="Y986" s="5" t="n">
        <v>0.0024537037037037</v>
      </c>
      <c r="Z986" s="0" t="n">
        <v>0</v>
      </c>
      <c r="AA986" s="0" t="n">
        <v>0</v>
      </c>
      <c r="AB986" s="0" t="n">
        <v>0</v>
      </c>
      <c r="AC986" s="4" t="s">
        <v>3206</v>
      </c>
      <c r="AD986" s="4" t="s">
        <v>3951</v>
      </c>
      <c r="AE986" s="4" t="s">
        <v>3948</v>
      </c>
      <c r="AF986" s="4" t="s">
        <v>3952</v>
      </c>
      <c r="AG986" s="5" t="n">
        <v>0.138402777777778</v>
      </c>
      <c r="AH986" s="5" t="n">
        <v>0.0440856481481482</v>
      </c>
      <c r="AI986" s="5" t="n">
        <v>0</v>
      </c>
      <c r="AJ986" s="5" t="n">
        <v>0</v>
      </c>
      <c r="AK986" s="5" t="n">
        <v>0</v>
      </c>
      <c r="AL986" s="5" t="n">
        <v>0</v>
      </c>
      <c r="AM986" s="4" t="s">
        <v>78</v>
      </c>
      <c r="AN986" s="0" t="n">
        <v>0</v>
      </c>
      <c r="AO986" s="0" t="n">
        <v>0</v>
      </c>
      <c r="AP986" s="0" t="n">
        <v>0</v>
      </c>
      <c r="AQ986" s="0" t="n">
        <v>0</v>
      </c>
      <c r="AR986" s="0" t="n">
        <v>0</v>
      </c>
      <c r="AS986" s="0" t="n">
        <v>0</v>
      </c>
      <c r="AT986" s="0" t="n">
        <v>0</v>
      </c>
      <c r="AU986" s="0" t="n">
        <v>0</v>
      </c>
      <c r="AV986" s="0" t="n">
        <v>0</v>
      </c>
      <c r="AW986" s="0" t="n">
        <v>0</v>
      </c>
      <c r="AX986" s="0" t="n">
        <v>0</v>
      </c>
      <c r="AY986" s="0" t="n">
        <v>0</v>
      </c>
      <c r="AZ986" s="0" t="n">
        <v>0</v>
      </c>
      <c r="BA986" s="0" t="n">
        <v>0</v>
      </c>
      <c r="BB986" s="0" t="n">
        <v>0</v>
      </c>
      <c r="BC986" s="0" t="n">
        <v>0</v>
      </c>
      <c r="BD986" s="0" t="n">
        <v>0</v>
      </c>
      <c r="BE986" s="0" t="n">
        <v>0</v>
      </c>
      <c r="BF986" s="0" t="n">
        <v>0</v>
      </c>
      <c r="BG986" s="0" t="n">
        <v>0</v>
      </c>
      <c r="BH986" s="0" t="n">
        <v>0</v>
      </c>
      <c r="BI986" s="0" t="n">
        <v>0</v>
      </c>
      <c r="BJ986" s="0" t="n">
        <v>0</v>
      </c>
      <c r="BK986" s="0" t="n">
        <v>0</v>
      </c>
      <c r="BM986" s="6" t="n">
        <f aca="false">IFERROR(VALUE(F986),"")</f>
        <v>114.5</v>
      </c>
      <c r="BN986" s="6" t="n">
        <f aca="false">IF(R986="-","",IFERROR(VALUE(LEFT(Q986,LEN(Q986)-2)),""))</f>
        <v>46.73</v>
      </c>
      <c r="BO986" s="6" t="n">
        <f aca="false">IF(R986="-","",IFERROR(VALUE(LEFT(R986,LEN(R986)-5)),""))</f>
        <v>2.45</v>
      </c>
      <c r="BP986" s="6" t="n">
        <f aca="false">IF(R986="-","",IFERROR(VALUE(F986),""))</f>
        <v>114.5</v>
      </c>
      <c r="BQ986" s="4" t="n">
        <f aca="false">IF(R986="-",1,0)</f>
        <v>0</v>
      </c>
    </row>
    <row r="987" customFormat="false" ht="15" hidden="false" customHeight="false" outlineLevel="0" collapsed="false">
      <c r="A987" s="0" t="s">
        <v>3953</v>
      </c>
      <c r="B987" s="0" t="s">
        <v>3954</v>
      </c>
      <c r="C987" s="0" t="s">
        <v>70</v>
      </c>
      <c r="E987" s="3" t="n">
        <v>46274</v>
      </c>
      <c r="F987" s="4" t="s">
        <v>95</v>
      </c>
      <c r="G987" s="5" t="n">
        <v>0.00122685185185185</v>
      </c>
      <c r="H987" s="5" t="n">
        <v>0</v>
      </c>
      <c r="I987" s="5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5" t="n">
        <v>0</v>
      </c>
      <c r="P987" s="5" t="n">
        <v>0</v>
      </c>
      <c r="Q987" s="4" t="s">
        <v>1438</v>
      </c>
      <c r="R987" s="4" t="s">
        <v>454</v>
      </c>
      <c r="S987" s="5" t="n">
        <v>0</v>
      </c>
      <c r="T987" s="5" t="n">
        <v>0.000810185185185185</v>
      </c>
      <c r="U987" s="5" t="n">
        <v>0.000347222222222222</v>
      </c>
      <c r="V987" s="5" t="n">
        <v>0</v>
      </c>
      <c r="W987" s="5" t="n">
        <v>0</v>
      </c>
      <c r="X987" s="5" t="n">
        <v>0</v>
      </c>
      <c r="Y987" s="5" t="n">
        <v>0</v>
      </c>
      <c r="Z987" s="0" t="n">
        <v>0</v>
      </c>
      <c r="AA987" s="0" t="n">
        <v>0</v>
      </c>
      <c r="AB987" s="0" t="n">
        <v>0</v>
      </c>
      <c r="AC987" s="4" t="s">
        <v>74</v>
      </c>
      <c r="AD987" s="4" t="s">
        <v>74</v>
      </c>
      <c r="AE987" s="4" t="s">
        <v>3955</v>
      </c>
      <c r="AF987" s="4" t="s">
        <v>3955</v>
      </c>
      <c r="AG987" s="5" t="n">
        <v>0</v>
      </c>
      <c r="AH987" s="5" t="n">
        <v>0.00604166666666667</v>
      </c>
      <c r="AI987" s="5" t="n">
        <v>0</v>
      </c>
      <c r="AJ987" s="5" t="n">
        <v>0</v>
      </c>
      <c r="AK987" s="5" t="n">
        <v>0</v>
      </c>
      <c r="AL987" s="5" t="n">
        <v>0</v>
      </c>
      <c r="AM987" s="4" t="s">
        <v>78</v>
      </c>
      <c r="AN987" s="0" t="n">
        <v>0</v>
      </c>
      <c r="AO987" s="0" t="n">
        <v>0</v>
      </c>
      <c r="AP987" s="0" t="n">
        <v>0</v>
      </c>
      <c r="AQ987" s="0" t="n">
        <v>0</v>
      </c>
      <c r="AR987" s="0" t="n">
        <v>0</v>
      </c>
      <c r="AS987" s="0" t="n">
        <v>0</v>
      </c>
      <c r="AT987" s="0" t="n">
        <v>0</v>
      </c>
      <c r="AU987" s="0" t="n">
        <v>0</v>
      </c>
      <c r="AV987" s="0" t="n">
        <v>0</v>
      </c>
      <c r="AW987" s="0" t="n">
        <v>0</v>
      </c>
      <c r="AX987" s="0" t="n">
        <v>0</v>
      </c>
      <c r="AY987" s="0" t="n">
        <v>0</v>
      </c>
      <c r="AZ987" s="0" t="n">
        <v>0</v>
      </c>
      <c r="BA987" s="0" t="n">
        <v>0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0</v>
      </c>
      <c r="BH987" s="0" t="n">
        <v>0</v>
      </c>
      <c r="BI987" s="0" t="n">
        <v>0</v>
      </c>
      <c r="BJ987" s="0" t="n">
        <v>0</v>
      </c>
      <c r="BK987" s="0" t="n">
        <v>0</v>
      </c>
      <c r="BM987" s="6" t="n">
        <f aca="false">IFERROR(VALUE(F987),"")</f>
        <v>0</v>
      </c>
      <c r="BN987" s="6" t="n">
        <f aca="false">IF(R987="-","",IFERROR(VALUE(LEFT(Q987,LEN(Q987)-2)),""))</f>
        <v>0.1</v>
      </c>
      <c r="BO987" s="6" t="n">
        <f aca="false">IF(R987="-","",IFERROR(VALUE(LEFT(R987,LEN(R987)-5)),""))</f>
        <v>0</v>
      </c>
      <c r="BP987" s="6" t="n">
        <f aca="false">IF(R987="-","",IFERROR(VALUE(F987),""))</f>
        <v>0</v>
      </c>
      <c r="BQ987" s="4" t="n">
        <f aca="false">IF(R987="-",1,0)</f>
        <v>0</v>
      </c>
    </row>
    <row r="988" customFormat="false" ht="15" hidden="false" customHeight="false" outlineLevel="0" collapsed="false">
      <c r="A988" s="0" t="s">
        <v>3953</v>
      </c>
      <c r="B988" s="0" t="s">
        <v>3954</v>
      </c>
      <c r="C988" s="0" t="s">
        <v>70</v>
      </c>
      <c r="E988" s="3" t="n">
        <v>46276</v>
      </c>
      <c r="F988" s="4" t="s">
        <v>557</v>
      </c>
      <c r="G988" s="5" t="n">
        <v>0.00699074074074074</v>
      </c>
      <c r="H988" s="5" t="n">
        <v>0</v>
      </c>
      <c r="I988" s="5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5" t="n">
        <v>0</v>
      </c>
      <c r="P988" s="5" t="n">
        <v>0</v>
      </c>
      <c r="Q988" s="4" t="s">
        <v>3956</v>
      </c>
      <c r="R988" s="4" t="s">
        <v>1194</v>
      </c>
      <c r="S988" s="5" t="n">
        <v>0</v>
      </c>
      <c r="T988" s="5" t="n">
        <v>0.00671296296296296</v>
      </c>
      <c r="U988" s="5" t="n">
        <v>0.000115740740740741</v>
      </c>
      <c r="V988" s="5" t="n">
        <v>0</v>
      </c>
      <c r="W988" s="5" t="n">
        <v>0</v>
      </c>
      <c r="X988" s="5" t="n">
        <v>0</v>
      </c>
      <c r="Y988" s="5" t="n">
        <v>0</v>
      </c>
      <c r="Z988" s="0" t="n">
        <v>0</v>
      </c>
      <c r="AA988" s="0" t="n">
        <v>0</v>
      </c>
      <c r="AB988" s="0" t="n">
        <v>0</v>
      </c>
      <c r="AC988" s="4" t="s">
        <v>74</v>
      </c>
      <c r="AD988" s="4" t="s">
        <v>74</v>
      </c>
      <c r="AE988" s="4" t="s">
        <v>3955</v>
      </c>
      <c r="AF988" s="4" t="s">
        <v>3957</v>
      </c>
      <c r="AG988" s="5" t="n">
        <v>0.0028587962962963</v>
      </c>
      <c r="AH988" s="5" t="n">
        <v>0.00459490740740741</v>
      </c>
      <c r="AI988" s="5" t="n">
        <v>0</v>
      </c>
      <c r="AJ988" s="5" t="n">
        <v>0</v>
      </c>
      <c r="AK988" s="5" t="n">
        <v>0</v>
      </c>
      <c r="AL988" s="5" t="n">
        <v>0</v>
      </c>
      <c r="AM988" s="4" t="s">
        <v>78</v>
      </c>
      <c r="AN988" s="0" t="n">
        <v>0</v>
      </c>
      <c r="AO988" s="0" t="n">
        <v>0</v>
      </c>
      <c r="AP988" s="0" t="n">
        <v>0</v>
      </c>
      <c r="AQ988" s="0" t="n">
        <v>0</v>
      </c>
      <c r="AR988" s="0" t="n">
        <v>0</v>
      </c>
      <c r="AS988" s="0" t="n">
        <v>0</v>
      </c>
      <c r="AT988" s="0" t="n">
        <v>0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0</v>
      </c>
      <c r="BG988" s="0" t="n">
        <v>0</v>
      </c>
      <c r="BH988" s="0" t="n">
        <v>0</v>
      </c>
      <c r="BI988" s="0" t="n">
        <v>0</v>
      </c>
      <c r="BJ988" s="0" t="n">
        <v>0</v>
      </c>
      <c r="BK988" s="0" t="n">
        <v>0</v>
      </c>
      <c r="BM988" s="6" t="n">
        <f aca="false">IFERROR(VALUE(F988),"")</f>
        <v>0.1</v>
      </c>
      <c r="BN988" s="6" t="n">
        <f aca="false">IF(R988="-","",IFERROR(VALUE(LEFT(Q988,LEN(Q988)-2)),""))</f>
        <v>0.41</v>
      </c>
      <c r="BO988" s="6" t="n">
        <f aca="false">IF(R988="-","",IFERROR(VALUE(LEFT(R988,LEN(R988)-5)),""))</f>
        <v>0.24</v>
      </c>
      <c r="BP988" s="6" t="n">
        <f aca="false">IF(R988="-","",IFERROR(VALUE(F988),""))</f>
        <v>0.1</v>
      </c>
      <c r="BQ988" s="4" t="n">
        <f aca="false">IF(R988="-",1,0)</f>
        <v>0</v>
      </c>
    </row>
    <row r="989" customFormat="false" ht="15" hidden="false" customHeight="false" outlineLevel="0" collapsed="false">
      <c r="A989" s="0" t="s">
        <v>3958</v>
      </c>
      <c r="B989" s="0" t="s">
        <v>3959</v>
      </c>
      <c r="C989" s="0" t="s">
        <v>70</v>
      </c>
      <c r="E989" s="3" t="n">
        <v>46273</v>
      </c>
      <c r="F989" s="4" t="s">
        <v>2357</v>
      </c>
      <c r="G989" s="5" t="n">
        <v>0.0415046296296296</v>
      </c>
      <c r="H989" s="5" t="n">
        <v>0</v>
      </c>
      <c r="I989" s="5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5" t="n">
        <v>0</v>
      </c>
      <c r="P989" s="5" t="n">
        <v>0.0202662037037037</v>
      </c>
      <c r="Q989" s="4" t="s">
        <v>3960</v>
      </c>
      <c r="R989" s="4" t="s">
        <v>2727</v>
      </c>
      <c r="S989" s="5" t="n">
        <v>0.000115740740740741</v>
      </c>
      <c r="T989" s="5" t="n">
        <v>0.0178240740740741</v>
      </c>
      <c r="U989" s="5" t="n">
        <v>0.00372685185185185</v>
      </c>
      <c r="V989" s="5" t="n">
        <v>0.0147222222222222</v>
      </c>
      <c r="W989" s="5" t="n">
        <v>0.000127314814814815</v>
      </c>
      <c r="X989" s="5" t="n">
        <v>0</v>
      </c>
      <c r="Y989" s="5" t="n">
        <v>0.000127314814814815</v>
      </c>
      <c r="Z989" s="0" t="n">
        <v>0</v>
      </c>
      <c r="AA989" s="0" t="n">
        <v>0</v>
      </c>
      <c r="AB989" s="0" t="n">
        <v>0</v>
      </c>
      <c r="AC989" s="4" t="s">
        <v>3219</v>
      </c>
      <c r="AD989" s="4" t="s">
        <v>3206</v>
      </c>
      <c r="AE989" s="4" t="s">
        <v>3961</v>
      </c>
      <c r="AF989" s="4" t="s">
        <v>3962</v>
      </c>
      <c r="AG989" s="5" t="n">
        <v>0.00456018518518519</v>
      </c>
      <c r="AH989" s="5" t="n">
        <v>0.117916666666667</v>
      </c>
      <c r="AI989" s="5" t="n">
        <v>0</v>
      </c>
      <c r="AJ989" s="5" t="n">
        <v>0</v>
      </c>
      <c r="AK989" s="5" t="n">
        <v>0</v>
      </c>
      <c r="AL989" s="5" t="n">
        <v>0</v>
      </c>
      <c r="AM989" s="4" t="s">
        <v>78</v>
      </c>
      <c r="AN989" s="0" t="n">
        <v>0</v>
      </c>
      <c r="AO989" s="0" t="n">
        <v>0</v>
      </c>
      <c r="AP989" s="0" t="n">
        <v>0</v>
      </c>
      <c r="AQ989" s="0" t="n">
        <v>0</v>
      </c>
      <c r="AR989" s="0" t="n">
        <v>0</v>
      </c>
      <c r="AS989" s="0" t="n">
        <v>0</v>
      </c>
      <c r="AT989" s="0" t="n">
        <v>0</v>
      </c>
      <c r="AU989" s="0" t="n">
        <v>0</v>
      </c>
      <c r="AV989" s="0" t="n">
        <v>0</v>
      </c>
      <c r="AW989" s="0" t="n">
        <v>0</v>
      </c>
      <c r="AX989" s="0" t="n">
        <v>0</v>
      </c>
      <c r="AY989" s="0" t="n">
        <v>0</v>
      </c>
      <c r="AZ989" s="0" t="n">
        <v>0</v>
      </c>
      <c r="BA989" s="0" t="n">
        <v>0</v>
      </c>
      <c r="BB989" s="0" t="n">
        <v>0</v>
      </c>
      <c r="BC989" s="0" t="n">
        <v>0</v>
      </c>
      <c r="BD989" s="0" t="n">
        <v>0</v>
      </c>
      <c r="BE989" s="0" t="n">
        <v>0</v>
      </c>
      <c r="BF989" s="0" t="n">
        <v>0</v>
      </c>
      <c r="BG989" s="0" t="n">
        <v>0</v>
      </c>
      <c r="BH989" s="0" t="n">
        <v>0</v>
      </c>
      <c r="BI989" s="0" t="n">
        <v>0</v>
      </c>
      <c r="BJ989" s="0" t="n">
        <v>0</v>
      </c>
      <c r="BK989" s="0" t="n">
        <v>0</v>
      </c>
      <c r="BM989" s="6" t="n">
        <f aca="false">IFERROR(VALUE(F989),"")</f>
        <v>0.17</v>
      </c>
      <c r="BN989" s="6" t="n">
        <f aca="false">IF(R989="-","",IFERROR(VALUE(LEFT(Q989,LEN(Q989)-2)),""))</f>
        <v>3.61</v>
      </c>
      <c r="BO989" s="6" t="n">
        <f aca="false">IF(R989="-","",IFERROR(VALUE(LEFT(R989,LEN(R989)-5)),""))</f>
        <v>0.05</v>
      </c>
      <c r="BP989" s="6" t="n">
        <f aca="false">IF(R989="-","",IFERROR(VALUE(F989),""))</f>
        <v>0.17</v>
      </c>
      <c r="BQ989" s="4" t="n">
        <f aca="false">IF(R989="-",1,0)</f>
        <v>0</v>
      </c>
    </row>
    <row r="990" customFormat="false" ht="15" hidden="false" customHeight="false" outlineLevel="0" collapsed="false">
      <c r="A990" s="0" t="s">
        <v>3958</v>
      </c>
      <c r="B990" s="0" t="s">
        <v>3959</v>
      </c>
      <c r="C990" s="0" t="s">
        <v>70</v>
      </c>
      <c r="E990" s="3" t="n">
        <v>46274</v>
      </c>
      <c r="F990" s="4" t="s">
        <v>3963</v>
      </c>
      <c r="G990" s="5" t="n">
        <v>0.25912037037037</v>
      </c>
      <c r="H990" s="5" t="n">
        <v>0</v>
      </c>
      <c r="I990" s="5" t="n">
        <v>0.000613425925925926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5" t="n">
        <v>0</v>
      </c>
      <c r="P990" s="5" t="n">
        <v>0</v>
      </c>
      <c r="Q990" s="4" t="s">
        <v>3964</v>
      </c>
      <c r="R990" s="4" t="s">
        <v>3965</v>
      </c>
      <c r="S990" s="5" t="n">
        <v>0.000115740740740741</v>
      </c>
      <c r="T990" s="5" t="n">
        <v>0.0244212962962963</v>
      </c>
      <c r="U990" s="5" t="n">
        <v>0.0597222222222222</v>
      </c>
      <c r="V990" s="5" t="n">
        <v>0.170833333333333</v>
      </c>
      <c r="W990" s="5" t="n">
        <v>0.000231481481481482</v>
      </c>
      <c r="X990" s="5" t="n">
        <v>0</v>
      </c>
      <c r="Y990" s="5" t="n">
        <v>0</v>
      </c>
      <c r="Z990" s="0" t="n">
        <v>0</v>
      </c>
      <c r="AA990" s="0" t="n">
        <v>0</v>
      </c>
      <c r="AB990" s="0" t="n">
        <v>0</v>
      </c>
      <c r="AC990" s="4" t="s">
        <v>3219</v>
      </c>
      <c r="AD990" s="4" t="s">
        <v>3219</v>
      </c>
      <c r="AE990" s="4" t="s">
        <v>3962</v>
      </c>
      <c r="AF990" s="4" t="s">
        <v>3966</v>
      </c>
      <c r="AG990" s="5" t="n">
        <v>0.24755787037037</v>
      </c>
      <c r="AH990" s="5" t="n">
        <v>0.111886574074074</v>
      </c>
      <c r="AI990" s="5" t="n">
        <v>0</v>
      </c>
      <c r="AJ990" s="5" t="n">
        <v>0</v>
      </c>
      <c r="AK990" s="5" t="n">
        <v>0</v>
      </c>
      <c r="AL990" s="5" t="n">
        <v>0</v>
      </c>
      <c r="AM990" s="4" t="s">
        <v>78</v>
      </c>
      <c r="AN990" s="0" t="n">
        <v>0</v>
      </c>
      <c r="AO990" s="0" t="n">
        <v>0</v>
      </c>
      <c r="AP990" s="0" t="n">
        <v>0</v>
      </c>
      <c r="AQ990" s="0" t="n">
        <v>0</v>
      </c>
      <c r="AR990" s="0" t="n">
        <v>0</v>
      </c>
      <c r="AS990" s="0" t="n">
        <v>0</v>
      </c>
      <c r="AT990" s="0" t="n">
        <v>0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0</v>
      </c>
      <c r="AZ990" s="0" t="n">
        <v>0</v>
      </c>
      <c r="BA990" s="0" t="n">
        <v>0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0</v>
      </c>
      <c r="BH990" s="0" t="n">
        <v>0</v>
      </c>
      <c r="BI990" s="0" t="n">
        <v>0</v>
      </c>
      <c r="BJ990" s="0" t="n">
        <v>0</v>
      </c>
      <c r="BK990" s="0" t="n">
        <v>0</v>
      </c>
      <c r="BM990" s="6" t="n">
        <f aca="false">IFERROR(VALUE(F990),"")</f>
        <v>340.58</v>
      </c>
      <c r="BN990" s="6" t="n">
        <f aca="false">IF(R990="-","",IFERROR(VALUE(LEFT(Q990,LEN(Q990)-2)),""))</f>
        <v>69.81</v>
      </c>
      <c r="BO990" s="6" t="n">
        <f aca="false">IF(R990="-","",IFERROR(VALUE(LEFT(R990,LEN(R990)-5)),""))</f>
        <v>4.88</v>
      </c>
      <c r="BP990" s="6" t="n">
        <f aca="false">IF(R990="-","",IFERROR(VALUE(F990),""))</f>
        <v>340.58</v>
      </c>
      <c r="BQ990" s="4" t="n">
        <f aca="false">IF(R990="-",1,0)</f>
        <v>0</v>
      </c>
    </row>
    <row r="991" customFormat="false" ht="15" hidden="false" customHeight="false" outlineLevel="0" collapsed="false">
      <c r="A991" s="0" t="s">
        <v>3958</v>
      </c>
      <c r="B991" s="0" t="s">
        <v>3959</v>
      </c>
      <c r="C991" s="0" t="s">
        <v>70</v>
      </c>
      <c r="E991" s="3" t="n">
        <v>46275</v>
      </c>
      <c r="F991" s="4" t="s">
        <v>3967</v>
      </c>
      <c r="G991" s="5" t="n">
        <v>0.216574074074074</v>
      </c>
      <c r="H991" s="5" t="n">
        <v>0</v>
      </c>
      <c r="I991" s="5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5" t="n">
        <v>0</v>
      </c>
      <c r="P991" s="5" t="n">
        <v>0.00987268518518519</v>
      </c>
      <c r="Q991" s="4" t="s">
        <v>3968</v>
      </c>
      <c r="R991" s="4" t="s">
        <v>401</v>
      </c>
      <c r="S991" s="5" t="n">
        <v>0.000231481481481482</v>
      </c>
      <c r="T991" s="5" t="n">
        <v>0.0313657407407407</v>
      </c>
      <c r="U991" s="5" t="n">
        <v>0.0559027777777778</v>
      </c>
      <c r="V991" s="5" t="n">
        <v>0.0621527777777778</v>
      </c>
      <c r="W991" s="5" t="n">
        <v>0.000115740740740741</v>
      </c>
      <c r="X991" s="5" t="n">
        <v>0</v>
      </c>
      <c r="Y991" s="5" t="n">
        <v>0</v>
      </c>
      <c r="Z991" s="0" t="n">
        <v>0</v>
      </c>
      <c r="AA991" s="0" t="n">
        <v>0</v>
      </c>
      <c r="AB991" s="0" t="n">
        <v>0</v>
      </c>
      <c r="AC991" s="4" t="s">
        <v>3219</v>
      </c>
      <c r="AD991" s="4" t="s">
        <v>3206</v>
      </c>
      <c r="AE991" s="4" t="s">
        <v>3966</v>
      </c>
      <c r="AF991" s="4" t="s">
        <v>3969</v>
      </c>
      <c r="AG991" s="5" t="n">
        <v>0.121805555555556</v>
      </c>
      <c r="AH991" s="5" t="n">
        <v>0.167280092592593</v>
      </c>
      <c r="AI991" s="5" t="n">
        <v>0</v>
      </c>
      <c r="AJ991" s="5" t="n">
        <v>0</v>
      </c>
      <c r="AK991" s="5" t="n">
        <v>0</v>
      </c>
      <c r="AL991" s="5" t="n">
        <v>0</v>
      </c>
      <c r="AM991" s="4" t="s">
        <v>78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0</v>
      </c>
      <c r="AT991" s="0" t="n">
        <v>0</v>
      </c>
      <c r="AU991" s="0" t="n">
        <v>0</v>
      </c>
      <c r="AV991" s="0" t="n">
        <v>0</v>
      </c>
      <c r="AW991" s="0" t="n">
        <v>0</v>
      </c>
      <c r="AX991" s="0" t="n">
        <v>0</v>
      </c>
      <c r="AY991" s="0" t="n">
        <v>0</v>
      </c>
      <c r="AZ991" s="0" t="n">
        <v>0</v>
      </c>
      <c r="BA991" s="0" t="n">
        <v>0</v>
      </c>
      <c r="BB991" s="0" t="n">
        <v>0</v>
      </c>
      <c r="BC991" s="0" t="n">
        <v>0</v>
      </c>
      <c r="BD991" s="0" t="n">
        <v>0</v>
      </c>
      <c r="BE991" s="0" t="n">
        <v>0</v>
      </c>
      <c r="BF991" s="0" t="n">
        <v>0</v>
      </c>
      <c r="BG991" s="0" t="n">
        <v>0</v>
      </c>
      <c r="BH991" s="0" t="n">
        <v>0</v>
      </c>
      <c r="BI991" s="0" t="n">
        <v>0</v>
      </c>
      <c r="BJ991" s="0" t="n">
        <v>0</v>
      </c>
      <c r="BK991" s="0" t="n">
        <v>0</v>
      </c>
      <c r="BM991" s="6" t="n">
        <f aca="false">IFERROR(VALUE(F991),"")</f>
        <v>106.31</v>
      </c>
      <c r="BN991" s="6" t="n">
        <f aca="false">IF(R991="-","",IFERROR(VALUE(LEFT(Q991,LEN(Q991)-2)),""))</f>
        <v>37.11</v>
      </c>
      <c r="BO991" s="6" t="n">
        <f aca="false">IF(R991="-","",IFERROR(VALUE(LEFT(R991,LEN(R991)-5)),""))</f>
        <v>2.86</v>
      </c>
      <c r="BP991" s="6" t="n">
        <f aca="false">IF(R991="-","",IFERROR(VALUE(F991),""))</f>
        <v>106.31</v>
      </c>
      <c r="BQ991" s="4" t="n">
        <f aca="false">IF(R991="-",1,0)</f>
        <v>0</v>
      </c>
    </row>
    <row r="992" customFormat="false" ht="15" hidden="false" customHeight="false" outlineLevel="0" collapsed="false">
      <c r="A992" s="0" t="s">
        <v>3958</v>
      </c>
      <c r="B992" s="0" t="s">
        <v>3959</v>
      </c>
      <c r="C992" s="0" t="s">
        <v>70</v>
      </c>
      <c r="E992" s="3" t="n">
        <v>46276</v>
      </c>
      <c r="F992" s="4" t="s">
        <v>3970</v>
      </c>
      <c r="G992" s="5" t="n">
        <v>0.165949074074074</v>
      </c>
      <c r="H992" s="5" t="n">
        <v>0</v>
      </c>
      <c r="I992" s="5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5" t="n">
        <v>0</v>
      </c>
      <c r="P992" s="5" t="n">
        <v>0.0074537037037037</v>
      </c>
      <c r="Q992" s="4" t="s">
        <v>3971</v>
      </c>
      <c r="R992" s="4" t="s">
        <v>2179</v>
      </c>
      <c r="S992" s="5" t="n">
        <v>0.000115740740740741</v>
      </c>
      <c r="T992" s="5" t="n">
        <v>0.037962962962963</v>
      </c>
      <c r="U992" s="5" t="n">
        <v>0.0539467592592593</v>
      </c>
      <c r="V992" s="5" t="n">
        <v>0.0706365740740741</v>
      </c>
      <c r="W992" s="5" t="n">
        <v>0.000520833333333333</v>
      </c>
      <c r="X992" s="5" t="n">
        <v>0</v>
      </c>
      <c r="Y992" s="5" t="n">
        <v>5.78703703703704E-005</v>
      </c>
      <c r="Z992" s="0" t="n">
        <v>0</v>
      </c>
      <c r="AA992" s="0" t="n">
        <v>0</v>
      </c>
      <c r="AB992" s="0" t="n">
        <v>0</v>
      </c>
      <c r="AC992" s="4" t="s">
        <v>3219</v>
      </c>
      <c r="AD992" s="4" t="s">
        <v>3206</v>
      </c>
      <c r="AE992" s="4" t="s">
        <v>3969</v>
      </c>
      <c r="AF992" s="4" t="s">
        <v>3972</v>
      </c>
      <c r="AG992" s="5" t="n">
        <v>0.137476851851852</v>
      </c>
      <c r="AH992" s="5" t="n">
        <v>0.0472569444444444</v>
      </c>
      <c r="AI992" s="5" t="n">
        <v>0</v>
      </c>
      <c r="AJ992" s="5" t="n">
        <v>0</v>
      </c>
      <c r="AK992" s="5" t="n">
        <v>0</v>
      </c>
      <c r="AL992" s="5" t="n">
        <v>0</v>
      </c>
      <c r="AM992" s="4" t="s">
        <v>78</v>
      </c>
      <c r="AN992" s="0" t="n">
        <v>0</v>
      </c>
      <c r="AO992" s="0" t="n">
        <v>0</v>
      </c>
      <c r="AP992" s="0" t="n">
        <v>0</v>
      </c>
      <c r="AQ992" s="0" t="n">
        <v>0</v>
      </c>
      <c r="AR992" s="0" t="n">
        <v>0</v>
      </c>
      <c r="AS992" s="0" t="n">
        <v>0</v>
      </c>
      <c r="AT992" s="0" t="n">
        <v>0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0</v>
      </c>
      <c r="AZ992" s="0" t="n">
        <v>0</v>
      </c>
      <c r="BA992" s="0" t="n">
        <v>0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  <c r="BH992" s="0" t="n">
        <v>0</v>
      </c>
      <c r="BI992" s="0" t="n">
        <v>0</v>
      </c>
      <c r="BJ992" s="0" t="n">
        <v>0</v>
      </c>
      <c r="BK992" s="0" t="n">
        <v>0</v>
      </c>
      <c r="BM992" s="6" t="n">
        <f aca="false">IFERROR(VALUE(F992),"")</f>
        <v>113.68</v>
      </c>
      <c r="BN992" s="6" t="n">
        <f aca="false">IF(R992="-","",IFERROR(VALUE(LEFT(Q992,LEN(Q992)-2)),""))</f>
        <v>44.81</v>
      </c>
      <c r="BO992" s="6" t="n">
        <f aca="false">IF(R992="-","",IFERROR(VALUE(LEFT(R992,LEN(R992)-5)),""))</f>
        <v>2.54</v>
      </c>
      <c r="BP992" s="6" t="n">
        <f aca="false">IF(R992="-","",IFERROR(VALUE(F992),""))</f>
        <v>113.68</v>
      </c>
      <c r="BQ992" s="4" t="n">
        <f aca="false">IF(R992="-",1,0)</f>
        <v>0</v>
      </c>
    </row>
    <row r="993" customFormat="false" ht="15" hidden="false" customHeight="false" outlineLevel="0" collapsed="false">
      <c r="A993" s="0" t="s">
        <v>3958</v>
      </c>
      <c r="B993" s="0" t="s">
        <v>3959</v>
      </c>
      <c r="C993" s="0" t="s">
        <v>70</v>
      </c>
      <c r="E993" s="3" t="n">
        <v>46277</v>
      </c>
      <c r="F993" s="4" t="s">
        <v>3973</v>
      </c>
      <c r="G993" s="5" t="n">
        <v>0.22599537037037</v>
      </c>
      <c r="H993" s="5" t="n">
        <v>0</v>
      </c>
      <c r="I993" s="5" t="n">
        <v>0</v>
      </c>
      <c r="J993" s="0" t="n">
        <v>0</v>
      </c>
      <c r="K993" s="0" t="n">
        <v>1</v>
      </c>
      <c r="L993" s="0" t="n">
        <v>0</v>
      </c>
      <c r="M993" s="0" t="n">
        <v>0</v>
      </c>
      <c r="N993" s="0" t="n">
        <v>0</v>
      </c>
      <c r="O993" s="5" t="n">
        <v>0</v>
      </c>
      <c r="P993" s="5" t="n">
        <v>0.00722222222222222</v>
      </c>
      <c r="Q993" s="4" t="s">
        <v>3974</v>
      </c>
      <c r="R993" s="4" t="s">
        <v>1421</v>
      </c>
      <c r="S993" s="5" t="n">
        <v>0</v>
      </c>
      <c r="T993" s="5" t="n">
        <v>0.047337962962963</v>
      </c>
      <c r="U993" s="5" t="n">
        <v>0.0763194444444444</v>
      </c>
      <c r="V993" s="5" t="n">
        <v>0.0975925925925926</v>
      </c>
      <c r="W993" s="5" t="n">
        <v>0.00177083333333333</v>
      </c>
      <c r="X993" s="5" t="n">
        <v>0</v>
      </c>
      <c r="Y993" s="5" t="n">
        <v>0.000520833333333333</v>
      </c>
      <c r="Z993" s="0" t="n">
        <v>0</v>
      </c>
      <c r="AA993" s="0" t="n">
        <v>0</v>
      </c>
      <c r="AB993" s="0" t="n">
        <v>0</v>
      </c>
      <c r="AC993" s="4" t="s">
        <v>3219</v>
      </c>
      <c r="AD993" s="4" t="s">
        <v>73</v>
      </c>
      <c r="AE993" s="4" t="s">
        <v>3972</v>
      </c>
      <c r="AF993" s="4" t="s">
        <v>3975</v>
      </c>
      <c r="AG993" s="5" t="n">
        <v>0.200069444444444</v>
      </c>
      <c r="AH993" s="5" t="n">
        <v>0.0695138888888889</v>
      </c>
      <c r="AI993" s="5" t="n">
        <v>0</v>
      </c>
      <c r="AJ993" s="5" t="n">
        <v>0</v>
      </c>
      <c r="AK993" s="5" t="n">
        <v>0</v>
      </c>
      <c r="AL993" s="5" t="n">
        <v>0</v>
      </c>
      <c r="AM993" s="4" t="s">
        <v>78</v>
      </c>
      <c r="AN993" s="0" t="n">
        <v>0</v>
      </c>
      <c r="AO993" s="0" t="n">
        <v>0</v>
      </c>
      <c r="AP993" s="0" t="n">
        <v>0</v>
      </c>
      <c r="AQ993" s="0" t="n">
        <v>0</v>
      </c>
      <c r="AR993" s="0" t="n">
        <v>0</v>
      </c>
      <c r="AS993" s="0" t="n">
        <v>0</v>
      </c>
      <c r="AT993" s="0" t="n">
        <v>0</v>
      </c>
      <c r="AU993" s="0" t="n">
        <v>0</v>
      </c>
      <c r="AV993" s="0" t="n">
        <v>0</v>
      </c>
      <c r="AW993" s="0" t="n">
        <v>0</v>
      </c>
      <c r="AX993" s="0" t="n">
        <v>0</v>
      </c>
      <c r="AY993" s="0" t="n">
        <v>0</v>
      </c>
      <c r="AZ993" s="0" t="n">
        <v>0</v>
      </c>
      <c r="BA993" s="0" t="n">
        <v>0</v>
      </c>
      <c r="BB993" s="0" t="n">
        <v>0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0</v>
      </c>
      <c r="BH993" s="0" t="n">
        <v>0</v>
      </c>
      <c r="BI993" s="0" t="n">
        <v>0</v>
      </c>
      <c r="BJ993" s="0" t="n">
        <v>0</v>
      </c>
      <c r="BK993" s="0" t="n">
        <v>0</v>
      </c>
      <c r="BM993" s="6" t="n">
        <f aca="false">IFERROR(VALUE(F993),"")</f>
        <v>163.22</v>
      </c>
      <c r="BN993" s="6" t="n">
        <f aca="false">IF(R993="-","",IFERROR(VALUE(LEFT(Q993,LEN(Q993)-2)),""))</f>
        <v>61.31</v>
      </c>
      <c r="BO993" s="6" t="n">
        <f aca="false">IF(R993="-","",IFERROR(VALUE(LEFT(R993,LEN(R993)-5)),""))</f>
        <v>2.66</v>
      </c>
      <c r="BP993" s="6" t="n">
        <f aca="false">IF(R993="-","",IFERROR(VALUE(F993),""))</f>
        <v>163.22</v>
      </c>
      <c r="BQ993" s="4" t="n">
        <f aca="false">IF(R993="-",1,0)</f>
        <v>0</v>
      </c>
    </row>
    <row r="994" customFormat="false" ht="15" hidden="false" customHeight="false" outlineLevel="0" collapsed="false">
      <c r="A994" s="0" t="s">
        <v>3958</v>
      </c>
      <c r="B994" s="0" t="s">
        <v>3959</v>
      </c>
      <c r="C994" s="0" t="s">
        <v>70</v>
      </c>
      <c r="E994" s="3" t="n">
        <v>46278</v>
      </c>
      <c r="F994" s="4" t="s">
        <v>3507</v>
      </c>
      <c r="G994" s="5" t="n">
        <v>0.220636574074074</v>
      </c>
      <c r="H994" s="5" t="n">
        <v>0</v>
      </c>
      <c r="I994" s="5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5" t="n">
        <v>0</v>
      </c>
      <c r="P994" s="5" t="n">
        <v>0</v>
      </c>
      <c r="Q994" s="4" t="s">
        <v>3976</v>
      </c>
      <c r="R994" s="4" t="s">
        <v>1317</v>
      </c>
      <c r="S994" s="5" t="n">
        <v>0.000115740740740741</v>
      </c>
      <c r="T994" s="5" t="n">
        <v>0.0336805555555556</v>
      </c>
      <c r="U994" s="5" t="n">
        <v>0.084375</v>
      </c>
      <c r="V994" s="5" t="n">
        <v>0.0859953703703704</v>
      </c>
      <c r="W994" s="5" t="n">
        <v>0</v>
      </c>
      <c r="X994" s="5" t="n">
        <v>0</v>
      </c>
      <c r="Y994" s="5" t="n">
        <v>0</v>
      </c>
      <c r="Z994" s="0" t="n">
        <v>0</v>
      </c>
      <c r="AA994" s="0" t="n">
        <v>0</v>
      </c>
      <c r="AB994" s="0" t="n">
        <v>0</v>
      </c>
      <c r="AC994" s="4" t="s">
        <v>73</v>
      </c>
      <c r="AD994" s="4" t="s">
        <v>3938</v>
      </c>
      <c r="AE994" s="4" t="s">
        <v>3975</v>
      </c>
      <c r="AF994" s="4" t="s">
        <v>3977</v>
      </c>
      <c r="AG994" s="5" t="n">
        <v>0.187824074074074</v>
      </c>
      <c r="AH994" s="5" t="n">
        <v>0.0534490740740741</v>
      </c>
      <c r="AI994" s="5" t="n">
        <v>0</v>
      </c>
      <c r="AJ994" s="5" t="n">
        <v>0</v>
      </c>
      <c r="AK994" s="5" t="n">
        <v>0</v>
      </c>
      <c r="AL994" s="5" t="n">
        <v>0</v>
      </c>
      <c r="AM994" s="4" t="s">
        <v>78</v>
      </c>
      <c r="AN994" s="0" t="n">
        <v>0</v>
      </c>
      <c r="AO994" s="0" t="n">
        <v>0</v>
      </c>
      <c r="AP994" s="0" t="n">
        <v>0</v>
      </c>
      <c r="AQ994" s="0" t="n">
        <v>0</v>
      </c>
      <c r="AR994" s="0" t="n">
        <v>0</v>
      </c>
      <c r="AS994" s="0" t="n">
        <v>0</v>
      </c>
      <c r="AT994" s="0" t="n">
        <v>0</v>
      </c>
      <c r="AU994" s="0" t="n">
        <v>0</v>
      </c>
      <c r="AV994" s="0" t="n">
        <v>0</v>
      </c>
      <c r="AW994" s="0" t="n">
        <v>0</v>
      </c>
      <c r="AX994" s="0" t="n">
        <v>0</v>
      </c>
      <c r="AY994" s="0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0" t="n">
        <v>0</v>
      </c>
      <c r="BE994" s="0" t="n">
        <v>0</v>
      </c>
      <c r="BF994" s="0" t="n">
        <v>0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M994" s="6" t="n">
        <f aca="false">IFERROR(VALUE(F994),"")</f>
        <v>163.51</v>
      </c>
      <c r="BN994" s="6" t="n">
        <f aca="false">IF(R994="-","",IFERROR(VALUE(LEFT(Q994,LEN(Q994)-2)),""))</f>
        <v>54.22</v>
      </c>
      <c r="BO994" s="6" t="n">
        <f aca="false">IF(R994="-","",IFERROR(VALUE(LEFT(R994,LEN(R994)-5)),""))</f>
        <v>3.02</v>
      </c>
      <c r="BP994" s="6" t="n">
        <f aca="false">IF(R994="-","",IFERROR(VALUE(F994),""))</f>
        <v>163.51</v>
      </c>
      <c r="BQ994" s="4" t="n">
        <f aca="false">IF(R994="-",1,0)</f>
        <v>0</v>
      </c>
    </row>
    <row r="995" customFormat="false" ht="15" hidden="false" customHeight="false" outlineLevel="0" collapsed="false">
      <c r="A995" s="0" t="s">
        <v>3958</v>
      </c>
      <c r="B995" s="0" t="s">
        <v>3959</v>
      </c>
      <c r="C995" s="0" t="s">
        <v>70</v>
      </c>
      <c r="E995" s="3" t="n">
        <v>46279</v>
      </c>
      <c r="F995" s="4" t="s">
        <v>3978</v>
      </c>
      <c r="G995" s="5" t="n">
        <v>0.282986111111111</v>
      </c>
      <c r="H995" s="5" t="n">
        <v>0</v>
      </c>
      <c r="I995" s="5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5" t="n">
        <v>0</v>
      </c>
      <c r="P995" s="5" t="n">
        <v>0</v>
      </c>
      <c r="Q995" s="4" t="s">
        <v>3979</v>
      </c>
      <c r="R995" s="4" t="s">
        <v>1341</v>
      </c>
      <c r="S995" s="5" t="n">
        <v>0.000462962962962963</v>
      </c>
      <c r="T995" s="5" t="n">
        <v>0.044212962962963</v>
      </c>
      <c r="U995" s="5" t="n">
        <v>0.102430555555556</v>
      </c>
      <c r="V995" s="5" t="n">
        <v>0.131481481481482</v>
      </c>
      <c r="W995" s="5" t="n">
        <v>0.000231481481481482</v>
      </c>
      <c r="X995" s="5" t="n">
        <v>0</v>
      </c>
      <c r="Y995" s="5" t="n">
        <v>0</v>
      </c>
      <c r="Z995" s="0" t="n">
        <v>0</v>
      </c>
      <c r="AA995" s="0" t="n">
        <v>0</v>
      </c>
      <c r="AB995" s="0" t="n">
        <v>0</v>
      </c>
      <c r="AC995" s="4" t="s">
        <v>3219</v>
      </c>
      <c r="AD995" s="4" t="s">
        <v>3219</v>
      </c>
      <c r="AE995" s="4" t="s">
        <v>3977</v>
      </c>
      <c r="AF995" s="4" t="s">
        <v>3980</v>
      </c>
      <c r="AG995" s="5" t="n">
        <v>0.260173611111111</v>
      </c>
      <c r="AH995" s="5" t="n">
        <v>0.112222222222222</v>
      </c>
      <c r="AI995" s="5" t="n">
        <v>0</v>
      </c>
      <c r="AJ995" s="5" t="n">
        <v>0</v>
      </c>
      <c r="AK995" s="5" t="n">
        <v>0</v>
      </c>
      <c r="AL995" s="5" t="n">
        <v>0</v>
      </c>
      <c r="AM995" s="4" t="s">
        <v>78</v>
      </c>
      <c r="AN995" s="0" t="n">
        <v>0</v>
      </c>
      <c r="AO995" s="0" t="n">
        <v>0</v>
      </c>
      <c r="AP995" s="0" t="n">
        <v>0</v>
      </c>
      <c r="AQ995" s="0" t="n">
        <v>0</v>
      </c>
      <c r="AR995" s="0" t="n">
        <v>0</v>
      </c>
      <c r="AS995" s="0" t="n">
        <v>0</v>
      </c>
      <c r="AT995" s="0" t="n">
        <v>0</v>
      </c>
      <c r="AU995" s="0" t="n">
        <v>0</v>
      </c>
      <c r="AV995" s="0" t="n">
        <v>0</v>
      </c>
      <c r="AW995" s="0" t="n">
        <v>0</v>
      </c>
      <c r="AX995" s="0" t="n">
        <v>0</v>
      </c>
      <c r="AY995" s="0" t="n">
        <v>0</v>
      </c>
      <c r="AZ995" s="0" t="n">
        <v>0</v>
      </c>
      <c r="BA995" s="0" t="n">
        <v>0</v>
      </c>
      <c r="BB995" s="0" t="n">
        <v>0</v>
      </c>
      <c r="BC995" s="0" t="n">
        <v>0</v>
      </c>
      <c r="BD995" s="0" t="n">
        <v>0</v>
      </c>
      <c r="BE995" s="0" t="n">
        <v>0</v>
      </c>
      <c r="BF995" s="0" t="n">
        <v>0</v>
      </c>
      <c r="BG995" s="0" t="n">
        <v>0</v>
      </c>
      <c r="BH995" s="0" t="n">
        <v>0</v>
      </c>
      <c r="BI995" s="0" t="n">
        <v>0</v>
      </c>
      <c r="BJ995" s="0" t="n">
        <v>0</v>
      </c>
      <c r="BK995" s="0" t="n">
        <v>0</v>
      </c>
      <c r="BM995" s="6" t="n">
        <f aca="false">IFERROR(VALUE(F995),"")</f>
        <v>214.87</v>
      </c>
      <c r="BN995" s="6" t="n">
        <f aca="false">IF(R995="-","",IFERROR(VALUE(LEFT(Q995,LEN(Q995)-2)),""))</f>
        <v>71.65</v>
      </c>
      <c r="BO995" s="6" t="n">
        <f aca="false">IF(R995="-","",IFERROR(VALUE(LEFT(R995,LEN(R995)-5)),""))</f>
        <v>3</v>
      </c>
      <c r="BP995" s="6" t="n">
        <f aca="false">IF(R995="-","",IFERROR(VALUE(F995),""))</f>
        <v>214.87</v>
      </c>
      <c r="BQ995" s="4" t="n">
        <f aca="false">IF(R995="-",1,0)</f>
        <v>0</v>
      </c>
    </row>
    <row r="996" customFormat="false" ht="15" hidden="false" customHeight="false" outlineLevel="0" collapsed="false">
      <c r="A996" s="0" t="s">
        <v>3981</v>
      </c>
      <c r="B996" s="0" t="s">
        <v>3982</v>
      </c>
      <c r="C996" s="0" t="s">
        <v>70</v>
      </c>
      <c r="E996" s="3" t="n">
        <v>46273</v>
      </c>
      <c r="F996" s="4" t="s">
        <v>3983</v>
      </c>
      <c r="G996" s="5" t="n">
        <v>0.23349537037037</v>
      </c>
      <c r="H996" s="5" t="n">
        <v>0</v>
      </c>
      <c r="I996" s="5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2</v>
      </c>
      <c r="O996" s="5" t="n">
        <v>0</v>
      </c>
      <c r="P996" s="5" t="n">
        <v>0</v>
      </c>
      <c r="Q996" s="4" t="s">
        <v>73</v>
      </c>
      <c r="R996" s="4" t="s">
        <v>73</v>
      </c>
      <c r="S996" s="5" t="n">
        <v>0</v>
      </c>
      <c r="T996" s="5" t="n">
        <v>0</v>
      </c>
      <c r="U996" s="5" t="n">
        <v>0</v>
      </c>
      <c r="V996" s="5" t="n">
        <v>0</v>
      </c>
      <c r="W996" s="5" t="n">
        <v>0</v>
      </c>
      <c r="X996" s="5" t="n">
        <v>0</v>
      </c>
      <c r="Y996" s="5" t="n">
        <v>0</v>
      </c>
      <c r="Z996" s="0" t="n">
        <v>0</v>
      </c>
      <c r="AA996" s="0" t="n">
        <v>0</v>
      </c>
      <c r="AB996" s="0" t="n">
        <v>0</v>
      </c>
      <c r="AC996" s="4" t="s">
        <v>3219</v>
      </c>
      <c r="AD996" s="4" t="s">
        <v>73</v>
      </c>
      <c r="AE996" s="4" t="s">
        <v>3984</v>
      </c>
      <c r="AF996" s="4" t="s">
        <v>3985</v>
      </c>
      <c r="AG996" s="5" t="n">
        <v>0.215243055555556</v>
      </c>
      <c r="AH996" s="5" t="n">
        <v>0.0769791666666667</v>
      </c>
      <c r="AI996" s="5" t="n">
        <v>0</v>
      </c>
      <c r="AJ996" s="5" t="n">
        <v>0</v>
      </c>
      <c r="AK996" s="5" t="n">
        <v>0</v>
      </c>
      <c r="AL996" s="5" t="n">
        <v>0</v>
      </c>
      <c r="AM996" s="4" t="s">
        <v>78</v>
      </c>
      <c r="AN996" s="0" t="n">
        <v>0</v>
      </c>
      <c r="AO996" s="0" t="n">
        <v>0</v>
      </c>
      <c r="AP996" s="0" t="n">
        <v>0</v>
      </c>
      <c r="AQ996" s="0" t="n">
        <v>0</v>
      </c>
      <c r="AR996" s="0" t="n">
        <v>0</v>
      </c>
      <c r="AS996" s="0" t="n">
        <v>0</v>
      </c>
      <c r="AT996" s="0" t="n">
        <v>0</v>
      </c>
      <c r="AU996" s="0" t="n">
        <v>0</v>
      </c>
      <c r="AV996" s="0" t="n">
        <v>0</v>
      </c>
      <c r="AW996" s="0" t="n">
        <v>0</v>
      </c>
      <c r="AX996" s="0" t="n">
        <v>0</v>
      </c>
      <c r="AY996" s="0" t="n">
        <v>0</v>
      </c>
      <c r="AZ996" s="0" t="n">
        <v>0</v>
      </c>
      <c r="BA996" s="0" t="n">
        <v>0</v>
      </c>
      <c r="BB996" s="0" t="n">
        <v>0</v>
      </c>
      <c r="BC996" s="0" t="n">
        <v>0</v>
      </c>
      <c r="BD996" s="0" t="n">
        <v>0</v>
      </c>
      <c r="BE996" s="0" t="n">
        <v>0</v>
      </c>
      <c r="BF996" s="0" t="n">
        <v>0</v>
      </c>
      <c r="BG996" s="0" t="n">
        <v>0</v>
      </c>
      <c r="BH996" s="0" t="n">
        <v>0</v>
      </c>
      <c r="BI996" s="0" t="n">
        <v>0</v>
      </c>
      <c r="BJ996" s="0" t="n">
        <v>0</v>
      </c>
      <c r="BK996" s="0" t="n">
        <v>0</v>
      </c>
      <c r="BM996" s="6" t="n">
        <f aca="false">IFERROR(VALUE(F996),"")</f>
        <v>163.77</v>
      </c>
      <c r="BN996" s="6" t="str">
        <f aca="false">IF(R996="-","",IFERROR(VALUE(LEFT(Q996,LEN(Q996)-2)),""))</f>
        <v/>
      </c>
      <c r="BO996" s="6" t="str">
        <f aca="false">IF(R996="-","",IFERROR(VALUE(LEFT(R996,LEN(R996)-5)),""))</f>
        <v/>
      </c>
      <c r="BP996" s="6" t="str">
        <f aca="false">IF(R996="-","",IFERROR(VALUE(F996),""))</f>
        <v/>
      </c>
      <c r="BQ996" s="4" t="n">
        <f aca="false">IF(R996="-",1,0)</f>
        <v>1</v>
      </c>
    </row>
    <row r="997" customFormat="false" ht="15" hidden="false" customHeight="false" outlineLevel="0" collapsed="false">
      <c r="A997" s="0" t="s">
        <v>3981</v>
      </c>
      <c r="B997" s="0" t="s">
        <v>3982</v>
      </c>
      <c r="C997" s="0" t="s">
        <v>70</v>
      </c>
      <c r="E997" s="3" t="n">
        <v>46274</v>
      </c>
      <c r="F997" s="4" t="s">
        <v>3986</v>
      </c>
      <c r="G997" s="5" t="n">
        <v>0.244178240740741</v>
      </c>
      <c r="H997" s="5" t="n">
        <v>0</v>
      </c>
      <c r="I997" s="5" t="n">
        <v>0</v>
      </c>
      <c r="J997" s="0" t="n">
        <v>3</v>
      </c>
      <c r="K997" s="0" t="n">
        <v>0</v>
      </c>
      <c r="L997" s="0" t="n">
        <v>0</v>
      </c>
      <c r="M997" s="0" t="n">
        <v>0</v>
      </c>
      <c r="N997" s="0" t="n">
        <v>4</v>
      </c>
      <c r="O997" s="5" t="n">
        <v>0</v>
      </c>
      <c r="P997" s="5" t="n">
        <v>0</v>
      </c>
      <c r="Q997" s="4" t="s">
        <v>73</v>
      </c>
      <c r="R997" s="4" t="s">
        <v>73</v>
      </c>
      <c r="S997" s="5" t="n">
        <v>0</v>
      </c>
      <c r="T997" s="5" t="n">
        <v>0</v>
      </c>
      <c r="U997" s="5" t="n">
        <v>0</v>
      </c>
      <c r="V997" s="5" t="n">
        <v>0</v>
      </c>
      <c r="W997" s="5" t="n">
        <v>0</v>
      </c>
      <c r="X997" s="5" t="n">
        <v>0</v>
      </c>
      <c r="Y997" s="5" t="n">
        <v>0</v>
      </c>
      <c r="Z997" s="0" t="n">
        <v>0</v>
      </c>
      <c r="AA997" s="0" t="n">
        <v>0</v>
      </c>
      <c r="AB997" s="0" t="n">
        <v>0</v>
      </c>
      <c r="AC997" s="4" t="s">
        <v>73</v>
      </c>
      <c r="AD997" s="4" t="s">
        <v>3206</v>
      </c>
      <c r="AE997" s="4" t="s">
        <v>3985</v>
      </c>
      <c r="AF997" s="4" t="s">
        <v>3987</v>
      </c>
      <c r="AG997" s="5" t="n">
        <v>0.21181712962963</v>
      </c>
      <c r="AH997" s="5" t="n">
        <v>0.0757986111111111</v>
      </c>
      <c r="AI997" s="5" t="n">
        <v>0</v>
      </c>
      <c r="AJ997" s="5" t="n">
        <v>0</v>
      </c>
      <c r="AK997" s="5" t="n">
        <v>0</v>
      </c>
      <c r="AL997" s="5" t="n">
        <v>0</v>
      </c>
      <c r="AM997" s="4" t="s">
        <v>78</v>
      </c>
      <c r="AN997" s="0" t="n">
        <v>0</v>
      </c>
      <c r="AO997" s="0" t="n">
        <v>0</v>
      </c>
      <c r="AP997" s="0" t="n">
        <v>0</v>
      </c>
      <c r="AQ997" s="0" t="n">
        <v>0</v>
      </c>
      <c r="AR997" s="0" t="n">
        <v>0</v>
      </c>
      <c r="AS997" s="0" t="n">
        <v>0</v>
      </c>
      <c r="AT997" s="0" t="n">
        <v>0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  <c r="BA997" s="0" t="n">
        <v>0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0</v>
      </c>
      <c r="BG997" s="0" t="n">
        <v>0</v>
      </c>
      <c r="BH997" s="0" t="n">
        <v>0</v>
      </c>
      <c r="BI997" s="0" t="n">
        <v>0</v>
      </c>
      <c r="BJ997" s="0" t="n">
        <v>0</v>
      </c>
      <c r="BK997" s="0" t="n">
        <v>0</v>
      </c>
      <c r="BM997" s="6" t="n">
        <f aca="false">IFERROR(VALUE(F997),"")</f>
        <v>164.1</v>
      </c>
      <c r="BN997" s="6" t="str">
        <f aca="false">IF(R997="-","",IFERROR(VALUE(LEFT(Q997,LEN(Q997)-2)),""))</f>
        <v/>
      </c>
      <c r="BO997" s="6" t="str">
        <f aca="false">IF(R997="-","",IFERROR(VALUE(LEFT(R997,LEN(R997)-5)),""))</f>
        <v/>
      </c>
      <c r="BP997" s="6" t="str">
        <f aca="false">IF(R997="-","",IFERROR(VALUE(F997),""))</f>
        <v/>
      </c>
      <c r="BQ997" s="4" t="n">
        <f aca="false">IF(R997="-",1,0)</f>
        <v>1</v>
      </c>
    </row>
    <row r="998" customFormat="false" ht="15" hidden="false" customHeight="false" outlineLevel="0" collapsed="false">
      <c r="A998" s="0" t="s">
        <v>3981</v>
      </c>
      <c r="B998" s="0" t="s">
        <v>3982</v>
      </c>
      <c r="C998" s="0" t="s">
        <v>70</v>
      </c>
      <c r="E998" s="3" t="n">
        <v>46275</v>
      </c>
      <c r="F998" s="4" t="s">
        <v>3988</v>
      </c>
      <c r="G998" s="5" t="n">
        <v>0.229548611111111</v>
      </c>
      <c r="H998" s="5" t="n">
        <v>0</v>
      </c>
      <c r="I998" s="5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2</v>
      </c>
      <c r="O998" s="5" t="n">
        <v>0</v>
      </c>
      <c r="P998" s="5" t="n">
        <v>0</v>
      </c>
      <c r="Q998" s="4" t="s">
        <v>73</v>
      </c>
      <c r="R998" s="4" t="s">
        <v>73</v>
      </c>
      <c r="S998" s="5" t="n">
        <v>0</v>
      </c>
      <c r="T998" s="5" t="n">
        <v>0</v>
      </c>
      <c r="U998" s="5" t="n">
        <v>0</v>
      </c>
      <c r="V998" s="5" t="n">
        <v>0</v>
      </c>
      <c r="W998" s="5" t="n">
        <v>0</v>
      </c>
      <c r="X998" s="5" t="n">
        <v>0</v>
      </c>
      <c r="Y998" s="5" t="n">
        <v>0</v>
      </c>
      <c r="Z998" s="0" t="n">
        <v>0</v>
      </c>
      <c r="AA998" s="0" t="n">
        <v>0</v>
      </c>
      <c r="AB998" s="0" t="n">
        <v>0</v>
      </c>
      <c r="AC998" s="4" t="s">
        <v>3219</v>
      </c>
      <c r="AD998" s="4" t="s">
        <v>73</v>
      </c>
      <c r="AE998" s="4" t="s">
        <v>3987</v>
      </c>
      <c r="AF998" s="4" t="s">
        <v>3989</v>
      </c>
      <c r="AG998" s="5" t="n">
        <v>0.213113425925926</v>
      </c>
      <c r="AH998" s="5" t="n">
        <v>0.11162037037037</v>
      </c>
      <c r="AI998" s="5" t="n">
        <v>0</v>
      </c>
      <c r="AJ998" s="5" t="n">
        <v>0</v>
      </c>
      <c r="AK998" s="5" t="n">
        <v>0</v>
      </c>
      <c r="AL998" s="5" t="n">
        <v>0</v>
      </c>
      <c r="AM998" s="4" t="s">
        <v>78</v>
      </c>
      <c r="AN998" s="0" t="n">
        <v>0</v>
      </c>
      <c r="AO998" s="0" t="n">
        <v>0</v>
      </c>
      <c r="AP998" s="0" t="n">
        <v>0</v>
      </c>
      <c r="AQ998" s="0" t="n">
        <v>0</v>
      </c>
      <c r="AR998" s="0" t="n">
        <v>0</v>
      </c>
      <c r="AS998" s="0" t="n">
        <v>0</v>
      </c>
      <c r="AT998" s="0" t="n">
        <v>0</v>
      </c>
      <c r="AU998" s="0" t="n">
        <v>0</v>
      </c>
      <c r="AV998" s="0" t="n">
        <v>0</v>
      </c>
      <c r="AW998" s="0" t="n">
        <v>0</v>
      </c>
      <c r="AX998" s="0" t="n">
        <v>0</v>
      </c>
      <c r="AY998" s="0" t="n">
        <v>0</v>
      </c>
      <c r="AZ998" s="0" t="n">
        <v>0</v>
      </c>
      <c r="BA998" s="0" t="n">
        <v>0</v>
      </c>
      <c r="BB998" s="0" t="n">
        <v>0</v>
      </c>
      <c r="BC998" s="0" t="n">
        <v>2</v>
      </c>
      <c r="BD998" s="0" t="n">
        <v>4</v>
      </c>
      <c r="BE998" s="0" t="n">
        <v>0</v>
      </c>
      <c r="BF998" s="0" t="n">
        <v>0</v>
      </c>
      <c r="BG998" s="0" t="n">
        <v>0</v>
      </c>
      <c r="BH998" s="0" t="n">
        <v>0</v>
      </c>
      <c r="BI998" s="0" t="n">
        <v>0</v>
      </c>
      <c r="BJ998" s="0" t="n">
        <v>0</v>
      </c>
      <c r="BK998" s="0" t="n">
        <v>0</v>
      </c>
      <c r="BM998" s="6" t="n">
        <f aca="false">IFERROR(VALUE(F998),"")</f>
        <v>165.36</v>
      </c>
      <c r="BN998" s="6" t="str">
        <f aca="false">IF(R998="-","",IFERROR(VALUE(LEFT(Q998,LEN(Q998)-2)),""))</f>
        <v/>
      </c>
      <c r="BO998" s="6" t="str">
        <f aca="false">IF(R998="-","",IFERROR(VALUE(LEFT(R998,LEN(R998)-5)),""))</f>
        <v/>
      </c>
      <c r="BP998" s="6" t="str">
        <f aca="false">IF(R998="-","",IFERROR(VALUE(F998),""))</f>
        <v/>
      </c>
      <c r="BQ998" s="4" t="n">
        <f aca="false">IF(R998="-",1,0)</f>
        <v>1</v>
      </c>
    </row>
    <row r="999" customFormat="false" ht="15" hidden="false" customHeight="false" outlineLevel="0" collapsed="false">
      <c r="A999" s="0" t="s">
        <v>3981</v>
      </c>
      <c r="B999" s="0" t="s">
        <v>3982</v>
      </c>
      <c r="C999" s="0" t="s">
        <v>70</v>
      </c>
      <c r="E999" s="3" t="n">
        <v>46276</v>
      </c>
      <c r="F999" s="4" t="s">
        <v>3990</v>
      </c>
      <c r="G999" s="5" t="n">
        <v>0.308506944444444</v>
      </c>
      <c r="H999" s="5" t="n">
        <v>0</v>
      </c>
      <c r="I999" s="5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4</v>
      </c>
      <c r="O999" s="5" t="n">
        <v>0</v>
      </c>
      <c r="P999" s="5" t="n">
        <v>0</v>
      </c>
      <c r="Q999" s="4" t="s">
        <v>73</v>
      </c>
      <c r="R999" s="4" t="s">
        <v>73</v>
      </c>
      <c r="S999" s="5" t="n">
        <v>0</v>
      </c>
      <c r="T999" s="5" t="n">
        <v>0</v>
      </c>
      <c r="U999" s="5" t="n">
        <v>0</v>
      </c>
      <c r="V999" s="5" t="n">
        <v>0</v>
      </c>
      <c r="W999" s="5" t="n">
        <v>0</v>
      </c>
      <c r="X999" s="5" t="n">
        <v>0</v>
      </c>
      <c r="Y999" s="5" t="n">
        <v>0</v>
      </c>
      <c r="Z999" s="0" t="n">
        <v>0</v>
      </c>
      <c r="AA999" s="0" t="n">
        <v>0</v>
      </c>
      <c r="AB999" s="0" t="n">
        <v>0</v>
      </c>
      <c r="AC999" s="4" t="s">
        <v>73</v>
      </c>
      <c r="AD999" s="4" t="s">
        <v>73</v>
      </c>
      <c r="AE999" s="4" t="s">
        <v>3989</v>
      </c>
      <c r="AF999" s="4" t="s">
        <v>3991</v>
      </c>
      <c r="AG999" s="5" t="n">
        <v>0.27119212962963</v>
      </c>
      <c r="AH999" s="5" t="n">
        <v>0.0743171296296296</v>
      </c>
      <c r="AI999" s="5" t="n">
        <v>0</v>
      </c>
      <c r="AJ999" s="5" t="n">
        <v>0</v>
      </c>
      <c r="AK999" s="5" t="n">
        <v>0</v>
      </c>
      <c r="AL999" s="5" t="n">
        <v>0</v>
      </c>
      <c r="AM999" s="4" t="s">
        <v>78</v>
      </c>
      <c r="AN999" s="0" t="n">
        <v>0</v>
      </c>
      <c r="AO999" s="0" t="n">
        <v>0</v>
      </c>
      <c r="AP999" s="0" t="n">
        <v>0</v>
      </c>
      <c r="AQ999" s="0" t="n">
        <v>0</v>
      </c>
      <c r="AR999" s="0" t="n">
        <v>0</v>
      </c>
      <c r="AS999" s="0" t="n">
        <v>0</v>
      </c>
      <c r="AT999" s="0" t="n">
        <v>0</v>
      </c>
      <c r="AU999" s="0" t="n">
        <v>0</v>
      </c>
      <c r="AV999" s="0" t="n">
        <v>0</v>
      </c>
      <c r="AW999" s="0" t="n">
        <v>0</v>
      </c>
      <c r="AX999" s="0" t="n">
        <v>0</v>
      </c>
      <c r="AY999" s="0" t="n">
        <v>0</v>
      </c>
      <c r="AZ999" s="0" t="n">
        <v>0</v>
      </c>
      <c r="BA999" s="0" t="n">
        <v>0</v>
      </c>
      <c r="BB999" s="0" t="n">
        <v>0</v>
      </c>
      <c r="BC999" s="0" t="n">
        <v>0</v>
      </c>
      <c r="BD999" s="0" t="n">
        <v>0</v>
      </c>
      <c r="BE999" s="0" t="n">
        <v>0</v>
      </c>
      <c r="BF999" s="0" t="n">
        <v>0</v>
      </c>
      <c r="BG999" s="0" t="n">
        <v>0</v>
      </c>
      <c r="BH999" s="0" t="n">
        <v>0</v>
      </c>
      <c r="BI999" s="0" t="n">
        <v>0</v>
      </c>
      <c r="BJ999" s="0" t="n">
        <v>0</v>
      </c>
      <c r="BK999" s="0" t="n">
        <v>0</v>
      </c>
      <c r="BM999" s="6" t="n">
        <f aca="false">IFERROR(VALUE(F999),"")</f>
        <v>216.05</v>
      </c>
      <c r="BN999" s="6" t="str">
        <f aca="false">IF(R999="-","",IFERROR(VALUE(LEFT(Q999,LEN(Q999)-2)),""))</f>
        <v/>
      </c>
      <c r="BO999" s="6" t="str">
        <f aca="false">IF(R999="-","",IFERROR(VALUE(LEFT(R999,LEN(R999)-5)),""))</f>
        <v/>
      </c>
      <c r="BP999" s="6" t="str">
        <f aca="false">IF(R999="-","",IFERROR(VALUE(F999),""))</f>
        <v/>
      </c>
      <c r="BQ999" s="4" t="n">
        <f aca="false">IF(R999="-",1,0)</f>
        <v>1</v>
      </c>
    </row>
    <row r="1000" customFormat="false" ht="15" hidden="false" customHeight="false" outlineLevel="0" collapsed="false">
      <c r="A1000" s="0" t="s">
        <v>3981</v>
      </c>
      <c r="B1000" s="0" t="s">
        <v>3982</v>
      </c>
      <c r="C1000" s="0" t="s">
        <v>70</v>
      </c>
      <c r="D1000" s="0" t="s">
        <v>3992</v>
      </c>
      <c r="E1000" s="3" t="n">
        <v>46277</v>
      </c>
      <c r="F1000" s="4" t="s">
        <v>3993</v>
      </c>
      <c r="G1000" s="5" t="n">
        <v>0.348344907407407</v>
      </c>
      <c r="H1000" s="5" t="n">
        <v>0.122083333333333</v>
      </c>
      <c r="I1000" s="5" t="n">
        <v>0.000972222222222222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1</v>
      </c>
      <c r="O1000" s="5" t="n">
        <v>0</v>
      </c>
      <c r="P1000" s="5" t="n">
        <v>0</v>
      </c>
      <c r="Q1000" s="4" t="s">
        <v>73</v>
      </c>
      <c r="R1000" s="4" t="s">
        <v>73</v>
      </c>
      <c r="S1000" s="5" t="n">
        <v>0</v>
      </c>
      <c r="T1000" s="5" t="n">
        <v>0</v>
      </c>
      <c r="U1000" s="5" t="n">
        <v>0</v>
      </c>
      <c r="V1000" s="5" t="n">
        <v>0</v>
      </c>
      <c r="W1000" s="5" t="n">
        <v>0</v>
      </c>
      <c r="X1000" s="5" t="n">
        <v>0</v>
      </c>
      <c r="Y1000" s="5" t="n">
        <v>0</v>
      </c>
      <c r="Z1000" s="0" t="n">
        <v>0</v>
      </c>
      <c r="AA1000" s="0" t="n">
        <v>0</v>
      </c>
      <c r="AB1000" s="0" t="n">
        <v>0</v>
      </c>
      <c r="AC1000" s="4" t="s">
        <v>73</v>
      </c>
      <c r="AD1000" s="4" t="s">
        <v>3206</v>
      </c>
      <c r="AE1000" s="4" t="s">
        <v>3991</v>
      </c>
      <c r="AF1000" s="4" t="s">
        <v>3994</v>
      </c>
      <c r="AG1000" s="5" t="n">
        <v>0.303171296296296</v>
      </c>
      <c r="AH1000" s="5" t="n">
        <v>0.112430555555556</v>
      </c>
      <c r="AI1000" s="5" t="n">
        <v>0</v>
      </c>
      <c r="AJ1000" s="5" t="n">
        <v>0</v>
      </c>
      <c r="AK1000" s="5" t="n">
        <v>0</v>
      </c>
      <c r="AL1000" s="5" t="n">
        <v>0</v>
      </c>
      <c r="AM1000" s="4" t="s">
        <v>78</v>
      </c>
      <c r="AN1000" s="0" t="n">
        <v>0</v>
      </c>
      <c r="AO1000" s="0" t="n">
        <v>0</v>
      </c>
      <c r="AP1000" s="0" t="n">
        <v>0</v>
      </c>
      <c r="AQ1000" s="0" t="n">
        <v>0</v>
      </c>
      <c r="AR1000" s="0" t="n">
        <v>0</v>
      </c>
      <c r="AS1000" s="0" t="n">
        <v>1</v>
      </c>
      <c r="AT1000" s="0" t="n">
        <v>0</v>
      </c>
      <c r="AU1000" s="0" t="n">
        <v>0</v>
      </c>
      <c r="AV1000" s="0" t="n">
        <v>0</v>
      </c>
      <c r="AW1000" s="0" t="n">
        <v>0</v>
      </c>
      <c r="AX1000" s="0" t="n">
        <v>0</v>
      </c>
      <c r="AY1000" s="0" t="n">
        <v>0</v>
      </c>
      <c r="AZ1000" s="0" t="n">
        <v>0</v>
      </c>
      <c r="BA1000" s="0" t="n">
        <v>0</v>
      </c>
      <c r="BB1000" s="0" t="n">
        <v>0</v>
      </c>
      <c r="BC1000" s="0" t="n">
        <v>3</v>
      </c>
      <c r="BD1000" s="0" t="n">
        <v>3</v>
      </c>
      <c r="BE1000" s="0" t="n">
        <v>0</v>
      </c>
      <c r="BF1000" s="0" t="n">
        <v>0</v>
      </c>
      <c r="BG1000" s="0" t="n">
        <v>0</v>
      </c>
      <c r="BH1000" s="0" t="n">
        <v>0</v>
      </c>
      <c r="BI1000" s="0" t="n">
        <v>0</v>
      </c>
      <c r="BJ1000" s="0" t="n">
        <v>0</v>
      </c>
      <c r="BK1000" s="0" t="n">
        <v>0</v>
      </c>
      <c r="BM1000" s="6" t="n">
        <f aca="false">IFERROR(VALUE(F1000),"")</f>
        <v>386.27</v>
      </c>
      <c r="BN1000" s="6" t="str">
        <f aca="false">IF(R1000="-","",IFERROR(VALUE(LEFT(Q1000,LEN(Q1000)-2)),""))</f>
        <v/>
      </c>
      <c r="BO1000" s="6" t="str">
        <f aca="false">IF(R1000="-","",IFERROR(VALUE(LEFT(R1000,LEN(R1000)-5)),""))</f>
        <v/>
      </c>
      <c r="BP1000" s="6" t="str">
        <f aca="false">IF(R1000="-","",IFERROR(VALUE(F1000),""))</f>
        <v/>
      </c>
      <c r="BQ1000" s="4" t="n">
        <f aca="false">IF(R1000="-",1,0)</f>
        <v>1</v>
      </c>
    </row>
    <row r="1001" customFormat="false" ht="15" hidden="false" customHeight="false" outlineLevel="0" collapsed="false">
      <c r="A1001" s="0" t="s">
        <v>3981</v>
      </c>
      <c r="B1001" s="0" t="s">
        <v>3982</v>
      </c>
      <c r="C1001" s="0" t="s">
        <v>70</v>
      </c>
      <c r="E1001" s="3" t="n">
        <v>46279</v>
      </c>
      <c r="F1001" s="4" t="s">
        <v>3995</v>
      </c>
      <c r="G1001" s="5" t="n">
        <v>0.0797106481481481</v>
      </c>
      <c r="H1001" s="5" t="n">
        <v>0</v>
      </c>
      <c r="I1001" s="5" t="n">
        <v>6.94444444444444E-005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5" t="n">
        <v>0</v>
      </c>
      <c r="P1001" s="5" t="n">
        <v>0</v>
      </c>
      <c r="Q1001" s="4" t="s">
        <v>73</v>
      </c>
      <c r="R1001" s="4" t="s">
        <v>73</v>
      </c>
      <c r="S1001" s="5" t="n">
        <v>0</v>
      </c>
      <c r="T1001" s="5" t="n">
        <v>0</v>
      </c>
      <c r="U1001" s="5" t="n">
        <v>0</v>
      </c>
      <c r="V1001" s="5" t="n">
        <v>0</v>
      </c>
      <c r="W1001" s="5" t="n">
        <v>0</v>
      </c>
      <c r="X1001" s="5" t="n">
        <v>0</v>
      </c>
      <c r="Y1001" s="5" t="n">
        <v>0</v>
      </c>
      <c r="Z1001" s="0" t="n">
        <v>0</v>
      </c>
      <c r="AA1001" s="0" t="n">
        <v>0</v>
      </c>
      <c r="AB1001" s="0" t="n">
        <v>0</v>
      </c>
      <c r="AC1001" s="4" t="s">
        <v>3219</v>
      </c>
      <c r="AD1001" s="4" t="s">
        <v>3219</v>
      </c>
      <c r="AE1001" s="4" t="s">
        <v>3994</v>
      </c>
      <c r="AF1001" s="4" t="s">
        <v>3996</v>
      </c>
      <c r="AG1001" s="5" t="n">
        <v>0.0734490740740741</v>
      </c>
      <c r="AH1001" s="5" t="n">
        <v>0.0603356481481482</v>
      </c>
      <c r="AI1001" s="5" t="n">
        <v>0</v>
      </c>
      <c r="AJ1001" s="5" t="n">
        <v>0</v>
      </c>
      <c r="AK1001" s="5" t="n">
        <v>0</v>
      </c>
      <c r="AL1001" s="5" t="n">
        <v>0</v>
      </c>
      <c r="AM1001" s="4" t="s">
        <v>78</v>
      </c>
      <c r="AN1001" s="0" t="n">
        <v>0</v>
      </c>
      <c r="AO1001" s="0" t="n">
        <v>0</v>
      </c>
      <c r="AP1001" s="0" t="n">
        <v>0</v>
      </c>
      <c r="AQ1001" s="0" t="n">
        <v>0</v>
      </c>
      <c r="AR1001" s="0" t="n">
        <v>0</v>
      </c>
      <c r="AS1001" s="0" t="n">
        <v>0</v>
      </c>
      <c r="AT1001" s="0" t="n">
        <v>0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  <c r="BA1001" s="0" t="n">
        <v>0</v>
      </c>
      <c r="BB1001" s="0" t="n">
        <v>0</v>
      </c>
      <c r="BC1001" s="0" t="n">
        <v>0</v>
      </c>
      <c r="BD1001" s="0" t="n">
        <v>0</v>
      </c>
      <c r="BE1001" s="0" t="n">
        <v>0</v>
      </c>
      <c r="BF1001" s="0" t="n">
        <v>0</v>
      </c>
      <c r="BG1001" s="0" t="n">
        <v>0</v>
      </c>
      <c r="BH1001" s="0" t="n">
        <v>0</v>
      </c>
      <c r="BI1001" s="0" t="n">
        <v>0</v>
      </c>
      <c r="BJ1001" s="0" t="n">
        <v>0</v>
      </c>
      <c r="BK1001" s="0" t="n">
        <v>0</v>
      </c>
      <c r="BM1001" s="6" t="n">
        <f aca="false">IFERROR(VALUE(F1001),"")</f>
        <v>82.04</v>
      </c>
      <c r="BN1001" s="6" t="str">
        <f aca="false">IF(R1001="-","",IFERROR(VALUE(LEFT(Q1001,LEN(Q1001)-2)),""))</f>
        <v/>
      </c>
      <c r="BO1001" s="6" t="str">
        <f aca="false">IF(R1001="-","",IFERROR(VALUE(LEFT(R1001,LEN(R1001)-5)),""))</f>
        <v/>
      </c>
      <c r="BP1001" s="6" t="str">
        <f aca="false">IF(R1001="-","",IFERROR(VALUE(F1001),""))</f>
        <v/>
      </c>
      <c r="BQ1001" s="4" t="n">
        <f aca="false">IF(R1001="-",1,0)</f>
        <v>1</v>
      </c>
    </row>
    <row r="1002" customFormat="false" ht="15" hidden="false" customHeight="false" outlineLevel="0" collapsed="false">
      <c r="A1002" s="0" t="s">
        <v>3997</v>
      </c>
      <c r="B1002" s="0" t="s">
        <v>3998</v>
      </c>
      <c r="C1002" s="0" t="s">
        <v>70</v>
      </c>
      <c r="E1002" s="3" t="n">
        <v>46273</v>
      </c>
      <c r="F1002" s="4" t="s">
        <v>3999</v>
      </c>
      <c r="G1002" s="5" t="n">
        <v>0.288773148148148</v>
      </c>
      <c r="H1002" s="5" t="n">
        <v>0</v>
      </c>
      <c r="I1002" s="5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5" t="n">
        <v>0</v>
      </c>
      <c r="P1002" s="5" t="n">
        <v>0.00708333333333333</v>
      </c>
      <c r="Q1002" s="4" t="s">
        <v>4000</v>
      </c>
      <c r="R1002" s="4" t="s">
        <v>1421</v>
      </c>
      <c r="S1002" s="5" t="n">
        <v>0.000347222222222222</v>
      </c>
      <c r="T1002" s="5" t="n">
        <v>0.0497685185185185</v>
      </c>
      <c r="U1002" s="5" t="n">
        <v>0.0744212962962963</v>
      </c>
      <c r="V1002" s="5" t="n">
        <v>0.151886574074074</v>
      </c>
      <c r="W1002" s="5" t="n">
        <v>0.00671296296296296</v>
      </c>
      <c r="X1002" s="5" t="n">
        <v>0</v>
      </c>
      <c r="Y1002" s="5" t="n">
        <v>0.00225694444444444</v>
      </c>
      <c r="Z1002" s="0" t="n">
        <v>0</v>
      </c>
      <c r="AA1002" s="0" t="n">
        <v>0</v>
      </c>
      <c r="AB1002" s="0" t="n">
        <v>0</v>
      </c>
      <c r="AC1002" s="4" t="s">
        <v>3219</v>
      </c>
      <c r="AD1002" s="4" t="s">
        <v>3938</v>
      </c>
      <c r="AE1002" s="4" t="s">
        <v>4001</v>
      </c>
      <c r="AF1002" s="4" t="s">
        <v>4002</v>
      </c>
      <c r="AG1002" s="5" t="n">
        <v>0.265104166666667</v>
      </c>
      <c r="AH1002" s="5" t="n">
        <v>0.0577662037037037</v>
      </c>
      <c r="AI1002" s="5" t="n">
        <v>0</v>
      </c>
      <c r="AJ1002" s="5" t="n">
        <v>0</v>
      </c>
      <c r="AK1002" s="5" t="n">
        <v>0</v>
      </c>
      <c r="AL1002" s="5" t="n">
        <v>0</v>
      </c>
      <c r="AM1002" s="4" t="s">
        <v>78</v>
      </c>
      <c r="AN1002" s="0" t="n">
        <v>0</v>
      </c>
      <c r="AO1002" s="0" t="n">
        <v>0</v>
      </c>
      <c r="AP1002" s="0" t="n">
        <v>0</v>
      </c>
      <c r="AQ1002" s="0" t="n">
        <v>0</v>
      </c>
      <c r="AR1002" s="0" t="n">
        <v>0</v>
      </c>
      <c r="AS1002" s="0" t="n">
        <v>0</v>
      </c>
      <c r="AT1002" s="0" t="n">
        <v>0</v>
      </c>
      <c r="AU1002" s="0" t="n">
        <v>0</v>
      </c>
      <c r="AV1002" s="0" t="n">
        <v>0</v>
      </c>
      <c r="AW1002" s="0" t="n">
        <v>0</v>
      </c>
      <c r="AX1002" s="0" t="n">
        <v>0</v>
      </c>
      <c r="AY1002" s="0" t="n">
        <v>0</v>
      </c>
      <c r="AZ1002" s="0" t="n">
        <v>0</v>
      </c>
      <c r="BA1002" s="0" t="n">
        <v>0</v>
      </c>
      <c r="BB1002" s="0" t="n">
        <v>0</v>
      </c>
      <c r="BC1002" s="0" t="n">
        <v>0</v>
      </c>
      <c r="BD1002" s="0" t="n">
        <v>0</v>
      </c>
      <c r="BE1002" s="0" t="n">
        <v>0</v>
      </c>
      <c r="BF1002" s="0" t="n">
        <v>0</v>
      </c>
      <c r="BG1002" s="0" t="n">
        <v>0</v>
      </c>
      <c r="BH1002" s="0" t="n">
        <v>0</v>
      </c>
      <c r="BI1002" s="0" t="n">
        <v>0</v>
      </c>
      <c r="BJ1002" s="0" t="n">
        <v>0</v>
      </c>
      <c r="BK1002" s="0" t="n">
        <v>0</v>
      </c>
      <c r="BM1002" s="6" t="n">
        <f aca="false">IFERROR(VALUE(F1002),"")</f>
        <v>224.4</v>
      </c>
      <c r="BN1002" s="6" t="n">
        <f aca="false">IF(R1002="-","",IFERROR(VALUE(LEFT(Q1002,LEN(Q1002)-2)),""))</f>
        <v>84.26</v>
      </c>
      <c r="BO1002" s="6" t="n">
        <f aca="false">IF(R1002="-","",IFERROR(VALUE(LEFT(R1002,LEN(R1002)-5)),""))</f>
        <v>2.66</v>
      </c>
      <c r="BP1002" s="6" t="n">
        <f aca="false">IF(R1002="-","",IFERROR(VALUE(F1002),""))</f>
        <v>224.4</v>
      </c>
      <c r="BQ1002" s="4" t="n">
        <f aca="false">IF(R1002="-",1,0)</f>
        <v>0</v>
      </c>
    </row>
    <row r="1003" customFormat="false" ht="15" hidden="false" customHeight="false" outlineLevel="0" collapsed="false">
      <c r="A1003" s="0" t="s">
        <v>3997</v>
      </c>
      <c r="B1003" s="0" t="s">
        <v>3998</v>
      </c>
      <c r="C1003" s="0" t="s">
        <v>70</v>
      </c>
      <c r="E1003" s="3" t="n">
        <v>46274</v>
      </c>
      <c r="F1003" s="4" t="s">
        <v>4003</v>
      </c>
      <c r="G1003" s="5" t="n">
        <v>0.303726851851852</v>
      </c>
      <c r="H1003" s="5" t="n">
        <v>0</v>
      </c>
      <c r="I1003" s="5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5" t="n">
        <v>0</v>
      </c>
      <c r="P1003" s="5" t="n">
        <v>0.00976851851851852</v>
      </c>
      <c r="Q1003" s="4" t="s">
        <v>4004</v>
      </c>
      <c r="R1003" s="4" t="s">
        <v>1609</v>
      </c>
      <c r="S1003" s="5" t="n">
        <v>0.000694444444444445</v>
      </c>
      <c r="T1003" s="5" t="n">
        <v>0.0576388888888889</v>
      </c>
      <c r="U1003" s="5" t="n">
        <v>0.0799189814814815</v>
      </c>
      <c r="V1003" s="5" t="n">
        <v>0.153483796296296</v>
      </c>
      <c r="W1003" s="5" t="n">
        <v>0.00758101851851852</v>
      </c>
      <c r="X1003" s="5" t="n">
        <v>0</v>
      </c>
      <c r="Y1003" s="5" t="n">
        <v>0.00261574074074074</v>
      </c>
      <c r="Z1003" s="0" t="n">
        <v>0</v>
      </c>
      <c r="AA1003" s="0" t="n">
        <v>0</v>
      </c>
      <c r="AB1003" s="0" t="n">
        <v>0</v>
      </c>
      <c r="AC1003" s="4" t="s">
        <v>3219</v>
      </c>
      <c r="AD1003" s="4" t="s">
        <v>3206</v>
      </c>
      <c r="AE1003" s="4" t="s">
        <v>4005</v>
      </c>
      <c r="AF1003" s="4" t="s">
        <v>4006</v>
      </c>
      <c r="AG1003" s="5" t="n">
        <v>0.275335648148148</v>
      </c>
      <c r="AH1003" s="5" t="n">
        <v>0.090787037037037</v>
      </c>
      <c r="AI1003" s="5" t="n">
        <v>0</v>
      </c>
      <c r="AJ1003" s="5" t="n">
        <v>0</v>
      </c>
      <c r="AK1003" s="5" t="n">
        <v>0</v>
      </c>
      <c r="AL1003" s="5" t="n">
        <v>0</v>
      </c>
      <c r="AM1003" s="4" t="s">
        <v>78</v>
      </c>
      <c r="AN1003" s="0" t="n">
        <v>0</v>
      </c>
      <c r="AO1003" s="0" t="n">
        <v>0</v>
      </c>
      <c r="AP1003" s="0" t="n">
        <v>0</v>
      </c>
      <c r="AQ1003" s="0" t="n">
        <v>0</v>
      </c>
      <c r="AR1003" s="0" t="n">
        <v>0</v>
      </c>
      <c r="AS1003" s="0" t="n">
        <v>0</v>
      </c>
      <c r="AT1003" s="0" t="n">
        <v>0</v>
      </c>
      <c r="AU1003" s="0" t="n">
        <v>0</v>
      </c>
      <c r="AV1003" s="0" t="n">
        <v>0</v>
      </c>
      <c r="AW1003" s="0" t="n">
        <v>0</v>
      </c>
      <c r="AX1003" s="0" t="n">
        <v>0</v>
      </c>
      <c r="AY1003" s="0" t="n">
        <v>0</v>
      </c>
      <c r="AZ1003" s="0" t="n">
        <v>0</v>
      </c>
      <c r="BA1003" s="0" t="n">
        <v>0</v>
      </c>
      <c r="BB1003" s="0" t="n">
        <v>0</v>
      </c>
      <c r="BC1003" s="0" t="n">
        <v>0</v>
      </c>
      <c r="BD1003" s="0" t="n">
        <v>0</v>
      </c>
      <c r="BE1003" s="0" t="n">
        <v>0</v>
      </c>
      <c r="BF1003" s="0" t="n">
        <v>0</v>
      </c>
      <c r="BG1003" s="0" t="n">
        <v>0</v>
      </c>
      <c r="BH1003" s="0" t="n">
        <v>0</v>
      </c>
      <c r="BI1003" s="0" t="n">
        <v>0</v>
      </c>
      <c r="BJ1003" s="0" t="n">
        <v>0</v>
      </c>
      <c r="BK1003" s="0" t="n">
        <v>0</v>
      </c>
      <c r="BM1003" s="6" t="n">
        <f aca="false">IFERROR(VALUE(F1003),"")</f>
        <v>226.02</v>
      </c>
      <c r="BN1003" s="6" t="n">
        <f aca="false">IF(R1003="-","",IFERROR(VALUE(LEFT(Q1003,LEN(Q1003)-2)),""))</f>
        <v>86.29</v>
      </c>
      <c r="BO1003" s="6" t="n">
        <f aca="false">IF(R1003="-","",IFERROR(VALUE(LEFT(R1003,LEN(R1003)-5)),""))</f>
        <v>2.62</v>
      </c>
      <c r="BP1003" s="6" t="n">
        <f aca="false">IF(R1003="-","",IFERROR(VALUE(F1003),""))</f>
        <v>226.02</v>
      </c>
      <c r="BQ1003" s="4" t="n">
        <f aca="false">IF(R1003="-",1,0)</f>
        <v>0</v>
      </c>
    </row>
    <row r="1004" customFormat="false" ht="15" hidden="false" customHeight="false" outlineLevel="0" collapsed="false">
      <c r="A1004" s="0" t="s">
        <v>3997</v>
      </c>
      <c r="B1004" s="0" t="s">
        <v>3998</v>
      </c>
      <c r="C1004" s="0" t="s">
        <v>70</v>
      </c>
      <c r="E1004" s="3" t="n">
        <v>46275</v>
      </c>
      <c r="F1004" s="4" t="s">
        <v>4007</v>
      </c>
      <c r="G1004" s="5" t="n">
        <v>0.291365740740741</v>
      </c>
      <c r="H1004" s="5" t="n">
        <v>0</v>
      </c>
      <c r="I1004" s="5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5" t="n">
        <v>0</v>
      </c>
      <c r="P1004" s="5" t="n">
        <v>0</v>
      </c>
      <c r="Q1004" s="4" t="s">
        <v>4008</v>
      </c>
      <c r="R1004" s="4" t="s">
        <v>1421</v>
      </c>
      <c r="S1004" s="5" t="n">
        <v>0.000347222222222222</v>
      </c>
      <c r="T1004" s="5" t="n">
        <v>0.0457175925925926</v>
      </c>
      <c r="U1004" s="5" t="n">
        <v>0.0780092592592593</v>
      </c>
      <c r="V1004" s="5" t="n">
        <v>0.15162037037037</v>
      </c>
      <c r="W1004" s="5" t="n">
        <v>0.00524305555555556</v>
      </c>
      <c r="X1004" s="5" t="n">
        <v>0</v>
      </c>
      <c r="Y1004" s="5" t="n">
        <v>0.000775462962962963</v>
      </c>
      <c r="Z1004" s="0" t="n">
        <v>0</v>
      </c>
      <c r="AA1004" s="0" t="n">
        <v>0</v>
      </c>
      <c r="AB1004" s="0" t="n">
        <v>0</v>
      </c>
      <c r="AC1004" s="4" t="s">
        <v>3219</v>
      </c>
      <c r="AD1004" s="4" t="s">
        <v>3206</v>
      </c>
      <c r="AE1004" s="4" t="s">
        <v>4006</v>
      </c>
      <c r="AF1004" s="4" t="s">
        <v>4009</v>
      </c>
      <c r="AG1004" s="5" t="n">
        <v>0.27005787037037</v>
      </c>
      <c r="AH1004" s="5" t="n">
        <v>0.0796643518518519</v>
      </c>
      <c r="AI1004" s="5" t="n">
        <v>0</v>
      </c>
      <c r="AJ1004" s="5" t="n">
        <v>0</v>
      </c>
      <c r="AK1004" s="5" t="n">
        <v>0</v>
      </c>
      <c r="AL1004" s="5" t="n">
        <v>0</v>
      </c>
      <c r="AM1004" s="4" t="s">
        <v>78</v>
      </c>
      <c r="AN1004" s="0" t="n">
        <v>0</v>
      </c>
      <c r="AO1004" s="0" t="n">
        <v>0</v>
      </c>
      <c r="AP1004" s="0" t="n">
        <v>0</v>
      </c>
      <c r="AQ1004" s="0" t="n">
        <v>0</v>
      </c>
      <c r="AR1004" s="0" t="n">
        <v>0</v>
      </c>
      <c r="AS1004" s="0" t="n">
        <v>0</v>
      </c>
      <c r="AT1004" s="0" t="n">
        <v>0</v>
      </c>
      <c r="AU1004" s="0" t="n">
        <v>0</v>
      </c>
      <c r="AV1004" s="0" t="n">
        <v>0</v>
      </c>
      <c r="AW1004" s="0" t="n">
        <v>0</v>
      </c>
      <c r="AX1004" s="0" t="n">
        <v>0</v>
      </c>
      <c r="AY1004" s="0" t="n">
        <v>0</v>
      </c>
      <c r="AZ1004" s="0" t="n">
        <v>0</v>
      </c>
      <c r="BA1004" s="0" t="n">
        <v>0</v>
      </c>
      <c r="BB1004" s="0" t="n">
        <v>0</v>
      </c>
      <c r="BC1004" s="0" t="n">
        <v>0</v>
      </c>
      <c r="BD1004" s="0" t="n">
        <v>0</v>
      </c>
      <c r="BE1004" s="0" t="n">
        <v>0</v>
      </c>
      <c r="BF1004" s="0" t="n">
        <v>0</v>
      </c>
      <c r="BG1004" s="0" t="n">
        <v>0</v>
      </c>
      <c r="BH1004" s="0" t="n">
        <v>0</v>
      </c>
      <c r="BI1004" s="0" t="n">
        <v>0</v>
      </c>
      <c r="BJ1004" s="0" t="n">
        <v>0</v>
      </c>
      <c r="BK1004" s="0" t="n">
        <v>0</v>
      </c>
      <c r="BM1004" s="6" t="n">
        <f aca="false">IFERROR(VALUE(F1004),"")</f>
        <v>224.77</v>
      </c>
      <c r="BN1004" s="6" t="n">
        <f aca="false">IF(R1004="-","",IFERROR(VALUE(LEFT(Q1004,LEN(Q1004)-2)),""))</f>
        <v>84.62</v>
      </c>
      <c r="BO1004" s="6" t="n">
        <f aca="false">IF(R1004="-","",IFERROR(VALUE(LEFT(R1004,LEN(R1004)-5)),""))</f>
        <v>2.66</v>
      </c>
      <c r="BP1004" s="6" t="n">
        <f aca="false">IF(R1004="-","",IFERROR(VALUE(F1004),""))</f>
        <v>224.77</v>
      </c>
      <c r="BQ1004" s="4" t="n">
        <f aca="false">IF(R1004="-",1,0)</f>
        <v>0</v>
      </c>
    </row>
    <row r="1005" customFormat="false" ht="15" hidden="false" customHeight="false" outlineLevel="0" collapsed="false">
      <c r="A1005" s="0" t="s">
        <v>3997</v>
      </c>
      <c r="B1005" s="0" t="s">
        <v>3998</v>
      </c>
      <c r="C1005" s="0" t="s">
        <v>70</v>
      </c>
      <c r="E1005" s="3" t="n">
        <v>46276</v>
      </c>
      <c r="F1005" s="4" t="s">
        <v>4010</v>
      </c>
      <c r="G1005" s="5" t="n">
        <v>0.317303240740741</v>
      </c>
      <c r="H1005" s="5" t="n">
        <v>0</v>
      </c>
      <c r="I1005" s="5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5" t="n">
        <v>0</v>
      </c>
      <c r="P1005" s="5" t="n">
        <v>0</v>
      </c>
      <c r="Q1005" s="4" t="s">
        <v>4011</v>
      </c>
      <c r="R1005" s="4" t="s">
        <v>1108</v>
      </c>
      <c r="S1005" s="5" t="n">
        <v>0.000347222222222222</v>
      </c>
      <c r="T1005" s="5" t="n">
        <v>0.059837962962963</v>
      </c>
      <c r="U1005" s="5" t="n">
        <v>0.0706712962962963</v>
      </c>
      <c r="V1005" s="5" t="n">
        <v>0.157916666666667</v>
      </c>
      <c r="W1005" s="5" t="n">
        <v>0.00770833333333333</v>
      </c>
      <c r="X1005" s="5" t="n">
        <v>0</v>
      </c>
      <c r="Y1005" s="5" t="n">
        <v>0.00267361111111111</v>
      </c>
      <c r="Z1005" s="0" t="n">
        <v>0</v>
      </c>
      <c r="AA1005" s="0" t="n">
        <v>0</v>
      </c>
      <c r="AB1005" s="0" t="n">
        <v>0</v>
      </c>
      <c r="AC1005" s="4" t="s">
        <v>3206</v>
      </c>
      <c r="AD1005" s="4" t="s">
        <v>3206</v>
      </c>
      <c r="AE1005" s="4" t="s">
        <v>4009</v>
      </c>
      <c r="AF1005" s="4" t="s">
        <v>4012</v>
      </c>
      <c r="AG1005" s="5" t="n">
        <v>0.272881944444445</v>
      </c>
      <c r="AH1005" s="5" t="n">
        <v>0.105462962962963</v>
      </c>
      <c r="AI1005" s="5" t="n">
        <v>0</v>
      </c>
      <c r="AJ1005" s="5" t="n">
        <v>0</v>
      </c>
      <c r="AK1005" s="5" t="n">
        <v>0</v>
      </c>
      <c r="AL1005" s="5" t="n">
        <v>0</v>
      </c>
      <c r="AM1005" s="4" t="s">
        <v>78</v>
      </c>
      <c r="AN1005" s="0" t="n">
        <v>0</v>
      </c>
      <c r="AO1005" s="0" t="n">
        <v>0</v>
      </c>
      <c r="AP1005" s="0" t="n">
        <v>0</v>
      </c>
      <c r="AQ1005" s="0" t="n">
        <v>0</v>
      </c>
      <c r="AR1005" s="0" t="n">
        <v>0</v>
      </c>
      <c r="AS1005" s="0" t="n">
        <v>0</v>
      </c>
      <c r="AT1005" s="0" t="n">
        <v>0</v>
      </c>
      <c r="AU1005" s="0" t="n">
        <v>0</v>
      </c>
      <c r="AV1005" s="0" t="n">
        <v>0</v>
      </c>
      <c r="AW1005" s="0" t="n">
        <v>0</v>
      </c>
      <c r="AX1005" s="0" t="n">
        <v>0</v>
      </c>
      <c r="AY1005" s="0" t="n">
        <v>0</v>
      </c>
      <c r="AZ1005" s="0" t="n">
        <v>0</v>
      </c>
      <c r="BA1005" s="0" t="n">
        <v>0</v>
      </c>
      <c r="BB1005" s="0" t="n">
        <v>0</v>
      </c>
      <c r="BC1005" s="0" t="n">
        <v>0</v>
      </c>
      <c r="BD1005" s="0" t="n">
        <v>0</v>
      </c>
      <c r="BE1005" s="0" t="n">
        <v>0</v>
      </c>
      <c r="BF1005" s="0" t="n">
        <v>0</v>
      </c>
      <c r="BG1005" s="0" t="n">
        <v>0</v>
      </c>
      <c r="BH1005" s="0" t="n">
        <v>0</v>
      </c>
      <c r="BI1005" s="0" t="n">
        <v>0</v>
      </c>
      <c r="BJ1005" s="0" t="n">
        <v>0</v>
      </c>
      <c r="BK1005" s="0" t="n">
        <v>0</v>
      </c>
      <c r="BM1005" s="6" t="n">
        <f aca="false">IFERROR(VALUE(F1005),"")</f>
        <v>224.81</v>
      </c>
      <c r="BN1005" s="6" t="n">
        <f aca="false">IF(R1005="-","",IFERROR(VALUE(LEFT(Q1005,LEN(Q1005)-2)),""))</f>
        <v>86.74</v>
      </c>
      <c r="BO1005" s="6" t="n">
        <f aca="false">IF(R1005="-","",IFERROR(VALUE(LEFT(R1005,LEN(R1005)-5)),""))</f>
        <v>2.59</v>
      </c>
      <c r="BP1005" s="6" t="n">
        <f aca="false">IF(R1005="-","",IFERROR(VALUE(F1005),""))</f>
        <v>224.81</v>
      </c>
      <c r="BQ1005" s="4" t="n">
        <f aca="false">IF(R1005="-",1,0)</f>
        <v>0</v>
      </c>
    </row>
    <row r="1006" customFormat="false" ht="15" hidden="false" customHeight="false" outlineLevel="0" collapsed="false">
      <c r="A1006" s="0" t="s">
        <v>3997</v>
      </c>
      <c r="B1006" s="0" t="s">
        <v>3998</v>
      </c>
      <c r="C1006" s="0" t="s">
        <v>70</v>
      </c>
      <c r="E1006" s="3" t="n">
        <v>46277</v>
      </c>
      <c r="F1006" s="4" t="s">
        <v>4013</v>
      </c>
      <c r="G1006" s="5" t="n">
        <v>0.278865740740741</v>
      </c>
      <c r="H1006" s="5" t="n">
        <v>0</v>
      </c>
      <c r="I1006" s="5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5" t="n">
        <v>0</v>
      </c>
      <c r="P1006" s="5" t="n">
        <v>0</v>
      </c>
      <c r="Q1006" s="4" t="s">
        <v>4014</v>
      </c>
      <c r="R1006" s="4" t="s">
        <v>1237</v>
      </c>
      <c r="S1006" s="5" t="n">
        <v>0.000231481481481482</v>
      </c>
      <c r="T1006" s="5" t="n">
        <v>0.0409722222222222</v>
      </c>
      <c r="U1006" s="5" t="n">
        <v>0.0734953703703704</v>
      </c>
      <c r="V1006" s="5" t="n">
        <v>0.153125</v>
      </c>
      <c r="W1006" s="5" t="n">
        <v>0.00337962962962963</v>
      </c>
      <c r="X1006" s="5" t="n">
        <v>0</v>
      </c>
      <c r="Y1006" s="5" t="n">
        <v>0.000543981481481481</v>
      </c>
      <c r="Z1006" s="0" t="n">
        <v>0</v>
      </c>
      <c r="AA1006" s="0" t="n">
        <v>0</v>
      </c>
      <c r="AB1006" s="0" t="n">
        <v>0</v>
      </c>
      <c r="AC1006" s="4" t="s">
        <v>3219</v>
      </c>
      <c r="AD1006" s="4" t="s">
        <v>3206</v>
      </c>
      <c r="AE1006" s="4" t="s">
        <v>4012</v>
      </c>
      <c r="AF1006" s="4" t="s">
        <v>4015</v>
      </c>
      <c r="AG1006" s="5" t="n">
        <v>0.259618055555556</v>
      </c>
      <c r="AH1006" s="5" t="n">
        <v>0.065474537037037</v>
      </c>
      <c r="AI1006" s="5" t="n">
        <v>0</v>
      </c>
      <c r="AJ1006" s="5" t="n">
        <v>0</v>
      </c>
      <c r="AK1006" s="5" t="n">
        <v>0</v>
      </c>
      <c r="AL1006" s="5" t="n">
        <v>0</v>
      </c>
      <c r="AM1006" s="4" t="s">
        <v>78</v>
      </c>
      <c r="AN1006" s="0" t="n">
        <v>0</v>
      </c>
      <c r="AO1006" s="0" t="n">
        <v>0</v>
      </c>
      <c r="AP1006" s="0" t="n">
        <v>0</v>
      </c>
      <c r="AQ1006" s="0" t="n">
        <v>0</v>
      </c>
      <c r="AR1006" s="0" t="n">
        <v>0</v>
      </c>
      <c r="AS1006" s="0" t="n">
        <v>0</v>
      </c>
      <c r="AT1006" s="0" t="n">
        <v>0</v>
      </c>
      <c r="AU1006" s="0" t="n">
        <v>0</v>
      </c>
      <c r="AV1006" s="0" t="n">
        <v>0</v>
      </c>
      <c r="AW1006" s="0" t="n">
        <v>0</v>
      </c>
      <c r="AX1006" s="0" t="n">
        <v>0</v>
      </c>
      <c r="AY1006" s="0" t="n">
        <v>0</v>
      </c>
      <c r="AZ1006" s="0" t="n">
        <v>0</v>
      </c>
      <c r="BA1006" s="0" t="n">
        <v>0</v>
      </c>
      <c r="BB1006" s="0" t="n">
        <v>0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0</v>
      </c>
      <c r="BH1006" s="0" t="n">
        <v>0</v>
      </c>
      <c r="BI1006" s="0" t="n">
        <v>0</v>
      </c>
      <c r="BJ1006" s="0" t="n">
        <v>0</v>
      </c>
      <c r="BK1006" s="0" t="n">
        <v>0</v>
      </c>
      <c r="BM1006" s="6" t="n">
        <f aca="false">IFERROR(VALUE(F1006),"")</f>
        <v>223.71</v>
      </c>
      <c r="BN1006" s="6" t="n">
        <f aca="false">IF(R1006="-","",IFERROR(VALUE(LEFT(Q1006,LEN(Q1006)-2)),""))</f>
        <v>79.81</v>
      </c>
      <c r="BO1006" s="6" t="n">
        <f aca="false">IF(R1006="-","",IFERROR(VALUE(LEFT(R1006,LEN(R1006)-5)),""))</f>
        <v>2.8</v>
      </c>
      <c r="BP1006" s="6" t="n">
        <f aca="false">IF(R1006="-","",IFERROR(VALUE(F1006),""))</f>
        <v>223.71</v>
      </c>
      <c r="BQ1006" s="4" t="n">
        <f aca="false">IF(R1006="-",1,0)</f>
        <v>0</v>
      </c>
    </row>
    <row r="1007" customFormat="false" ht="15" hidden="false" customHeight="false" outlineLevel="0" collapsed="false">
      <c r="A1007" s="0" t="s">
        <v>3997</v>
      </c>
      <c r="B1007" s="0" t="s">
        <v>3998</v>
      </c>
      <c r="C1007" s="0" t="s">
        <v>70</v>
      </c>
      <c r="E1007" s="3" t="n">
        <v>46278</v>
      </c>
      <c r="F1007" s="4" t="s">
        <v>4016</v>
      </c>
      <c r="G1007" s="5" t="n">
        <v>0.152453703703704</v>
      </c>
      <c r="H1007" s="5" t="n">
        <v>0</v>
      </c>
      <c r="I1007" s="5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5" t="n">
        <v>0</v>
      </c>
      <c r="P1007" s="5" t="n">
        <v>0</v>
      </c>
      <c r="Q1007" s="4" t="s">
        <v>4017</v>
      </c>
      <c r="R1007" s="4" t="s">
        <v>2154</v>
      </c>
      <c r="S1007" s="5" t="n">
        <v>0.000347222222222222</v>
      </c>
      <c r="T1007" s="5" t="n">
        <v>0.0239583333333333</v>
      </c>
      <c r="U1007" s="5" t="n">
        <v>0.0384722222222222</v>
      </c>
      <c r="V1007" s="5" t="n">
        <v>0.0787615740740741</v>
      </c>
      <c r="W1007" s="5" t="n">
        <v>0.00178240740740741</v>
      </c>
      <c r="X1007" s="5" t="n">
        <v>0</v>
      </c>
      <c r="Y1007" s="5" t="n">
        <v>0.000474537037037037</v>
      </c>
      <c r="Z1007" s="0" t="n">
        <v>0</v>
      </c>
      <c r="AA1007" s="0" t="n">
        <v>0</v>
      </c>
      <c r="AB1007" s="0" t="n">
        <v>0</v>
      </c>
      <c r="AC1007" s="4" t="s">
        <v>3219</v>
      </c>
      <c r="AD1007" s="4" t="s">
        <v>3938</v>
      </c>
      <c r="AE1007" s="4" t="s">
        <v>4015</v>
      </c>
      <c r="AF1007" s="4" t="s">
        <v>4018</v>
      </c>
      <c r="AG1007" s="5" t="n">
        <v>0.137777777777778</v>
      </c>
      <c r="AH1007" s="5" t="n">
        <v>0.0669907407407407</v>
      </c>
      <c r="AI1007" s="5" t="n">
        <v>0</v>
      </c>
      <c r="AJ1007" s="5" t="n">
        <v>0</v>
      </c>
      <c r="AK1007" s="5" t="n">
        <v>0</v>
      </c>
      <c r="AL1007" s="5" t="n">
        <v>0</v>
      </c>
      <c r="AM1007" s="4" t="s">
        <v>78</v>
      </c>
      <c r="AN1007" s="0" t="n">
        <v>0</v>
      </c>
      <c r="AO1007" s="0" t="n">
        <v>0</v>
      </c>
      <c r="AP1007" s="0" t="n">
        <v>0</v>
      </c>
      <c r="AQ1007" s="0" t="n">
        <v>0</v>
      </c>
      <c r="AR1007" s="0" t="n">
        <v>0</v>
      </c>
      <c r="AS1007" s="0" t="n">
        <v>0</v>
      </c>
      <c r="AT1007" s="0" t="n">
        <v>0</v>
      </c>
      <c r="AU1007" s="0" t="n">
        <v>0</v>
      </c>
      <c r="AV1007" s="0" t="n">
        <v>0</v>
      </c>
      <c r="AW1007" s="0" t="n">
        <v>0</v>
      </c>
      <c r="AX1007" s="0" t="n">
        <v>0</v>
      </c>
      <c r="AY1007" s="0" t="n">
        <v>0</v>
      </c>
      <c r="AZ1007" s="0" t="n">
        <v>0</v>
      </c>
      <c r="BA1007" s="0" t="n">
        <v>0</v>
      </c>
      <c r="BB1007" s="0" t="n">
        <v>0</v>
      </c>
      <c r="BC1007" s="0" t="n">
        <v>0</v>
      </c>
      <c r="BD1007" s="0" t="n">
        <v>0</v>
      </c>
      <c r="BE1007" s="0" t="n">
        <v>0</v>
      </c>
      <c r="BF1007" s="0" t="n">
        <v>0</v>
      </c>
      <c r="BG1007" s="0" t="n">
        <v>0</v>
      </c>
      <c r="BH1007" s="0" t="n">
        <v>0</v>
      </c>
      <c r="BI1007" s="0" t="n">
        <v>0</v>
      </c>
      <c r="BJ1007" s="0" t="n">
        <v>0</v>
      </c>
      <c r="BK1007" s="0" t="n">
        <v>0</v>
      </c>
      <c r="BM1007" s="6" t="n">
        <f aca="false">IFERROR(VALUE(F1007),"")</f>
        <v>115.62</v>
      </c>
      <c r="BN1007" s="6" t="n">
        <f aca="false">IF(R1007="-","",IFERROR(VALUE(LEFT(Q1007,LEN(Q1007)-2)),""))</f>
        <v>45.06</v>
      </c>
      <c r="BO1007" s="6" t="n">
        <f aca="false">IF(R1007="-","",IFERROR(VALUE(LEFT(R1007,LEN(R1007)-5)),""))</f>
        <v>2.57</v>
      </c>
      <c r="BP1007" s="6" t="n">
        <f aca="false">IF(R1007="-","",IFERROR(VALUE(F1007),""))</f>
        <v>115.62</v>
      </c>
      <c r="BQ1007" s="4" t="n">
        <f aca="false">IF(R1007="-",1,0)</f>
        <v>0</v>
      </c>
    </row>
    <row r="1008" customFormat="false" ht="15" hidden="false" customHeight="false" outlineLevel="0" collapsed="false">
      <c r="A1008" s="0" t="s">
        <v>3997</v>
      </c>
      <c r="B1008" s="0" t="s">
        <v>3998</v>
      </c>
      <c r="C1008" s="0" t="s">
        <v>70</v>
      </c>
      <c r="E1008" s="3" t="n">
        <v>46279</v>
      </c>
      <c r="F1008" s="4" t="s">
        <v>4019</v>
      </c>
      <c r="G1008" s="5" t="n">
        <v>0.160231481481482</v>
      </c>
      <c r="H1008" s="5" t="n">
        <v>0</v>
      </c>
      <c r="I1008" s="5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5" t="n">
        <v>0</v>
      </c>
      <c r="P1008" s="5" t="n">
        <v>0</v>
      </c>
      <c r="Q1008" s="4" t="s">
        <v>4020</v>
      </c>
      <c r="R1008" s="4" t="s">
        <v>2179</v>
      </c>
      <c r="S1008" s="5" t="n">
        <v>0.000231481481481482</v>
      </c>
      <c r="T1008" s="5" t="n">
        <v>0.034375</v>
      </c>
      <c r="U1008" s="5" t="n">
        <v>0.0448148148148148</v>
      </c>
      <c r="V1008" s="5" t="n">
        <v>0.0747800925925926</v>
      </c>
      <c r="W1008" s="5" t="n">
        <v>0.000868055555555556</v>
      </c>
      <c r="X1008" s="5" t="n">
        <v>0</v>
      </c>
      <c r="Y1008" s="5" t="n">
        <v>0.000196759259259259</v>
      </c>
      <c r="Z1008" s="0" t="n">
        <v>0</v>
      </c>
      <c r="AA1008" s="0" t="n">
        <v>0</v>
      </c>
      <c r="AB1008" s="0" t="n">
        <v>0</v>
      </c>
      <c r="AC1008" s="4" t="s">
        <v>3219</v>
      </c>
      <c r="AD1008" s="4" t="s">
        <v>3206</v>
      </c>
      <c r="AE1008" s="4" t="s">
        <v>4018</v>
      </c>
      <c r="AF1008" s="4" t="s">
        <v>4021</v>
      </c>
      <c r="AG1008" s="5" t="n">
        <v>0.137511574074074</v>
      </c>
      <c r="AH1008" s="5" t="n">
        <v>0.0655671296296296</v>
      </c>
      <c r="AI1008" s="5" t="n">
        <v>0</v>
      </c>
      <c r="AJ1008" s="5" t="n">
        <v>0</v>
      </c>
      <c r="AK1008" s="5" t="n">
        <v>0</v>
      </c>
      <c r="AL1008" s="5" t="n">
        <v>0</v>
      </c>
      <c r="AM1008" s="4" t="s">
        <v>78</v>
      </c>
      <c r="AN1008" s="0" t="n">
        <v>0</v>
      </c>
      <c r="AO1008" s="0" t="n">
        <v>0</v>
      </c>
      <c r="AP1008" s="0" t="n">
        <v>0</v>
      </c>
      <c r="AQ1008" s="0" t="n">
        <v>0</v>
      </c>
      <c r="AR1008" s="0" t="n">
        <v>0</v>
      </c>
      <c r="AS1008" s="0" t="n">
        <v>0</v>
      </c>
      <c r="AT1008" s="0" t="n">
        <v>0</v>
      </c>
      <c r="AU1008" s="0" t="n">
        <v>0</v>
      </c>
      <c r="AV1008" s="0" t="n">
        <v>0</v>
      </c>
      <c r="AW1008" s="0" t="n">
        <v>0</v>
      </c>
      <c r="AX1008" s="0" t="n">
        <v>0</v>
      </c>
      <c r="AY1008" s="0" t="n">
        <v>0</v>
      </c>
      <c r="AZ1008" s="0" t="n">
        <v>0</v>
      </c>
      <c r="BA1008" s="0" t="n">
        <v>0</v>
      </c>
      <c r="BB1008" s="0" t="n">
        <v>0</v>
      </c>
      <c r="BC1008" s="0" t="n">
        <v>0</v>
      </c>
      <c r="BD1008" s="0" t="n">
        <v>0</v>
      </c>
      <c r="BE1008" s="0" t="n">
        <v>0</v>
      </c>
      <c r="BF1008" s="0" t="n">
        <v>0</v>
      </c>
      <c r="BG1008" s="0" t="n">
        <v>0</v>
      </c>
      <c r="BH1008" s="0" t="n">
        <v>0</v>
      </c>
      <c r="BI1008" s="0" t="n">
        <v>0</v>
      </c>
      <c r="BJ1008" s="0" t="n">
        <v>0</v>
      </c>
      <c r="BK1008" s="0" t="n">
        <v>0</v>
      </c>
      <c r="BM1008" s="6" t="n">
        <f aca="false">IFERROR(VALUE(F1008),"")</f>
        <v>115</v>
      </c>
      <c r="BN1008" s="6" t="n">
        <f aca="false">IF(R1008="-","",IFERROR(VALUE(LEFT(Q1008,LEN(Q1008)-2)),""))</f>
        <v>45.3</v>
      </c>
      <c r="BO1008" s="6" t="n">
        <f aca="false">IF(R1008="-","",IFERROR(VALUE(LEFT(R1008,LEN(R1008)-5)),""))</f>
        <v>2.54</v>
      </c>
      <c r="BP1008" s="6" t="n">
        <f aca="false">IF(R1008="-","",IFERROR(VALUE(F1008),""))</f>
        <v>115</v>
      </c>
      <c r="BQ1008" s="4" t="n">
        <f aca="false">IF(R1008="-",1,0)</f>
        <v>0</v>
      </c>
    </row>
    <row r="1009" customFormat="false" ht="15" hidden="false" customHeight="false" outlineLevel="0" collapsed="false">
      <c r="A1009" s="0" t="s">
        <v>4022</v>
      </c>
      <c r="B1009" s="0" t="s">
        <v>4023</v>
      </c>
      <c r="C1009" s="0" t="s">
        <v>70</v>
      </c>
      <c r="E1009" s="3" t="n">
        <v>46273</v>
      </c>
      <c r="F1009" s="4" t="s">
        <v>4024</v>
      </c>
      <c r="G1009" s="5" t="n">
        <v>0.164456018518519</v>
      </c>
      <c r="H1009" s="5" t="n">
        <v>0</v>
      </c>
      <c r="I1009" s="5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1</v>
      </c>
      <c r="O1009" s="5" t="n">
        <v>0</v>
      </c>
      <c r="P1009" s="5" t="n">
        <v>0</v>
      </c>
      <c r="Q1009" s="4" t="s">
        <v>4025</v>
      </c>
      <c r="R1009" s="4" t="s">
        <v>1421</v>
      </c>
      <c r="S1009" s="5" t="n">
        <v>0</v>
      </c>
      <c r="T1009" s="5" t="n">
        <v>0.0253472222222222</v>
      </c>
      <c r="U1009" s="5" t="n">
        <v>0.0438541666666667</v>
      </c>
      <c r="V1009" s="5" t="n">
        <v>0.0775578703703704</v>
      </c>
      <c r="W1009" s="5" t="n">
        <v>0.00155092592592593</v>
      </c>
      <c r="X1009" s="5" t="n">
        <v>0</v>
      </c>
      <c r="Y1009" s="5" t="n">
        <v>0.000509259259259259</v>
      </c>
      <c r="Z1009" s="0" t="n">
        <v>0</v>
      </c>
      <c r="AA1009" s="0" t="n">
        <v>0</v>
      </c>
      <c r="AB1009" s="0" t="n">
        <v>0</v>
      </c>
      <c r="AC1009" s="4" t="s">
        <v>3219</v>
      </c>
      <c r="AD1009" s="4" t="s">
        <v>3951</v>
      </c>
      <c r="AE1009" s="4" t="s">
        <v>4026</v>
      </c>
      <c r="AF1009" s="4" t="s">
        <v>4027</v>
      </c>
      <c r="AG1009" s="5" t="n">
        <v>0.137546296296296</v>
      </c>
      <c r="AH1009" s="5" t="n">
        <v>0.0703472222222222</v>
      </c>
      <c r="AI1009" s="5" t="n">
        <v>0</v>
      </c>
      <c r="AJ1009" s="5" t="n">
        <v>0</v>
      </c>
      <c r="AK1009" s="5" t="n">
        <v>0</v>
      </c>
      <c r="AL1009" s="5" t="n">
        <v>0</v>
      </c>
      <c r="AM1009" s="4" t="s">
        <v>78</v>
      </c>
      <c r="AN1009" s="0" t="n">
        <v>0</v>
      </c>
      <c r="AO1009" s="0" t="n">
        <v>0</v>
      </c>
      <c r="AP1009" s="0" t="n">
        <v>0</v>
      </c>
      <c r="AQ1009" s="0" t="n">
        <v>0</v>
      </c>
      <c r="AR1009" s="0" t="n">
        <v>0</v>
      </c>
      <c r="AS1009" s="0" t="n">
        <v>0</v>
      </c>
      <c r="AT1009" s="0" t="n">
        <v>0</v>
      </c>
      <c r="AU1009" s="0" t="n">
        <v>0</v>
      </c>
      <c r="AV1009" s="0" t="n">
        <v>0</v>
      </c>
      <c r="AW1009" s="0" t="n">
        <v>0</v>
      </c>
      <c r="AX1009" s="0" t="n">
        <v>0</v>
      </c>
      <c r="AY1009" s="0" t="n">
        <v>0</v>
      </c>
      <c r="AZ1009" s="0" t="n">
        <v>0</v>
      </c>
      <c r="BA1009" s="0" t="n">
        <v>0</v>
      </c>
      <c r="BB1009" s="0" t="n">
        <v>0</v>
      </c>
      <c r="BC1009" s="0" t="n">
        <v>0</v>
      </c>
      <c r="BD1009" s="0" t="n">
        <v>0</v>
      </c>
      <c r="BE1009" s="0" t="n">
        <v>0</v>
      </c>
      <c r="BF1009" s="0" t="n">
        <v>0</v>
      </c>
      <c r="BG1009" s="0" t="n">
        <v>0</v>
      </c>
      <c r="BH1009" s="0" t="n">
        <v>0</v>
      </c>
      <c r="BI1009" s="0" t="n">
        <v>0</v>
      </c>
      <c r="BJ1009" s="0" t="n">
        <v>0</v>
      </c>
      <c r="BK1009" s="0" t="n">
        <v>0</v>
      </c>
      <c r="BM1009" s="6" t="n">
        <f aca="false">IFERROR(VALUE(F1009),"")</f>
        <v>115.52</v>
      </c>
      <c r="BN1009" s="6" t="n">
        <f aca="false">IF(R1009="-","",IFERROR(VALUE(LEFT(Q1009,LEN(Q1009)-2)),""))</f>
        <v>43.45</v>
      </c>
      <c r="BO1009" s="6" t="n">
        <f aca="false">IF(R1009="-","",IFERROR(VALUE(LEFT(R1009,LEN(R1009)-5)),""))</f>
        <v>2.66</v>
      </c>
      <c r="BP1009" s="6" t="n">
        <f aca="false">IF(R1009="-","",IFERROR(VALUE(F1009),""))</f>
        <v>115.52</v>
      </c>
      <c r="BQ1009" s="4" t="n">
        <f aca="false">IF(R1009="-",1,0)</f>
        <v>0</v>
      </c>
    </row>
    <row r="1010" customFormat="false" ht="15" hidden="false" customHeight="false" outlineLevel="0" collapsed="false">
      <c r="A1010" s="0" t="s">
        <v>4022</v>
      </c>
      <c r="B1010" s="0" t="s">
        <v>4023</v>
      </c>
      <c r="C1010" s="0" t="s">
        <v>70</v>
      </c>
      <c r="E1010" s="3" t="n">
        <v>46274</v>
      </c>
      <c r="F1010" s="4" t="s">
        <v>4028</v>
      </c>
      <c r="G1010" s="5" t="n">
        <v>0.264224537037037</v>
      </c>
      <c r="H1010" s="5" t="n">
        <v>0</v>
      </c>
      <c r="I1010" s="5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1</v>
      </c>
      <c r="O1010" s="5" t="n">
        <v>0</v>
      </c>
      <c r="P1010" s="5" t="n">
        <v>0</v>
      </c>
      <c r="Q1010" s="4" t="s">
        <v>4029</v>
      </c>
      <c r="R1010" s="4" t="s">
        <v>2154</v>
      </c>
      <c r="S1010" s="5" t="n">
        <v>0</v>
      </c>
      <c r="T1010" s="5" t="n">
        <v>0.0643518518518519</v>
      </c>
      <c r="U1010" s="5" t="n">
        <v>0.0734143518518519</v>
      </c>
      <c r="V1010" s="5" t="n">
        <v>0.119918981481482</v>
      </c>
      <c r="W1010" s="5" t="n">
        <v>0.00125</v>
      </c>
      <c r="X1010" s="5" t="n">
        <v>0</v>
      </c>
      <c r="Y1010" s="5" t="n">
        <v>0.000497685185185185</v>
      </c>
      <c r="Z1010" s="0" t="n">
        <v>0</v>
      </c>
      <c r="AA1010" s="0" t="n">
        <v>0</v>
      </c>
      <c r="AB1010" s="0" t="n">
        <v>0</v>
      </c>
      <c r="AC1010" s="4" t="s">
        <v>3219</v>
      </c>
      <c r="AD1010" s="4" t="s">
        <v>73</v>
      </c>
      <c r="AE1010" s="4" t="s">
        <v>4027</v>
      </c>
      <c r="AF1010" s="4" t="s">
        <v>4030</v>
      </c>
      <c r="AG1010" s="5" t="n">
        <v>0.228449074074074</v>
      </c>
      <c r="AH1010" s="5" t="n">
        <v>0.111712962962963</v>
      </c>
      <c r="AI1010" s="5" t="n">
        <v>0</v>
      </c>
      <c r="AJ1010" s="5" t="n">
        <v>0</v>
      </c>
      <c r="AK1010" s="5" t="n">
        <v>0</v>
      </c>
      <c r="AL1010" s="5" t="n">
        <v>0</v>
      </c>
      <c r="AM1010" s="4" t="s">
        <v>78</v>
      </c>
      <c r="AN1010" s="0" t="n">
        <v>0</v>
      </c>
      <c r="AO1010" s="0" t="n">
        <v>0</v>
      </c>
      <c r="AP1010" s="0" t="n">
        <v>0</v>
      </c>
      <c r="AQ1010" s="0" t="n">
        <v>0</v>
      </c>
      <c r="AR1010" s="0" t="n">
        <v>0</v>
      </c>
      <c r="AS1010" s="0" t="n">
        <v>0</v>
      </c>
      <c r="AT1010" s="0" t="n">
        <v>0</v>
      </c>
      <c r="AU1010" s="0" t="n">
        <v>0</v>
      </c>
      <c r="AV1010" s="0" t="n">
        <v>0</v>
      </c>
      <c r="AW1010" s="0" t="n">
        <v>0</v>
      </c>
      <c r="AX1010" s="0" t="n">
        <v>0</v>
      </c>
      <c r="AY1010" s="0" t="n">
        <v>0</v>
      </c>
      <c r="AZ1010" s="0" t="n">
        <v>0</v>
      </c>
      <c r="BA1010" s="0" t="n">
        <v>0</v>
      </c>
      <c r="BB1010" s="0" t="n">
        <v>0</v>
      </c>
      <c r="BC1010" s="0" t="n">
        <v>0</v>
      </c>
      <c r="BD1010" s="0" t="n">
        <v>0</v>
      </c>
      <c r="BE1010" s="0" t="n">
        <v>0</v>
      </c>
      <c r="BF1010" s="0" t="n">
        <v>0</v>
      </c>
      <c r="BG1010" s="0" t="n">
        <v>0</v>
      </c>
      <c r="BH1010" s="0" t="n">
        <v>0</v>
      </c>
      <c r="BI1010" s="0" t="n">
        <v>0</v>
      </c>
      <c r="BJ1010" s="0" t="n">
        <v>0</v>
      </c>
      <c r="BK1010" s="0" t="n">
        <v>0</v>
      </c>
      <c r="BM1010" s="6" t="n">
        <f aca="false">IFERROR(VALUE(F1010),"")</f>
        <v>178.9</v>
      </c>
      <c r="BN1010" s="6" t="n">
        <f aca="false">IF(R1010="-","",IFERROR(VALUE(LEFT(Q1010,LEN(Q1010)-2)),""))</f>
        <v>69.49</v>
      </c>
      <c r="BO1010" s="6" t="n">
        <f aca="false">IF(R1010="-","",IFERROR(VALUE(LEFT(R1010,LEN(R1010)-5)),""))</f>
        <v>2.57</v>
      </c>
      <c r="BP1010" s="6" t="n">
        <f aca="false">IF(R1010="-","",IFERROR(VALUE(F1010),""))</f>
        <v>178.9</v>
      </c>
      <c r="BQ1010" s="4" t="n">
        <f aca="false">IF(R1010="-",1,0)</f>
        <v>0</v>
      </c>
    </row>
    <row r="1011" customFormat="false" ht="15" hidden="false" customHeight="false" outlineLevel="0" collapsed="false">
      <c r="A1011" s="0" t="s">
        <v>4022</v>
      </c>
      <c r="B1011" s="0" t="s">
        <v>4023</v>
      </c>
      <c r="C1011" s="0" t="s">
        <v>70</v>
      </c>
      <c r="E1011" s="3" t="n">
        <v>46275</v>
      </c>
      <c r="F1011" s="4" t="s">
        <v>4031</v>
      </c>
      <c r="G1011" s="5" t="n">
        <v>0.173055555555556</v>
      </c>
      <c r="H1011" s="5" t="n">
        <v>0</v>
      </c>
      <c r="I1011" s="5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5</v>
      </c>
      <c r="O1011" s="5" t="n">
        <v>0</v>
      </c>
      <c r="P1011" s="5" t="n">
        <v>0</v>
      </c>
      <c r="Q1011" s="4" t="s">
        <v>4032</v>
      </c>
      <c r="R1011" s="4" t="s">
        <v>1944</v>
      </c>
      <c r="S1011" s="5" t="n">
        <v>0.000115740740740741</v>
      </c>
      <c r="T1011" s="5" t="n">
        <v>0.030787037037037</v>
      </c>
      <c r="U1011" s="5" t="n">
        <v>0.0547800925925926</v>
      </c>
      <c r="V1011" s="5" t="n">
        <v>0.0808796296296296</v>
      </c>
      <c r="W1011" s="5" t="n">
        <v>0.00136574074074074</v>
      </c>
      <c r="X1011" s="5" t="n">
        <v>0</v>
      </c>
      <c r="Y1011" s="5" t="n">
        <v>0.000266203703703704</v>
      </c>
      <c r="Z1011" s="0" t="n">
        <v>0</v>
      </c>
      <c r="AA1011" s="0" t="n">
        <v>0</v>
      </c>
      <c r="AB1011" s="0" t="n">
        <v>0</v>
      </c>
      <c r="AC1011" s="4" t="s">
        <v>73</v>
      </c>
      <c r="AD1011" s="4" t="s">
        <v>3196</v>
      </c>
      <c r="AE1011" s="4" t="s">
        <v>4030</v>
      </c>
      <c r="AF1011" s="4" t="s">
        <v>4033</v>
      </c>
      <c r="AG1011" s="5" t="n">
        <v>0.157685185185185</v>
      </c>
      <c r="AH1011" s="5" t="n">
        <v>0.0333101851851852</v>
      </c>
      <c r="AI1011" s="5" t="n">
        <v>0</v>
      </c>
      <c r="AJ1011" s="5" t="n">
        <v>0</v>
      </c>
      <c r="AK1011" s="5" t="n">
        <v>0</v>
      </c>
      <c r="AL1011" s="5" t="n">
        <v>0</v>
      </c>
      <c r="AM1011" s="4" t="s">
        <v>78</v>
      </c>
      <c r="AN1011" s="0" t="n">
        <v>0</v>
      </c>
      <c r="AO1011" s="0" t="n">
        <v>0</v>
      </c>
      <c r="AP1011" s="0" t="n">
        <v>0</v>
      </c>
      <c r="AQ1011" s="0" t="n">
        <v>0</v>
      </c>
      <c r="AR1011" s="0" t="n">
        <v>0</v>
      </c>
      <c r="AS1011" s="0" t="n">
        <v>0</v>
      </c>
      <c r="AT1011" s="0" t="n">
        <v>0</v>
      </c>
      <c r="AU1011" s="0" t="n">
        <v>0</v>
      </c>
      <c r="AV1011" s="0" t="n">
        <v>0</v>
      </c>
      <c r="AW1011" s="0" t="n">
        <v>0</v>
      </c>
      <c r="AX1011" s="0" t="n">
        <v>0</v>
      </c>
      <c r="AY1011" s="0" t="n">
        <v>0</v>
      </c>
      <c r="AZ1011" s="0" t="n">
        <v>0</v>
      </c>
      <c r="BA1011" s="0" t="n">
        <v>0</v>
      </c>
      <c r="BB1011" s="0" t="n">
        <v>0</v>
      </c>
      <c r="BC1011" s="0" t="n">
        <v>0</v>
      </c>
      <c r="BD1011" s="0" t="n">
        <v>0</v>
      </c>
      <c r="BE1011" s="0" t="n">
        <v>0</v>
      </c>
      <c r="BF1011" s="0" t="n">
        <v>0</v>
      </c>
      <c r="BG1011" s="0" t="n">
        <v>0</v>
      </c>
      <c r="BH1011" s="0" t="n">
        <v>0</v>
      </c>
      <c r="BI1011" s="0" t="n">
        <v>0</v>
      </c>
      <c r="BJ1011" s="0" t="n">
        <v>0</v>
      </c>
      <c r="BK1011" s="0" t="n">
        <v>0</v>
      </c>
      <c r="BM1011" s="6" t="n">
        <f aca="false">IFERROR(VALUE(F1011),"")</f>
        <v>130.76</v>
      </c>
      <c r="BN1011" s="6" t="n">
        <f aca="false">IF(R1011="-","",IFERROR(VALUE(LEFT(Q1011,LEN(Q1011)-2)),""))</f>
        <v>47.67</v>
      </c>
      <c r="BO1011" s="6" t="n">
        <f aca="false">IF(R1011="-","",IFERROR(VALUE(LEFT(R1011,LEN(R1011)-5)),""))</f>
        <v>2.74</v>
      </c>
      <c r="BP1011" s="6" t="n">
        <f aca="false">IF(R1011="-","",IFERROR(VALUE(F1011),""))</f>
        <v>130.76</v>
      </c>
      <c r="BQ1011" s="4" t="n">
        <f aca="false">IF(R1011="-",1,0)</f>
        <v>0</v>
      </c>
    </row>
    <row r="1012" customFormat="false" ht="15" hidden="false" customHeight="false" outlineLevel="0" collapsed="false">
      <c r="A1012" s="0" t="s">
        <v>4022</v>
      </c>
      <c r="B1012" s="0" t="s">
        <v>4023</v>
      </c>
      <c r="C1012" s="0" t="s">
        <v>70</v>
      </c>
      <c r="E1012" s="3" t="n">
        <v>46276</v>
      </c>
      <c r="F1012" s="4" t="s">
        <v>4034</v>
      </c>
      <c r="G1012" s="5" t="n">
        <v>0.0890856481481482</v>
      </c>
      <c r="H1012" s="5" t="n">
        <v>0</v>
      </c>
      <c r="I1012" s="5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1</v>
      </c>
      <c r="O1012" s="5" t="n">
        <v>0</v>
      </c>
      <c r="P1012" s="5" t="n">
        <v>0</v>
      </c>
      <c r="Q1012" s="4" t="s">
        <v>4035</v>
      </c>
      <c r="R1012" s="4" t="s">
        <v>487</v>
      </c>
      <c r="S1012" s="5" t="n">
        <v>0</v>
      </c>
      <c r="T1012" s="5" t="n">
        <v>0.0394675925925926</v>
      </c>
      <c r="U1012" s="5" t="n">
        <v>0.0196759259259259</v>
      </c>
      <c r="V1012" s="5" t="n">
        <v>0.0277777777777778</v>
      </c>
      <c r="W1012" s="5" t="n">
        <v>0.000115740740740741</v>
      </c>
      <c r="X1012" s="5" t="n">
        <v>0</v>
      </c>
      <c r="Y1012" s="5" t="n">
        <v>0</v>
      </c>
      <c r="Z1012" s="0" t="n">
        <v>0</v>
      </c>
      <c r="AA1012" s="0" t="n">
        <v>0</v>
      </c>
      <c r="AB1012" s="0" t="n">
        <v>0</v>
      </c>
      <c r="AC1012" s="4" t="s">
        <v>3196</v>
      </c>
      <c r="AD1012" s="4" t="s">
        <v>3196</v>
      </c>
      <c r="AE1012" s="4" t="s">
        <v>4033</v>
      </c>
      <c r="AF1012" s="4" t="s">
        <v>4036</v>
      </c>
      <c r="AG1012" s="5" t="n">
        <v>0.0651736111111111</v>
      </c>
      <c r="AH1012" s="5" t="n">
        <v>0.0604513888888889</v>
      </c>
      <c r="AI1012" s="5" t="n">
        <v>0</v>
      </c>
      <c r="AJ1012" s="5" t="n">
        <v>0</v>
      </c>
      <c r="AK1012" s="5" t="n">
        <v>0</v>
      </c>
      <c r="AL1012" s="5" t="n">
        <v>0</v>
      </c>
      <c r="AM1012" s="4" t="s">
        <v>78</v>
      </c>
      <c r="AN1012" s="0" t="n">
        <v>0</v>
      </c>
      <c r="AO1012" s="0" t="n">
        <v>0</v>
      </c>
      <c r="AP1012" s="0" t="n">
        <v>0</v>
      </c>
      <c r="AQ1012" s="0" t="n">
        <v>0</v>
      </c>
      <c r="AR1012" s="0" t="n">
        <v>0</v>
      </c>
      <c r="AS1012" s="0" t="n">
        <v>0</v>
      </c>
      <c r="AT1012" s="0" t="n">
        <v>0</v>
      </c>
      <c r="AU1012" s="0" t="n">
        <v>0</v>
      </c>
      <c r="AV1012" s="0" t="n">
        <v>0</v>
      </c>
      <c r="AW1012" s="0" t="n">
        <v>0</v>
      </c>
      <c r="AX1012" s="0" t="n">
        <v>0</v>
      </c>
      <c r="AY1012" s="0" t="n">
        <v>0</v>
      </c>
      <c r="AZ1012" s="0" t="n">
        <v>0</v>
      </c>
      <c r="BA1012" s="0" t="n">
        <v>0</v>
      </c>
      <c r="BB1012" s="0" t="n">
        <v>0</v>
      </c>
      <c r="BC1012" s="0" t="n">
        <v>0</v>
      </c>
      <c r="BD1012" s="0" t="n">
        <v>0</v>
      </c>
      <c r="BE1012" s="0" t="n">
        <v>0</v>
      </c>
      <c r="BF1012" s="0" t="n">
        <v>0</v>
      </c>
      <c r="BG1012" s="0" t="n">
        <v>0</v>
      </c>
      <c r="BH1012" s="0" t="n">
        <v>0</v>
      </c>
      <c r="BI1012" s="0" t="n">
        <v>0</v>
      </c>
      <c r="BJ1012" s="0" t="n">
        <v>0</v>
      </c>
      <c r="BK1012" s="0" t="n">
        <v>0</v>
      </c>
      <c r="BM1012" s="6" t="n">
        <f aca="false">IFERROR(VALUE(F1012),"")</f>
        <v>42.18</v>
      </c>
      <c r="BN1012" s="6" t="n">
        <f aca="false">IF(R1012="-","",IFERROR(VALUE(LEFT(Q1012,LEN(Q1012)-2)),""))</f>
        <v>15.5</v>
      </c>
      <c r="BO1012" s="6" t="n">
        <f aca="false">IF(R1012="-","",IFERROR(VALUE(LEFT(R1012,LEN(R1012)-5)),""))</f>
        <v>2.72</v>
      </c>
      <c r="BP1012" s="6" t="n">
        <f aca="false">IF(R1012="-","",IFERROR(VALUE(F1012),""))</f>
        <v>42.18</v>
      </c>
      <c r="BQ1012" s="4" t="n">
        <f aca="false">IF(R1012="-",1,0)</f>
        <v>0</v>
      </c>
    </row>
    <row r="1013" customFormat="false" ht="15" hidden="false" customHeight="false" outlineLevel="0" collapsed="false">
      <c r="A1013" s="0" t="s">
        <v>4022</v>
      </c>
      <c r="B1013" s="0" t="s">
        <v>4023</v>
      </c>
      <c r="C1013" s="0" t="s">
        <v>70</v>
      </c>
      <c r="E1013" s="3" t="n">
        <v>46279</v>
      </c>
      <c r="F1013" s="4" t="s">
        <v>4037</v>
      </c>
      <c r="G1013" s="5" t="n">
        <v>0.423483796296296</v>
      </c>
      <c r="H1013" s="5" t="n">
        <v>0</v>
      </c>
      <c r="I1013" s="5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2</v>
      </c>
      <c r="O1013" s="5" t="n">
        <v>0</v>
      </c>
      <c r="P1013" s="5" t="n">
        <v>0</v>
      </c>
      <c r="Q1013" s="4" t="s">
        <v>4038</v>
      </c>
      <c r="R1013" s="4" t="s">
        <v>1169</v>
      </c>
      <c r="S1013" s="5" t="n">
        <v>0.000231481481481482</v>
      </c>
      <c r="T1013" s="5" t="n">
        <v>0.0689814814814815</v>
      </c>
      <c r="U1013" s="5" t="n">
        <v>0.110532407407407</v>
      </c>
      <c r="V1013" s="5" t="n">
        <v>0.155555555555556</v>
      </c>
      <c r="W1013" s="5" t="n">
        <v>0.000231481481481482</v>
      </c>
      <c r="X1013" s="5" t="n">
        <v>0</v>
      </c>
      <c r="Y1013" s="5" t="n">
        <v>0</v>
      </c>
      <c r="Z1013" s="0" t="n">
        <v>0</v>
      </c>
      <c r="AA1013" s="0" t="n">
        <v>0</v>
      </c>
      <c r="AB1013" s="0" t="n">
        <v>0</v>
      </c>
      <c r="AC1013" s="4" t="s">
        <v>3196</v>
      </c>
      <c r="AD1013" s="4" t="s">
        <v>73</v>
      </c>
      <c r="AE1013" s="4" t="s">
        <v>4036</v>
      </c>
      <c r="AF1013" s="4" t="s">
        <v>4039</v>
      </c>
      <c r="AG1013" s="5" t="n">
        <v>0.313043981481482</v>
      </c>
      <c r="AH1013" s="5" t="n">
        <v>0.131458333333333</v>
      </c>
      <c r="AI1013" s="5" t="n">
        <v>0</v>
      </c>
      <c r="AJ1013" s="5" t="n">
        <v>0</v>
      </c>
      <c r="AK1013" s="5" t="n">
        <v>0</v>
      </c>
      <c r="AL1013" s="5" t="n">
        <v>0</v>
      </c>
      <c r="AM1013" s="4" t="s">
        <v>78</v>
      </c>
      <c r="AN1013" s="0" t="n">
        <v>0</v>
      </c>
      <c r="AO1013" s="0" t="n">
        <v>0</v>
      </c>
      <c r="AP1013" s="0" t="n">
        <v>0</v>
      </c>
      <c r="AQ1013" s="0" t="n">
        <v>0</v>
      </c>
      <c r="AR1013" s="0" t="n">
        <v>0</v>
      </c>
      <c r="AS1013" s="0" t="n">
        <v>0</v>
      </c>
      <c r="AT1013" s="0" t="n">
        <v>0</v>
      </c>
      <c r="AU1013" s="0" t="n">
        <v>0</v>
      </c>
      <c r="AV1013" s="0" t="n">
        <v>0</v>
      </c>
      <c r="AW1013" s="0" t="n">
        <v>0</v>
      </c>
      <c r="AX1013" s="0" t="n">
        <v>0</v>
      </c>
      <c r="AY1013" s="0" t="n">
        <v>0</v>
      </c>
      <c r="AZ1013" s="0" t="n">
        <v>0</v>
      </c>
      <c r="BA1013" s="0" t="n">
        <v>0</v>
      </c>
      <c r="BB1013" s="0" t="n">
        <v>0</v>
      </c>
      <c r="BC1013" s="0" t="n">
        <v>0</v>
      </c>
      <c r="BD1013" s="0" t="n">
        <v>0</v>
      </c>
      <c r="BE1013" s="0" t="n">
        <v>0</v>
      </c>
      <c r="BF1013" s="0" t="n">
        <v>0</v>
      </c>
      <c r="BG1013" s="0" t="n">
        <v>0</v>
      </c>
      <c r="BH1013" s="0" t="n">
        <v>0</v>
      </c>
      <c r="BI1013" s="0" t="n">
        <v>0</v>
      </c>
      <c r="BJ1013" s="0" t="n">
        <v>0</v>
      </c>
      <c r="BK1013" s="0" t="n">
        <v>0</v>
      </c>
      <c r="BM1013" s="6" t="n">
        <f aca="false">IFERROR(VALUE(F1013),"")</f>
        <v>247.17</v>
      </c>
      <c r="BN1013" s="6" t="n">
        <f aca="false">IF(R1013="-","",IFERROR(VALUE(LEFT(Q1013,LEN(Q1013)-2)),""))</f>
        <v>93.88</v>
      </c>
      <c r="BO1013" s="6" t="n">
        <f aca="false">IF(R1013="-","",IFERROR(VALUE(LEFT(R1013,LEN(R1013)-5)),""))</f>
        <v>2.63</v>
      </c>
      <c r="BP1013" s="6" t="n">
        <f aca="false">IF(R1013="-","",IFERROR(VALUE(F1013),""))</f>
        <v>247.17</v>
      </c>
      <c r="BQ1013" s="4" t="n">
        <f aca="false">IF(R1013="-",1,0)</f>
        <v>0</v>
      </c>
    </row>
    <row r="1014" customFormat="false" ht="15" hidden="false" customHeight="false" outlineLevel="0" collapsed="false">
      <c r="A1014" s="0" t="s">
        <v>4040</v>
      </c>
      <c r="B1014" s="0" t="s">
        <v>4041</v>
      </c>
      <c r="C1014" s="0" t="s">
        <v>70</v>
      </c>
      <c r="E1014" s="3" t="n">
        <v>46273</v>
      </c>
      <c r="F1014" s="4" t="s">
        <v>216</v>
      </c>
      <c r="G1014" s="5" t="n">
        <v>0.062650462962963</v>
      </c>
      <c r="H1014" s="5" t="n">
        <v>0</v>
      </c>
      <c r="I1014" s="5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5" t="n">
        <v>0</v>
      </c>
      <c r="P1014" s="5" t="n">
        <v>0.0464583333333333</v>
      </c>
      <c r="Q1014" s="4" t="s">
        <v>73</v>
      </c>
      <c r="R1014" s="4" t="s">
        <v>73</v>
      </c>
      <c r="S1014" s="5" t="n">
        <v>0.000115740740740741</v>
      </c>
      <c r="T1014" s="5" t="n">
        <v>0.0614583333333333</v>
      </c>
      <c r="U1014" s="5" t="n">
        <v>0.000115740740740741</v>
      </c>
      <c r="V1014" s="5" t="n">
        <v>0</v>
      </c>
      <c r="W1014" s="5" t="n">
        <v>0</v>
      </c>
      <c r="X1014" s="5" t="n">
        <v>0</v>
      </c>
      <c r="Y1014" s="5" t="n">
        <v>0</v>
      </c>
      <c r="Z1014" s="0" t="n">
        <v>0</v>
      </c>
      <c r="AA1014" s="0" t="n">
        <v>0</v>
      </c>
      <c r="AB1014" s="0" t="n">
        <v>0</v>
      </c>
      <c r="AC1014" s="4" t="s">
        <v>74</v>
      </c>
      <c r="AD1014" s="4" t="s">
        <v>74</v>
      </c>
      <c r="AE1014" s="4" t="s">
        <v>4042</v>
      </c>
      <c r="AF1014" s="4" t="s">
        <v>4043</v>
      </c>
      <c r="AG1014" s="5" t="n">
        <v>0.00552083333333333</v>
      </c>
      <c r="AH1014" s="5" t="n">
        <v>0.0674305555555556</v>
      </c>
      <c r="AI1014" s="5" t="n">
        <v>0</v>
      </c>
      <c r="AJ1014" s="5" t="n">
        <v>0</v>
      </c>
      <c r="AK1014" s="5" t="n">
        <v>0</v>
      </c>
      <c r="AL1014" s="5" t="n">
        <v>0</v>
      </c>
      <c r="AM1014" s="4" t="s">
        <v>78</v>
      </c>
      <c r="AN1014" s="0" t="n">
        <v>0</v>
      </c>
      <c r="AO1014" s="0" t="n">
        <v>0</v>
      </c>
      <c r="AP1014" s="0" t="n">
        <v>0</v>
      </c>
      <c r="AQ1014" s="0" t="n">
        <v>0</v>
      </c>
      <c r="AR1014" s="0" t="n">
        <v>0</v>
      </c>
      <c r="AS1014" s="0" t="n">
        <v>0</v>
      </c>
      <c r="AT1014" s="0" t="n">
        <v>0</v>
      </c>
      <c r="AU1014" s="0" t="n">
        <v>0</v>
      </c>
      <c r="AV1014" s="0" t="n">
        <v>0</v>
      </c>
      <c r="AW1014" s="0" t="n">
        <v>0</v>
      </c>
      <c r="AX1014" s="0" t="n">
        <v>0</v>
      </c>
      <c r="AY1014" s="0" t="n">
        <v>0</v>
      </c>
      <c r="AZ1014" s="0" t="n">
        <v>0</v>
      </c>
      <c r="BA1014" s="0" t="n">
        <v>0</v>
      </c>
      <c r="BB1014" s="0" t="n">
        <v>0</v>
      </c>
      <c r="BC1014" s="0" t="n">
        <v>0</v>
      </c>
      <c r="BD1014" s="0" t="n">
        <v>0</v>
      </c>
      <c r="BE1014" s="0" t="n">
        <v>0</v>
      </c>
      <c r="BF1014" s="0" t="n">
        <v>0</v>
      </c>
      <c r="BG1014" s="0" t="n">
        <v>0</v>
      </c>
      <c r="BH1014" s="0" t="n">
        <v>0</v>
      </c>
      <c r="BI1014" s="0" t="n">
        <v>0</v>
      </c>
      <c r="BJ1014" s="0" t="n">
        <v>0</v>
      </c>
      <c r="BK1014" s="0" t="n">
        <v>0</v>
      </c>
      <c r="BM1014" s="6" t="n">
        <f aca="false">IFERROR(VALUE(F1014),"")</f>
        <v>0.19</v>
      </c>
      <c r="BN1014" s="6" t="str">
        <f aca="false">IF(R1014="-","",IFERROR(VALUE(LEFT(Q1014,LEN(Q1014)-2)),""))</f>
        <v/>
      </c>
      <c r="BO1014" s="6" t="str">
        <f aca="false">IF(R1014="-","",IFERROR(VALUE(LEFT(R1014,LEN(R1014)-5)),""))</f>
        <v/>
      </c>
      <c r="BP1014" s="6" t="str">
        <f aca="false">IF(R1014="-","",IFERROR(VALUE(F1014),""))</f>
        <v/>
      </c>
      <c r="BQ1014" s="4" t="n">
        <f aca="false">IF(R1014="-",1,0)</f>
        <v>1</v>
      </c>
    </row>
    <row r="1015" customFormat="false" ht="15" hidden="false" customHeight="false" outlineLevel="0" collapsed="false">
      <c r="A1015" s="0" t="s">
        <v>4040</v>
      </c>
      <c r="B1015" s="0" t="s">
        <v>4041</v>
      </c>
      <c r="C1015" s="0" t="s">
        <v>70</v>
      </c>
      <c r="D1015" s="0" t="s">
        <v>4044</v>
      </c>
      <c r="E1015" s="3" t="n">
        <v>46274</v>
      </c>
      <c r="F1015" s="4" t="s">
        <v>1936</v>
      </c>
      <c r="G1015" s="5" t="n">
        <v>0.304340277777778</v>
      </c>
      <c r="H1015" s="5" t="n">
        <v>0.245532407407407</v>
      </c>
      <c r="I1015" s="5" t="n">
        <v>0.000289351851851852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10</v>
      </c>
      <c r="O1015" s="5" t="n">
        <v>0</v>
      </c>
      <c r="P1015" s="5" t="n">
        <v>0.0180902777777778</v>
      </c>
      <c r="Q1015" s="4" t="s">
        <v>73</v>
      </c>
      <c r="R1015" s="4" t="s">
        <v>73</v>
      </c>
      <c r="S1015" s="5" t="n">
        <v>0.000231481481481482</v>
      </c>
      <c r="T1015" s="5" t="n">
        <v>0.13587962962963</v>
      </c>
      <c r="U1015" s="5" t="n">
        <v>0.0737268518518519</v>
      </c>
      <c r="V1015" s="5" t="n">
        <v>0.0721064814814815</v>
      </c>
      <c r="W1015" s="5" t="n">
        <v>0.000115740740740741</v>
      </c>
      <c r="X1015" s="5" t="n">
        <v>0</v>
      </c>
      <c r="Y1015" s="5" t="n">
        <v>0</v>
      </c>
      <c r="Z1015" s="0" t="n">
        <v>0</v>
      </c>
      <c r="AA1015" s="0" t="n">
        <v>0</v>
      </c>
      <c r="AB1015" s="0" t="n">
        <v>0</v>
      </c>
      <c r="AC1015" s="4" t="s">
        <v>74</v>
      </c>
      <c r="AD1015" s="4" t="s">
        <v>828</v>
      </c>
      <c r="AE1015" s="4" t="s">
        <v>4043</v>
      </c>
      <c r="AF1015" s="4" t="s">
        <v>4045</v>
      </c>
      <c r="AG1015" s="5" t="n">
        <v>0.221388888888889</v>
      </c>
      <c r="AH1015" s="5" t="n">
        <v>0.123935185185185</v>
      </c>
      <c r="AI1015" s="5" t="n">
        <v>0</v>
      </c>
      <c r="AJ1015" s="5" t="n">
        <v>0</v>
      </c>
      <c r="AK1015" s="5" t="n">
        <v>0</v>
      </c>
      <c r="AL1015" s="5" t="n">
        <v>0</v>
      </c>
      <c r="AM1015" s="4" t="s">
        <v>78</v>
      </c>
      <c r="AN1015" s="0" t="n">
        <v>0</v>
      </c>
      <c r="AO1015" s="0" t="n">
        <v>0</v>
      </c>
      <c r="AP1015" s="0" t="n">
        <v>0</v>
      </c>
      <c r="AQ1015" s="0" t="n">
        <v>0</v>
      </c>
      <c r="AR1015" s="0" t="n">
        <v>0</v>
      </c>
      <c r="AS1015" s="0" t="n">
        <v>0</v>
      </c>
      <c r="AT1015" s="0" t="n">
        <v>0</v>
      </c>
      <c r="AU1015" s="0" t="n">
        <v>1</v>
      </c>
      <c r="AV1015" s="0" t="n">
        <v>0</v>
      </c>
      <c r="AW1015" s="0" t="n">
        <v>0</v>
      </c>
      <c r="AX1015" s="0" t="n">
        <v>0</v>
      </c>
      <c r="AY1015" s="0" t="n">
        <v>0</v>
      </c>
      <c r="AZ1015" s="0" t="n">
        <v>0</v>
      </c>
      <c r="BA1015" s="0" t="n">
        <v>0</v>
      </c>
      <c r="BB1015" s="0" t="n">
        <v>0</v>
      </c>
      <c r="BC1015" s="0" t="n">
        <v>0</v>
      </c>
      <c r="BD1015" s="0" t="n">
        <v>0</v>
      </c>
      <c r="BE1015" s="0" t="n">
        <v>0</v>
      </c>
      <c r="BF1015" s="0" t="n">
        <v>0</v>
      </c>
      <c r="BG1015" s="0" t="n">
        <v>0</v>
      </c>
      <c r="BH1015" s="0" t="n">
        <v>0</v>
      </c>
      <c r="BI1015" s="0" t="n">
        <v>0</v>
      </c>
      <c r="BJ1015" s="0" t="n">
        <v>0</v>
      </c>
      <c r="BK1015" s="0" t="n">
        <v>0</v>
      </c>
      <c r="BM1015" s="6" t="n">
        <f aca="false">IFERROR(VALUE(F1015),"")</f>
        <v>177.7</v>
      </c>
      <c r="BN1015" s="6" t="str">
        <f aca="false">IF(R1015="-","",IFERROR(VALUE(LEFT(Q1015,LEN(Q1015)-2)),""))</f>
        <v/>
      </c>
      <c r="BO1015" s="6" t="str">
        <f aca="false">IF(R1015="-","",IFERROR(VALUE(LEFT(R1015,LEN(R1015)-5)),""))</f>
        <v/>
      </c>
      <c r="BP1015" s="6" t="str">
        <f aca="false">IF(R1015="-","",IFERROR(VALUE(F1015),""))</f>
        <v/>
      </c>
      <c r="BQ1015" s="4" t="n">
        <f aca="false">IF(R1015="-",1,0)</f>
        <v>1</v>
      </c>
    </row>
    <row r="1016" customFormat="false" ht="15" hidden="false" customHeight="false" outlineLevel="0" collapsed="false">
      <c r="A1016" s="0" t="s">
        <v>4040</v>
      </c>
      <c r="B1016" s="0" t="s">
        <v>4041</v>
      </c>
      <c r="C1016" s="0" t="s">
        <v>70</v>
      </c>
      <c r="D1016" s="0" t="s">
        <v>4044</v>
      </c>
      <c r="E1016" s="3" t="n">
        <v>46275</v>
      </c>
      <c r="F1016" s="4" t="s">
        <v>4046</v>
      </c>
      <c r="G1016" s="5" t="n">
        <v>0.337673611111111</v>
      </c>
      <c r="H1016" s="5" t="n">
        <v>0.311331018518519</v>
      </c>
      <c r="I1016" s="5" t="n">
        <v>0.000196759259259259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8</v>
      </c>
      <c r="O1016" s="5" t="n">
        <v>0</v>
      </c>
      <c r="P1016" s="5" t="n">
        <v>0.0168634259259259</v>
      </c>
      <c r="Q1016" s="4" t="s">
        <v>73</v>
      </c>
      <c r="R1016" s="4" t="s">
        <v>73</v>
      </c>
      <c r="S1016" s="5" t="n">
        <v>0.000115740740740741</v>
      </c>
      <c r="T1016" s="5" t="n">
        <v>0.137384259259259</v>
      </c>
      <c r="U1016" s="5" t="n">
        <v>0.0923842592592593</v>
      </c>
      <c r="V1016" s="5" t="n">
        <v>0.086724537037037</v>
      </c>
      <c r="W1016" s="5" t="n">
        <v>0.0003125</v>
      </c>
      <c r="X1016" s="5" t="n">
        <v>0</v>
      </c>
      <c r="Y1016" s="5" t="n">
        <v>9.25925925925926E-005</v>
      </c>
      <c r="Z1016" s="0" t="n">
        <v>0</v>
      </c>
      <c r="AA1016" s="0" t="n">
        <v>0</v>
      </c>
      <c r="AB1016" s="0" t="n">
        <v>0</v>
      </c>
      <c r="AC1016" s="4" t="s">
        <v>828</v>
      </c>
      <c r="AD1016" s="4" t="s">
        <v>828</v>
      </c>
      <c r="AE1016" s="4" t="s">
        <v>4045</v>
      </c>
      <c r="AF1016" s="4" t="s">
        <v>4047</v>
      </c>
      <c r="AG1016" s="5" t="n">
        <v>0.264513888888889</v>
      </c>
      <c r="AH1016" s="5" t="n">
        <v>0.151759259259259</v>
      </c>
      <c r="AI1016" s="5" t="n">
        <v>0</v>
      </c>
      <c r="AJ1016" s="5" t="n">
        <v>0</v>
      </c>
      <c r="AK1016" s="5" t="n">
        <v>0</v>
      </c>
      <c r="AL1016" s="5" t="n">
        <v>0</v>
      </c>
      <c r="AM1016" s="4" t="s">
        <v>78</v>
      </c>
      <c r="AN1016" s="0" t="n">
        <v>0</v>
      </c>
      <c r="AO1016" s="0" t="n">
        <v>0</v>
      </c>
      <c r="AP1016" s="0" t="n">
        <v>0</v>
      </c>
      <c r="AQ1016" s="0" t="n">
        <v>0</v>
      </c>
      <c r="AR1016" s="0" t="n">
        <v>0</v>
      </c>
      <c r="AS1016" s="0" t="n">
        <v>0</v>
      </c>
      <c r="AT1016" s="0" t="n">
        <v>0</v>
      </c>
      <c r="AU1016" s="0" t="n">
        <v>1</v>
      </c>
      <c r="AV1016" s="0" t="n">
        <v>0</v>
      </c>
      <c r="AW1016" s="0" t="n">
        <v>0</v>
      </c>
      <c r="AX1016" s="0" t="n">
        <v>0</v>
      </c>
      <c r="AY1016" s="0" t="n">
        <v>0</v>
      </c>
      <c r="AZ1016" s="0" t="n">
        <v>0</v>
      </c>
      <c r="BA1016" s="0" t="n">
        <v>0</v>
      </c>
      <c r="BB1016" s="0" t="n">
        <v>0</v>
      </c>
      <c r="BC1016" s="0" t="n">
        <v>0</v>
      </c>
      <c r="BD1016" s="0" t="n">
        <v>0</v>
      </c>
      <c r="BE1016" s="0" t="n">
        <v>0</v>
      </c>
      <c r="BF1016" s="0" t="n">
        <v>0</v>
      </c>
      <c r="BG1016" s="0" t="n">
        <v>0</v>
      </c>
      <c r="BH1016" s="0" t="n">
        <v>0</v>
      </c>
      <c r="BI1016" s="0" t="n">
        <v>0</v>
      </c>
      <c r="BJ1016" s="0" t="n">
        <v>0</v>
      </c>
      <c r="BK1016" s="0" t="n">
        <v>0</v>
      </c>
      <c r="BM1016" s="6" t="n">
        <f aca="false">IFERROR(VALUE(F1016),"")</f>
        <v>213.94</v>
      </c>
      <c r="BN1016" s="6" t="str">
        <f aca="false">IF(R1016="-","",IFERROR(VALUE(LEFT(Q1016,LEN(Q1016)-2)),""))</f>
        <v/>
      </c>
      <c r="BO1016" s="6" t="str">
        <f aca="false">IF(R1016="-","",IFERROR(VALUE(LEFT(R1016,LEN(R1016)-5)),""))</f>
        <v/>
      </c>
      <c r="BP1016" s="6" t="str">
        <f aca="false">IF(R1016="-","",IFERROR(VALUE(F1016),""))</f>
        <v/>
      </c>
      <c r="BQ1016" s="4" t="n">
        <f aca="false">IF(R1016="-",1,0)</f>
        <v>1</v>
      </c>
    </row>
    <row r="1017" customFormat="false" ht="15" hidden="false" customHeight="false" outlineLevel="0" collapsed="false">
      <c r="A1017" s="0" t="s">
        <v>4040</v>
      </c>
      <c r="B1017" s="0" t="s">
        <v>4041</v>
      </c>
      <c r="C1017" s="0" t="s">
        <v>70</v>
      </c>
      <c r="D1017" s="0" t="s">
        <v>4044</v>
      </c>
      <c r="E1017" s="3" t="n">
        <v>46276</v>
      </c>
      <c r="F1017" s="4" t="s">
        <v>4048</v>
      </c>
      <c r="G1017" s="5" t="n">
        <v>0.355763888888889</v>
      </c>
      <c r="H1017" s="5" t="n">
        <v>0.330462962962963</v>
      </c>
      <c r="I1017" s="5" t="n">
        <v>0.000266203703703704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6</v>
      </c>
      <c r="O1017" s="5" t="n">
        <v>0</v>
      </c>
      <c r="P1017" s="5" t="n">
        <v>0.00748842592592593</v>
      </c>
      <c r="Q1017" s="4" t="s">
        <v>73</v>
      </c>
      <c r="R1017" s="4" t="s">
        <v>73</v>
      </c>
      <c r="S1017" s="5" t="n">
        <v>0.000115740740740741</v>
      </c>
      <c r="T1017" s="5" t="n">
        <v>0.147222222222222</v>
      </c>
      <c r="U1017" s="5" t="n">
        <v>0.0946759259259259</v>
      </c>
      <c r="V1017" s="5" t="n">
        <v>0.0842592592592593</v>
      </c>
      <c r="W1017" s="5" t="n">
        <v>0.000115740740740741</v>
      </c>
      <c r="X1017" s="5" t="n">
        <v>0</v>
      </c>
      <c r="Y1017" s="5" t="n">
        <v>0</v>
      </c>
      <c r="Z1017" s="0" t="n">
        <v>0</v>
      </c>
      <c r="AA1017" s="0" t="n">
        <v>0</v>
      </c>
      <c r="AB1017" s="0" t="n">
        <v>0</v>
      </c>
      <c r="AC1017" s="4" t="s">
        <v>828</v>
      </c>
      <c r="AD1017" s="4" t="s">
        <v>828</v>
      </c>
      <c r="AE1017" s="4" t="s">
        <v>4047</v>
      </c>
      <c r="AF1017" s="4" t="s">
        <v>4049</v>
      </c>
      <c r="AG1017" s="5" t="n">
        <v>0.272199074074074</v>
      </c>
      <c r="AH1017" s="5" t="n">
        <v>0.155497685185185</v>
      </c>
      <c r="AI1017" s="5" t="n">
        <v>0</v>
      </c>
      <c r="AJ1017" s="5" t="n">
        <v>0</v>
      </c>
      <c r="AK1017" s="5" t="n">
        <v>0</v>
      </c>
      <c r="AL1017" s="5" t="n">
        <v>0</v>
      </c>
      <c r="AM1017" s="4" t="s">
        <v>78</v>
      </c>
      <c r="AN1017" s="0" t="n">
        <v>0</v>
      </c>
      <c r="AO1017" s="0" t="n">
        <v>0</v>
      </c>
      <c r="AP1017" s="0" t="n">
        <v>0</v>
      </c>
      <c r="AQ1017" s="0" t="n">
        <v>0</v>
      </c>
      <c r="AR1017" s="0" t="n">
        <v>0</v>
      </c>
      <c r="AS1017" s="0" t="n">
        <v>0</v>
      </c>
      <c r="AT1017" s="0" t="n">
        <v>0</v>
      </c>
      <c r="AU1017" s="0" t="n">
        <v>1</v>
      </c>
      <c r="AV1017" s="0" t="n">
        <v>0</v>
      </c>
      <c r="AW1017" s="0" t="n">
        <v>0</v>
      </c>
      <c r="AX1017" s="0" t="n">
        <v>0</v>
      </c>
      <c r="AY1017" s="0" t="n">
        <v>0</v>
      </c>
      <c r="AZ1017" s="0" t="n">
        <v>0</v>
      </c>
      <c r="BA1017" s="0" t="n">
        <v>0</v>
      </c>
      <c r="BB1017" s="0" t="n">
        <v>0</v>
      </c>
      <c r="BC1017" s="0" t="n">
        <v>0</v>
      </c>
      <c r="BD1017" s="0" t="n">
        <v>0</v>
      </c>
      <c r="BE1017" s="0" t="n">
        <v>0</v>
      </c>
      <c r="BF1017" s="0" t="n">
        <v>0</v>
      </c>
      <c r="BG1017" s="0" t="n">
        <v>0</v>
      </c>
      <c r="BH1017" s="0" t="n">
        <v>0</v>
      </c>
      <c r="BI1017" s="0" t="n">
        <v>0</v>
      </c>
      <c r="BJ1017" s="0" t="n">
        <v>0</v>
      </c>
      <c r="BK1017" s="0" t="n">
        <v>0</v>
      </c>
      <c r="BM1017" s="6" t="n">
        <f aca="false">IFERROR(VALUE(F1017),"")</f>
        <v>214.65</v>
      </c>
      <c r="BN1017" s="6" t="str">
        <f aca="false">IF(R1017="-","",IFERROR(VALUE(LEFT(Q1017,LEN(Q1017)-2)),""))</f>
        <v/>
      </c>
      <c r="BO1017" s="6" t="str">
        <f aca="false">IF(R1017="-","",IFERROR(VALUE(LEFT(R1017,LEN(R1017)-5)),""))</f>
        <v/>
      </c>
      <c r="BP1017" s="6" t="str">
        <f aca="false">IF(R1017="-","",IFERROR(VALUE(F1017),""))</f>
        <v/>
      </c>
      <c r="BQ1017" s="4" t="n">
        <f aca="false">IF(R1017="-",1,0)</f>
        <v>1</v>
      </c>
    </row>
    <row r="1018" customFormat="false" ht="15" hidden="false" customHeight="false" outlineLevel="0" collapsed="false">
      <c r="A1018" s="0" t="s">
        <v>4040</v>
      </c>
      <c r="B1018" s="0" t="s">
        <v>4041</v>
      </c>
      <c r="C1018" s="0" t="s">
        <v>70</v>
      </c>
      <c r="D1018" s="0" t="s">
        <v>4044</v>
      </c>
      <c r="E1018" s="3" t="n">
        <v>46277</v>
      </c>
      <c r="F1018" s="4" t="s">
        <v>4050</v>
      </c>
      <c r="G1018" s="5" t="n">
        <v>0.349699074074074</v>
      </c>
      <c r="H1018" s="5" t="n">
        <v>0.299699074074074</v>
      </c>
      <c r="I1018" s="5" t="n">
        <v>0.000173611111111111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4</v>
      </c>
      <c r="O1018" s="5" t="n">
        <v>0</v>
      </c>
      <c r="P1018" s="5" t="n">
        <v>0.0392361111111111</v>
      </c>
      <c r="Q1018" s="4" t="s">
        <v>73</v>
      </c>
      <c r="R1018" s="4" t="s">
        <v>73</v>
      </c>
      <c r="S1018" s="5" t="n">
        <v>0</v>
      </c>
      <c r="T1018" s="5" t="n">
        <v>0.15244212962963</v>
      </c>
      <c r="U1018" s="5" t="n">
        <v>0.088900462962963</v>
      </c>
      <c r="V1018" s="5" t="n">
        <v>0.0856597222222222</v>
      </c>
      <c r="W1018" s="5" t="n">
        <v>0.000601851851851852</v>
      </c>
      <c r="X1018" s="5" t="n">
        <v>0.000104166666666667</v>
      </c>
      <c r="Y1018" s="5" t="n">
        <v>0.000625</v>
      </c>
      <c r="Z1018" s="0" t="n">
        <v>0</v>
      </c>
      <c r="AA1018" s="0" t="n">
        <v>0</v>
      </c>
      <c r="AB1018" s="0" t="n">
        <v>0</v>
      </c>
      <c r="AC1018" s="4" t="s">
        <v>828</v>
      </c>
      <c r="AD1018" s="4" t="s">
        <v>4051</v>
      </c>
      <c r="AE1018" s="4" t="s">
        <v>4049</v>
      </c>
      <c r="AF1018" s="4" t="s">
        <v>4052</v>
      </c>
      <c r="AG1018" s="5" t="n">
        <v>0.257951388888889</v>
      </c>
      <c r="AH1018" s="5" t="n">
        <v>0.170219907407407</v>
      </c>
      <c r="AI1018" s="5" t="n">
        <v>0</v>
      </c>
      <c r="AJ1018" s="5" t="n">
        <v>0</v>
      </c>
      <c r="AK1018" s="5" t="n">
        <v>0</v>
      </c>
      <c r="AL1018" s="5" t="n">
        <v>0</v>
      </c>
      <c r="AM1018" s="4" t="s">
        <v>78</v>
      </c>
      <c r="AN1018" s="0" t="n">
        <v>0</v>
      </c>
      <c r="AO1018" s="0" t="n">
        <v>0</v>
      </c>
      <c r="AP1018" s="0" t="n">
        <v>0</v>
      </c>
      <c r="AQ1018" s="0" t="n">
        <v>0</v>
      </c>
      <c r="AR1018" s="0" t="n">
        <v>0</v>
      </c>
      <c r="AS1018" s="0" t="n">
        <v>0</v>
      </c>
      <c r="AT1018" s="0" t="n">
        <v>0</v>
      </c>
      <c r="AU1018" s="0" t="n">
        <v>0</v>
      </c>
      <c r="AV1018" s="0" t="n">
        <v>0</v>
      </c>
      <c r="AW1018" s="0" t="n">
        <v>0</v>
      </c>
      <c r="AX1018" s="0" t="n">
        <v>0</v>
      </c>
      <c r="AY1018" s="0" t="n">
        <v>0</v>
      </c>
      <c r="AZ1018" s="0" t="n">
        <v>0</v>
      </c>
      <c r="BA1018" s="0" t="n">
        <v>0</v>
      </c>
      <c r="BB1018" s="0" t="n">
        <v>0</v>
      </c>
      <c r="BC1018" s="0" t="n">
        <v>0</v>
      </c>
      <c r="BD1018" s="0" t="n">
        <v>0</v>
      </c>
      <c r="BE1018" s="0" t="n">
        <v>0</v>
      </c>
      <c r="BF1018" s="0" t="n">
        <v>0</v>
      </c>
      <c r="BG1018" s="0" t="n">
        <v>0</v>
      </c>
      <c r="BH1018" s="0" t="n">
        <v>0</v>
      </c>
      <c r="BI1018" s="0" t="n">
        <v>0</v>
      </c>
      <c r="BJ1018" s="0" t="n">
        <v>0</v>
      </c>
      <c r="BK1018" s="0" t="n">
        <v>0</v>
      </c>
      <c r="BM1018" s="6" t="n">
        <f aca="false">IFERROR(VALUE(F1018),"")</f>
        <v>213.01</v>
      </c>
      <c r="BN1018" s="6" t="str">
        <f aca="false">IF(R1018="-","",IFERROR(VALUE(LEFT(Q1018,LEN(Q1018)-2)),""))</f>
        <v/>
      </c>
      <c r="BO1018" s="6" t="str">
        <f aca="false">IF(R1018="-","",IFERROR(VALUE(LEFT(R1018,LEN(R1018)-5)),""))</f>
        <v/>
      </c>
      <c r="BP1018" s="6" t="str">
        <f aca="false">IF(R1018="-","",IFERROR(VALUE(F1018),""))</f>
        <v/>
      </c>
      <c r="BQ1018" s="4" t="n">
        <f aca="false">IF(R1018="-",1,0)</f>
        <v>1</v>
      </c>
    </row>
    <row r="1019" customFormat="false" ht="15" hidden="false" customHeight="false" outlineLevel="0" collapsed="false">
      <c r="A1019" s="0" t="s">
        <v>4040</v>
      </c>
      <c r="B1019" s="0" t="s">
        <v>4041</v>
      </c>
      <c r="C1019" s="0" t="s">
        <v>70</v>
      </c>
      <c r="E1019" s="3" t="n">
        <v>46278</v>
      </c>
      <c r="F1019" s="4" t="s">
        <v>95</v>
      </c>
      <c r="G1019" s="5" t="n">
        <v>0.00200231481481482</v>
      </c>
      <c r="H1019" s="5" t="n">
        <v>0</v>
      </c>
      <c r="I1019" s="5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5" t="n">
        <v>0</v>
      </c>
      <c r="P1019" s="5" t="n">
        <v>0</v>
      </c>
      <c r="Q1019" s="4" t="s">
        <v>73</v>
      </c>
      <c r="R1019" s="4" t="s">
        <v>73</v>
      </c>
      <c r="S1019" s="5" t="n">
        <v>0</v>
      </c>
      <c r="T1019" s="5" t="n">
        <v>0.00138888888888889</v>
      </c>
      <c r="U1019" s="5" t="n">
        <v>0.000462962962962963</v>
      </c>
      <c r="V1019" s="5" t="n">
        <v>0.000115740740740741</v>
      </c>
      <c r="W1019" s="5" t="n">
        <v>0</v>
      </c>
      <c r="X1019" s="5" t="n">
        <v>0</v>
      </c>
      <c r="Y1019" s="5" t="n">
        <v>0</v>
      </c>
      <c r="Z1019" s="0" t="n">
        <v>0</v>
      </c>
      <c r="AA1019" s="0" t="n">
        <v>0</v>
      </c>
      <c r="AB1019" s="0" t="n">
        <v>0</v>
      </c>
      <c r="AC1019" s="4" t="s">
        <v>4051</v>
      </c>
      <c r="AD1019" s="4" t="s">
        <v>4051</v>
      </c>
      <c r="AE1019" s="4" t="s">
        <v>4052</v>
      </c>
      <c r="AF1019" s="4" t="s">
        <v>4052</v>
      </c>
      <c r="AG1019" s="5" t="n">
        <v>0</v>
      </c>
      <c r="AH1019" s="5" t="n">
        <v>0.022650462962963</v>
      </c>
      <c r="AI1019" s="5" t="n">
        <v>0</v>
      </c>
      <c r="AJ1019" s="5" t="n">
        <v>0</v>
      </c>
      <c r="AK1019" s="5" t="n">
        <v>0</v>
      </c>
      <c r="AL1019" s="5" t="n">
        <v>0</v>
      </c>
      <c r="AM1019" s="4" t="s">
        <v>78</v>
      </c>
      <c r="AN1019" s="0" t="n">
        <v>0</v>
      </c>
      <c r="AO1019" s="0" t="n">
        <v>0</v>
      </c>
      <c r="AP1019" s="0" t="n">
        <v>0</v>
      </c>
      <c r="AQ1019" s="0" t="n">
        <v>0</v>
      </c>
      <c r="AR1019" s="0" t="n">
        <v>0</v>
      </c>
      <c r="AS1019" s="0" t="n">
        <v>0</v>
      </c>
      <c r="AT1019" s="0" t="n">
        <v>0</v>
      </c>
      <c r="AU1019" s="0" t="n">
        <v>0</v>
      </c>
      <c r="AV1019" s="0" t="n">
        <v>0</v>
      </c>
      <c r="AW1019" s="0" t="n">
        <v>0</v>
      </c>
      <c r="AX1019" s="0" t="n">
        <v>0</v>
      </c>
      <c r="AY1019" s="0" t="n">
        <v>0</v>
      </c>
      <c r="AZ1019" s="0" t="n">
        <v>0</v>
      </c>
      <c r="BA1019" s="0" t="n">
        <v>0</v>
      </c>
      <c r="BB1019" s="0" t="n">
        <v>0</v>
      </c>
      <c r="BC1019" s="0" t="n">
        <v>0</v>
      </c>
      <c r="BD1019" s="0" t="n">
        <v>0</v>
      </c>
      <c r="BE1019" s="0" t="n">
        <v>0</v>
      </c>
      <c r="BF1019" s="0" t="n">
        <v>0</v>
      </c>
      <c r="BG1019" s="0" t="n">
        <v>0</v>
      </c>
      <c r="BH1019" s="0" t="n">
        <v>0</v>
      </c>
      <c r="BI1019" s="0" t="n">
        <v>0</v>
      </c>
      <c r="BJ1019" s="0" t="n">
        <v>0</v>
      </c>
      <c r="BK1019" s="0" t="n">
        <v>0</v>
      </c>
      <c r="BM1019" s="6" t="n">
        <f aca="false">IFERROR(VALUE(F1019),"")</f>
        <v>0</v>
      </c>
      <c r="BN1019" s="6" t="str">
        <f aca="false">IF(R1019="-","",IFERROR(VALUE(LEFT(Q1019,LEN(Q1019)-2)),""))</f>
        <v/>
      </c>
      <c r="BO1019" s="6" t="str">
        <f aca="false">IF(R1019="-","",IFERROR(VALUE(LEFT(R1019,LEN(R1019)-5)),""))</f>
        <v/>
      </c>
      <c r="BP1019" s="6" t="str">
        <f aca="false">IF(R1019="-","",IFERROR(VALUE(F1019),""))</f>
        <v/>
      </c>
      <c r="BQ1019" s="4" t="n">
        <f aca="false">IF(R1019="-",1,0)</f>
        <v>1</v>
      </c>
    </row>
    <row r="1020" customFormat="false" ht="15" hidden="false" customHeight="false" outlineLevel="0" collapsed="false">
      <c r="A1020" s="0" t="s">
        <v>4040</v>
      </c>
      <c r="B1020" s="0" t="s">
        <v>4041</v>
      </c>
      <c r="C1020" s="0" t="s">
        <v>70</v>
      </c>
      <c r="D1020" s="0" t="s">
        <v>4053</v>
      </c>
      <c r="E1020" s="3" t="n">
        <v>46279</v>
      </c>
      <c r="F1020" s="4" t="s">
        <v>4054</v>
      </c>
      <c r="G1020" s="5" t="n">
        <v>0.322696759259259</v>
      </c>
      <c r="H1020" s="5" t="n">
        <v>0.228240740740741</v>
      </c>
      <c r="I1020" s="5" t="n">
        <v>0.000439814814814815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1</v>
      </c>
      <c r="O1020" s="5" t="n">
        <v>0</v>
      </c>
      <c r="P1020" s="5" t="n">
        <v>0.0462268518518519</v>
      </c>
      <c r="Q1020" s="4" t="s">
        <v>73</v>
      </c>
      <c r="R1020" s="4" t="s">
        <v>73</v>
      </c>
      <c r="S1020" s="5" t="n">
        <v>0</v>
      </c>
      <c r="T1020" s="5" t="n">
        <v>0.154861111111111</v>
      </c>
      <c r="U1020" s="5" t="n">
        <v>0.0831018518518519</v>
      </c>
      <c r="V1020" s="5" t="n">
        <v>0.0429398148148148</v>
      </c>
      <c r="W1020" s="5" t="n">
        <v>0.000578703703703704</v>
      </c>
      <c r="X1020" s="5" t="n">
        <v>0</v>
      </c>
      <c r="Y1020" s="5" t="n">
        <v>0</v>
      </c>
      <c r="Z1020" s="0" t="n">
        <v>0</v>
      </c>
      <c r="AA1020" s="0" t="n">
        <v>0</v>
      </c>
      <c r="AB1020" s="0" t="n">
        <v>0</v>
      </c>
      <c r="AC1020" s="4" t="s">
        <v>4051</v>
      </c>
      <c r="AD1020" s="4" t="s">
        <v>4055</v>
      </c>
      <c r="AE1020" s="4" t="s">
        <v>4052</v>
      </c>
      <c r="AF1020" s="4" t="s">
        <v>4056</v>
      </c>
      <c r="AG1020" s="5" t="n">
        <v>0.19150462962963</v>
      </c>
      <c r="AH1020" s="5" t="n">
        <v>0.221909722222222</v>
      </c>
      <c r="AI1020" s="5" t="n">
        <v>0</v>
      </c>
      <c r="AJ1020" s="5" t="n">
        <v>0</v>
      </c>
      <c r="AK1020" s="5" t="n">
        <v>0</v>
      </c>
      <c r="AL1020" s="5" t="n">
        <v>0</v>
      </c>
      <c r="AM1020" s="4" t="s">
        <v>78</v>
      </c>
      <c r="AN1020" s="0" t="n">
        <v>0</v>
      </c>
      <c r="AO1020" s="0" t="n">
        <v>0</v>
      </c>
      <c r="AP1020" s="0" t="n">
        <v>0</v>
      </c>
      <c r="AQ1020" s="0" t="n">
        <v>0</v>
      </c>
      <c r="AR1020" s="0" t="n">
        <v>0</v>
      </c>
      <c r="AS1020" s="0" t="n">
        <v>0</v>
      </c>
      <c r="AT1020" s="0" t="n">
        <v>0</v>
      </c>
      <c r="AU1020" s="0" t="n">
        <v>1</v>
      </c>
      <c r="AV1020" s="0" t="n">
        <v>0</v>
      </c>
      <c r="AW1020" s="0" t="n">
        <v>0</v>
      </c>
      <c r="AX1020" s="0" t="n">
        <v>0</v>
      </c>
      <c r="AY1020" s="0" t="n">
        <v>0</v>
      </c>
      <c r="AZ1020" s="0" t="n">
        <v>0</v>
      </c>
      <c r="BA1020" s="0" t="n">
        <v>0</v>
      </c>
      <c r="BB1020" s="0" t="n">
        <v>0</v>
      </c>
      <c r="BC1020" s="0" t="n">
        <v>0</v>
      </c>
      <c r="BD1020" s="0" t="n">
        <v>0</v>
      </c>
      <c r="BE1020" s="0" t="n">
        <v>0</v>
      </c>
      <c r="BF1020" s="0" t="n">
        <v>0</v>
      </c>
      <c r="BG1020" s="0" t="n">
        <v>0</v>
      </c>
      <c r="BH1020" s="0" t="n">
        <v>0</v>
      </c>
      <c r="BI1020" s="0" t="n">
        <v>0</v>
      </c>
      <c r="BJ1020" s="0" t="n">
        <v>0</v>
      </c>
      <c r="BK1020" s="0" t="n">
        <v>0</v>
      </c>
      <c r="BM1020" s="6" t="n">
        <f aca="false">IFERROR(VALUE(F1020),"")</f>
        <v>148.78</v>
      </c>
      <c r="BN1020" s="6" t="str">
        <f aca="false">IF(R1020="-","",IFERROR(VALUE(LEFT(Q1020,LEN(Q1020)-2)),""))</f>
        <v/>
      </c>
      <c r="BO1020" s="6" t="str">
        <f aca="false">IF(R1020="-","",IFERROR(VALUE(LEFT(R1020,LEN(R1020)-5)),""))</f>
        <v/>
      </c>
      <c r="BP1020" s="6" t="str">
        <f aca="false">IF(R1020="-","",IFERROR(VALUE(F1020),""))</f>
        <v/>
      </c>
      <c r="BQ1020" s="4" t="n">
        <f aca="false">IF(R1020="-",1,0)</f>
        <v>1</v>
      </c>
    </row>
    <row r="1021" customFormat="false" ht="15" hidden="false" customHeight="false" outlineLevel="0" collapsed="false">
      <c r="A1021" s="0" t="s">
        <v>4057</v>
      </c>
      <c r="B1021" s="0" t="s">
        <v>4058</v>
      </c>
      <c r="C1021" s="0" t="s">
        <v>70</v>
      </c>
      <c r="E1021" s="3" t="n">
        <v>46273</v>
      </c>
      <c r="F1021" s="4" t="s">
        <v>95</v>
      </c>
      <c r="G1021" s="5" t="n">
        <v>0.00417824074074074</v>
      </c>
      <c r="H1021" s="5" t="n">
        <v>0</v>
      </c>
      <c r="I1021" s="5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5" t="n">
        <v>0</v>
      </c>
      <c r="P1021" s="5" t="n">
        <v>0</v>
      </c>
      <c r="Q1021" s="4" t="s">
        <v>4059</v>
      </c>
      <c r="R1021" s="4" t="s">
        <v>454</v>
      </c>
      <c r="S1021" s="5" t="n">
        <v>0</v>
      </c>
      <c r="T1021" s="5" t="n">
        <v>0.00405092592592593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0" t="n">
        <v>0</v>
      </c>
      <c r="AA1021" s="0" t="n">
        <v>0</v>
      </c>
      <c r="AB1021" s="0" t="n">
        <v>0</v>
      </c>
      <c r="AC1021" s="4" t="s">
        <v>158</v>
      </c>
      <c r="AD1021" s="4" t="s">
        <v>158</v>
      </c>
      <c r="AE1021" s="4" t="s">
        <v>4060</v>
      </c>
      <c r="AF1021" s="4" t="s">
        <v>4060</v>
      </c>
      <c r="AG1021" s="5" t="n">
        <v>0</v>
      </c>
      <c r="AH1021" s="5" t="n">
        <v>0.00466435185185185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4" t="s">
        <v>78</v>
      </c>
      <c r="AN1021" s="0" t="n">
        <v>0</v>
      </c>
      <c r="AO1021" s="0" t="n">
        <v>0</v>
      </c>
      <c r="AP1021" s="0" t="n">
        <v>0</v>
      </c>
      <c r="AQ1021" s="0" t="n">
        <v>0</v>
      </c>
      <c r="AR1021" s="0" t="n">
        <v>0</v>
      </c>
      <c r="AS1021" s="0" t="n">
        <v>0</v>
      </c>
      <c r="AT1021" s="0" t="n">
        <v>0</v>
      </c>
      <c r="AU1021" s="0" t="n">
        <v>0</v>
      </c>
      <c r="AV1021" s="0" t="n">
        <v>0</v>
      </c>
      <c r="AW1021" s="0" t="n">
        <v>0</v>
      </c>
      <c r="AX1021" s="0" t="n">
        <v>0</v>
      </c>
      <c r="AY1021" s="0" t="n">
        <v>0</v>
      </c>
      <c r="AZ1021" s="0" t="n">
        <v>0</v>
      </c>
      <c r="BA1021" s="0" t="n">
        <v>0</v>
      </c>
      <c r="BB1021" s="0" t="n">
        <v>0</v>
      </c>
      <c r="BC1021" s="0" t="n">
        <v>0</v>
      </c>
      <c r="BD1021" s="0" t="n">
        <v>0</v>
      </c>
      <c r="BE1021" s="0" t="n">
        <v>0</v>
      </c>
      <c r="BF1021" s="0" t="n">
        <v>0</v>
      </c>
      <c r="BG1021" s="0" t="n">
        <v>0</v>
      </c>
      <c r="BH1021" s="0" t="n">
        <v>0</v>
      </c>
      <c r="BI1021" s="0" t="n">
        <v>0</v>
      </c>
      <c r="BJ1021" s="0" t="n">
        <v>0</v>
      </c>
      <c r="BK1021" s="0" t="n">
        <v>0</v>
      </c>
      <c r="BM1021" s="6" t="n">
        <f aca="false">IFERROR(VALUE(F1021),"")</f>
        <v>0</v>
      </c>
      <c r="BN1021" s="6" t="n">
        <f aca="false">IF(R1021="-","",IFERROR(VALUE(LEFT(Q1021,LEN(Q1021)-2)),""))</f>
        <v>0.21</v>
      </c>
      <c r="BO1021" s="6" t="n">
        <f aca="false">IF(R1021="-","",IFERROR(VALUE(LEFT(R1021,LEN(R1021)-5)),""))</f>
        <v>0</v>
      </c>
      <c r="BP1021" s="6" t="n">
        <f aca="false">IF(R1021="-","",IFERROR(VALUE(F1021),""))</f>
        <v>0</v>
      </c>
      <c r="BQ1021" s="4" t="n">
        <f aca="false">IF(R1021="-",1,0)</f>
        <v>0</v>
      </c>
    </row>
    <row r="1022" customFormat="false" ht="15" hidden="false" customHeight="false" outlineLevel="0" collapsed="false">
      <c r="A1022" s="0" t="s">
        <v>4057</v>
      </c>
      <c r="B1022" s="0" t="s">
        <v>4058</v>
      </c>
      <c r="C1022" s="0" t="s">
        <v>70</v>
      </c>
      <c r="E1022" s="3" t="n">
        <v>46274</v>
      </c>
      <c r="F1022" s="4" t="s">
        <v>95</v>
      </c>
      <c r="G1022" s="5" t="n">
        <v>0.016712962962963</v>
      </c>
      <c r="H1022" s="5" t="n">
        <v>0</v>
      </c>
      <c r="I1022" s="5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5" t="n">
        <v>0</v>
      </c>
      <c r="P1022" s="5" t="n">
        <v>0.0167013888888889</v>
      </c>
      <c r="Q1022" s="4" t="s">
        <v>4061</v>
      </c>
      <c r="R1022" s="4" t="s">
        <v>454</v>
      </c>
      <c r="S1022" s="5" t="n">
        <v>0</v>
      </c>
      <c r="T1022" s="5" t="n">
        <v>0.0164351851851852</v>
      </c>
      <c r="U1022" s="5" t="n">
        <v>0</v>
      </c>
      <c r="V1022" s="5" t="n">
        <v>0</v>
      </c>
      <c r="W1022" s="5" t="n">
        <v>0</v>
      </c>
      <c r="X1022" s="5" t="n">
        <v>0</v>
      </c>
      <c r="Y1022" s="5" t="n">
        <v>0</v>
      </c>
      <c r="Z1022" s="0" t="n">
        <v>0</v>
      </c>
      <c r="AA1022" s="0" t="n">
        <v>0</v>
      </c>
      <c r="AB1022" s="0" t="n">
        <v>0</v>
      </c>
      <c r="AC1022" s="4" t="s">
        <v>158</v>
      </c>
      <c r="AD1022" s="4" t="s">
        <v>158</v>
      </c>
      <c r="AE1022" s="4" t="s">
        <v>4060</v>
      </c>
      <c r="AF1022" s="4" t="s">
        <v>4060</v>
      </c>
      <c r="AG1022" s="5" t="n">
        <v>0</v>
      </c>
      <c r="AH1022" s="5" t="n">
        <v>0.0200810185185185</v>
      </c>
      <c r="AI1022" s="5" t="n">
        <v>0</v>
      </c>
      <c r="AJ1022" s="5" t="n">
        <v>0</v>
      </c>
      <c r="AK1022" s="5" t="n">
        <v>0</v>
      </c>
      <c r="AL1022" s="5" t="n">
        <v>0</v>
      </c>
      <c r="AM1022" s="4" t="s">
        <v>78</v>
      </c>
      <c r="AN1022" s="0" t="n">
        <v>0</v>
      </c>
      <c r="AO1022" s="0" t="n">
        <v>0</v>
      </c>
      <c r="AP1022" s="0" t="n">
        <v>0</v>
      </c>
      <c r="AQ1022" s="0" t="n">
        <v>0</v>
      </c>
      <c r="AR1022" s="0" t="n">
        <v>0</v>
      </c>
      <c r="AS1022" s="0" t="n">
        <v>0</v>
      </c>
      <c r="AT1022" s="0" t="n">
        <v>0</v>
      </c>
      <c r="AU1022" s="0" t="n">
        <v>0</v>
      </c>
      <c r="AV1022" s="0" t="n">
        <v>0</v>
      </c>
      <c r="AW1022" s="0" t="n">
        <v>0</v>
      </c>
      <c r="AX1022" s="0" t="n">
        <v>0</v>
      </c>
      <c r="AY1022" s="0" t="n">
        <v>0</v>
      </c>
      <c r="AZ1022" s="0" t="n">
        <v>0</v>
      </c>
      <c r="BA1022" s="0" t="n">
        <v>0</v>
      </c>
      <c r="BB1022" s="0" t="n">
        <v>0</v>
      </c>
      <c r="BC1022" s="0" t="n">
        <v>0</v>
      </c>
      <c r="BD1022" s="0" t="n">
        <v>0</v>
      </c>
      <c r="BE1022" s="0" t="n">
        <v>0</v>
      </c>
      <c r="BF1022" s="0" t="n">
        <v>0</v>
      </c>
      <c r="BG1022" s="0" t="n">
        <v>0</v>
      </c>
      <c r="BH1022" s="0" t="n">
        <v>0</v>
      </c>
      <c r="BI1022" s="0" t="n">
        <v>0</v>
      </c>
      <c r="BJ1022" s="0" t="n">
        <v>0</v>
      </c>
      <c r="BK1022" s="0" t="n">
        <v>0</v>
      </c>
      <c r="BM1022" s="6" t="n">
        <f aca="false">IFERROR(VALUE(F1022),"")</f>
        <v>0</v>
      </c>
      <c r="BN1022" s="6" t="n">
        <f aca="false">IF(R1022="-","",IFERROR(VALUE(LEFT(Q1022,LEN(Q1022)-2)),""))</f>
        <v>0.73</v>
      </c>
      <c r="BO1022" s="6" t="n">
        <f aca="false">IF(R1022="-","",IFERROR(VALUE(LEFT(R1022,LEN(R1022)-5)),""))</f>
        <v>0</v>
      </c>
      <c r="BP1022" s="6" t="n">
        <f aca="false">IF(R1022="-","",IFERROR(VALUE(F1022),""))</f>
        <v>0</v>
      </c>
      <c r="BQ1022" s="4" t="n">
        <f aca="false">IF(R1022="-",1,0)</f>
        <v>0</v>
      </c>
    </row>
    <row r="1023" customFormat="false" ht="15" hidden="false" customHeight="false" outlineLevel="0" collapsed="false">
      <c r="A1023" s="0" t="s">
        <v>4057</v>
      </c>
      <c r="B1023" s="0" t="s">
        <v>4058</v>
      </c>
      <c r="C1023" s="0" t="s">
        <v>70</v>
      </c>
      <c r="E1023" s="3" t="n">
        <v>46275</v>
      </c>
      <c r="F1023" s="4" t="s">
        <v>95</v>
      </c>
      <c r="G1023" s="5" t="n">
        <v>0.00278935185185185</v>
      </c>
      <c r="H1023" s="5" t="n">
        <v>0</v>
      </c>
      <c r="I1023" s="5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5" t="n">
        <v>0</v>
      </c>
      <c r="P1023" s="5" t="n">
        <v>0</v>
      </c>
      <c r="Q1023" s="4" t="s">
        <v>2530</v>
      </c>
      <c r="R1023" s="4" t="s">
        <v>454</v>
      </c>
      <c r="S1023" s="5" t="n">
        <v>0</v>
      </c>
      <c r="T1023" s="5" t="n">
        <v>0.00266203703703704</v>
      </c>
      <c r="U1023" s="5" t="n">
        <v>0</v>
      </c>
      <c r="V1023" s="5" t="n">
        <v>0</v>
      </c>
      <c r="W1023" s="5" t="n">
        <v>0</v>
      </c>
      <c r="X1023" s="5" t="n">
        <v>0</v>
      </c>
      <c r="Y1023" s="5" t="n">
        <v>0</v>
      </c>
      <c r="Z1023" s="0" t="n">
        <v>0</v>
      </c>
      <c r="AA1023" s="0" t="n">
        <v>0</v>
      </c>
      <c r="AB1023" s="0" t="n">
        <v>0</v>
      </c>
      <c r="AC1023" s="4" t="s">
        <v>158</v>
      </c>
      <c r="AD1023" s="4" t="s">
        <v>158</v>
      </c>
      <c r="AE1023" s="4" t="s">
        <v>4060</v>
      </c>
      <c r="AF1023" s="4" t="s">
        <v>4060</v>
      </c>
      <c r="AG1023" s="5" t="n">
        <v>0</v>
      </c>
      <c r="AH1023" s="5" t="n">
        <v>0.00322916666666667</v>
      </c>
      <c r="AI1023" s="5" t="n">
        <v>0</v>
      </c>
      <c r="AJ1023" s="5" t="n">
        <v>0</v>
      </c>
      <c r="AK1023" s="5" t="n">
        <v>0</v>
      </c>
      <c r="AL1023" s="5" t="n">
        <v>0</v>
      </c>
      <c r="AM1023" s="4" t="s">
        <v>78</v>
      </c>
      <c r="AN1023" s="0" t="n">
        <v>0</v>
      </c>
      <c r="AO1023" s="0" t="n">
        <v>0</v>
      </c>
      <c r="AP1023" s="0" t="n">
        <v>0</v>
      </c>
      <c r="AQ1023" s="0" t="n">
        <v>0</v>
      </c>
      <c r="AR1023" s="0" t="n">
        <v>0</v>
      </c>
      <c r="AS1023" s="0" t="n">
        <v>0</v>
      </c>
      <c r="AT1023" s="0" t="n">
        <v>0</v>
      </c>
      <c r="AU1023" s="0" t="n">
        <v>0</v>
      </c>
      <c r="AV1023" s="0" t="n">
        <v>0</v>
      </c>
      <c r="AW1023" s="0" t="n">
        <v>0</v>
      </c>
      <c r="AX1023" s="0" t="n">
        <v>0</v>
      </c>
      <c r="AY1023" s="0" t="n">
        <v>0</v>
      </c>
      <c r="AZ1023" s="0" t="n">
        <v>0</v>
      </c>
      <c r="BA1023" s="0" t="n">
        <v>0</v>
      </c>
      <c r="BB1023" s="0" t="n">
        <v>0</v>
      </c>
      <c r="BC1023" s="0" t="n">
        <v>0</v>
      </c>
      <c r="BD1023" s="0" t="n">
        <v>0</v>
      </c>
      <c r="BE1023" s="0" t="n">
        <v>0</v>
      </c>
      <c r="BF1023" s="0" t="n">
        <v>0</v>
      </c>
      <c r="BG1023" s="0" t="n">
        <v>0</v>
      </c>
      <c r="BH1023" s="0" t="n">
        <v>0</v>
      </c>
      <c r="BI1023" s="0" t="n">
        <v>0</v>
      </c>
      <c r="BJ1023" s="0" t="n">
        <v>0</v>
      </c>
      <c r="BK1023" s="0" t="n">
        <v>0</v>
      </c>
      <c r="BM1023" s="6" t="n">
        <f aca="false">IFERROR(VALUE(F1023),"")</f>
        <v>0</v>
      </c>
      <c r="BN1023" s="6" t="n">
        <f aca="false">IF(R1023="-","",IFERROR(VALUE(LEFT(Q1023,LEN(Q1023)-2)),""))</f>
        <v>0.14</v>
      </c>
      <c r="BO1023" s="6" t="n">
        <f aca="false">IF(R1023="-","",IFERROR(VALUE(LEFT(R1023,LEN(R1023)-5)),""))</f>
        <v>0</v>
      </c>
      <c r="BP1023" s="6" t="n">
        <f aca="false">IF(R1023="-","",IFERROR(VALUE(F1023),""))</f>
        <v>0</v>
      </c>
      <c r="BQ1023" s="4" t="n">
        <f aca="false">IF(R1023="-",1,0)</f>
        <v>0</v>
      </c>
    </row>
    <row r="1024" customFormat="false" ht="15" hidden="false" customHeight="false" outlineLevel="0" collapsed="false">
      <c r="A1024" s="0" t="s">
        <v>4057</v>
      </c>
      <c r="B1024" s="0" t="s">
        <v>4058</v>
      </c>
      <c r="C1024" s="0" t="s">
        <v>70</v>
      </c>
      <c r="E1024" s="3" t="n">
        <v>46277</v>
      </c>
      <c r="F1024" s="4" t="s">
        <v>95</v>
      </c>
      <c r="G1024" s="5" t="n">
        <v>0</v>
      </c>
      <c r="H1024" s="5" t="n">
        <v>0</v>
      </c>
      <c r="I1024" s="5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5" t="n">
        <v>0</v>
      </c>
      <c r="P1024" s="5" t="n">
        <v>0</v>
      </c>
      <c r="Q1024" s="4" t="s">
        <v>73</v>
      </c>
      <c r="R1024" s="4" t="s">
        <v>73</v>
      </c>
      <c r="S1024" s="5" t="n">
        <v>0</v>
      </c>
      <c r="T1024" s="5" t="n">
        <v>0</v>
      </c>
      <c r="U1024" s="5" t="n">
        <v>0</v>
      </c>
      <c r="V1024" s="5" t="n">
        <v>0</v>
      </c>
      <c r="W1024" s="5" t="n">
        <v>0</v>
      </c>
      <c r="X1024" s="5" t="n">
        <v>0</v>
      </c>
      <c r="Y1024" s="5" t="n">
        <v>0</v>
      </c>
      <c r="Z1024" s="0" t="n">
        <v>0</v>
      </c>
      <c r="AA1024" s="0" t="n">
        <v>0</v>
      </c>
      <c r="AB1024" s="0" t="n">
        <v>0</v>
      </c>
      <c r="AC1024" s="4" t="s">
        <v>158</v>
      </c>
      <c r="AD1024" s="4" t="s">
        <v>158</v>
      </c>
      <c r="AE1024" s="4" t="s">
        <v>4060</v>
      </c>
      <c r="AF1024" s="4" t="s">
        <v>4060</v>
      </c>
      <c r="AG1024" s="5" t="n">
        <v>0</v>
      </c>
      <c r="AH1024" s="5" t="n">
        <v>0.000914351851851852</v>
      </c>
      <c r="AI1024" s="5" t="n">
        <v>0</v>
      </c>
      <c r="AJ1024" s="5" t="n">
        <v>0</v>
      </c>
      <c r="AK1024" s="5" t="n">
        <v>0</v>
      </c>
      <c r="AL1024" s="5" t="n">
        <v>0</v>
      </c>
      <c r="AM1024" s="4" t="s">
        <v>78</v>
      </c>
      <c r="AN1024" s="0" t="n">
        <v>0</v>
      </c>
      <c r="AO1024" s="0" t="n">
        <v>0</v>
      </c>
      <c r="AP1024" s="0" t="n">
        <v>0</v>
      </c>
      <c r="AQ1024" s="0" t="n">
        <v>0</v>
      </c>
      <c r="AR1024" s="0" t="n">
        <v>0</v>
      </c>
      <c r="AS1024" s="0" t="n">
        <v>0</v>
      </c>
      <c r="AT1024" s="0" t="n">
        <v>0</v>
      </c>
      <c r="AU1024" s="0" t="n">
        <v>0</v>
      </c>
      <c r="AV1024" s="0" t="n">
        <v>0</v>
      </c>
      <c r="AW1024" s="0" t="n">
        <v>0</v>
      </c>
      <c r="AX1024" s="0" t="n">
        <v>0</v>
      </c>
      <c r="AY1024" s="0" t="n">
        <v>0</v>
      </c>
      <c r="AZ1024" s="0" t="n">
        <v>0</v>
      </c>
      <c r="BA1024" s="0" t="n">
        <v>0</v>
      </c>
      <c r="BB1024" s="0" t="n">
        <v>0</v>
      </c>
      <c r="BC1024" s="0" t="n">
        <v>0</v>
      </c>
      <c r="BD1024" s="0" t="n">
        <v>0</v>
      </c>
      <c r="BE1024" s="0" t="n">
        <v>0</v>
      </c>
      <c r="BF1024" s="0" t="n">
        <v>0</v>
      </c>
      <c r="BG1024" s="0" t="n">
        <v>0</v>
      </c>
      <c r="BH1024" s="0" t="n">
        <v>0</v>
      </c>
      <c r="BI1024" s="0" t="n">
        <v>0</v>
      </c>
      <c r="BJ1024" s="0" t="n">
        <v>0</v>
      </c>
      <c r="BK1024" s="0" t="n">
        <v>0</v>
      </c>
      <c r="BM1024" s="6" t="n">
        <f aca="false">IFERROR(VALUE(F1024),"")</f>
        <v>0</v>
      </c>
      <c r="BN1024" s="6" t="str">
        <f aca="false">IF(R1024="-","",IFERROR(VALUE(LEFT(Q1024,LEN(Q1024)-2)),""))</f>
        <v/>
      </c>
      <c r="BO1024" s="6" t="str">
        <f aca="false">IF(R1024="-","",IFERROR(VALUE(LEFT(R1024,LEN(R1024)-5)),""))</f>
        <v/>
      </c>
      <c r="BP1024" s="6" t="str">
        <f aca="false">IF(R1024="-","",IFERROR(VALUE(F1024),""))</f>
        <v/>
      </c>
      <c r="BQ1024" s="4" t="n">
        <f aca="false">IF(R1024="-",1,0)</f>
        <v>1</v>
      </c>
    </row>
    <row r="1025" customFormat="false" ht="15" hidden="false" customHeight="false" outlineLevel="0" collapsed="false">
      <c r="A1025" s="0" t="s">
        <v>4057</v>
      </c>
      <c r="B1025" s="0" t="s">
        <v>4058</v>
      </c>
      <c r="C1025" s="0" t="s">
        <v>70</v>
      </c>
      <c r="E1025" s="3" t="n">
        <v>46279</v>
      </c>
      <c r="F1025" s="4" t="s">
        <v>95</v>
      </c>
      <c r="G1025" s="5" t="n">
        <v>0.000914351851851852</v>
      </c>
      <c r="H1025" s="5" t="n">
        <v>0</v>
      </c>
      <c r="I1025" s="5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5" t="n">
        <v>0</v>
      </c>
      <c r="P1025" s="5" t="n">
        <v>0</v>
      </c>
      <c r="Q1025" s="4" t="s">
        <v>73</v>
      </c>
      <c r="R1025" s="4" t="s">
        <v>73</v>
      </c>
      <c r="S1025" s="5" t="n">
        <v>0</v>
      </c>
      <c r="T1025" s="5" t="n">
        <v>0</v>
      </c>
      <c r="U1025" s="5" t="n">
        <v>0</v>
      </c>
      <c r="V1025" s="5" t="n">
        <v>0</v>
      </c>
      <c r="W1025" s="5" t="n">
        <v>0</v>
      </c>
      <c r="X1025" s="5" t="n">
        <v>0</v>
      </c>
      <c r="Y1025" s="5" t="n">
        <v>0</v>
      </c>
      <c r="Z1025" s="0" t="n">
        <v>0</v>
      </c>
      <c r="AA1025" s="0" t="n">
        <v>0</v>
      </c>
      <c r="AB1025" s="0" t="n">
        <v>0</v>
      </c>
      <c r="AC1025" s="4" t="s">
        <v>158</v>
      </c>
      <c r="AD1025" s="4" t="s">
        <v>158</v>
      </c>
      <c r="AE1025" s="4" t="s">
        <v>4060</v>
      </c>
      <c r="AF1025" s="4" t="s">
        <v>4060</v>
      </c>
      <c r="AG1025" s="5" t="n">
        <v>0</v>
      </c>
      <c r="AH1025" s="5" t="n">
        <v>0.0187037037037037</v>
      </c>
      <c r="AI1025" s="5" t="n">
        <v>0</v>
      </c>
      <c r="AJ1025" s="5" t="n">
        <v>0</v>
      </c>
      <c r="AK1025" s="5" t="n">
        <v>0</v>
      </c>
      <c r="AL1025" s="5" t="n">
        <v>0</v>
      </c>
      <c r="AM1025" s="4" t="s">
        <v>78</v>
      </c>
      <c r="AN1025" s="0" t="n">
        <v>0</v>
      </c>
      <c r="AO1025" s="0" t="n">
        <v>0</v>
      </c>
      <c r="AP1025" s="0" t="n">
        <v>0</v>
      </c>
      <c r="AQ1025" s="0" t="n">
        <v>0</v>
      </c>
      <c r="AR1025" s="0" t="n">
        <v>0</v>
      </c>
      <c r="AS1025" s="0" t="n">
        <v>0</v>
      </c>
      <c r="AT1025" s="0" t="n">
        <v>0</v>
      </c>
      <c r="AU1025" s="0" t="n">
        <v>0</v>
      </c>
      <c r="AV1025" s="0" t="n">
        <v>0</v>
      </c>
      <c r="AW1025" s="0" t="n">
        <v>0</v>
      </c>
      <c r="AX1025" s="0" t="n">
        <v>0</v>
      </c>
      <c r="AY1025" s="0" t="n">
        <v>0</v>
      </c>
      <c r="AZ1025" s="0" t="n">
        <v>0</v>
      </c>
      <c r="BA1025" s="0" t="n">
        <v>0</v>
      </c>
      <c r="BB1025" s="0" t="n">
        <v>0</v>
      </c>
      <c r="BC1025" s="0" t="n">
        <v>0</v>
      </c>
      <c r="BD1025" s="0" t="n">
        <v>0</v>
      </c>
      <c r="BE1025" s="0" t="n">
        <v>0</v>
      </c>
      <c r="BF1025" s="0" t="n">
        <v>0</v>
      </c>
      <c r="BG1025" s="0" t="n">
        <v>0</v>
      </c>
      <c r="BH1025" s="0" t="n">
        <v>0</v>
      </c>
      <c r="BI1025" s="0" t="n">
        <v>0</v>
      </c>
      <c r="BJ1025" s="0" t="n">
        <v>0</v>
      </c>
      <c r="BK1025" s="0" t="n">
        <v>0</v>
      </c>
      <c r="BM1025" s="6" t="n">
        <f aca="false">IFERROR(VALUE(F1025),"")</f>
        <v>0</v>
      </c>
      <c r="BN1025" s="6" t="str">
        <f aca="false">IF(R1025="-","",IFERROR(VALUE(LEFT(Q1025,LEN(Q1025)-2)),""))</f>
        <v/>
      </c>
      <c r="BO1025" s="6" t="str">
        <f aca="false">IF(R1025="-","",IFERROR(VALUE(LEFT(R1025,LEN(R1025)-5)),""))</f>
        <v/>
      </c>
      <c r="BP1025" s="6" t="str">
        <f aca="false">IF(R1025="-","",IFERROR(VALUE(F1025),""))</f>
        <v/>
      </c>
      <c r="BQ1025" s="4" t="n">
        <f aca="false">IF(R1025="-",1,0)</f>
        <v>1</v>
      </c>
    </row>
    <row r="1026" customFormat="false" ht="15" hidden="false" customHeight="false" outlineLevel="0" collapsed="false">
      <c r="A1026" s="0" t="s">
        <v>4062</v>
      </c>
      <c r="B1026" s="0" t="s">
        <v>4063</v>
      </c>
      <c r="C1026" s="0" t="s">
        <v>70</v>
      </c>
      <c r="D1026" s="0" t="s">
        <v>1759</v>
      </c>
      <c r="E1026" s="3" t="n">
        <v>46273</v>
      </c>
      <c r="F1026" s="4" t="s">
        <v>4064</v>
      </c>
      <c r="G1026" s="5" t="n">
        <v>0.21587962962963</v>
      </c>
      <c r="H1026" s="5" t="n">
        <v>0.192175925925926</v>
      </c>
      <c r="I1026" s="5" t="n">
        <v>0.000266203703703704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1</v>
      </c>
      <c r="O1026" s="5" t="n">
        <v>0</v>
      </c>
      <c r="P1026" s="5" t="n">
        <v>0.0121759259259259</v>
      </c>
      <c r="Q1026" s="4" t="s">
        <v>73</v>
      </c>
      <c r="R1026" s="4" t="s">
        <v>73</v>
      </c>
      <c r="S1026" s="5" t="n">
        <v>0</v>
      </c>
      <c r="T1026" s="5" t="n">
        <v>0.0805787037037037</v>
      </c>
      <c r="U1026" s="5" t="n">
        <v>0.0651851851851852</v>
      </c>
      <c r="V1026" s="5" t="n">
        <v>0.05</v>
      </c>
      <c r="W1026" s="5" t="n">
        <v>0.000208333333333333</v>
      </c>
      <c r="X1026" s="5" t="n">
        <v>0</v>
      </c>
      <c r="Y1026" s="5" t="n">
        <v>8.10185185185185E-005</v>
      </c>
      <c r="Z1026" s="0" t="n">
        <v>0</v>
      </c>
      <c r="AA1026" s="0" t="n">
        <v>0</v>
      </c>
      <c r="AB1026" s="0" t="n">
        <v>0</v>
      </c>
      <c r="AC1026" s="4" t="s">
        <v>228</v>
      </c>
      <c r="AD1026" s="4" t="s">
        <v>228</v>
      </c>
      <c r="AE1026" s="4" t="s">
        <v>4065</v>
      </c>
      <c r="AF1026" s="4" t="s">
        <v>4066</v>
      </c>
      <c r="AG1026" s="5" t="n">
        <v>0.167037037037037</v>
      </c>
      <c r="AH1026" s="5" t="n">
        <v>0.102048611111111</v>
      </c>
      <c r="AI1026" s="5" t="n">
        <v>0</v>
      </c>
      <c r="AJ1026" s="5" t="n">
        <v>0</v>
      </c>
      <c r="AK1026" s="5" t="n">
        <v>0</v>
      </c>
      <c r="AL1026" s="5" t="n">
        <v>0</v>
      </c>
      <c r="AM1026" s="4" t="s">
        <v>78</v>
      </c>
      <c r="AN1026" s="0" t="n">
        <v>0</v>
      </c>
      <c r="AO1026" s="0" t="n">
        <v>0</v>
      </c>
      <c r="AP1026" s="0" t="n">
        <v>0</v>
      </c>
      <c r="AQ1026" s="0" t="n">
        <v>0</v>
      </c>
      <c r="AR1026" s="0" t="n">
        <v>0</v>
      </c>
      <c r="AS1026" s="0" t="n">
        <v>0</v>
      </c>
      <c r="AT1026" s="0" t="n">
        <v>0</v>
      </c>
      <c r="AU1026" s="0" t="n">
        <v>1</v>
      </c>
      <c r="AV1026" s="0" t="n">
        <v>0</v>
      </c>
      <c r="AW1026" s="0" t="n">
        <v>0</v>
      </c>
      <c r="AX1026" s="0" t="n">
        <v>0</v>
      </c>
      <c r="AY1026" s="0" t="n">
        <v>0</v>
      </c>
      <c r="AZ1026" s="0" t="n">
        <v>0</v>
      </c>
      <c r="BA1026" s="0" t="n">
        <v>0</v>
      </c>
      <c r="BB1026" s="0" t="n">
        <v>0</v>
      </c>
      <c r="BC1026" s="0" t="n">
        <v>0</v>
      </c>
      <c r="BD1026" s="0" t="n">
        <v>0</v>
      </c>
      <c r="BE1026" s="0" t="n">
        <v>0</v>
      </c>
      <c r="BF1026" s="0" t="n">
        <v>0</v>
      </c>
      <c r="BG1026" s="0" t="n">
        <v>0</v>
      </c>
      <c r="BH1026" s="0" t="n">
        <v>0</v>
      </c>
      <c r="BI1026" s="0" t="n">
        <v>0</v>
      </c>
      <c r="BJ1026" s="0" t="n">
        <v>0</v>
      </c>
      <c r="BK1026" s="0" t="n">
        <v>0</v>
      </c>
      <c r="BM1026" s="6" t="n">
        <f aca="false">IFERROR(VALUE(F1026),"")</f>
        <v>146.93</v>
      </c>
      <c r="BN1026" s="6" t="str">
        <f aca="false">IF(R1026="-","",IFERROR(VALUE(LEFT(Q1026,LEN(Q1026)-2)),""))</f>
        <v/>
      </c>
      <c r="BO1026" s="6" t="str">
        <f aca="false">IF(R1026="-","",IFERROR(VALUE(LEFT(R1026,LEN(R1026)-5)),""))</f>
        <v/>
      </c>
      <c r="BP1026" s="6" t="str">
        <f aca="false">IF(R1026="-","",IFERROR(VALUE(F1026),""))</f>
        <v/>
      </c>
      <c r="BQ1026" s="4" t="n">
        <f aca="false">IF(R1026="-",1,0)</f>
        <v>1</v>
      </c>
    </row>
    <row r="1027" customFormat="false" ht="15" hidden="false" customHeight="false" outlineLevel="0" collapsed="false">
      <c r="A1027" s="0" t="s">
        <v>4062</v>
      </c>
      <c r="B1027" s="0" t="s">
        <v>4063</v>
      </c>
      <c r="C1027" s="0" t="s">
        <v>70</v>
      </c>
      <c r="D1027" s="0" t="s">
        <v>4067</v>
      </c>
      <c r="E1027" s="3" t="n">
        <v>46274</v>
      </c>
      <c r="F1027" s="4" t="s">
        <v>4068</v>
      </c>
      <c r="G1027" s="5" t="n">
        <v>0.249791666666667</v>
      </c>
      <c r="H1027" s="5" t="n">
        <v>0.141840277777778</v>
      </c>
      <c r="I1027" s="5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1</v>
      </c>
      <c r="O1027" s="5" t="n">
        <v>0</v>
      </c>
      <c r="P1027" s="5" t="n">
        <v>0.0556944444444444</v>
      </c>
      <c r="Q1027" s="4" t="s">
        <v>73</v>
      </c>
      <c r="R1027" s="4" t="s">
        <v>73</v>
      </c>
      <c r="S1027" s="5" t="n">
        <v>0</v>
      </c>
      <c r="T1027" s="5" t="n">
        <v>0.121527777777778</v>
      </c>
      <c r="U1027" s="5" t="n">
        <v>0.0376157407407407</v>
      </c>
      <c r="V1027" s="5" t="n">
        <v>0.0299768518518519</v>
      </c>
      <c r="W1027" s="5" t="n">
        <v>0</v>
      </c>
      <c r="X1027" s="5" t="n">
        <v>0</v>
      </c>
      <c r="Y1027" s="5" t="n">
        <v>0</v>
      </c>
      <c r="Z1027" s="0" t="n">
        <v>0</v>
      </c>
      <c r="AA1027" s="0" t="n">
        <v>0</v>
      </c>
      <c r="AB1027" s="0" t="n">
        <v>0</v>
      </c>
      <c r="AC1027" s="4" t="s">
        <v>75</v>
      </c>
      <c r="AD1027" s="4" t="s">
        <v>75</v>
      </c>
      <c r="AE1027" s="4" t="s">
        <v>4066</v>
      </c>
      <c r="AF1027" s="4" t="s">
        <v>4069</v>
      </c>
      <c r="AG1027" s="5" t="n">
        <v>0.105972222222222</v>
      </c>
      <c r="AH1027" s="5" t="n">
        <v>0.182743055555556</v>
      </c>
      <c r="AI1027" s="5" t="n">
        <v>0</v>
      </c>
      <c r="AJ1027" s="5" t="n">
        <v>0</v>
      </c>
      <c r="AK1027" s="5" t="n">
        <v>0</v>
      </c>
      <c r="AL1027" s="5" t="n">
        <v>0</v>
      </c>
      <c r="AM1027" s="4" t="s">
        <v>78</v>
      </c>
      <c r="AN1027" s="0" t="n">
        <v>0</v>
      </c>
      <c r="AO1027" s="0" t="n">
        <v>0</v>
      </c>
      <c r="AP1027" s="0" t="n">
        <v>0</v>
      </c>
      <c r="AQ1027" s="0" t="n">
        <v>0</v>
      </c>
      <c r="AR1027" s="0" t="n">
        <v>0</v>
      </c>
      <c r="AS1027" s="0" t="n">
        <v>0</v>
      </c>
      <c r="AT1027" s="0" t="n">
        <v>0</v>
      </c>
      <c r="AU1027" s="0" t="n">
        <v>0</v>
      </c>
      <c r="AV1027" s="0" t="n">
        <v>0</v>
      </c>
      <c r="AW1027" s="0" t="n">
        <v>0</v>
      </c>
      <c r="AX1027" s="0" t="n">
        <v>0</v>
      </c>
      <c r="AY1027" s="0" t="n">
        <v>0</v>
      </c>
      <c r="AZ1027" s="0" t="n">
        <v>0</v>
      </c>
      <c r="BA1027" s="0" t="n">
        <v>0</v>
      </c>
      <c r="BB1027" s="0" t="n">
        <v>0</v>
      </c>
      <c r="BC1027" s="0" t="n">
        <v>0</v>
      </c>
      <c r="BD1027" s="0" t="n">
        <v>0</v>
      </c>
      <c r="BE1027" s="0" t="n">
        <v>0</v>
      </c>
      <c r="BF1027" s="0" t="n">
        <v>0</v>
      </c>
      <c r="BG1027" s="0" t="n">
        <v>0</v>
      </c>
      <c r="BH1027" s="0" t="n">
        <v>0</v>
      </c>
      <c r="BI1027" s="0" t="n">
        <v>0</v>
      </c>
      <c r="BJ1027" s="0" t="n">
        <v>0</v>
      </c>
      <c r="BK1027" s="0" t="n">
        <v>0</v>
      </c>
      <c r="BM1027" s="6" t="n">
        <f aca="false">IFERROR(VALUE(F1027),"")</f>
        <v>91.77</v>
      </c>
      <c r="BN1027" s="6" t="str">
        <f aca="false">IF(R1027="-","",IFERROR(VALUE(LEFT(Q1027,LEN(Q1027)-2)),""))</f>
        <v/>
      </c>
      <c r="BO1027" s="6" t="str">
        <f aca="false">IF(R1027="-","",IFERROR(VALUE(LEFT(R1027,LEN(R1027)-5)),""))</f>
        <v/>
      </c>
      <c r="BP1027" s="6" t="str">
        <f aca="false">IF(R1027="-","",IFERROR(VALUE(F1027),""))</f>
        <v/>
      </c>
      <c r="BQ1027" s="4" t="n">
        <f aca="false">IF(R1027="-",1,0)</f>
        <v>1</v>
      </c>
    </row>
    <row r="1028" customFormat="false" ht="15" hidden="false" customHeight="false" outlineLevel="0" collapsed="false">
      <c r="A1028" s="0" t="s">
        <v>4062</v>
      </c>
      <c r="B1028" s="0" t="s">
        <v>4063</v>
      </c>
      <c r="C1028" s="0" t="s">
        <v>70</v>
      </c>
      <c r="D1028" s="0" t="s">
        <v>1298</v>
      </c>
      <c r="E1028" s="3" t="n">
        <v>46275</v>
      </c>
      <c r="F1028" s="4" t="s">
        <v>4070</v>
      </c>
      <c r="G1028" s="5" t="n">
        <v>0.0934143518518519</v>
      </c>
      <c r="H1028" s="5" t="n">
        <v>0.0790277777777778</v>
      </c>
      <c r="I1028" s="5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5" t="n">
        <v>0</v>
      </c>
      <c r="P1028" s="5" t="n">
        <v>0</v>
      </c>
      <c r="Q1028" s="4" t="s">
        <v>73</v>
      </c>
      <c r="R1028" s="4" t="s">
        <v>73</v>
      </c>
      <c r="S1028" s="5" t="n">
        <v>0</v>
      </c>
      <c r="T1028" s="5" t="n">
        <v>0.0502314814814815</v>
      </c>
      <c r="U1028" s="5" t="n">
        <v>0.0273148148148148</v>
      </c>
      <c r="V1028" s="5" t="n">
        <v>0.0143518518518519</v>
      </c>
      <c r="W1028" s="5" t="n">
        <v>0</v>
      </c>
      <c r="X1028" s="5" t="n">
        <v>0</v>
      </c>
      <c r="Y1028" s="5" t="n">
        <v>0</v>
      </c>
      <c r="Z1028" s="0" t="n">
        <v>0</v>
      </c>
      <c r="AA1028" s="0" t="n">
        <v>0</v>
      </c>
      <c r="AB1028" s="0" t="n">
        <v>0</v>
      </c>
      <c r="AC1028" s="4" t="s">
        <v>1626</v>
      </c>
      <c r="AD1028" s="4" t="s">
        <v>770</v>
      </c>
      <c r="AE1028" s="4" t="s">
        <v>4069</v>
      </c>
      <c r="AF1028" s="4" t="s">
        <v>4071</v>
      </c>
      <c r="AG1028" s="5" t="n">
        <v>0.0692824074074074</v>
      </c>
      <c r="AH1028" s="5" t="n">
        <v>0.0473842592592593</v>
      </c>
      <c r="AI1028" s="5" t="n">
        <v>0</v>
      </c>
      <c r="AJ1028" s="5" t="n">
        <v>0</v>
      </c>
      <c r="AK1028" s="5" t="n">
        <v>0</v>
      </c>
      <c r="AL1028" s="5" t="n">
        <v>0</v>
      </c>
      <c r="AM1028" s="4" t="s">
        <v>78</v>
      </c>
      <c r="AN1028" s="0" t="n">
        <v>0</v>
      </c>
      <c r="AO1028" s="0" t="n">
        <v>0</v>
      </c>
      <c r="AP1028" s="0" t="n">
        <v>0</v>
      </c>
      <c r="AQ1028" s="0" t="n">
        <v>0</v>
      </c>
      <c r="AR1028" s="0" t="n">
        <v>0</v>
      </c>
      <c r="AS1028" s="0" t="n">
        <v>0</v>
      </c>
      <c r="AT1028" s="0" t="n">
        <v>0</v>
      </c>
      <c r="AU1028" s="0" t="n">
        <v>2</v>
      </c>
      <c r="AV1028" s="0" t="n">
        <v>0</v>
      </c>
      <c r="AW1028" s="0" t="n">
        <v>0</v>
      </c>
      <c r="AX1028" s="0" t="n">
        <v>0</v>
      </c>
      <c r="AY1028" s="0" t="n">
        <v>0</v>
      </c>
      <c r="AZ1028" s="0" t="n">
        <v>0</v>
      </c>
      <c r="BA1028" s="0" t="n">
        <v>0</v>
      </c>
      <c r="BB1028" s="0" t="n">
        <v>0</v>
      </c>
      <c r="BC1028" s="0" t="n">
        <v>0</v>
      </c>
      <c r="BD1028" s="0" t="n">
        <v>0</v>
      </c>
      <c r="BE1028" s="0" t="n">
        <v>0</v>
      </c>
      <c r="BF1028" s="0" t="n">
        <v>0</v>
      </c>
      <c r="BG1028" s="0" t="n">
        <v>0</v>
      </c>
      <c r="BH1028" s="0" t="n">
        <v>0</v>
      </c>
      <c r="BI1028" s="0" t="n">
        <v>0</v>
      </c>
      <c r="BJ1028" s="0" t="n">
        <v>0</v>
      </c>
      <c r="BK1028" s="0" t="n">
        <v>0</v>
      </c>
      <c r="BM1028" s="6" t="n">
        <f aca="false">IFERROR(VALUE(F1028),"")</f>
        <v>51.03</v>
      </c>
      <c r="BN1028" s="6" t="str">
        <f aca="false">IF(R1028="-","",IFERROR(VALUE(LEFT(Q1028,LEN(Q1028)-2)),""))</f>
        <v/>
      </c>
      <c r="BO1028" s="6" t="str">
        <f aca="false">IF(R1028="-","",IFERROR(VALUE(LEFT(R1028,LEN(R1028)-5)),""))</f>
        <v/>
      </c>
      <c r="BP1028" s="6" t="str">
        <f aca="false">IF(R1028="-","",IFERROR(VALUE(F1028),""))</f>
        <v/>
      </c>
      <c r="BQ1028" s="4" t="n">
        <f aca="false">IF(R1028="-",1,0)</f>
        <v>1</v>
      </c>
    </row>
    <row r="1029" customFormat="false" ht="15" hidden="false" customHeight="false" outlineLevel="0" collapsed="false">
      <c r="A1029" s="0" t="s">
        <v>4062</v>
      </c>
      <c r="B1029" s="0" t="s">
        <v>4063</v>
      </c>
      <c r="C1029" s="0" t="s">
        <v>70</v>
      </c>
      <c r="D1029" s="0" t="s">
        <v>4072</v>
      </c>
      <c r="E1029" s="3" t="n">
        <v>46276</v>
      </c>
      <c r="F1029" s="4" t="s">
        <v>4073</v>
      </c>
      <c r="G1029" s="5" t="n">
        <v>0.534560185185185</v>
      </c>
      <c r="H1029" s="5" t="n">
        <v>0.510520833333333</v>
      </c>
      <c r="I1029" s="5" t="n">
        <v>0.00164351851851852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10</v>
      </c>
      <c r="O1029" s="5" t="n">
        <v>0</v>
      </c>
      <c r="P1029" s="5" t="n">
        <v>0.0104398148148148</v>
      </c>
      <c r="Q1029" s="4" t="s">
        <v>73</v>
      </c>
      <c r="R1029" s="4" t="s">
        <v>73</v>
      </c>
      <c r="S1029" s="5" t="n">
        <v>0.000462962962962963</v>
      </c>
      <c r="T1029" s="5" t="n">
        <v>0.197106481481482</v>
      </c>
      <c r="U1029" s="5" t="n">
        <v>0.139340277777778</v>
      </c>
      <c r="V1029" s="5" t="n">
        <v>0.181956018518519</v>
      </c>
      <c r="W1029" s="5" t="n">
        <v>0.00292824074074074</v>
      </c>
      <c r="X1029" s="5" t="n">
        <v>5.78703703703704E-005</v>
      </c>
      <c r="Y1029" s="5" t="n">
        <v>0.00146990740740741</v>
      </c>
      <c r="Z1029" s="0" t="n">
        <v>0</v>
      </c>
      <c r="AA1029" s="0" t="n">
        <v>0</v>
      </c>
      <c r="AB1029" s="0" t="n">
        <v>0</v>
      </c>
      <c r="AC1029" s="4" t="s">
        <v>4074</v>
      </c>
      <c r="AD1029" s="4" t="s">
        <v>4075</v>
      </c>
      <c r="AE1029" s="4" t="s">
        <v>4071</v>
      </c>
      <c r="AF1029" s="4" t="s">
        <v>4076</v>
      </c>
      <c r="AG1029" s="5" t="n">
        <v>0.444722222222222</v>
      </c>
      <c r="AH1029" s="5" t="n">
        <v>0.138611111111111</v>
      </c>
      <c r="AI1029" s="5" t="n">
        <v>0</v>
      </c>
      <c r="AJ1029" s="5" t="n">
        <v>0</v>
      </c>
      <c r="AK1029" s="5" t="n">
        <v>0</v>
      </c>
      <c r="AL1029" s="5" t="n">
        <v>0</v>
      </c>
      <c r="AM1029" s="4" t="s">
        <v>78</v>
      </c>
      <c r="AN1029" s="0" t="n">
        <v>0</v>
      </c>
      <c r="AO1029" s="0" t="n">
        <v>0</v>
      </c>
      <c r="AP1029" s="0" t="n">
        <v>0</v>
      </c>
      <c r="AQ1029" s="0" t="n">
        <v>0</v>
      </c>
      <c r="AR1029" s="0" t="n">
        <v>0</v>
      </c>
      <c r="AS1029" s="0" t="n">
        <v>0</v>
      </c>
      <c r="AT1029" s="0" t="n">
        <v>0</v>
      </c>
      <c r="AU1029" s="0" t="n">
        <v>0</v>
      </c>
      <c r="AV1029" s="0" t="n">
        <v>0</v>
      </c>
      <c r="AW1029" s="0" t="n">
        <v>0</v>
      </c>
      <c r="AX1029" s="0" t="n">
        <v>0</v>
      </c>
      <c r="AY1029" s="0" t="n">
        <v>0</v>
      </c>
      <c r="AZ1029" s="0" t="n">
        <v>0</v>
      </c>
      <c r="BA1029" s="0" t="n">
        <v>0</v>
      </c>
      <c r="BB1029" s="0" t="n">
        <v>0</v>
      </c>
      <c r="BC1029" s="0" t="n">
        <v>0</v>
      </c>
      <c r="BD1029" s="0" t="n">
        <v>0</v>
      </c>
      <c r="BE1029" s="0" t="n">
        <v>0</v>
      </c>
      <c r="BF1029" s="0" t="n">
        <v>0</v>
      </c>
      <c r="BG1029" s="0" t="n">
        <v>0</v>
      </c>
      <c r="BH1029" s="0" t="n">
        <v>0</v>
      </c>
      <c r="BI1029" s="0" t="n">
        <v>0</v>
      </c>
      <c r="BJ1029" s="0" t="n">
        <v>0</v>
      </c>
      <c r="BK1029" s="0" t="n">
        <v>0</v>
      </c>
      <c r="BM1029" s="6" t="n">
        <f aca="false">IFERROR(VALUE(F1029),"")</f>
        <v>445.44</v>
      </c>
      <c r="BN1029" s="6" t="str">
        <f aca="false">IF(R1029="-","",IFERROR(VALUE(LEFT(Q1029,LEN(Q1029)-2)),""))</f>
        <v/>
      </c>
      <c r="BO1029" s="6" t="str">
        <f aca="false">IF(R1029="-","",IFERROR(VALUE(LEFT(R1029,LEN(R1029)-5)),""))</f>
        <v/>
      </c>
      <c r="BP1029" s="6" t="str">
        <f aca="false">IF(R1029="-","",IFERROR(VALUE(F1029),""))</f>
        <v/>
      </c>
      <c r="BQ1029" s="4" t="n">
        <f aca="false">IF(R1029="-",1,0)</f>
        <v>1</v>
      </c>
    </row>
    <row r="1030" customFormat="false" ht="15" hidden="false" customHeight="false" outlineLevel="0" collapsed="false">
      <c r="A1030" s="0" t="s">
        <v>4062</v>
      </c>
      <c r="B1030" s="0" t="s">
        <v>4063</v>
      </c>
      <c r="C1030" s="0" t="s">
        <v>70</v>
      </c>
      <c r="D1030" s="0" t="s">
        <v>4077</v>
      </c>
      <c r="E1030" s="3" t="n">
        <v>46277</v>
      </c>
      <c r="F1030" s="4" t="s">
        <v>4078</v>
      </c>
      <c r="G1030" s="5" t="n">
        <v>0.512939814814815</v>
      </c>
      <c r="H1030" s="5" t="n">
        <v>0.447083333333333</v>
      </c>
      <c r="I1030" s="5" t="n">
        <v>0.000277777777777778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5</v>
      </c>
      <c r="O1030" s="5" t="n">
        <v>0</v>
      </c>
      <c r="P1030" s="5" t="n">
        <v>0.00715277777777778</v>
      </c>
      <c r="Q1030" s="4" t="s">
        <v>73</v>
      </c>
      <c r="R1030" s="4" t="s">
        <v>73</v>
      </c>
      <c r="S1030" s="5" t="n">
        <v>0.000462962962962963</v>
      </c>
      <c r="T1030" s="5" t="n">
        <v>0.156956018518519</v>
      </c>
      <c r="U1030" s="5" t="n">
        <v>0.137766203703704</v>
      </c>
      <c r="V1030" s="5" t="n">
        <v>0.160115740740741</v>
      </c>
      <c r="W1030" s="5" t="n">
        <v>0.00329861111111111</v>
      </c>
      <c r="X1030" s="5" t="n">
        <v>2.31481481481482E-005</v>
      </c>
      <c r="Y1030" s="5" t="n">
        <v>0.000590277777777778</v>
      </c>
      <c r="Z1030" s="0" t="n">
        <v>0</v>
      </c>
      <c r="AA1030" s="0" t="n">
        <v>0</v>
      </c>
      <c r="AB1030" s="0" t="n">
        <v>0</v>
      </c>
      <c r="AC1030" s="4" t="s">
        <v>4075</v>
      </c>
      <c r="AD1030" s="4" t="s">
        <v>228</v>
      </c>
      <c r="AE1030" s="4" t="s">
        <v>4076</v>
      </c>
      <c r="AF1030" s="4" t="s">
        <v>4079</v>
      </c>
      <c r="AG1030" s="5" t="n">
        <v>0.398726851851852</v>
      </c>
      <c r="AH1030" s="5" t="n">
        <v>0.170439814814815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4" t="s">
        <v>78</v>
      </c>
      <c r="AN1030" s="0" t="n">
        <v>0</v>
      </c>
      <c r="AO1030" s="0" t="n">
        <v>0</v>
      </c>
      <c r="AP1030" s="0" t="n">
        <v>0</v>
      </c>
      <c r="AQ1030" s="0" t="n">
        <v>0</v>
      </c>
      <c r="AR1030" s="0" t="n">
        <v>0</v>
      </c>
      <c r="AS1030" s="0" t="n">
        <v>0</v>
      </c>
      <c r="AT1030" s="0" t="n">
        <v>0</v>
      </c>
      <c r="AU1030" s="0" t="n">
        <v>1</v>
      </c>
      <c r="AV1030" s="0" t="n">
        <v>0</v>
      </c>
      <c r="AW1030" s="0" t="n">
        <v>0</v>
      </c>
      <c r="AX1030" s="0" t="n">
        <v>0</v>
      </c>
      <c r="AY1030" s="0" t="n">
        <v>0</v>
      </c>
      <c r="AZ1030" s="0" t="n">
        <v>0</v>
      </c>
      <c r="BA1030" s="0" t="n">
        <v>0</v>
      </c>
      <c r="BB1030" s="0" t="n">
        <v>0</v>
      </c>
      <c r="BC1030" s="0" t="n">
        <v>0</v>
      </c>
      <c r="BD1030" s="0" t="n">
        <v>0</v>
      </c>
      <c r="BE1030" s="0" t="n">
        <v>0</v>
      </c>
      <c r="BF1030" s="0" t="n">
        <v>0</v>
      </c>
      <c r="BG1030" s="0" t="n">
        <v>0</v>
      </c>
      <c r="BH1030" s="0" t="n">
        <v>0</v>
      </c>
      <c r="BI1030" s="0" t="n">
        <v>0</v>
      </c>
      <c r="BJ1030" s="0" t="n">
        <v>0</v>
      </c>
      <c r="BK1030" s="0" t="n">
        <v>0</v>
      </c>
      <c r="BM1030" s="6" t="n">
        <f aca="false">IFERROR(VALUE(F1030),"")</f>
        <v>396.08</v>
      </c>
      <c r="BN1030" s="6" t="str">
        <f aca="false">IF(R1030="-","",IFERROR(VALUE(LEFT(Q1030,LEN(Q1030)-2)),""))</f>
        <v/>
      </c>
      <c r="BO1030" s="6" t="str">
        <f aca="false">IF(R1030="-","",IFERROR(VALUE(LEFT(R1030,LEN(R1030)-5)),""))</f>
        <v/>
      </c>
      <c r="BP1030" s="6" t="str">
        <f aca="false">IF(R1030="-","",IFERROR(VALUE(F1030),""))</f>
        <v/>
      </c>
      <c r="BQ1030" s="4" t="n">
        <f aca="false">IF(R1030="-",1,0)</f>
        <v>1</v>
      </c>
    </row>
    <row r="1031" customFormat="false" ht="15" hidden="false" customHeight="false" outlineLevel="0" collapsed="false">
      <c r="A1031" s="0" t="s">
        <v>4062</v>
      </c>
      <c r="B1031" s="0" t="s">
        <v>4063</v>
      </c>
      <c r="C1031" s="0" t="s">
        <v>70</v>
      </c>
      <c r="D1031" s="0" t="s">
        <v>4080</v>
      </c>
      <c r="E1031" s="3" t="n">
        <v>46278</v>
      </c>
      <c r="F1031" s="4" t="s">
        <v>4081</v>
      </c>
      <c r="G1031" s="5" t="n">
        <v>0.39037037037037</v>
      </c>
      <c r="H1031" s="5" t="n">
        <v>0.35087962962963</v>
      </c>
      <c r="I1031" s="5" t="n">
        <v>0.00170138888888889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1</v>
      </c>
      <c r="O1031" s="5" t="n">
        <v>0</v>
      </c>
      <c r="P1031" s="5" t="n">
        <v>0.0211921296296296</v>
      </c>
      <c r="Q1031" s="4" t="s">
        <v>73</v>
      </c>
      <c r="R1031" s="4" t="s">
        <v>73</v>
      </c>
      <c r="S1031" s="5" t="n">
        <v>0.000462962962962963</v>
      </c>
      <c r="T1031" s="5" t="n">
        <v>0.162407407407407</v>
      </c>
      <c r="U1031" s="5" t="n">
        <v>0.0964583333333333</v>
      </c>
      <c r="V1031" s="5" t="n">
        <v>0.0904398148148148</v>
      </c>
      <c r="W1031" s="5" t="n">
        <v>0.00164351851851852</v>
      </c>
      <c r="X1031" s="5" t="n">
        <v>0</v>
      </c>
      <c r="Y1031" s="5" t="n">
        <v>0.000381944444444445</v>
      </c>
      <c r="Z1031" s="0" t="n">
        <v>0</v>
      </c>
      <c r="AA1031" s="0" t="n">
        <v>0</v>
      </c>
      <c r="AB1031" s="0" t="n">
        <v>0</v>
      </c>
      <c r="AC1031" s="4" t="s">
        <v>228</v>
      </c>
      <c r="AD1031" s="4" t="s">
        <v>74</v>
      </c>
      <c r="AE1031" s="4" t="s">
        <v>4079</v>
      </c>
      <c r="AF1031" s="4" t="s">
        <v>4082</v>
      </c>
      <c r="AG1031" s="5" t="n">
        <v>0.279444444444444</v>
      </c>
      <c r="AH1031" s="5" t="n">
        <v>0.266782407407407</v>
      </c>
      <c r="AI1031" s="5" t="n">
        <v>0</v>
      </c>
      <c r="AJ1031" s="5" t="n">
        <v>0</v>
      </c>
      <c r="AK1031" s="5" t="n">
        <v>0</v>
      </c>
      <c r="AL1031" s="5" t="n">
        <v>0</v>
      </c>
      <c r="AM1031" s="4" t="s">
        <v>78</v>
      </c>
      <c r="AN1031" s="0" t="n">
        <v>0</v>
      </c>
      <c r="AO1031" s="0" t="n">
        <v>0</v>
      </c>
      <c r="AP1031" s="0" t="n">
        <v>0</v>
      </c>
      <c r="AQ1031" s="0" t="n">
        <v>0</v>
      </c>
      <c r="AR1031" s="0" t="n">
        <v>0</v>
      </c>
      <c r="AS1031" s="0" t="n">
        <v>0</v>
      </c>
      <c r="AT1031" s="0" t="n">
        <v>0</v>
      </c>
      <c r="AU1031" s="0" t="n">
        <v>0</v>
      </c>
      <c r="AV1031" s="0" t="n">
        <v>0</v>
      </c>
      <c r="AW1031" s="0" t="n">
        <v>0</v>
      </c>
      <c r="AX1031" s="0" t="n">
        <v>0</v>
      </c>
      <c r="AY1031" s="0" t="n">
        <v>0</v>
      </c>
      <c r="AZ1031" s="0" t="n">
        <v>0</v>
      </c>
      <c r="BA1031" s="0" t="n">
        <v>0</v>
      </c>
      <c r="BB1031" s="0" t="n">
        <v>0</v>
      </c>
      <c r="BC1031" s="0" t="n">
        <v>0</v>
      </c>
      <c r="BD1031" s="0" t="n">
        <v>0</v>
      </c>
      <c r="BE1031" s="0" t="n">
        <v>0</v>
      </c>
      <c r="BF1031" s="0" t="n">
        <v>0</v>
      </c>
      <c r="BG1031" s="0" t="n">
        <v>0</v>
      </c>
      <c r="BH1031" s="0" t="n">
        <v>0</v>
      </c>
      <c r="BI1031" s="0" t="n">
        <v>0</v>
      </c>
      <c r="BJ1031" s="0" t="n">
        <v>0</v>
      </c>
      <c r="BK1031" s="0" t="n">
        <v>0</v>
      </c>
      <c r="BM1031" s="6" t="n">
        <f aca="false">IFERROR(VALUE(F1031),"")</f>
        <v>214.63</v>
      </c>
      <c r="BN1031" s="6" t="str">
        <f aca="false">IF(R1031="-","",IFERROR(VALUE(LEFT(Q1031,LEN(Q1031)-2)),""))</f>
        <v/>
      </c>
      <c r="BO1031" s="6" t="str">
        <f aca="false">IF(R1031="-","",IFERROR(VALUE(LEFT(R1031,LEN(R1031)-5)),""))</f>
        <v/>
      </c>
      <c r="BP1031" s="6" t="str">
        <f aca="false">IF(R1031="-","",IFERROR(VALUE(F1031),""))</f>
        <v/>
      </c>
      <c r="BQ1031" s="4" t="n">
        <f aca="false">IF(R1031="-",1,0)</f>
        <v>1</v>
      </c>
    </row>
    <row r="1032" customFormat="false" ht="15" hidden="false" customHeight="false" outlineLevel="0" collapsed="false">
      <c r="A1032" s="0" t="s">
        <v>4062</v>
      </c>
      <c r="B1032" s="0" t="s">
        <v>4063</v>
      </c>
      <c r="C1032" s="0" t="s">
        <v>70</v>
      </c>
      <c r="E1032" s="3" t="n">
        <v>46279</v>
      </c>
      <c r="F1032" s="4" t="s">
        <v>2574</v>
      </c>
      <c r="G1032" s="5" t="n">
        <v>0.0505902777777778</v>
      </c>
      <c r="H1032" s="5" t="n">
        <v>0</v>
      </c>
      <c r="I1032" s="5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5" t="n">
        <v>0</v>
      </c>
      <c r="P1032" s="5" t="n">
        <v>0</v>
      </c>
      <c r="Q1032" s="4" t="s">
        <v>73</v>
      </c>
      <c r="R1032" s="4" t="s">
        <v>73</v>
      </c>
      <c r="S1032" s="5" t="n">
        <v>0</v>
      </c>
      <c r="T1032" s="5" t="n">
        <v>0.0252314814814815</v>
      </c>
      <c r="U1032" s="5" t="n">
        <v>0.00196759259259259</v>
      </c>
      <c r="V1032" s="5" t="n">
        <v>0</v>
      </c>
      <c r="W1032" s="5" t="n">
        <v>0</v>
      </c>
      <c r="X1032" s="5" t="n">
        <v>0</v>
      </c>
      <c r="Y1032" s="5" t="n">
        <v>0</v>
      </c>
      <c r="Z1032" s="0" t="n">
        <v>0</v>
      </c>
      <c r="AA1032" s="0" t="n">
        <v>0</v>
      </c>
      <c r="AB1032" s="0" t="n">
        <v>0</v>
      </c>
      <c r="AC1032" s="4" t="s">
        <v>81</v>
      </c>
      <c r="AD1032" s="4" t="s">
        <v>228</v>
      </c>
      <c r="AE1032" s="4" t="s">
        <v>4082</v>
      </c>
      <c r="AF1032" s="4" t="s">
        <v>4083</v>
      </c>
      <c r="AG1032" s="5" t="n">
        <v>0.00790509259259259</v>
      </c>
      <c r="AH1032" s="5" t="n">
        <v>0.109733796296296</v>
      </c>
      <c r="AI1032" s="5" t="n">
        <v>0</v>
      </c>
      <c r="AJ1032" s="5" t="n">
        <v>0</v>
      </c>
      <c r="AK1032" s="5" t="n">
        <v>0</v>
      </c>
      <c r="AL1032" s="5" t="n">
        <v>0</v>
      </c>
      <c r="AM1032" s="4" t="s">
        <v>78</v>
      </c>
      <c r="AN1032" s="0" t="n">
        <v>0</v>
      </c>
      <c r="AO1032" s="0" t="n">
        <v>0</v>
      </c>
      <c r="AP1032" s="0" t="n">
        <v>0</v>
      </c>
      <c r="AQ1032" s="0" t="n">
        <v>0</v>
      </c>
      <c r="AR1032" s="0" t="n">
        <v>0</v>
      </c>
      <c r="AS1032" s="0" t="n">
        <v>0</v>
      </c>
      <c r="AT1032" s="0" t="n">
        <v>0</v>
      </c>
      <c r="AU1032" s="0" t="n">
        <v>0</v>
      </c>
      <c r="AV1032" s="0" t="n">
        <v>0</v>
      </c>
      <c r="AW1032" s="0" t="n">
        <v>0</v>
      </c>
      <c r="AX1032" s="0" t="n">
        <v>0</v>
      </c>
      <c r="AY1032" s="0" t="n">
        <v>0</v>
      </c>
      <c r="AZ1032" s="0" t="n">
        <v>0</v>
      </c>
      <c r="BA1032" s="0" t="n">
        <v>0</v>
      </c>
      <c r="BB1032" s="0" t="n">
        <v>0</v>
      </c>
      <c r="BC1032" s="0" t="n">
        <v>0</v>
      </c>
      <c r="BD1032" s="0" t="n">
        <v>0</v>
      </c>
      <c r="BE1032" s="0" t="n">
        <v>0</v>
      </c>
      <c r="BF1032" s="0" t="n">
        <v>0</v>
      </c>
      <c r="BG1032" s="0" t="n">
        <v>0</v>
      </c>
      <c r="BH1032" s="0" t="n">
        <v>0</v>
      </c>
      <c r="BI1032" s="0" t="n">
        <v>0</v>
      </c>
      <c r="BJ1032" s="0" t="n">
        <v>0</v>
      </c>
      <c r="BK1032" s="0" t="n">
        <v>0</v>
      </c>
      <c r="BM1032" s="6" t="n">
        <f aca="false">IFERROR(VALUE(F1032),"")</f>
        <v>0.4</v>
      </c>
      <c r="BN1032" s="6" t="str">
        <f aca="false">IF(R1032="-","",IFERROR(VALUE(LEFT(Q1032,LEN(Q1032)-2)),""))</f>
        <v/>
      </c>
      <c r="BO1032" s="6" t="str">
        <f aca="false">IF(R1032="-","",IFERROR(VALUE(LEFT(R1032,LEN(R1032)-5)),""))</f>
        <v/>
      </c>
      <c r="BP1032" s="6" t="str">
        <f aca="false">IF(R1032="-","",IFERROR(VALUE(F1032),""))</f>
        <v/>
      </c>
      <c r="BQ1032" s="4" t="n">
        <f aca="false">IF(R1032="-",1,0)</f>
        <v>1</v>
      </c>
    </row>
    <row r="1033" customFormat="false" ht="15" hidden="false" customHeight="false" outlineLevel="0" collapsed="false">
      <c r="A1033" s="0" t="s">
        <v>4084</v>
      </c>
      <c r="B1033" s="0" t="s">
        <v>4085</v>
      </c>
      <c r="C1033" s="0" t="s">
        <v>70</v>
      </c>
      <c r="D1033" s="0" t="s">
        <v>4086</v>
      </c>
      <c r="E1033" s="3" t="n">
        <v>46273</v>
      </c>
      <c r="F1033" s="4" t="s">
        <v>4087</v>
      </c>
      <c r="G1033" s="5" t="n">
        <v>0</v>
      </c>
      <c r="H1033" s="5" t="n">
        <v>0.715821759259259</v>
      </c>
      <c r="I1033" s="5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5" t="n">
        <v>0</v>
      </c>
      <c r="P1033" s="5" t="n">
        <v>0</v>
      </c>
      <c r="Q1033" s="4" t="s">
        <v>4088</v>
      </c>
      <c r="R1033" s="4" t="s">
        <v>1209</v>
      </c>
      <c r="S1033" s="5" t="n">
        <v>0.000115740740740741</v>
      </c>
      <c r="T1033" s="5" t="n">
        <v>0.125115740740741</v>
      </c>
      <c r="U1033" s="5" t="n">
        <v>0.123726851851852</v>
      </c>
      <c r="V1033" s="5" t="n">
        <v>0.112152777777778</v>
      </c>
      <c r="W1033" s="5" t="n">
        <v>0</v>
      </c>
      <c r="X1033" s="5" t="n">
        <v>0</v>
      </c>
      <c r="Y1033" s="5" t="n">
        <v>0</v>
      </c>
      <c r="Z1033" s="0" t="n">
        <v>0</v>
      </c>
      <c r="AA1033" s="0" t="n">
        <v>0</v>
      </c>
      <c r="AB1033" s="0" t="n">
        <v>0</v>
      </c>
      <c r="AC1033" s="4" t="s">
        <v>3450</v>
      </c>
      <c r="AD1033" s="4" t="s">
        <v>74</v>
      </c>
      <c r="AE1033" s="4" t="s">
        <v>4089</v>
      </c>
      <c r="AF1033" s="4" t="s">
        <v>4090</v>
      </c>
      <c r="AG1033" s="5" t="n">
        <v>0.344722222222222</v>
      </c>
      <c r="AH1033" s="5" t="n">
        <v>0.655243055555556</v>
      </c>
      <c r="AI1033" s="5" t="n">
        <v>2.31481481481482E-005</v>
      </c>
      <c r="AJ1033" s="5" t="n">
        <v>0</v>
      </c>
      <c r="AK1033" s="5" t="n">
        <v>0</v>
      </c>
      <c r="AL1033" s="5" t="n">
        <v>0</v>
      </c>
      <c r="AM1033" s="4" t="s">
        <v>78</v>
      </c>
      <c r="AN1033" s="0" t="n">
        <v>0</v>
      </c>
      <c r="AO1033" s="0" t="n">
        <v>0</v>
      </c>
      <c r="AP1033" s="0" t="n">
        <v>0</v>
      </c>
      <c r="AQ1033" s="0" t="n">
        <v>0</v>
      </c>
      <c r="AR1033" s="0" t="n">
        <v>0</v>
      </c>
      <c r="AS1033" s="0" t="n">
        <v>0</v>
      </c>
      <c r="AT1033" s="0" t="n">
        <v>0</v>
      </c>
      <c r="AU1033" s="0" t="n">
        <v>2</v>
      </c>
      <c r="AV1033" s="0" t="n">
        <v>0</v>
      </c>
      <c r="AW1033" s="0" t="n">
        <v>0</v>
      </c>
      <c r="AX1033" s="0" t="n">
        <v>0</v>
      </c>
      <c r="AY1033" s="0" t="n">
        <v>0</v>
      </c>
      <c r="AZ1033" s="0" t="n">
        <v>0</v>
      </c>
      <c r="BA1033" s="0" t="n">
        <v>0</v>
      </c>
      <c r="BB1033" s="0" t="n">
        <v>0</v>
      </c>
      <c r="BC1033" s="0" t="n">
        <v>0</v>
      </c>
      <c r="BD1033" s="0" t="n">
        <v>0</v>
      </c>
      <c r="BE1033" s="0" t="n">
        <v>0</v>
      </c>
      <c r="BF1033" s="0" t="n">
        <v>0</v>
      </c>
      <c r="BG1033" s="0" t="n">
        <v>0</v>
      </c>
      <c r="BH1033" s="0" t="n">
        <v>0</v>
      </c>
      <c r="BI1033" s="0" t="n">
        <v>0</v>
      </c>
      <c r="BJ1033" s="0" t="n">
        <v>0</v>
      </c>
      <c r="BK1033" s="0" t="n">
        <v>0</v>
      </c>
      <c r="BM1033" s="6" t="n">
        <f aca="false">IFERROR(VALUE(F1033),"")</f>
        <v>328.8</v>
      </c>
      <c r="BN1033" s="6" t="n">
        <f aca="false">IF(R1033="-","",IFERROR(VALUE(LEFT(Q1033,LEN(Q1033)-2)),""))</f>
        <v>118.39</v>
      </c>
      <c r="BO1033" s="6" t="n">
        <f aca="false">IF(R1033="-","",IFERROR(VALUE(LEFT(R1033,LEN(R1033)-5)),""))</f>
        <v>2.78</v>
      </c>
      <c r="BP1033" s="6" t="n">
        <f aca="false">IF(R1033="-","",IFERROR(VALUE(F1033),""))</f>
        <v>328.8</v>
      </c>
      <c r="BQ1033" s="4" t="n">
        <f aca="false">IF(R1033="-",1,0)</f>
        <v>0</v>
      </c>
    </row>
    <row r="1034" customFormat="false" ht="15" hidden="false" customHeight="false" outlineLevel="0" collapsed="false">
      <c r="A1034" s="0" t="s">
        <v>4084</v>
      </c>
      <c r="B1034" s="0" t="s">
        <v>4085</v>
      </c>
      <c r="C1034" s="0" t="s">
        <v>70</v>
      </c>
      <c r="D1034" s="0" t="s">
        <v>3447</v>
      </c>
      <c r="E1034" s="3" t="n">
        <v>46274</v>
      </c>
      <c r="F1034" s="4" t="s">
        <v>4091</v>
      </c>
      <c r="G1034" s="5" t="n">
        <v>0.808460648148148</v>
      </c>
      <c r="H1034" s="5" t="n">
        <v>0.135543981481482</v>
      </c>
      <c r="I1034" s="5" t="n">
        <v>0.000150462962962963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5" t="n">
        <v>0</v>
      </c>
      <c r="P1034" s="5" t="n">
        <v>0.020150462962963</v>
      </c>
      <c r="Q1034" s="4" t="s">
        <v>4092</v>
      </c>
      <c r="R1034" s="4" t="s">
        <v>2141</v>
      </c>
      <c r="S1034" s="5" t="n">
        <v>0.000115740740740741</v>
      </c>
      <c r="T1034" s="5" t="n">
        <v>0.102314814814815</v>
      </c>
      <c r="U1034" s="5" t="n">
        <v>0.0349537037037037</v>
      </c>
      <c r="V1034" s="5" t="n">
        <v>0.0465277777777778</v>
      </c>
      <c r="W1034" s="5" t="n">
        <v>0</v>
      </c>
      <c r="X1034" s="5" t="n">
        <v>0</v>
      </c>
      <c r="Y1034" s="5" t="n">
        <v>0</v>
      </c>
      <c r="Z1034" s="0" t="n">
        <v>0</v>
      </c>
      <c r="AA1034" s="0" t="n">
        <v>0</v>
      </c>
      <c r="AB1034" s="0" t="n">
        <v>0</v>
      </c>
      <c r="AC1034" s="4" t="s">
        <v>228</v>
      </c>
      <c r="AD1034" s="4" t="s">
        <v>3450</v>
      </c>
      <c r="AE1034" s="4" t="s">
        <v>4090</v>
      </c>
      <c r="AF1034" s="4" t="s">
        <v>4093</v>
      </c>
      <c r="AG1034" s="5" t="n">
        <v>0.134155092592593</v>
      </c>
      <c r="AH1034" s="5" t="n">
        <v>0.701782407407407</v>
      </c>
      <c r="AI1034" s="5" t="n">
        <v>0</v>
      </c>
      <c r="AJ1034" s="5" t="n">
        <v>0</v>
      </c>
      <c r="AK1034" s="5" t="n">
        <v>0</v>
      </c>
      <c r="AL1034" s="5" t="n">
        <v>0</v>
      </c>
      <c r="AM1034" s="4" t="s">
        <v>78</v>
      </c>
      <c r="AN1034" s="0" t="n">
        <v>0</v>
      </c>
      <c r="AO1034" s="0" t="n">
        <v>0</v>
      </c>
      <c r="AP1034" s="0" t="n">
        <v>0</v>
      </c>
      <c r="AQ1034" s="0" t="n">
        <v>0</v>
      </c>
      <c r="AR1034" s="0" t="n">
        <v>0</v>
      </c>
      <c r="AS1034" s="0" t="n">
        <v>0</v>
      </c>
      <c r="AT1034" s="0" t="n">
        <v>0</v>
      </c>
      <c r="AU1034" s="0" t="n">
        <v>0</v>
      </c>
      <c r="AV1034" s="0" t="n">
        <v>0</v>
      </c>
      <c r="AW1034" s="0" t="n">
        <v>0</v>
      </c>
      <c r="AX1034" s="0" t="n">
        <v>0</v>
      </c>
      <c r="AY1034" s="0" t="n">
        <v>0</v>
      </c>
      <c r="AZ1034" s="0" t="n">
        <v>0</v>
      </c>
      <c r="BA1034" s="0" t="n">
        <v>0</v>
      </c>
      <c r="BB1034" s="0" t="n">
        <v>0</v>
      </c>
      <c r="BC1034" s="0" t="n">
        <v>0</v>
      </c>
      <c r="BD1034" s="0" t="n">
        <v>0</v>
      </c>
      <c r="BE1034" s="0" t="n">
        <v>0</v>
      </c>
      <c r="BF1034" s="0" t="n">
        <v>0</v>
      </c>
      <c r="BG1034" s="0" t="n">
        <v>0</v>
      </c>
      <c r="BH1034" s="0" t="n">
        <v>0</v>
      </c>
      <c r="BI1034" s="0" t="n">
        <v>0</v>
      </c>
      <c r="BJ1034" s="0" t="n">
        <v>0</v>
      </c>
      <c r="BK1034" s="0" t="n">
        <v>0</v>
      </c>
      <c r="BM1034" s="6" t="n">
        <f aca="false">IFERROR(VALUE(F1034),"")</f>
        <v>111.17</v>
      </c>
      <c r="BN1034" s="6" t="n">
        <f aca="false">IF(R1034="-","",IFERROR(VALUE(LEFT(Q1034,LEN(Q1034)-2)),""))</f>
        <v>45.95</v>
      </c>
      <c r="BO1034" s="6" t="n">
        <f aca="false">IF(R1034="-","",IFERROR(VALUE(LEFT(R1034,LEN(R1034)-5)),""))</f>
        <v>2.42</v>
      </c>
      <c r="BP1034" s="6" t="n">
        <f aca="false">IF(R1034="-","",IFERROR(VALUE(F1034),""))</f>
        <v>111.17</v>
      </c>
      <c r="BQ1034" s="4" t="n">
        <f aca="false">IF(R1034="-",1,0)</f>
        <v>0</v>
      </c>
    </row>
    <row r="1035" customFormat="false" ht="15" hidden="false" customHeight="false" outlineLevel="0" collapsed="false">
      <c r="A1035" s="0" t="s">
        <v>4084</v>
      </c>
      <c r="B1035" s="0" t="s">
        <v>4085</v>
      </c>
      <c r="C1035" s="0" t="s">
        <v>70</v>
      </c>
      <c r="D1035" s="0" t="s">
        <v>4094</v>
      </c>
      <c r="E1035" s="3" t="n">
        <v>46275</v>
      </c>
      <c r="F1035" s="4" t="s">
        <v>4095</v>
      </c>
      <c r="G1035" s="5" t="n">
        <v>0.251018518518519</v>
      </c>
      <c r="H1035" s="5" t="n">
        <v>0.212268518518519</v>
      </c>
      <c r="I1035" s="5" t="n">
        <v>0.000138888888888889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5" t="n">
        <v>0</v>
      </c>
      <c r="P1035" s="5" t="n">
        <v>0.0130787037037037</v>
      </c>
      <c r="Q1035" s="4" t="s">
        <v>4096</v>
      </c>
      <c r="R1035" s="4" t="s">
        <v>2513</v>
      </c>
      <c r="S1035" s="5" t="n">
        <v>0.000231481481481482</v>
      </c>
      <c r="T1035" s="5" t="n">
        <v>0.104513888888889</v>
      </c>
      <c r="U1035" s="5" t="n">
        <v>0.074537037037037</v>
      </c>
      <c r="V1035" s="5" t="n">
        <v>0.0584490740740741</v>
      </c>
      <c r="W1035" s="5" t="n">
        <v>0.000115740740740741</v>
      </c>
      <c r="X1035" s="5" t="n">
        <v>0</v>
      </c>
      <c r="Y1035" s="5" t="n">
        <v>0</v>
      </c>
      <c r="Z1035" s="0" t="n">
        <v>0</v>
      </c>
      <c r="AA1035" s="0" t="n">
        <v>0</v>
      </c>
      <c r="AB1035" s="0" t="n">
        <v>0</v>
      </c>
      <c r="AC1035" s="4" t="s">
        <v>3450</v>
      </c>
      <c r="AD1035" s="4" t="s">
        <v>816</v>
      </c>
      <c r="AE1035" s="4" t="s">
        <v>4093</v>
      </c>
      <c r="AF1035" s="4" t="s">
        <v>4097</v>
      </c>
      <c r="AG1035" s="5" t="n">
        <v>0.191400462962963</v>
      </c>
      <c r="AH1035" s="5" t="n">
        <v>0.119155092592593</v>
      </c>
      <c r="AI1035" s="5" t="n">
        <v>0</v>
      </c>
      <c r="AJ1035" s="5" t="n">
        <v>0</v>
      </c>
      <c r="AK1035" s="5" t="n">
        <v>0</v>
      </c>
      <c r="AL1035" s="5" t="n">
        <v>0</v>
      </c>
      <c r="AM1035" s="4" t="s">
        <v>78</v>
      </c>
      <c r="AN1035" s="0" t="n">
        <v>0</v>
      </c>
      <c r="AO1035" s="0" t="n">
        <v>0</v>
      </c>
      <c r="AP1035" s="0" t="n">
        <v>0</v>
      </c>
      <c r="AQ1035" s="0" t="n">
        <v>0</v>
      </c>
      <c r="AR1035" s="0" t="n">
        <v>0</v>
      </c>
      <c r="AS1035" s="0" t="n">
        <v>0</v>
      </c>
      <c r="AT1035" s="0" t="n">
        <v>0</v>
      </c>
      <c r="AU1035" s="0" t="n">
        <v>0</v>
      </c>
      <c r="AV1035" s="0" t="n">
        <v>0</v>
      </c>
      <c r="AW1035" s="0" t="n">
        <v>0</v>
      </c>
      <c r="AX1035" s="0" t="n">
        <v>0</v>
      </c>
      <c r="AY1035" s="0" t="n">
        <v>0</v>
      </c>
      <c r="AZ1035" s="0" t="n">
        <v>0</v>
      </c>
      <c r="BA1035" s="0" t="n">
        <v>0</v>
      </c>
      <c r="BB1035" s="0" t="n">
        <v>0</v>
      </c>
      <c r="BC1035" s="0" t="n">
        <v>0</v>
      </c>
      <c r="BD1035" s="0" t="n">
        <v>0</v>
      </c>
      <c r="BE1035" s="0" t="n">
        <v>0</v>
      </c>
      <c r="BF1035" s="0" t="n">
        <v>0</v>
      </c>
      <c r="BG1035" s="0" t="n">
        <v>0</v>
      </c>
      <c r="BH1035" s="0" t="n">
        <v>0</v>
      </c>
      <c r="BI1035" s="0" t="n">
        <v>0</v>
      </c>
      <c r="BJ1035" s="0" t="n">
        <v>0</v>
      </c>
      <c r="BK1035" s="0" t="n">
        <v>0</v>
      </c>
      <c r="BM1035" s="6" t="n">
        <f aca="false">IFERROR(VALUE(F1035),"")</f>
        <v>173.02</v>
      </c>
      <c r="BN1035" s="6" t="n">
        <f aca="false">IF(R1035="-","",IFERROR(VALUE(LEFT(Q1035,LEN(Q1035)-2)),""))</f>
        <v>66.96</v>
      </c>
      <c r="BO1035" s="6" t="n">
        <f aca="false">IF(R1035="-","",IFERROR(VALUE(LEFT(R1035,LEN(R1035)-5)),""))</f>
        <v>2.58</v>
      </c>
      <c r="BP1035" s="6" t="n">
        <f aca="false">IF(R1035="-","",IFERROR(VALUE(F1035),""))</f>
        <v>173.02</v>
      </c>
      <c r="BQ1035" s="4" t="n">
        <f aca="false">IF(R1035="-",1,0)</f>
        <v>0</v>
      </c>
    </row>
    <row r="1036" customFormat="false" ht="15" hidden="false" customHeight="false" outlineLevel="0" collapsed="false">
      <c r="A1036" s="0" t="s">
        <v>4084</v>
      </c>
      <c r="B1036" s="0" t="s">
        <v>4085</v>
      </c>
      <c r="C1036" s="0" t="s">
        <v>70</v>
      </c>
      <c r="D1036" s="0" t="s">
        <v>4098</v>
      </c>
      <c r="E1036" s="3" t="n">
        <v>46276</v>
      </c>
      <c r="F1036" s="4" t="s">
        <v>4099</v>
      </c>
      <c r="G1036" s="5" t="n">
        <v>0.535821759259259</v>
      </c>
      <c r="H1036" s="5" t="n">
        <v>0.446458333333333</v>
      </c>
      <c r="I1036" s="5" t="n">
        <v>0.00116898148148148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5" t="n">
        <v>0</v>
      </c>
      <c r="P1036" s="5" t="n">
        <v>0.0159143518518519</v>
      </c>
      <c r="Q1036" s="4" t="s">
        <v>4100</v>
      </c>
      <c r="R1036" s="4" t="s">
        <v>2141</v>
      </c>
      <c r="S1036" s="5" t="n">
        <v>0.000810185185185185</v>
      </c>
      <c r="T1036" s="5" t="n">
        <v>0.197222222222222</v>
      </c>
      <c r="U1036" s="5" t="n">
        <v>0.117824074074074</v>
      </c>
      <c r="V1036" s="5" t="n">
        <v>0.050787037037037</v>
      </c>
      <c r="W1036" s="5" t="n">
        <v>0.00025462962962963</v>
      </c>
      <c r="X1036" s="5" t="n">
        <v>0</v>
      </c>
      <c r="Y1036" s="5" t="n">
        <v>0</v>
      </c>
      <c r="Z1036" s="0" t="n">
        <v>0</v>
      </c>
      <c r="AA1036" s="0" t="n">
        <v>0</v>
      </c>
      <c r="AB1036" s="0" t="n">
        <v>0</v>
      </c>
      <c r="AC1036" s="4" t="s">
        <v>828</v>
      </c>
      <c r="AD1036" s="4" t="s">
        <v>74</v>
      </c>
      <c r="AE1036" s="4" t="s">
        <v>4097</v>
      </c>
      <c r="AF1036" s="4" t="s">
        <v>4101</v>
      </c>
      <c r="AG1036" s="5" t="n">
        <v>0.291145833333333</v>
      </c>
      <c r="AH1036" s="5" t="n">
        <v>0.313148148148148</v>
      </c>
      <c r="AI1036" s="5" t="n">
        <v>0</v>
      </c>
      <c r="AJ1036" s="5" t="n">
        <v>0</v>
      </c>
      <c r="AK1036" s="5" t="n">
        <v>0</v>
      </c>
      <c r="AL1036" s="5" t="n">
        <v>0</v>
      </c>
      <c r="AM1036" s="4" t="s">
        <v>78</v>
      </c>
      <c r="AN1036" s="0" t="n">
        <v>0</v>
      </c>
      <c r="AO1036" s="0" t="n">
        <v>0</v>
      </c>
      <c r="AP1036" s="0" t="n">
        <v>0</v>
      </c>
      <c r="AQ1036" s="0" t="n">
        <v>0</v>
      </c>
      <c r="AR1036" s="0" t="n">
        <v>0</v>
      </c>
      <c r="AS1036" s="0" t="n">
        <v>0</v>
      </c>
      <c r="AT1036" s="0" t="n">
        <v>0</v>
      </c>
      <c r="AU1036" s="0" t="n">
        <v>3</v>
      </c>
      <c r="AV1036" s="0" t="n">
        <v>0</v>
      </c>
      <c r="AW1036" s="0" t="n">
        <v>0</v>
      </c>
      <c r="AX1036" s="0" t="n">
        <v>0</v>
      </c>
      <c r="AY1036" s="0" t="n">
        <v>0</v>
      </c>
      <c r="AZ1036" s="0" t="n">
        <v>0</v>
      </c>
      <c r="BA1036" s="0" t="n">
        <v>0</v>
      </c>
      <c r="BB1036" s="0" t="n">
        <v>0</v>
      </c>
      <c r="BC1036" s="0" t="n">
        <v>0</v>
      </c>
      <c r="BD1036" s="0" t="n">
        <v>0</v>
      </c>
      <c r="BE1036" s="0" t="n">
        <v>0</v>
      </c>
      <c r="BF1036" s="0" t="n">
        <v>0</v>
      </c>
      <c r="BG1036" s="0" t="n">
        <v>0</v>
      </c>
      <c r="BH1036" s="0" t="n">
        <v>0</v>
      </c>
      <c r="BI1036" s="0" t="n">
        <v>0</v>
      </c>
      <c r="BJ1036" s="0" t="n">
        <v>0</v>
      </c>
      <c r="BK1036" s="0" t="n">
        <v>0</v>
      </c>
      <c r="BM1036" s="6" t="n">
        <f aca="false">IFERROR(VALUE(F1036),"")</f>
        <v>186.26</v>
      </c>
      <c r="BN1036" s="6" t="n">
        <f aca="false">IF(R1036="-","",IFERROR(VALUE(LEFT(Q1036,LEN(Q1036)-2)),""))</f>
        <v>77.1</v>
      </c>
      <c r="BO1036" s="6" t="n">
        <f aca="false">IF(R1036="-","",IFERROR(VALUE(LEFT(R1036,LEN(R1036)-5)),""))</f>
        <v>2.42</v>
      </c>
      <c r="BP1036" s="6" t="n">
        <f aca="false">IF(R1036="-","",IFERROR(VALUE(F1036),""))</f>
        <v>186.26</v>
      </c>
      <c r="BQ1036" s="4" t="n">
        <f aca="false">IF(R1036="-",1,0)</f>
        <v>0</v>
      </c>
    </row>
    <row r="1037" customFormat="false" ht="15" hidden="false" customHeight="false" outlineLevel="0" collapsed="false">
      <c r="A1037" s="0" t="s">
        <v>4084</v>
      </c>
      <c r="B1037" s="0" t="s">
        <v>4085</v>
      </c>
      <c r="C1037" s="0" t="s">
        <v>70</v>
      </c>
      <c r="D1037" s="0" t="s">
        <v>4086</v>
      </c>
      <c r="E1037" s="3" t="n">
        <v>46277</v>
      </c>
      <c r="F1037" s="4" t="s">
        <v>4102</v>
      </c>
      <c r="G1037" s="5" t="n">
        <v>0.593310185185185</v>
      </c>
      <c r="H1037" s="5" t="n">
        <v>0.282002314814815</v>
      </c>
      <c r="I1037" s="5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5" t="n">
        <v>0</v>
      </c>
      <c r="P1037" s="5" t="n">
        <v>0.0405555555555556</v>
      </c>
      <c r="Q1037" s="4" t="s">
        <v>4103</v>
      </c>
      <c r="R1037" s="4" t="s">
        <v>1183</v>
      </c>
      <c r="S1037" s="5" t="n">
        <v>0.000115740740740741</v>
      </c>
      <c r="T1037" s="5" t="n">
        <v>0.0953703703703704</v>
      </c>
      <c r="U1037" s="5" t="n">
        <v>0.0482638888888889</v>
      </c>
      <c r="V1037" s="5" t="n">
        <v>0.0365740740740741</v>
      </c>
      <c r="W1037" s="5" t="n">
        <v>0</v>
      </c>
      <c r="X1037" s="5" t="n">
        <v>0</v>
      </c>
      <c r="Y1037" s="5" t="n">
        <v>0</v>
      </c>
      <c r="Z1037" s="0" t="n">
        <v>0</v>
      </c>
      <c r="AA1037" s="0" t="n">
        <v>0</v>
      </c>
      <c r="AB1037" s="0" t="n">
        <v>0</v>
      </c>
      <c r="AC1037" s="4" t="s">
        <v>228</v>
      </c>
      <c r="AD1037" s="4" t="s">
        <v>3450</v>
      </c>
      <c r="AE1037" s="4" t="s">
        <v>4101</v>
      </c>
      <c r="AF1037" s="4" t="s">
        <v>4104</v>
      </c>
      <c r="AG1037" s="5" t="n">
        <v>0.120972222222222</v>
      </c>
      <c r="AH1037" s="5" t="n">
        <v>0.553009259259259</v>
      </c>
      <c r="AI1037" s="5" t="n">
        <v>0</v>
      </c>
      <c r="AJ1037" s="5" t="n">
        <v>0</v>
      </c>
      <c r="AK1037" s="5" t="n">
        <v>0</v>
      </c>
      <c r="AL1037" s="5" t="n">
        <v>0</v>
      </c>
      <c r="AM1037" s="4" t="s">
        <v>78</v>
      </c>
      <c r="AN1037" s="0" t="n">
        <v>0</v>
      </c>
      <c r="AO1037" s="0" t="n">
        <v>0</v>
      </c>
      <c r="AP1037" s="0" t="n">
        <v>0</v>
      </c>
      <c r="AQ1037" s="0" t="n">
        <v>0</v>
      </c>
      <c r="AR1037" s="0" t="n">
        <v>0</v>
      </c>
      <c r="AS1037" s="0" t="n">
        <v>0</v>
      </c>
      <c r="AT1037" s="0" t="n">
        <v>0</v>
      </c>
      <c r="AU1037" s="0" t="n">
        <v>0</v>
      </c>
      <c r="AV1037" s="0" t="n">
        <v>0</v>
      </c>
      <c r="AW1037" s="0" t="n">
        <v>0</v>
      </c>
      <c r="AX1037" s="0" t="n">
        <v>0</v>
      </c>
      <c r="AY1037" s="0" t="n">
        <v>0</v>
      </c>
      <c r="AZ1037" s="0" t="n">
        <v>0</v>
      </c>
      <c r="BA1037" s="0" t="n">
        <v>0</v>
      </c>
      <c r="BB1037" s="0" t="n">
        <v>0</v>
      </c>
      <c r="BC1037" s="0" t="n">
        <v>0</v>
      </c>
      <c r="BD1037" s="0" t="n">
        <v>0</v>
      </c>
      <c r="BE1037" s="0" t="n">
        <v>0</v>
      </c>
      <c r="BF1037" s="0" t="n">
        <v>0</v>
      </c>
      <c r="BG1037" s="0" t="n">
        <v>0</v>
      </c>
      <c r="BH1037" s="0" t="n">
        <v>0</v>
      </c>
      <c r="BI1037" s="0" t="n">
        <v>0</v>
      </c>
      <c r="BJ1037" s="0" t="n">
        <v>0</v>
      </c>
      <c r="BK1037" s="0" t="n">
        <v>0</v>
      </c>
      <c r="BM1037" s="6" t="n">
        <f aca="false">IFERROR(VALUE(F1037),"")</f>
        <v>111.9</v>
      </c>
      <c r="BN1037" s="6" t="n">
        <f aca="false">IF(R1037="-","",IFERROR(VALUE(LEFT(Q1037,LEN(Q1037)-2)),""))</f>
        <v>42.32</v>
      </c>
      <c r="BO1037" s="6" t="n">
        <f aca="false">IF(R1037="-","",IFERROR(VALUE(LEFT(R1037,LEN(R1037)-5)),""))</f>
        <v>2.64</v>
      </c>
      <c r="BP1037" s="6" t="n">
        <f aca="false">IF(R1037="-","",IFERROR(VALUE(F1037),""))</f>
        <v>111.9</v>
      </c>
      <c r="BQ1037" s="4" t="n">
        <f aca="false">IF(R1037="-",1,0)</f>
        <v>0</v>
      </c>
    </row>
    <row r="1038" customFormat="false" ht="15" hidden="false" customHeight="false" outlineLevel="0" collapsed="false">
      <c r="A1038" s="0" t="s">
        <v>4084</v>
      </c>
      <c r="B1038" s="0" t="s">
        <v>4085</v>
      </c>
      <c r="C1038" s="0" t="s">
        <v>70</v>
      </c>
      <c r="D1038" s="0" t="s">
        <v>4086</v>
      </c>
      <c r="E1038" s="3" t="n">
        <v>46278</v>
      </c>
      <c r="F1038" s="4" t="s">
        <v>4105</v>
      </c>
      <c r="G1038" s="5" t="n">
        <v>0.993356481481482</v>
      </c>
      <c r="H1038" s="5" t="n">
        <v>0.709155092592593</v>
      </c>
      <c r="I1038" s="5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5" t="n">
        <v>0</v>
      </c>
      <c r="P1038" s="5" t="n">
        <v>0</v>
      </c>
      <c r="Q1038" s="4" t="s">
        <v>4106</v>
      </c>
      <c r="R1038" s="4" t="s">
        <v>497</v>
      </c>
      <c r="S1038" s="5" t="n">
        <v>0</v>
      </c>
      <c r="T1038" s="5" t="n">
        <v>0.0836805555555556</v>
      </c>
      <c r="U1038" s="5" t="n">
        <v>0.109606481481482</v>
      </c>
      <c r="V1038" s="5" t="n">
        <v>0.0826388888888889</v>
      </c>
      <c r="W1038" s="5" t="n">
        <v>0</v>
      </c>
      <c r="X1038" s="5" t="n">
        <v>0</v>
      </c>
      <c r="Y1038" s="5" t="n">
        <v>0</v>
      </c>
      <c r="Z1038" s="0" t="n">
        <v>0</v>
      </c>
      <c r="AA1038" s="0" t="n">
        <v>0</v>
      </c>
      <c r="AB1038" s="0" t="n">
        <v>0</v>
      </c>
      <c r="AC1038" s="4" t="s">
        <v>3450</v>
      </c>
      <c r="AD1038" s="4" t="s">
        <v>3450</v>
      </c>
      <c r="AE1038" s="4" t="s">
        <v>4104</v>
      </c>
      <c r="AF1038" s="4" t="s">
        <v>4107</v>
      </c>
      <c r="AG1038" s="5" t="n">
        <v>0.258090277777778</v>
      </c>
      <c r="AH1038" s="5" t="n">
        <v>0.741886574074074</v>
      </c>
      <c r="AI1038" s="5" t="n">
        <v>0</v>
      </c>
      <c r="AJ1038" s="5" t="n">
        <v>0</v>
      </c>
      <c r="AK1038" s="5" t="n">
        <v>0</v>
      </c>
      <c r="AL1038" s="5" t="n">
        <v>0</v>
      </c>
      <c r="AM1038" s="4" t="s">
        <v>78</v>
      </c>
      <c r="AN1038" s="0" t="n">
        <v>0</v>
      </c>
      <c r="AO1038" s="0" t="n">
        <v>0</v>
      </c>
      <c r="AP1038" s="0" t="n">
        <v>0</v>
      </c>
      <c r="AQ1038" s="0" t="n">
        <v>0</v>
      </c>
      <c r="AR1038" s="0" t="n">
        <v>0</v>
      </c>
      <c r="AS1038" s="0" t="n">
        <v>0</v>
      </c>
      <c r="AT1038" s="0" t="n">
        <v>0</v>
      </c>
      <c r="AU1038" s="0" t="n">
        <v>0</v>
      </c>
      <c r="AV1038" s="0" t="n">
        <v>0</v>
      </c>
      <c r="AW1038" s="0" t="n">
        <v>0</v>
      </c>
      <c r="AX1038" s="0" t="n">
        <v>0</v>
      </c>
      <c r="AY1038" s="0" t="n">
        <v>0</v>
      </c>
      <c r="AZ1038" s="0" t="n">
        <v>0</v>
      </c>
      <c r="BA1038" s="0" t="n">
        <v>0</v>
      </c>
      <c r="BB1038" s="0" t="n">
        <v>0</v>
      </c>
      <c r="BC1038" s="0" t="n">
        <v>0</v>
      </c>
      <c r="BD1038" s="0" t="n">
        <v>0</v>
      </c>
      <c r="BE1038" s="0" t="n">
        <v>0</v>
      </c>
      <c r="BF1038" s="0" t="n">
        <v>0</v>
      </c>
      <c r="BG1038" s="0" t="n">
        <v>0</v>
      </c>
      <c r="BH1038" s="0" t="n">
        <v>0</v>
      </c>
      <c r="BI1038" s="0" t="n">
        <v>0</v>
      </c>
      <c r="BJ1038" s="0" t="n">
        <v>0</v>
      </c>
      <c r="BK1038" s="0" t="n">
        <v>0</v>
      </c>
      <c r="BM1038" s="6" t="n">
        <f aca="false">IFERROR(VALUE(F1038),"")</f>
        <v>266.01</v>
      </c>
      <c r="BN1038" s="6" t="n">
        <f aca="false">IF(R1038="-","",IFERROR(VALUE(LEFT(Q1038,LEN(Q1038)-2)),""))</f>
        <v>89.41</v>
      </c>
      <c r="BO1038" s="6" t="n">
        <f aca="false">IF(R1038="-","",IFERROR(VALUE(LEFT(R1038,LEN(R1038)-5)),""))</f>
        <v>2.98</v>
      </c>
      <c r="BP1038" s="6" t="n">
        <f aca="false">IF(R1038="-","",IFERROR(VALUE(F1038),""))</f>
        <v>266.01</v>
      </c>
      <c r="BQ1038" s="4" t="n">
        <f aca="false">IF(R1038="-",1,0)</f>
        <v>0</v>
      </c>
    </row>
    <row r="1039" customFormat="false" ht="15" hidden="false" customHeight="false" outlineLevel="0" collapsed="false">
      <c r="A1039" s="0" t="s">
        <v>4084</v>
      </c>
      <c r="B1039" s="0" t="s">
        <v>4085</v>
      </c>
      <c r="C1039" s="0" t="s">
        <v>70</v>
      </c>
      <c r="E1039" s="3" t="n">
        <v>46279</v>
      </c>
      <c r="F1039" s="4" t="s">
        <v>4108</v>
      </c>
      <c r="G1039" s="5" t="n">
        <v>0</v>
      </c>
      <c r="H1039" s="5" t="n">
        <v>0</v>
      </c>
      <c r="I1039" s="5" t="n">
        <v>4.62962962962963E-005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5" t="n">
        <v>0</v>
      </c>
      <c r="P1039" s="5" t="n">
        <v>0</v>
      </c>
      <c r="Q1039" s="4" t="s">
        <v>4109</v>
      </c>
      <c r="R1039" s="4" t="s">
        <v>401</v>
      </c>
      <c r="S1039" s="5" t="n">
        <v>0.00104166666666667</v>
      </c>
      <c r="T1039" s="5" t="n">
        <v>0.157291666666667</v>
      </c>
      <c r="U1039" s="5" t="n">
        <v>0.17962962962963</v>
      </c>
      <c r="V1039" s="5" t="n">
        <v>0.141435185185185</v>
      </c>
      <c r="W1039" s="5" t="n">
        <v>0</v>
      </c>
      <c r="X1039" s="5" t="n">
        <v>0</v>
      </c>
      <c r="Y1039" s="5" t="n">
        <v>0</v>
      </c>
      <c r="Z1039" s="0" t="n">
        <v>0</v>
      </c>
      <c r="AA1039" s="0" t="n">
        <v>0</v>
      </c>
      <c r="AB1039" s="0" t="n">
        <v>0</v>
      </c>
      <c r="AC1039" s="4" t="s">
        <v>3450</v>
      </c>
      <c r="AD1039" s="4" t="s">
        <v>3450</v>
      </c>
      <c r="AE1039" s="4" t="s">
        <v>4107</v>
      </c>
      <c r="AF1039" s="4" t="s">
        <v>4110</v>
      </c>
      <c r="AG1039" s="5" t="n">
        <v>0.4334375</v>
      </c>
      <c r="AH1039" s="5" t="n">
        <v>0.571678240740741</v>
      </c>
      <c r="AI1039" s="5" t="n">
        <v>0</v>
      </c>
      <c r="AJ1039" s="5" t="n">
        <v>0</v>
      </c>
      <c r="AK1039" s="5" t="n">
        <v>0</v>
      </c>
      <c r="AL1039" s="5" t="n">
        <v>0</v>
      </c>
      <c r="AM1039" s="4" t="s">
        <v>78</v>
      </c>
      <c r="AN1039" s="0" t="n">
        <v>0</v>
      </c>
      <c r="AO1039" s="0" t="n">
        <v>0</v>
      </c>
      <c r="AP1039" s="0" t="n">
        <v>0</v>
      </c>
      <c r="AQ1039" s="0" t="n">
        <v>0</v>
      </c>
      <c r="AR1039" s="0" t="n">
        <v>0</v>
      </c>
      <c r="AS1039" s="0" t="n">
        <v>0</v>
      </c>
      <c r="AT1039" s="0" t="n">
        <v>0</v>
      </c>
      <c r="AU1039" s="0" t="n">
        <v>0</v>
      </c>
      <c r="AV1039" s="0" t="n">
        <v>0</v>
      </c>
      <c r="AW1039" s="0" t="n">
        <v>0</v>
      </c>
      <c r="AX1039" s="0" t="n">
        <v>0</v>
      </c>
      <c r="AY1039" s="0" t="n">
        <v>0</v>
      </c>
      <c r="AZ1039" s="0" t="n">
        <v>0</v>
      </c>
      <c r="BA1039" s="0" t="n">
        <v>0</v>
      </c>
      <c r="BB1039" s="0" t="n">
        <v>0</v>
      </c>
      <c r="BC1039" s="0" t="n">
        <v>0</v>
      </c>
      <c r="BD1039" s="0" t="n">
        <v>0</v>
      </c>
      <c r="BE1039" s="0" t="n">
        <v>0</v>
      </c>
      <c r="BF1039" s="0" t="n">
        <v>0</v>
      </c>
      <c r="BG1039" s="0" t="n">
        <v>0</v>
      </c>
      <c r="BH1039" s="0" t="n">
        <v>0</v>
      </c>
      <c r="BI1039" s="0" t="n">
        <v>0</v>
      </c>
      <c r="BJ1039" s="0" t="n">
        <v>0</v>
      </c>
      <c r="BK1039" s="0" t="n">
        <v>0</v>
      </c>
      <c r="BM1039" s="6" t="n">
        <f aca="false">IFERROR(VALUE(F1039),"")</f>
        <v>437.99</v>
      </c>
      <c r="BN1039" s="6" t="n">
        <f aca="false">IF(R1039="-","",IFERROR(VALUE(LEFT(Q1039,LEN(Q1039)-2)),""))</f>
        <v>153.26</v>
      </c>
      <c r="BO1039" s="6" t="n">
        <f aca="false">IF(R1039="-","",IFERROR(VALUE(LEFT(R1039,LEN(R1039)-5)),""))</f>
        <v>2.86</v>
      </c>
      <c r="BP1039" s="6" t="n">
        <f aca="false">IF(R1039="-","",IFERROR(VALUE(F1039),""))</f>
        <v>437.99</v>
      </c>
      <c r="BQ1039" s="4" t="n">
        <f aca="false">IF(R1039="-",1,0)</f>
        <v>0</v>
      </c>
    </row>
    <row r="1040" customFormat="false" ht="15" hidden="false" customHeight="false" outlineLevel="0" collapsed="false">
      <c r="A1040" s="0" t="s">
        <v>4111</v>
      </c>
      <c r="B1040" s="0" t="s">
        <v>4112</v>
      </c>
      <c r="C1040" s="0" t="s">
        <v>70</v>
      </c>
      <c r="E1040" s="3" t="n">
        <v>46273</v>
      </c>
      <c r="F1040" s="4" t="s">
        <v>1158</v>
      </c>
      <c r="G1040" s="5" t="n">
        <v>0.000613425925925926</v>
      </c>
      <c r="H1040" s="5" t="n">
        <v>0</v>
      </c>
      <c r="I1040" s="5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5" t="n">
        <v>0</v>
      </c>
      <c r="P1040" s="5" t="n">
        <v>0</v>
      </c>
      <c r="Q1040" s="4" t="s">
        <v>73</v>
      </c>
      <c r="R1040" s="4" t="s">
        <v>73</v>
      </c>
      <c r="S1040" s="5" t="n">
        <v>0</v>
      </c>
      <c r="T1040" s="5" t="n">
        <v>0.000578703703703704</v>
      </c>
      <c r="U1040" s="5" t="n">
        <v>0</v>
      </c>
      <c r="V1040" s="5" t="n">
        <v>0</v>
      </c>
      <c r="W1040" s="5" t="n">
        <v>0</v>
      </c>
      <c r="X1040" s="5" t="n">
        <v>0</v>
      </c>
      <c r="Y1040" s="5" t="n">
        <v>0</v>
      </c>
      <c r="Z1040" s="0" t="n">
        <v>0</v>
      </c>
      <c r="AA1040" s="0" t="n">
        <v>0</v>
      </c>
      <c r="AB1040" s="0" t="n">
        <v>0</v>
      </c>
      <c r="AC1040" s="4" t="s">
        <v>74</v>
      </c>
      <c r="AD1040" s="4" t="s">
        <v>74</v>
      </c>
      <c r="AE1040" s="4" t="s">
        <v>4113</v>
      </c>
      <c r="AF1040" s="4" t="s">
        <v>4114</v>
      </c>
      <c r="AG1040" s="5" t="n">
        <v>0.000393518518518519</v>
      </c>
      <c r="AH1040" s="5" t="n">
        <v>0.0027662037037037</v>
      </c>
      <c r="AI1040" s="5" t="n">
        <v>0</v>
      </c>
      <c r="AJ1040" s="5" t="n">
        <v>0</v>
      </c>
      <c r="AK1040" s="5" t="n">
        <v>0</v>
      </c>
      <c r="AL1040" s="5" t="n">
        <v>0</v>
      </c>
      <c r="AM1040" s="4" t="s">
        <v>78</v>
      </c>
      <c r="AN1040" s="0" t="n">
        <v>0</v>
      </c>
      <c r="AO1040" s="0" t="n">
        <v>0</v>
      </c>
      <c r="AP1040" s="0" t="n">
        <v>0</v>
      </c>
      <c r="AQ1040" s="0" t="n">
        <v>0</v>
      </c>
      <c r="AR1040" s="0" t="n">
        <v>0</v>
      </c>
      <c r="AS1040" s="0" t="n">
        <v>0</v>
      </c>
      <c r="AT1040" s="0" t="n">
        <v>0</v>
      </c>
      <c r="AU1040" s="0" t="n">
        <v>0</v>
      </c>
      <c r="AV1040" s="0" t="n">
        <v>0</v>
      </c>
      <c r="AW1040" s="0" t="n">
        <v>0</v>
      </c>
      <c r="AX1040" s="0" t="n">
        <v>0</v>
      </c>
      <c r="AY1040" s="0" t="n">
        <v>0</v>
      </c>
      <c r="AZ1040" s="0" t="n">
        <v>0</v>
      </c>
      <c r="BA1040" s="0" t="n">
        <v>0</v>
      </c>
      <c r="BB1040" s="0" t="n">
        <v>0</v>
      </c>
      <c r="BC1040" s="0" t="n">
        <v>0</v>
      </c>
      <c r="BD1040" s="0" t="n">
        <v>0</v>
      </c>
      <c r="BE1040" s="0" t="n">
        <v>0</v>
      </c>
      <c r="BF1040" s="0" t="n">
        <v>0</v>
      </c>
      <c r="BG1040" s="0" t="n">
        <v>0</v>
      </c>
      <c r="BH1040" s="0" t="n">
        <v>0</v>
      </c>
      <c r="BI1040" s="0" t="n">
        <v>0</v>
      </c>
      <c r="BJ1040" s="0" t="n">
        <v>0</v>
      </c>
      <c r="BK1040" s="0" t="n">
        <v>0</v>
      </c>
      <c r="BM1040" s="6" t="n">
        <f aca="false">IFERROR(VALUE(F1040),"")</f>
        <v>0.04</v>
      </c>
      <c r="BN1040" s="6" t="str">
        <f aca="false">IF(R1040="-","",IFERROR(VALUE(LEFT(Q1040,LEN(Q1040)-2)),""))</f>
        <v/>
      </c>
      <c r="BO1040" s="6" t="str">
        <f aca="false">IF(R1040="-","",IFERROR(VALUE(LEFT(R1040,LEN(R1040)-5)),""))</f>
        <v/>
      </c>
      <c r="BP1040" s="6" t="str">
        <f aca="false">IF(R1040="-","",IFERROR(VALUE(F1040),""))</f>
        <v/>
      </c>
      <c r="BQ1040" s="4" t="n">
        <f aca="false">IF(R1040="-",1,0)</f>
        <v>1</v>
      </c>
    </row>
    <row r="1041" customFormat="false" ht="15" hidden="false" customHeight="false" outlineLevel="0" collapsed="false">
      <c r="A1041" s="0" t="s">
        <v>4111</v>
      </c>
      <c r="B1041" s="0" t="s">
        <v>4112</v>
      </c>
      <c r="C1041" s="0" t="s">
        <v>70</v>
      </c>
      <c r="D1041" s="0" t="s">
        <v>4115</v>
      </c>
      <c r="E1041" s="3" t="n">
        <v>46275</v>
      </c>
      <c r="F1041" s="4" t="s">
        <v>4116</v>
      </c>
      <c r="G1041" s="5" t="n">
        <v>0.23587962962963</v>
      </c>
      <c r="H1041" s="5" t="n">
        <v>0.229571759259259</v>
      </c>
      <c r="I1041" s="5" t="n">
        <v>0.010162037037037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2</v>
      </c>
      <c r="O1041" s="5" t="n">
        <v>0</v>
      </c>
      <c r="P1041" s="5" t="n">
        <v>0</v>
      </c>
      <c r="Q1041" s="4" t="s">
        <v>73</v>
      </c>
      <c r="R1041" s="4" t="s">
        <v>73</v>
      </c>
      <c r="S1041" s="5" t="n">
        <v>0</v>
      </c>
      <c r="T1041" s="5" t="n">
        <v>0.0260416666666667</v>
      </c>
      <c r="U1041" s="5" t="n">
        <v>0.0407407407407407</v>
      </c>
      <c r="V1041" s="5" t="n">
        <v>0.15712962962963</v>
      </c>
      <c r="W1041" s="5" t="n">
        <v>0.000532407407407407</v>
      </c>
      <c r="X1041" s="5" t="n">
        <v>0</v>
      </c>
      <c r="Y1041" s="5" t="n">
        <v>0.000416666666666667</v>
      </c>
      <c r="Z1041" s="0" t="n">
        <v>0</v>
      </c>
      <c r="AA1041" s="0" t="n">
        <v>0</v>
      </c>
      <c r="AB1041" s="0" t="n">
        <v>0</v>
      </c>
      <c r="AC1041" s="4" t="s">
        <v>74</v>
      </c>
      <c r="AD1041" s="4" t="s">
        <v>228</v>
      </c>
      <c r="AE1041" s="4" t="s">
        <v>4114</v>
      </c>
      <c r="AF1041" s="4" t="s">
        <v>4117</v>
      </c>
      <c r="AG1041" s="5" t="n">
        <v>0.217731481481482</v>
      </c>
      <c r="AH1041" s="5" t="n">
        <v>0.046400462962963</v>
      </c>
      <c r="AI1041" s="5" t="n">
        <v>0</v>
      </c>
      <c r="AJ1041" s="5" t="n">
        <v>0</v>
      </c>
      <c r="AK1041" s="5" t="n">
        <v>0</v>
      </c>
      <c r="AL1041" s="5" t="n">
        <v>0</v>
      </c>
      <c r="AM1041" s="4" t="s">
        <v>78</v>
      </c>
      <c r="AN1041" s="0" t="n">
        <v>0</v>
      </c>
      <c r="AO1041" s="0" t="n">
        <v>0</v>
      </c>
      <c r="AP1041" s="0" t="n">
        <v>0</v>
      </c>
      <c r="AQ1041" s="0" t="n">
        <v>0</v>
      </c>
      <c r="AR1041" s="0" t="n">
        <v>0</v>
      </c>
      <c r="AS1041" s="0" t="n">
        <v>0</v>
      </c>
      <c r="AT1041" s="0" t="n">
        <v>0</v>
      </c>
      <c r="AU1041" s="0" t="n">
        <v>0</v>
      </c>
      <c r="AV1041" s="0" t="n">
        <v>0</v>
      </c>
      <c r="AW1041" s="0" t="n">
        <v>0</v>
      </c>
      <c r="AX1041" s="0" t="n">
        <v>0</v>
      </c>
      <c r="AY1041" s="0" t="n">
        <v>0</v>
      </c>
      <c r="AZ1041" s="0" t="n">
        <v>0</v>
      </c>
      <c r="BA1041" s="0" t="n">
        <v>0</v>
      </c>
      <c r="BB1041" s="0" t="n">
        <v>0</v>
      </c>
      <c r="BC1041" s="0" t="n">
        <v>0</v>
      </c>
      <c r="BD1041" s="0" t="n">
        <v>0</v>
      </c>
      <c r="BE1041" s="0" t="n">
        <v>0</v>
      </c>
      <c r="BF1041" s="0" t="n">
        <v>0</v>
      </c>
      <c r="BG1041" s="0" t="n">
        <v>0</v>
      </c>
      <c r="BH1041" s="0" t="n">
        <v>0</v>
      </c>
      <c r="BI1041" s="0" t="n">
        <v>0</v>
      </c>
      <c r="BJ1041" s="0" t="n">
        <v>0</v>
      </c>
      <c r="BK1041" s="0" t="n">
        <v>0</v>
      </c>
      <c r="BM1041" s="6" t="n">
        <f aca="false">IFERROR(VALUE(F1041),"")</f>
        <v>334.96</v>
      </c>
      <c r="BN1041" s="6" t="str">
        <f aca="false">IF(R1041="-","",IFERROR(VALUE(LEFT(Q1041,LEN(Q1041)-2)),""))</f>
        <v/>
      </c>
      <c r="BO1041" s="6" t="str">
        <f aca="false">IF(R1041="-","",IFERROR(VALUE(LEFT(R1041,LEN(R1041)-5)),""))</f>
        <v/>
      </c>
      <c r="BP1041" s="6" t="str">
        <f aca="false">IF(R1041="-","",IFERROR(VALUE(F1041),""))</f>
        <v/>
      </c>
      <c r="BQ1041" s="4" t="n">
        <f aca="false">IF(R1041="-",1,0)</f>
        <v>1</v>
      </c>
    </row>
    <row r="1042" customFormat="false" ht="15" hidden="false" customHeight="false" outlineLevel="0" collapsed="false">
      <c r="A1042" s="0" t="s">
        <v>4111</v>
      </c>
      <c r="B1042" s="0" t="s">
        <v>4112</v>
      </c>
      <c r="C1042" s="0" t="s">
        <v>70</v>
      </c>
      <c r="D1042" s="0" t="s">
        <v>4118</v>
      </c>
      <c r="E1042" s="3" t="n">
        <v>46276</v>
      </c>
      <c r="F1042" s="4" t="s">
        <v>4119</v>
      </c>
      <c r="G1042" s="5" t="n">
        <v>0.0226967592592593</v>
      </c>
      <c r="H1042" s="5" t="n">
        <v>0.0121875</v>
      </c>
      <c r="I1042" s="5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5" t="n">
        <v>0</v>
      </c>
      <c r="P1042" s="5" t="n">
        <v>0</v>
      </c>
      <c r="Q1042" s="4" t="s">
        <v>73</v>
      </c>
      <c r="R1042" s="4" t="s">
        <v>73</v>
      </c>
      <c r="S1042" s="5" t="n">
        <v>0</v>
      </c>
      <c r="T1042" s="5" t="n">
        <v>0.0099537037037037</v>
      </c>
      <c r="U1042" s="5" t="n">
        <v>0.00358796296296296</v>
      </c>
      <c r="V1042" s="5" t="n">
        <v>0.000810185185185185</v>
      </c>
      <c r="W1042" s="5" t="n">
        <v>0</v>
      </c>
      <c r="X1042" s="5" t="n">
        <v>0</v>
      </c>
      <c r="Y1042" s="5" t="n">
        <v>0</v>
      </c>
      <c r="Z1042" s="0" t="n">
        <v>0</v>
      </c>
      <c r="AA1042" s="0" t="n">
        <v>0</v>
      </c>
      <c r="AB1042" s="0" t="n">
        <v>0</v>
      </c>
      <c r="AC1042" s="4" t="s">
        <v>74</v>
      </c>
      <c r="AD1042" s="4" t="s">
        <v>75</v>
      </c>
      <c r="AE1042" s="4" t="s">
        <v>4117</v>
      </c>
      <c r="AF1042" s="4" t="s">
        <v>4120</v>
      </c>
      <c r="AG1042" s="5" t="n">
        <v>0.0134953703703704</v>
      </c>
      <c r="AH1042" s="5" t="n">
        <v>0.0544444444444444</v>
      </c>
      <c r="AI1042" s="5" t="n">
        <v>0</v>
      </c>
      <c r="AJ1042" s="5" t="n">
        <v>0</v>
      </c>
      <c r="AK1042" s="5" t="n">
        <v>0</v>
      </c>
      <c r="AL1042" s="5" t="n">
        <v>0</v>
      </c>
      <c r="AM1042" s="4" t="s">
        <v>78</v>
      </c>
      <c r="AN1042" s="0" t="n">
        <v>0</v>
      </c>
      <c r="AO1042" s="0" t="n">
        <v>0</v>
      </c>
      <c r="AP1042" s="0" t="n">
        <v>0</v>
      </c>
      <c r="AQ1042" s="0" t="n">
        <v>0</v>
      </c>
      <c r="AR1042" s="0" t="n">
        <v>0</v>
      </c>
      <c r="AS1042" s="0" t="n">
        <v>0</v>
      </c>
      <c r="AT1042" s="0" t="n">
        <v>0</v>
      </c>
      <c r="AU1042" s="0" t="n">
        <v>0</v>
      </c>
      <c r="AV1042" s="0" t="n">
        <v>0</v>
      </c>
      <c r="AW1042" s="0" t="n">
        <v>0</v>
      </c>
      <c r="AX1042" s="0" t="n">
        <v>0</v>
      </c>
      <c r="AY1042" s="0" t="n">
        <v>0</v>
      </c>
      <c r="AZ1042" s="0" t="n">
        <v>0</v>
      </c>
      <c r="BA1042" s="0" t="n">
        <v>0</v>
      </c>
      <c r="BB1042" s="0" t="n">
        <v>0</v>
      </c>
      <c r="BC1042" s="0" t="n">
        <v>0</v>
      </c>
      <c r="BD1042" s="0" t="n">
        <v>0</v>
      </c>
      <c r="BE1042" s="0" t="n">
        <v>0</v>
      </c>
      <c r="BF1042" s="0" t="n">
        <v>0</v>
      </c>
      <c r="BG1042" s="0" t="n">
        <v>0</v>
      </c>
      <c r="BH1042" s="0" t="n">
        <v>0</v>
      </c>
      <c r="BI1042" s="0" t="n">
        <v>0</v>
      </c>
      <c r="BJ1042" s="0" t="n">
        <v>0</v>
      </c>
      <c r="BK1042" s="0" t="n">
        <v>0</v>
      </c>
      <c r="BM1042" s="6" t="n">
        <f aca="false">IFERROR(VALUE(F1042),"")</f>
        <v>2.86</v>
      </c>
      <c r="BN1042" s="6" t="str">
        <f aca="false">IF(R1042="-","",IFERROR(VALUE(LEFT(Q1042,LEN(Q1042)-2)),""))</f>
        <v/>
      </c>
      <c r="BO1042" s="6" t="str">
        <f aca="false">IF(R1042="-","",IFERROR(VALUE(LEFT(R1042,LEN(R1042)-5)),""))</f>
        <v/>
      </c>
      <c r="BP1042" s="6" t="str">
        <f aca="false">IF(R1042="-","",IFERROR(VALUE(F1042),""))</f>
        <v/>
      </c>
      <c r="BQ1042" s="4" t="n">
        <f aca="false">IF(R1042="-",1,0)</f>
        <v>1</v>
      </c>
    </row>
    <row r="1043" customFormat="false" ht="15" hidden="false" customHeight="false" outlineLevel="0" collapsed="false">
      <c r="A1043" s="0" t="s">
        <v>4111</v>
      </c>
      <c r="B1043" s="0" t="s">
        <v>4112</v>
      </c>
      <c r="C1043" s="0" t="s">
        <v>70</v>
      </c>
      <c r="D1043" s="0" t="s">
        <v>4115</v>
      </c>
      <c r="E1043" s="3" t="n">
        <v>46277</v>
      </c>
      <c r="F1043" s="4" t="s">
        <v>4121</v>
      </c>
      <c r="G1043" s="5" t="n">
        <v>0.551377314814815</v>
      </c>
      <c r="H1043" s="5" t="n">
        <v>0.544930555555556</v>
      </c>
      <c r="I1043" s="5" t="n">
        <v>0.0698958333333333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2</v>
      </c>
      <c r="O1043" s="5" t="n">
        <v>0</v>
      </c>
      <c r="P1043" s="5" t="n">
        <v>0</v>
      </c>
      <c r="Q1043" s="4" t="s">
        <v>73</v>
      </c>
      <c r="R1043" s="4" t="s">
        <v>73</v>
      </c>
      <c r="S1043" s="5" t="n">
        <v>0.000115740740740741</v>
      </c>
      <c r="T1043" s="5" t="n">
        <v>0.0649305555555556</v>
      </c>
      <c r="U1043" s="5" t="n">
        <v>0.173287037037037</v>
      </c>
      <c r="V1043" s="5" t="n">
        <v>0.285925925925926</v>
      </c>
      <c r="W1043" s="5" t="n">
        <v>0.0152083333333333</v>
      </c>
      <c r="X1043" s="5" t="n">
        <v>0</v>
      </c>
      <c r="Y1043" s="5" t="n">
        <v>0.0115856481481482</v>
      </c>
      <c r="Z1043" s="0" t="n">
        <v>0</v>
      </c>
      <c r="AA1043" s="0" t="n">
        <v>0</v>
      </c>
      <c r="AB1043" s="0" t="n">
        <v>0</v>
      </c>
      <c r="AC1043" s="4" t="s">
        <v>228</v>
      </c>
      <c r="AD1043" s="4" t="s">
        <v>74</v>
      </c>
      <c r="AE1043" s="4" t="s">
        <v>4120</v>
      </c>
      <c r="AF1043" s="4" t="s">
        <v>4122</v>
      </c>
      <c r="AG1043" s="5" t="n">
        <v>0.543969907407407</v>
      </c>
      <c r="AH1043" s="5" t="n">
        <v>0.0867592592592593</v>
      </c>
      <c r="AI1043" s="5" t="n">
        <v>0</v>
      </c>
      <c r="AJ1043" s="5" t="n">
        <v>0</v>
      </c>
      <c r="AK1043" s="5" t="n">
        <v>0</v>
      </c>
      <c r="AL1043" s="5" t="n">
        <v>0</v>
      </c>
      <c r="AM1043" s="4" t="s">
        <v>78</v>
      </c>
      <c r="AN1043" s="0" t="n">
        <v>0</v>
      </c>
      <c r="AO1043" s="0" t="n">
        <v>0</v>
      </c>
      <c r="AP1043" s="0" t="n">
        <v>0</v>
      </c>
      <c r="AQ1043" s="0" t="n">
        <v>0</v>
      </c>
      <c r="AR1043" s="0" t="n">
        <v>0</v>
      </c>
      <c r="AS1043" s="0" t="n">
        <v>0</v>
      </c>
      <c r="AT1043" s="0" t="n">
        <v>0</v>
      </c>
      <c r="AU1043" s="0" t="n">
        <v>0</v>
      </c>
      <c r="AV1043" s="0" t="n">
        <v>0</v>
      </c>
      <c r="AW1043" s="0" t="n">
        <v>0</v>
      </c>
      <c r="AX1043" s="0" t="n">
        <v>0</v>
      </c>
      <c r="AY1043" s="0" t="n">
        <v>0</v>
      </c>
      <c r="AZ1043" s="0" t="n">
        <v>0</v>
      </c>
      <c r="BA1043" s="0" t="n">
        <v>0</v>
      </c>
      <c r="BB1043" s="0" t="n">
        <v>0</v>
      </c>
      <c r="BC1043" s="0" t="n">
        <v>0</v>
      </c>
      <c r="BD1043" s="0" t="n">
        <v>0</v>
      </c>
      <c r="BE1043" s="0" t="n">
        <v>0</v>
      </c>
      <c r="BF1043" s="0" t="n">
        <v>0</v>
      </c>
      <c r="BG1043" s="0" t="n">
        <v>0</v>
      </c>
      <c r="BH1043" s="0" t="n">
        <v>0</v>
      </c>
      <c r="BI1043" s="0" t="n">
        <v>0</v>
      </c>
      <c r="BJ1043" s="0" t="n">
        <v>0</v>
      </c>
      <c r="BK1043" s="0" t="n">
        <v>0</v>
      </c>
      <c r="BM1043" s="6" t="n">
        <f aca="false">IFERROR(VALUE(F1043),"")</f>
        <v>708.19</v>
      </c>
      <c r="BN1043" s="6" t="str">
        <f aca="false">IF(R1043="-","",IFERROR(VALUE(LEFT(Q1043,LEN(Q1043)-2)),""))</f>
        <v/>
      </c>
      <c r="BO1043" s="6" t="str">
        <f aca="false">IF(R1043="-","",IFERROR(VALUE(LEFT(R1043,LEN(R1043)-5)),""))</f>
        <v/>
      </c>
      <c r="BP1043" s="6" t="str">
        <f aca="false">IF(R1043="-","",IFERROR(VALUE(F1043),""))</f>
        <v/>
      </c>
      <c r="BQ1043" s="4" t="n">
        <f aca="false">IF(R1043="-",1,0)</f>
        <v>1</v>
      </c>
    </row>
    <row r="1044" customFormat="false" ht="15" hidden="false" customHeight="false" outlineLevel="0" collapsed="false">
      <c r="A1044" s="0" t="s">
        <v>4111</v>
      </c>
      <c r="B1044" s="0" t="s">
        <v>4112</v>
      </c>
      <c r="C1044" s="0" t="s">
        <v>70</v>
      </c>
      <c r="E1044" s="3" t="n">
        <v>46279</v>
      </c>
      <c r="F1044" s="4" t="s">
        <v>4123</v>
      </c>
      <c r="G1044" s="5" t="n">
        <v>0.00767361111111111</v>
      </c>
      <c r="H1044" s="5" t="n">
        <v>0</v>
      </c>
      <c r="I1044" s="5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5" t="n">
        <v>0</v>
      </c>
      <c r="P1044" s="5" t="n">
        <v>0</v>
      </c>
      <c r="Q1044" s="4" t="s">
        <v>73</v>
      </c>
      <c r="R1044" s="4" t="s">
        <v>73</v>
      </c>
      <c r="S1044" s="5" t="n">
        <v>0</v>
      </c>
      <c r="T1044" s="5" t="n">
        <v>0.00509259259259259</v>
      </c>
      <c r="U1044" s="5" t="n">
        <v>0.00173611111111111</v>
      </c>
      <c r="V1044" s="5" t="n">
        <v>0.000462962962962963</v>
      </c>
      <c r="W1044" s="5" t="n">
        <v>0</v>
      </c>
      <c r="X1044" s="5" t="n">
        <v>0</v>
      </c>
      <c r="Y1044" s="5" t="n">
        <v>0</v>
      </c>
      <c r="Z1044" s="0" t="n">
        <v>0</v>
      </c>
      <c r="AA1044" s="0" t="n">
        <v>0</v>
      </c>
      <c r="AB1044" s="0" t="n">
        <v>0</v>
      </c>
      <c r="AC1044" s="4" t="s">
        <v>74</v>
      </c>
      <c r="AD1044" s="4" t="s">
        <v>74</v>
      </c>
      <c r="AE1044" s="4" t="s">
        <v>4122</v>
      </c>
      <c r="AF1044" s="4" t="s">
        <v>4124</v>
      </c>
      <c r="AG1044" s="5" t="n">
        <v>0.00631944444444444</v>
      </c>
      <c r="AH1044" s="5" t="n">
        <v>0.0246296296296296</v>
      </c>
      <c r="AI1044" s="5" t="n">
        <v>0</v>
      </c>
      <c r="AJ1044" s="5" t="n">
        <v>0</v>
      </c>
      <c r="AK1044" s="5" t="n">
        <v>0</v>
      </c>
      <c r="AL1044" s="5" t="n">
        <v>0</v>
      </c>
      <c r="AM1044" s="4" t="s">
        <v>78</v>
      </c>
      <c r="AN1044" s="0" t="n">
        <v>0</v>
      </c>
      <c r="AO1044" s="0" t="n">
        <v>0</v>
      </c>
      <c r="AP1044" s="0" t="n">
        <v>0</v>
      </c>
      <c r="AQ1044" s="0" t="n">
        <v>0</v>
      </c>
      <c r="AR1044" s="0" t="n">
        <v>0</v>
      </c>
      <c r="AS1044" s="0" t="n">
        <v>0</v>
      </c>
      <c r="AT1044" s="0" t="n">
        <v>0</v>
      </c>
      <c r="AU1044" s="0" t="n">
        <v>0</v>
      </c>
      <c r="AV1044" s="0" t="n">
        <v>0</v>
      </c>
      <c r="AW1044" s="0" t="n">
        <v>0</v>
      </c>
      <c r="AX1044" s="0" t="n">
        <v>0</v>
      </c>
      <c r="AY1044" s="0" t="n">
        <v>0</v>
      </c>
      <c r="AZ1044" s="0" t="n">
        <v>0</v>
      </c>
      <c r="BA1044" s="0" t="n">
        <v>0</v>
      </c>
      <c r="BB1044" s="0" t="n">
        <v>0</v>
      </c>
      <c r="BC1044" s="0" t="n">
        <v>0</v>
      </c>
      <c r="BD1044" s="0" t="n">
        <v>0</v>
      </c>
      <c r="BE1044" s="0" t="n">
        <v>0</v>
      </c>
      <c r="BF1044" s="0" t="n">
        <v>0</v>
      </c>
      <c r="BG1044" s="0" t="n">
        <v>0</v>
      </c>
      <c r="BH1044" s="0" t="n">
        <v>0</v>
      </c>
      <c r="BI1044" s="0" t="n">
        <v>0</v>
      </c>
      <c r="BJ1044" s="0" t="n">
        <v>0</v>
      </c>
      <c r="BK1044" s="0" t="n">
        <v>0</v>
      </c>
      <c r="BM1044" s="6" t="n">
        <f aca="false">IFERROR(VALUE(F1044),"")</f>
        <v>0.79</v>
      </c>
      <c r="BN1044" s="6" t="str">
        <f aca="false">IF(R1044="-","",IFERROR(VALUE(LEFT(Q1044,LEN(Q1044)-2)),""))</f>
        <v/>
      </c>
      <c r="BO1044" s="6" t="str">
        <f aca="false">IF(R1044="-","",IFERROR(VALUE(LEFT(R1044,LEN(R1044)-5)),""))</f>
        <v/>
      </c>
      <c r="BP1044" s="6" t="str">
        <f aca="false">IF(R1044="-","",IFERROR(VALUE(F1044),""))</f>
        <v/>
      </c>
      <c r="BQ1044" s="4" t="n">
        <f aca="false">IF(R1044="-",1,0)</f>
        <v>1</v>
      </c>
    </row>
    <row r="1045" customFormat="false" ht="15" hidden="false" customHeight="false" outlineLevel="0" collapsed="false">
      <c r="A1045" s="0" t="s">
        <v>4125</v>
      </c>
      <c r="B1045" s="0" t="s">
        <v>4126</v>
      </c>
      <c r="C1045" s="0" t="s">
        <v>70</v>
      </c>
      <c r="E1045" s="3" t="n">
        <v>46274</v>
      </c>
      <c r="F1045" s="4" t="s">
        <v>95</v>
      </c>
      <c r="G1045" s="5" t="n">
        <v>0.0177777777777778</v>
      </c>
      <c r="H1045" s="5" t="n">
        <v>0</v>
      </c>
      <c r="I1045" s="5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5" t="n">
        <v>0</v>
      </c>
      <c r="P1045" s="5" t="n">
        <v>0.0177777777777778</v>
      </c>
      <c r="Q1045" s="4" t="s">
        <v>4127</v>
      </c>
      <c r="R1045" s="4" t="s">
        <v>454</v>
      </c>
      <c r="S1045" s="5" t="n">
        <v>0.000115740740740741</v>
      </c>
      <c r="T1045" s="5" t="n">
        <v>0.0174768518518519</v>
      </c>
      <c r="U1045" s="5" t="n">
        <v>0</v>
      </c>
      <c r="V1045" s="5" t="n">
        <v>0</v>
      </c>
      <c r="W1045" s="5" t="n">
        <v>0</v>
      </c>
      <c r="X1045" s="5" t="n">
        <v>0</v>
      </c>
      <c r="Y1045" s="5" t="n">
        <v>0</v>
      </c>
      <c r="Z1045" s="0" t="n">
        <v>0</v>
      </c>
      <c r="AA1045" s="0" t="n">
        <v>0</v>
      </c>
      <c r="AB1045" s="0" t="n">
        <v>0</v>
      </c>
      <c r="AC1045" s="4" t="s">
        <v>158</v>
      </c>
      <c r="AD1045" s="4" t="s">
        <v>158</v>
      </c>
      <c r="AE1045" s="4" t="s">
        <v>4128</v>
      </c>
      <c r="AF1045" s="4" t="s">
        <v>4128</v>
      </c>
      <c r="AG1045" s="5" t="n">
        <v>0</v>
      </c>
      <c r="AH1045" s="5" t="n">
        <v>0.0208333333333333</v>
      </c>
      <c r="AI1045" s="5" t="n">
        <v>0</v>
      </c>
      <c r="AJ1045" s="5" t="n">
        <v>0</v>
      </c>
      <c r="AK1045" s="5" t="n">
        <v>0</v>
      </c>
      <c r="AL1045" s="5" t="n">
        <v>0</v>
      </c>
      <c r="AM1045" s="4" t="s">
        <v>78</v>
      </c>
      <c r="AN1045" s="0" t="n">
        <v>0</v>
      </c>
      <c r="AO1045" s="0" t="n">
        <v>0</v>
      </c>
      <c r="AP1045" s="0" t="n">
        <v>0</v>
      </c>
      <c r="AQ1045" s="0" t="n">
        <v>0</v>
      </c>
      <c r="AR1045" s="0" t="n">
        <v>0</v>
      </c>
      <c r="AS1045" s="0" t="n">
        <v>0</v>
      </c>
      <c r="AT1045" s="0" t="n">
        <v>0</v>
      </c>
      <c r="AU1045" s="0" t="n">
        <v>0</v>
      </c>
      <c r="AV1045" s="0" t="n">
        <v>0</v>
      </c>
      <c r="AW1045" s="0" t="n">
        <v>0</v>
      </c>
      <c r="AX1045" s="0" t="n">
        <v>0</v>
      </c>
      <c r="AY1045" s="0" t="n">
        <v>0</v>
      </c>
      <c r="AZ1045" s="0" t="n">
        <v>0</v>
      </c>
      <c r="BA1045" s="0" t="n">
        <v>0</v>
      </c>
      <c r="BB1045" s="0" t="n">
        <v>0</v>
      </c>
      <c r="BC1045" s="0" t="n">
        <v>0</v>
      </c>
      <c r="BD1045" s="0" t="n">
        <v>0</v>
      </c>
      <c r="BE1045" s="0" t="n">
        <v>0</v>
      </c>
      <c r="BF1045" s="0" t="n">
        <v>0</v>
      </c>
      <c r="BG1045" s="0" t="n">
        <v>0</v>
      </c>
      <c r="BH1045" s="0" t="n">
        <v>0</v>
      </c>
      <c r="BI1045" s="0" t="n">
        <v>0</v>
      </c>
      <c r="BJ1045" s="0" t="n">
        <v>0</v>
      </c>
      <c r="BK1045" s="0" t="n">
        <v>0</v>
      </c>
      <c r="BM1045" s="6" t="n">
        <f aca="false">IFERROR(VALUE(F1045),"")</f>
        <v>0</v>
      </c>
      <c r="BN1045" s="6" t="n">
        <f aca="false">IF(R1045="-","",IFERROR(VALUE(LEFT(Q1045,LEN(Q1045)-2)),""))</f>
        <v>0.75</v>
      </c>
      <c r="BO1045" s="6" t="n">
        <f aca="false">IF(R1045="-","",IFERROR(VALUE(LEFT(R1045,LEN(R1045)-5)),""))</f>
        <v>0</v>
      </c>
      <c r="BP1045" s="6" t="n">
        <f aca="false">IF(R1045="-","",IFERROR(VALUE(F1045),""))</f>
        <v>0</v>
      </c>
      <c r="BQ1045" s="4" t="n">
        <f aca="false">IF(R1045="-",1,0)</f>
        <v>0</v>
      </c>
    </row>
    <row r="1046" customFormat="false" ht="15" hidden="false" customHeight="false" outlineLevel="0" collapsed="false">
      <c r="A1046" s="0" t="s">
        <v>4125</v>
      </c>
      <c r="B1046" s="0" t="s">
        <v>4126</v>
      </c>
      <c r="C1046" s="0" t="s">
        <v>70</v>
      </c>
      <c r="E1046" s="3" t="n">
        <v>46275</v>
      </c>
      <c r="F1046" s="4" t="s">
        <v>95</v>
      </c>
      <c r="G1046" s="5" t="n">
        <v>0.00251157407407407</v>
      </c>
      <c r="H1046" s="5" t="n">
        <v>0</v>
      </c>
      <c r="I1046" s="5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5" t="n">
        <v>0</v>
      </c>
      <c r="P1046" s="5" t="n">
        <v>0</v>
      </c>
      <c r="Q1046" s="4" t="s">
        <v>124</v>
      </c>
      <c r="R1046" s="4" t="s">
        <v>454</v>
      </c>
      <c r="S1046" s="5" t="n">
        <v>0</v>
      </c>
      <c r="T1046" s="5" t="n">
        <v>0.00243055555555556</v>
      </c>
      <c r="U1046" s="5" t="n">
        <v>0</v>
      </c>
      <c r="V1046" s="5" t="n">
        <v>0</v>
      </c>
      <c r="W1046" s="5" t="n">
        <v>0</v>
      </c>
      <c r="X1046" s="5" t="n">
        <v>0</v>
      </c>
      <c r="Y1046" s="5" t="n">
        <v>0</v>
      </c>
      <c r="Z1046" s="0" t="n">
        <v>0</v>
      </c>
      <c r="AA1046" s="0" t="n">
        <v>0</v>
      </c>
      <c r="AB1046" s="0" t="n">
        <v>0</v>
      </c>
      <c r="AC1046" s="4" t="s">
        <v>158</v>
      </c>
      <c r="AD1046" s="4" t="s">
        <v>158</v>
      </c>
      <c r="AE1046" s="4" t="s">
        <v>4128</v>
      </c>
      <c r="AF1046" s="4" t="s">
        <v>4128</v>
      </c>
      <c r="AG1046" s="5" t="n">
        <v>0</v>
      </c>
      <c r="AH1046" s="5" t="n">
        <v>0.00296296296296296</v>
      </c>
      <c r="AI1046" s="5" t="n">
        <v>0</v>
      </c>
      <c r="AJ1046" s="5" t="n">
        <v>0</v>
      </c>
      <c r="AK1046" s="5" t="n">
        <v>0</v>
      </c>
      <c r="AL1046" s="5" t="n">
        <v>0</v>
      </c>
      <c r="AM1046" s="4" t="s">
        <v>78</v>
      </c>
      <c r="AN1046" s="0" t="n">
        <v>0</v>
      </c>
      <c r="AO1046" s="0" t="n">
        <v>0</v>
      </c>
      <c r="AP1046" s="0" t="n">
        <v>0</v>
      </c>
      <c r="AQ1046" s="0" t="n">
        <v>0</v>
      </c>
      <c r="AR1046" s="0" t="n">
        <v>0</v>
      </c>
      <c r="AS1046" s="0" t="n">
        <v>0</v>
      </c>
      <c r="AT1046" s="0" t="n">
        <v>0</v>
      </c>
      <c r="AU1046" s="0" t="n">
        <v>0</v>
      </c>
      <c r="AV1046" s="0" t="n">
        <v>0</v>
      </c>
      <c r="AW1046" s="0" t="n">
        <v>0</v>
      </c>
      <c r="AX1046" s="0" t="n">
        <v>0</v>
      </c>
      <c r="AY1046" s="0" t="n">
        <v>0</v>
      </c>
      <c r="AZ1046" s="0" t="n">
        <v>0</v>
      </c>
      <c r="BA1046" s="0" t="n">
        <v>0</v>
      </c>
      <c r="BB1046" s="0" t="n">
        <v>0</v>
      </c>
      <c r="BC1046" s="0" t="n">
        <v>0</v>
      </c>
      <c r="BD1046" s="0" t="n">
        <v>0</v>
      </c>
      <c r="BE1046" s="0" t="n">
        <v>0</v>
      </c>
      <c r="BF1046" s="0" t="n">
        <v>0</v>
      </c>
      <c r="BG1046" s="0" t="n">
        <v>0</v>
      </c>
      <c r="BH1046" s="0" t="n">
        <v>0</v>
      </c>
      <c r="BI1046" s="0" t="n">
        <v>0</v>
      </c>
      <c r="BJ1046" s="0" t="n">
        <v>0</v>
      </c>
      <c r="BK1046" s="0" t="n">
        <v>0</v>
      </c>
      <c r="BM1046" s="6" t="n">
        <f aca="false">IFERROR(VALUE(F1046),"")</f>
        <v>0</v>
      </c>
      <c r="BN1046" s="6" t="n">
        <f aca="false">IF(R1046="-","",IFERROR(VALUE(LEFT(Q1046,LEN(Q1046)-2)),""))</f>
        <v>0.13</v>
      </c>
      <c r="BO1046" s="6" t="n">
        <f aca="false">IF(R1046="-","",IFERROR(VALUE(LEFT(R1046,LEN(R1046)-5)),""))</f>
        <v>0</v>
      </c>
      <c r="BP1046" s="6" t="n">
        <f aca="false">IF(R1046="-","",IFERROR(VALUE(F1046),""))</f>
        <v>0</v>
      </c>
      <c r="BQ1046" s="4" t="n">
        <f aca="false">IF(R1046="-",1,0)</f>
        <v>0</v>
      </c>
    </row>
    <row r="1047" customFormat="false" ht="15" hidden="false" customHeight="false" outlineLevel="0" collapsed="false">
      <c r="A1047" s="0" t="s">
        <v>4125</v>
      </c>
      <c r="B1047" s="0" t="s">
        <v>4126</v>
      </c>
      <c r="C1047" s="0" t="s">
        <v>70</v>
      </c>
      <c r="E1047" s="3" t="n">
        <v>46279</v>
      </c>
      <c r="F1047" s="4" t="s">
        <v>95</v>
      </c>
      <c r="G1047" s="5" t="n">
        <v>0.00854166666666667</v>
      </c>
      <c r="H1047" s="5" t="n">
        <v>0</v>
      </c>
      <c r="I1047" s="5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5" t="n">
        <v>0</v>
      </c>
      <c r="P1047" s="5" t="n">
        <v>0.00854166666666667</v>
      </c>
      <c r="Q1047" s="4" t="s">
        <v>1272</v>
      </c>
      <c r="R1047" s="4" t="s">
        <v>454</v>
      </c>
      <c r="S1047" s="5" t="n">
        <v>0</v>
      </c>
      <c r="T1047" s="5" t="n">
        <v>0.00844907407407407</v>
      </c>
      <c r="U1047" s="5" t="n">
        <v>0</v>
      </c>
      <c r="V1047" s="5" t="n">
        <v>0</v>
      </c>
      <c r="W1047" s="5" t="n">
        <v>0</v>
      </c>
      <c r="X1047" s="5" t="n">
        <v>0</v>
      </c>
      <c r="Y1047" s="5" t="n">
        <v>0</v>
      </c>
      <c r="Z1047" s="0" t="n">
        <v>0</v>
      </c>
      <c r="AA1047" s="0" t="n">
        <v>0</v>
      </c>
      <c r="AB1047" s="0" t="n">
        <v>0</v>
      </c>
      <c r="AC1047" s="4" t="s">
        <v>158</v>
      </c>
      <c r="AD1047" s="4" t="s">
        <v>158</v>
      </c>
      <c r="AE1047" s="4" t="s">
        <v>4128</v>
      </c>
      <c r="AF1047" s="4" t="s">
        <v>4128</v>
      </c>
      <c r="AG1047" s="5" t="n">
        <v>0</v>
      </c>
      <c r="AH1047" s="5" t="n">
        <v>0.00899305555555556</v>
      </c>
      <c r="AI1047" s="5" t="n">
        <v>0</v>
      </c>
      <c r="AJ1047" s="5" t="n">
        <v>0</v>
      </c>
      <c r="AK1047" s="5" t="n">
        <v>0</v>
      </c>
      <c r="AL1047" s="5" t="n">
        <v>0</v>
      </c>
      <c r="AM1047" s="4" t="s">
        <v>78</v>
      </c>
      <c r="AN1047" s="0" t="n">
        <v>0</v>
      </c>
      <c r="AO1047" s="0" t="n">
        <v>0</v>
      </c>
      <c r="AP1047" s="0" t="n">
        <v>0</v>
      </c>
      <c r="AQ1047" s="0" t="n">
        <v>0</v>
      </c>
      <c r="AR1047" s="0" t="n">
        <v>0</v>
      </c>
      <c r="AS1047" s="0" t="n">
        <v>0</v>
      </c>
      <c r="AT1047" s="0" t="n">
        <v>0</v>
      </c>
      <c r="AU1047" s="0" t="n">
        <v>0</v>
      </c>
      <c r="AV1047" s="0" t="n">
        <v>0</v>
      </c>
      <c r="AW1047" s="0" t="n">
        <v>0</v>
      </c>
      <c r="AX1047" s="0" t="n">
        <v>0</v>
      </c>
      <c r="AY1047" s="0" t="n">
        <v>0</v>
      </c>
      <c r="AZ1047" s="0" t="n">
        <v>0</v>
      </c>
      <c r="BA1047" s="0" t="n">
        <v>0</v>
      </c>
      <c r="BB1047" s="0" t="n">
        <v>0</v>
      </c>
      <c r="BC1047" s="0" t="n">
        <v>0</v>
      </c>
      <c r="BD1047" s="0" t="n">
        <v>0</v>
      </c>
      <c r="BE1047" s="0" t="n">
        <v>0</v>
      </c>
      <c r="BF1047" s="0" t="n">
        <v>0</v>
      </c>
      <c r="BG1047" s="0" t="n">
        <v>0</v>
      </c>
      <c r="BH1047" s="0" t="n">
        <v>0</v>
      </c>
      <c r="BI1047" s="0" t="n">
        <v>0</v>
      </c>
      <c r="BJ1047" s="0" t="n">
        <v>0</v>
      </c>
      <c r="BK1047" s="0" t="n">
        <v>0</v>
      </c>
      <c r="BM1047" s="6" t="n">
        <f aca="false">IFERROR(VALUE(F1047),"")</f>
        <v>0</v>
      </c>
      <c r="BN1047" s="6" t="n">
        <f aca="false">IF(R1047="-","",IFERROR(VALUE(LEFT(Q1047,LEN(Q1047)-2)),""))</f>
        <v>0.38</v>
      </c>
      <c r="BO1047" s="6" t="n">
        <f aca="false">IF(R1047="-","",IFERROR(VALUE(LEFT(R1047,LEN(R1047)-5)),""))</f>
        <v>0</v>
      </c>
      <c r="BP1047" s="6" t="n">
        <f aca="false">IF(R1047="-","",IFERROR(VALUE(F1047),""))</f>
        <v>0</v>
      </c>
      <c r="BQ1047" s="4" t="n">
        <f aca="false">IF(R1047="-",1,0)</f>
        <v>0</v>
      </c>
    </row>
    <row r="1048" customFormat="false" ht="15" hidden="false" customHeight="false" outlineLevel="0" collapsed="false">
      <c r="A1048" s="0" t="s">
        <v>4129</v>
      </c>
      <c r="B1048" s="0" t="s">
        <v>4130</v>
      </c>
      <c r="C1048" s="0" t="s">
        <v>70</v>
      </c>
      <c r="E1048" s="3" t="n">
        <v>46273</v>
      </c>
      <c r="F1048" s="4" t="s">
        <v>95</v>
      </c>
      <c r="G1048" s="5" t="n">
        <v>0.00396990740740741</v>
      </c>
      <c r="H1048" s="5" t="n">
        <v>0</v>
      </c>
      <c r="I1048" s="5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5" t="n">
        <v>0</v>
      </c>
      <c r="P1048" s="5" t="n">
        <v>0</v>
      </c>
      <c r="Q1048" s="4" t="s">
        <v>73</v>
      </c>
      <c r="R1048" s="4" t="s">
        <v>73</v>
      </c>
      <c r="S1048" s="5" t="n">
        <v>0</v>
      </c>
      <c r="T1048" s="5" t="n">
        <v>0.00381944444444444</v>
      </c>
      <c r="U1048" s="5" t="n">
        <v>0</v>
      </c>
      <c r="V1048" s="5" t="n">
        <v>0</v>
      </c>
      <c r="W1048" s="5" t="n">
        <v>0</v>
      </c>
      <c r="X1048" s="5" t="n">
        <v>0</v>
      </c>
      <c r="Y1048" s="5" t="n">
        <v>0</v>
      </c>
      <c r="Z1048" s="0" t="n">
        <v>0</v>
      </c>
      <c r="AA1048" s="0" t="n">
        <v>0</v>
      </c>
      <c r="AB1048" s="0" t="n">
        <v>0</v>
      </c>
      <c r="AC1048" s="4" t="s">
        <v>158</v>
      </c>
      <c r="AD1048" s="4" t="s">
        <v>158</v>
      </c>
      <c r="AE1048" s="4" t="s">
        <v>4131</v>
      </c>
      <c r="AF1048" s="4" t="s">
        <v>4131</v>
      </c>
      <c r="AG1048" s="5" t="n">
        <v>0</v>
      </c>
      <c r="AH1048" s="5" t="n">
        <v>0.0044212962962963</v>
      </c>
      <c r="AI1048" s="5" t="n">
        <v>0</v>
      </c>
      <c r="AJ1048" s="5" t="n">
        <v>0</v>
      </c>
      <c r="AK1048" s="5" t="n">
        <v>0</v>
      </c>
      <c r="AL1048" s="5" t="n">
        <v>0</v>
      </c>
      <c r="AM1048" s="4" t="s">
        <v>78</v>
      </c>
      <c r="AN1048" s="0" t="n">
        <v>0</v>
      </c>
      <c r="AO1048" s="0" t="n">
        <v>0</v>
      </c>
      <c r="AP1048" s="0" t="n">
        <v>0</v>
      </c>
      <c r="AQ1048" s="0" t="n">
        <v>0</v>
      </c>
      <c r="AR1048" s="0" t="n">
        <v>0</v>
      </c>
      <c r="AS1048" s="0" t="n">
        <v>0</v>
      </c>
      <c r="AT1048" s="0" t="n">
        <v>0</v>
      </c>
      <c r="AU1048" s="0" t="n">
        <v>0</v>
      </c>
      <c r="AV1048" s="0" t="n">
        <v>0</v>
      </c>
      <c r="AW1048" s="0" t="n">
        <v>0</v>
      </c>
      <c r="AX1048" s="0" t="n">
        <v>0</v>
      </c>
      <c r="AY1048" s="0" t="n">
        <v>0</v>
      </c>
      <c r="AZ1048" s="0" t="n">
        <v>0</v>
      </c>
      <c r="BA1048" s="0" t="n">
        <v>0</v>
      </c>
      <c r="BB1048" s="0" t="n">
        <v>0</v>
      </c>
      <c r="BC1048" s="0" t="n">
        <v>0</v>
      </c>
      <c r="BD1048" s="0" t="n">
        <v>0</v>
      </c>
      <c r="BE1048" s="0" t="n">
        <v>0</v>
      </c>
      <c r="BF1048" s="0" t="n">
        <v>0</v>
      </c>
      <c r="BG1048" s="0" t="n">
        <v>0</v>
      </c>
      <c r="BH1048" s="0" t="n">
        <v>0</v>
      </c>
      <c r="BI1048" s="0" t="n">
        <v>0</v>
      </c>
      <c r="BJ1048" s="0" t="n">
        <v>0</v>
      </c>
      <c r="BK1048" s="0" t="n">
        <v>0</v>
      </c>
      <c r="BM1048" s="6" t="n">
        <f aca="false">IFERROR(VALUE(F1048),"")</f>
        <v>0</v>
      </c>
      <c r="BN1048" s="6" t="str">
        <f aca="false">IF(R1048="-","",IFERROR(VALUE(LEFT(Q1048,LEN(Q1048)-2)),""))</f>
        <v/>
      </c>
      <c r="BO1048" s="6" t="str">
        <f aca="false">IF(R1048="-","",IFERROR(VALUE(LEFT(R1048,LEN(R1048)-5)),""))</f>
        <v/>
      </c>
      <c r="BP1048" s="6" t="str">
        <f aca="false">IF(R1048="-","",IFERROR(VALUE(F1048),""))</f>
        <v/>
      </c>
      <c r="BQ1048" s="4" t="n">
        <f aca="false">IF(R1048="-",1,0)</f>
        <v>1</v>
      </c>
    </row>
    <row r="1049" customFormat="false" ht="15" hidden="false" customHeight="false" outlineLevel="0" collapsed="false">
      <c r="A1049" s="0" t="s">
        <v>4129</v>
      </c>
      <c r="B1049" s="0" t="s">
        <v>4130</v>
      </c>
      <c r="C1049" s="0" t="s">
        <v>70</v>
      </c>
      <c r="E1049" s="3" t="n">
        <v>46274</v>
      </c>
      <c r="F1049" s="4" t="s">
        <v>95</v>
      </c>
      <c r="G1049" s="5" t="n">
        <v>0.0170138888888889</v>
      </c>
      <c r="H1049" s="5" t="n">
        <v>0</v>
      </c>
      <c r="I1049" s="5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5" t="n">
        <v>0</v>
      </c>
      <c r="P1049" s="5" t="n">
        <v>0.0170023148148148</v>
      </c>
      <c r="Q1049" s="4" t="s">
        <v>3417</v>
      </c>
      <c r="R1049" s="4" t="s">
        <v>454</v>
      </c>
      <c r="S1049" s="5" t="n">
        <v>0</v>
      </c>
      <c r="T1049" s="5" t="n">
        <v>0.0167824074074074</v>
      </c>
      <c r="U1049" s="5" t="n">
        <v>0</v>
      </c>
      <c r="V1049" s="5" t="n">
        <v>0</v>
      </c>
      <c r="W1049" s="5" t="n">
        <v>0</v>
      </c>
      <c r="X1049" s="5" t="n">
        <v>0</v>
      </c>
      <c r="Y1049" s="5" t="n">
        <v>0</v>
      </c>
      <c r="Z1049" s="0" t="n">
        <v>0</v>
      </c>
      <c r="AA1049" s="0" t="n">
        <v>0</v>
      </c>
      <c r="AB1049" s="0" t="n">
        <v>0</v>
      </c>
      <c r="AC1049" s="4" t="s">
        <v>158</v>
      </c>
      <c r="AD1049" s="4" t="s">
        <v>158</v>
      </c>
      <c r="AE1049" s="4" t="s">
        <v>4131</v>
      </c>
      <c r="AF1049" s="4" t="s">
        <v>4131</v>
      </c>
      <c r="AG1049" s="5" t="n">
        <v>0</v>
      </c>
      <c r="AH1049" s="5" t="n">
        <v>0.0202777777777778</v>
      </c>
      <c r="AI1049" s="5" t="n">
        <v>0</v>
      </c>
      <c r="AJ1049" s="5" t="n">
        <v>0</v>
      </c>
      <c r="AK1049" s="5" t="n">
        <v>0</v>
      </c>
      <c r="AL1049" s="5" t="n">
        <v>0</v>
      </c>
      <c r="AM1049" s="4" t="s">
        <v>78</v>
      </c>
      <c r="AN1049" s="0" t="n">
        <v>0</v>
      </c>
      <c r="AO1049" s="0" t="n">
        <v>0</v>
      </c>
      <c r="AP1049" s="0" t="n">
        <v>0</v>
      </c>
      <c r="AQ1049" s="0" t="n">
        <v>0</v>
      </c>
      <c r="AR1049" s="0" t="n">
        <v>0</v>
      </c>
      <c r="AS1049" s="0" t="n">
        <v>0</v>
      </c>
      <c r="AT1049" s="0" t="n">
        <v>0</v>
      </c>
      <c r="AU1049" s="0" t="n">
        <v>0</v>
      </c>
      <c r="AV1049" s="0" t="n">
        <v>0</v>
      </c>
      <c r="AW1049" s="0" t="n">
        <v>0</v>
      </c>
      <c r="AX1049" s="0" t="n">
        <v>0</v>
      </c>
      <c r="AY1049" s="0" t="n">
        <v>0</v>
      </c>
      <c r="AZ1049" s="0" t="n">
        <v>0</v>
      </c>
      <c r="BA1049" s="0" t="n">
        <v>0</v>
      </c>
      <c r="BB1049" s="0" t="n">
        <v>0</v>
      </c>
      <c r="BC1049" s="0" t="n">
        <v>1</v>
      </c>
      <c r="BD1049" s="0" t="n">
        <v>0</v>
      </c>
      <c r="BE1049" s="0" t="n">
        <v>0</v>
      </c>
      <c r="BF1049" s="0" t="n">
        <v>0</v>
      </c>
      <c r="BG1049" s="0" t="n">
        <v>0</v>
      </c>
      <c r="BH1049" s="0" t="n">
        <v>0</v>
      </c>
      <c r="BI1049" s="0" t="n">
        <v>0</v>
      </c>
      <c r="BJ1049" s="0" t="n">
        <v>0</v>
      </c>
      <c r="BK1049" s="0" t="n">
        <v>0</v>
      </c>
      <c r="BM1049" s="6" t="n">
        <f aca="false">IFERROR(VALUE(F1049),"")</f>
        <v>0</v>
      </c>
      <c r="BN1049" s="6" t="n">
        <f aca="false">IF(R1049="-","",IFERROR(VALUE(LEFT(Q1049,LEN(Q1049)-2)),""))</f>
        <v>1</v>
      </c>
      <c r="BO1049" s="6" t="n">
        <f aca="false">IF(R1049="-","",IFERROR(VALUE(LEFT(R1049,LEN(R1049)-5)),""))</f>
        <v>0</v>
      </c>
      <c r="BP1049" s="6" t="n">
        <f aca="false">IF(R1049="-","",IFERROR(VALUE(F1049),""))</f>
        <v>0</v>
      </c>
      <c r="BQ1049" s="4" t="n">
        <f aca="false">IF(R1049="-",1,0)</f>
        <v>0</v>
      </c>
    </row>
    <row r="1050" customFormat="false" ht="15" hidden="false" customHeight="false" outlineLevel="0" collapsed="false">
      <c r="A1050" s="0" t="s">
        <v>4129</v>
      </c>
      <c r="B1050" s="0" t="s">
        <v>4130</v>
      </c>
      <c r="C1050" s="0" t="s">
        <v>70</v>
      </c>
      <c r="E1050" s="3" t="n">
        <v>46275</v>
      </c>
      <c r="F1050" s="4" t="s">
        <v>95</v>
      </c>
      <c r="G1050" s="5" t="n">
        <v>0.00267361111111111</v>
      </c>
      <c r="H1050" s="5" t="n">
        <v>0</v>
      </c>
      <c r="I1050" s="5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5" t="n">
        <v>0</v>
      </c>
      <c r="P1050" s="5" t="n">
        <v>0</v>
      </c>
      <c r="Q1050" s="4" t="s">
        <v>73</v>
      </c>
      <c r="R1050" s="4" t="s">
        <v>73</v>
      </c>
      <c r="S1050" s="5" t="n">
        <v>0</v>
      </c>
      <c r="T1050" s="5" t="n">
        <v>0.0025462962962963</v>
      </c>
      <c r="U1050" s="5" t="n">
        <v>0</v>
      </c>
      <c r="V1050" s="5" t="n">
        <v>0</v>
      </c>
      <c r="W1050" s="5" t="n">
        <v>0</v>
      </c>
      <c r="X1050" s="5" t="n">
        <v>0</v>
      </c>
      <c r="Y1050" s="5" t="n">
        <v>0</v>
      </c>
      <c r="Z1050" s="0" t="n">
        <v>0</v>
      </c>
      <c r="AA1050" s="0" t="n">
        <v>0</v>
      </c>
      <c r="AB1050" s="0" t="n">
        <v>0</v>
      </c>
      <c r="AC1050" s="4" t="s">
        <v>158</v>
      </c>
      <c r="AD1050" s="4" t="s">
        <v>158</v>
      </c>
      <c r="AE1050" s="4" t="s">
        <v>4131</v>
      </c>
      <c r="AF1050" s="4" t="s">
        <v>4131</v>
      </c>
      <c r="AG1050" s="5" t="n">
        <v>0</v>
      </c>
      <c r="AH1050" s="5" t="n">
        <v>0.00314814814814815</v>
      </c>
      <c r="AI1050" s="5" t="n">
        <v>0</v>
      </c>
      <c r="AJ1050" s="5" t="n">
        <v>0</v>
      </c>
      <c r="AK1050" s="5" t="n">
        <v>0</v>
      </c>
      <c r="AL1050" s="5" t="n">
        <v>0</v>
      </c>
      <c r="AM1050" s="4" t="s">
        <v>78</v>
      </c>
      <c r="AN1050" s="0" t="n">
        <v>0</v>
      </c>
      <c r="AO1050" s="0" t="n">
        <v>0</v>
      </c>
      <c r="AP1050" s="0" t="n">
        <v>0</v>
      </c>
      <c r="AQ1050" s="0" t="n">
        <v>0</v>
      </c>
      <c r="AR1050" s="0" t="n">
        <v>0</v>
      </c>
      <c r="AS1050" s="0" t="n">
        <v>0</v>
      </c>
      <c r="AT1050" s="0" t="n">
        <v>0</v>
      </c>
      <c r="AU1050" s="0" t="n">
        <v>0</v>
      </c>
      <c r="AV1050" s="0" t="n">
        <v>0</v>
      </c>
      <c r="AW1050" s="0" t="n">
        <v>0</v>
      </c>
      <c r="AX1050" s="0" t="n">
        <v>0</v>
      </c>
      <c r="AY1050" s="0" t="n">
        <v>0</v>
      </c>
      <c r="AZ1050" s="0" t="n">
        <v>0</v>
      </c>
      <c r="BA1050" s="0" t="n">
        <v>0</v>
      </c>
      <c r="BB1050" s="0" t="n">
        <v>0</v>
      </c>
      <c r="BC1050" s="0" t="n">
        <v>0</v>
      </c>
      <c r="BD1050" s="0" t="n">
        <v>0</v>
      </c>
      <c r="BE1050" s="0" t="n">
        <v>0</v>
      </c>
      <c r="BF1050" s="0" t="n">
        <v>0</v>
      </c>
      <c r="BG1050" s="0" t="n">
        <v>0</v>
      </c>
      <c r="BH1050" s="0" t="n">
        <v>0</v>
      </c>
      <c r="BI1050" s="0" t="n">
        <v>0</v>
      </c>
      <c r="BJ1050" s="0" t="n">
        <v>0</v>
      </c>
      <c r="BK1050" s="0" t="n">
        <v>0</v>
      </c>
      <c r="BM1050" s="6" t="n">
        <f aca="false">IFERROR(VALUE(F1050),"")</f>
        <v>0</v>
      </c>
      <c r="BN1050" s="6" t="str">
        <f aca="false">IF(R1050="-","",IFERROR(VALUE(LEFT(Q1050,LEN(Q1050)-2)),""))</f>
        <v/>
      </c>
      <c r="BO1050" s="6" t="str">
        <f aca="false">IF(R1050="-","",IFERROR(VALUE(LEFT(R1050,LEN(R1050)-5)),""))</f>
        <v/>
      </c>
      <c r="BP1050" s="6" t="str">
        <f aca="false">IF(R1050="-","",IFERROR(VALUE(F1050),""))</f>
        <v/>
      </c>
      <c r="BQ1050" s="4" t="n">
        <f aca="false">IF(R1050="-",1,0)</f>
        <v>1</v>
      </c>
    </row>
    <row r="1051" customFormat="false" ht="15" hidden="false" customHeight="false" outlineLevel="0" collapsed="false">
      <c r="A1051" s="0" t="s">
        <v>4129</v>
      </c>
      <c r="B1051" s="0" t="s">
        <v>4130</v>
      </c>
      <c r="C1051" s="0" t="s">
        <v>70</v>
      </c>
      <c r="E1051" s="3" t="n">
        <v>46279</v>
      </c>
      <c r="F1051" s="4" t="s">
        <v>95</v>
      </c>
      <c r="G1051" s="5" t="n">
        <v>0.00806712962962963</v>
      </c>
      <c r="H1051" s="5" t="n">
        <v>0</v>
      </c>
      <c r="I1051" s="5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5" t="n">
        <v>0</v>
      </c>
      <c r="P1051" s="5" t="n">
        <v>0.00806712962962963</v>
      </c>
      <c r="Q1051" s="4" t="s">
        <v>971</v>
      </c>
      <c r="R1051" s="4" t="s">
        <v>454</v>
      </c>
      <c r="S1051" s="5" t="n">
        <v>0</v>
      </c>
      <c r="T1051" s="5" t="n">
        <v>0.00787037037037037</v>
      </c>
      <c r="U1051" s="5" t="n">
        <v>0</v>
      </c>
      <c r="V1051" s="5" t="n">
        <v>0</v>
      </c>
      <c r="W1051" s="5" t="n">
        <v>0</v>
      </c>
      <c r="X1051" s="5" t="n">
        <v>0</v>
      </c>
      <c r="Y1051" s="5" t="n">
        <v>0</v>
      </c>
      <c r="Z1051" s="0" t="n">
        <v>0</v>
      </c>
      <c r="AA1051" s="0" t="n">
        <v>0</v>
      </c>
      <c r="AB1051" s="0" t="n">
        <v>0</v>
      </c>
      <c r="AC1051" s="4" t="s">
        <v>158</v>
      </c>
      <c r="AD1051" s="4" t="s">
        <v>158</v>
      </c>
      <c r="AE1051" s="4" t="s">
        <v>4131</v>
      </c>
      <c r="AF1051" s="4" t="s">
        <v>4131</v>
      </c>
      <c r="AG1051" s="5" t="n">
        <v>0</v>
      </c>
      <c r="AH1051" s="5" t="n">
        <v>0.00850694444444444</v>
      </c>
      <c r="AI1051" s="5" t="n">
        <v>0</v>
      </c>
      <c r="AJ1051" s="5" t="n">
        <v>0</v>
      </c>
      <c r="AK1051" s="5" t="n">
        <v>0</v>
      </c>
      <c r="AL1051" s="5" t="n">
        <v>0</v>
      </c>
      <c r="AM1051" s="4" t="s">
        <v>78</v>
      </c>
      <c r="AN1051" s="0" t="n">
        <v>0</v>
      </c>
      <c r="AO1051" s="0" t="n">
        <v>0</v>
      </c>
      <c r="AP1051" s="0" t="n">
        <v>0</v>
      </c>
      <c r="AQ1051" s="0" t="n">
        <v>0</v>
      </c>
      <c r="AR1051" s="0" t="n">
        <v>0</v>
      </c>
      <c r="AS1051" s="0" t="n">
        <v>0</v>
      </c>
      <c r="AT1051" s="0" t="n">
        <v>0</v>
      </c>
      <c r="AU1051" s="0" t="n">
        <v>0</v>
      </c>
      <c r="AV1051" s="0" t="n">
        <v>0</v>
      </c>
      <c r="AW1051" s="0" t="n">
        <v>0</v>
      </c>
      <c r="AX1051" s="0" t="n">
        <v>0</v>
      </c>
      <c r="AY1051" s="0" t="n">
        <v>0</v>
      </c>
      <c r="AZ1051" s="0" t="n">
        <v>0</v>
      </c>
      <c r="BA1051" s="0" t="n">
        <v>0</v>
      </c>
      <c r="BB1051" s="0" t="n">
        <v>0</v>
      </c>
      <c r="BC1051" s="0" t="n">
        <v>0</v>
      </c>
      <c r="BD1051" s="0" t="n">
        <v>0</v>
      </c>
      <c r="BE1051" s="0" t="n">
        <v>0</v>
      </c>
      <c r="BF1051" s="0" t="n">
        <v>0</v>
      </c>
      <c r="BG1051" s="0" t="n">
        <v>0</v>
      </c>
      <c r="BH1051" s="0" t="n">
        <v>0</v>
      </c>
      <c r="BI1051" s="0" t="n">
        <v>0</v>
      </c>
      <c r="BJ1051" s="0" t="n">
        <v>0</v>
      </c>
      <c r="BK1051" s="0" t="n">
        <v>0</v>
      </c>
      <c r="BM1051" s="6" t="n">
        <f aca="false">IFERROR(VALUE(F1051),"")</f>
        <v>0</v>
      </c>
      <c r="BN1051" s="6" t="n">
        <f aca="false">IF(R1051="-","",IFERROR(VALUE(LEFT(Q1051,LEN(Q1051)-2)),""))</f>
        <v>0.5</v>
      </c>
      <c r="BO1051" s="6" t="n">
        <f aca="false">IF(R1051="-","",IFERROR(VALUE(LEFT(R1051,LEN(R1051)-5)),""))</f>
        <v>0</v>
      </c>
      <c r="BP1051" s="6" t="n">
        <f aca="false">IF(R1051="-","",IFERROR(VALUE(F1051),""))</f>
        <v>0</v>
      </c>
      <c r="BQ1051" s="4" t="n">
        <f aca="false">IF(R1051="-",1,0)</f>
        <v>0</v>
      </c>
    </row>
    <row r="1052" customFormat="false" ht="15" hidden="false" customHeight="false" outlineLevel="0" collapsed="false">
      <c r="A1052" s="0" t="s">
        <v>4132</v>
      </c>
      <c r="B1052" s="0" t="s">
        <v>4133</v>
      </c>
      <c r="C1052" s="0" t="s">
        <v>70</v>
      </c>
      <c r="D1052" s="0" t="s">
        <v>3419</v>
      </c>
      <c r="E1052" s="3" t="n">
        <v>46273</v>
      </c>
      <c r="F1052" s="4" t="s">
        <v>4134</v>
      </c>
      <c r="G1052" s="5" t="n">
        <v>0.172395833333333</v>
      </c>
      <c r="H1052" s="5" t="n">
        <v>0.149675925925926</v>
      </c>
      <c r="I1052" s="5" t="n">
        <v>0.00126157407407407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5" t="n">
        <v>0</v>
      </c>
      <c r="P1052" s="5" t="n">
        <v>0.00752314814814815</v>
      </c>
      <c r="Q1052" s="4" t="s">
        <v>4135</v>
      </c>
      <c r="R1052" s="4" t="s">
        <v>391</v>
      </c>
      <c r="S1052" s="5" t="n">
        <v>0</v>
      </c>
      <c r="T1052" s="5" t="n">
        <v>0.0798611111111111</v>
      </c>
      <c r="U1052" s="5" t="n">
        <v>0.0241898148148148</v>
      </c>
      <c r="V1052" s="5" t="n">
        <v>0.066087962962963</v>
      </c>
      <c r="W1052" s="5" t="n">
        <v>0.000231481481481482</v>
      </c>
      <c r="X1052" s="5" t="n">
        <v>0</v>
      </c>
      <c r="Y1052" s="5" t="n">
        <v>0</v>
      </c>
      <c r="Z1052" s="0" t="n">
        <v>0</v>
      </c>
      <c r="AA1052" s="0" t="n">
        <v>0</v>
      </c>
      <c r="AB1052" s="0" t="n">
        <v>0</v>
      </c>
      <c r="AC1052" s="4" t="s">
        <v>1725</v>
      </c>
      <c r="AD1052" s="4" t="s">
        <v>74</v>
      </c>
      <c r="AE1052" s="4" t="s">
        <v>4136</v>
      </c>
      <c r="AF1052" s="4" t="s">
        <v>4137</v>
      </c>
      <c r="AG1052" s="5" t="n">
        <v>0.123622685185185</v>
      </c>
      <c r="AH1052" s="5" t="n">
        <v>0.0558796296296296</v>
      </c>
      <c r="AI1052" s="5" t="n">
        <v>0</v>
      </c>
      <c r="AJ1052" s="5" t="n">
        <v>0</v>
      </c>
      <c r="AK1052" s="5" t="n">
        <v>0</v>
      </c>
      <c r="AL1052" s="5" t="n">
        <v>0</v>
      </c>
      <c r="AM1052" s="4" t="s">
        <v>78</v>
      </c>
      <c r="AN1052" s="0" t="n">
        <v>0</v>
      </c>
      <c r="AO1052" s="0" t="n">
        <v>0</v>
      </c>
      <c r="AP1052" s="0" t="n">
        <v>0</v>
      </c>
      <c r="AQ1052" s="0" t="n">
        <v>0</v>
      </c>
      <c r="AR1052" s="0" t="n">
        <v>2</v>
      </c>
      <c r="AS1052" s="0" t="n">
        <v>0</v>
      </c>
      <c r="AT1052" s="0" t="n">
        <v>0</v>
      </c>
      <c r="AU1052" s="0" t="n">
        <v>0</v>
      </c>
      <c r="AV1052" s="0" t="n">
        <v>0</v>
      </c>
      <c r="AW1052" s="0" t="n">
        <v>0</v>
      </c>
      <c r="AX1052" s="0" t="n">
        <v>0</v>
      </c>
      <c r="AY1052" s="0" t="n">
        <v>0</v>
      </c>
      <c r="AZ1052" s="0" t="n">
        <v>0</v>
      </c>
      <c r="BA1052" s="0" t="n">
        <v>0</v>
      </c>
      <c r="BB1052" s="0" t="n">
        <v>0</v>
      </c>
      <c r="BC1052" s="0" t="n">
        <v>0</v>
      </c>
      <c r="BD1052" s="0" t="n">
        <v>0</v>
      </c>
      <c r="BE1052" s="0" t="n">
        <v>0</v>
      </c>
      <c r="BF1052" s="0" t="n">
        <v>0</v>
      </c>
      <c r="BG1052" s="0" t="n">
        <v>0</v>
      </c>
      <c r="BH1052" s="0" t="n">
        <v>0</v>
      </c>
      <c r="BI1052" s="0" t="n">
        <v>0</v>
      </c>
      <c r="BJ1052" s="0" t="n">
        <v>0</v>
      </c>
      <c r="BK1052" s="0" t="n">
        <v>0</v>
      </c>
      <c r="BM1052" s="6" t="n">
        <f aca="false">IFERROR(VALUE(F1052),"")</f>
        <v>123.21</v>
      </c>
      <c r="BN1052" s="6" t="n">
        <f aca="false">IF(R1052="-","",IFERROR(VALUE(LEFT(Q1052,LEN(Q1052)-2)),""))</f>
        <v>41</v>
      </c>
      <c r="BO1052" s="6" t="n">
        <f aca="false">IF(R1052="-","",IFERROR(VALUE(LEFT(R1052,LEN(R1052)-5)),""))</f>
        <v>3.01</v>
      </c>
      <c r="BP1052" s="6" t="n">
        <f aca="false">IF(R1052="-","",IFERROR(VALUE(F1052),""))</f>
        <v>123.21</v>
      </c>
      <c r="BQ1052" s="4" t="n">
        <f aca="false">IF(R1052="-",1,0)</f>
        <v>0</v>
      </c>
    </row>
    <row r="1053" customFormat="false" ht="15" hidden="false" customHeight="false" outlineLevel="0" collapsed="false">
      <c r="A1053" s="0" t="s">
        <v>4132</v>
      </c>
      <c r="B1053" s="0" t="s">
        <v>4133</v>
      </c>
      <c r="C1053" s="0" t="s">
        <v>70</v>
      </c>
      <c r="D1053" s="0" t="s">
        <v>4138</v>
      </c>
      <c r="E1053" s="3" t="n">
        <v>46274</v>
      </c>
      <c r="F1053" s="4" t="s">
        <v>4139</v>
      </c>
      <c r="G1053" s="5" t="n">
        <v>0.251597222222222</v>
      </c>
      <c r="H1053" s="5" t="n">
        <v>0.228993055555556</v>
      </c>
      <c r="I1053" s="5" t="n">
        <v>0.000636574074074074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2</v>
      </c>
      <c r="O1053" s="5" t="n">
        <v>0</v>
      </c>
      <c r="P1053" s="5" t="n">
        <v>0.00722222222222222</v>
      </c>
      <c r="Q1053" s="4" t="s">
        <v>4140</v>
      </c>
      <c r="R1053" s="4" t="s">
        <v>2803</v>
      </c>
      <c r="S1053" s="5" t="n">
        <v>0.000231481481481482</v>
      </c>
      <c r="T1053" s="5" t="n">
        <v>0.0896990740740741</v>
      </c>
      <c r="U1053" s="5" t="n">
        <v>0.0638310185185185</v>
      </c>
      <c r="V1053" s="5" t="n">
        <v>0.0482986111111111</v>
      </c>
      <c r="W1053" s="5" t="n">
        <v>0.000636574074074074</v>
      </c>
      <c r="X1053" s="5" t="n">
        <v>0</v>
      </c>
      <c r="Y1053" s="5" t="n">
        <v>0.000173611111111111</v>
      </c>
      <c r="Z1053" s="0" t="n">
        <v>0</v>
      </c>
      <c r="AA1053" s="0" t="n">
        <v>0</v>
      </c>
      <c r="AB1053" s="0" t="n">
        <v>0</v>
      </c>
      <c r="AC1053" s="4" t="s">
        <v>75</v>
      </c>
      <c r="AD1053" s="4" t="s">
        <v>228</v>
      </c>
      <c r="AE1053" s="4" t="s">
        <v>4137</v>
      </c>
      <c r="AF1053" s="4" t="s">
        <v>4141</v>
      </c>
      <c r="AG1053" s="5" t="n">
        <v>0.164814814814815</v>
      </c>
      <c r="AH1053" s="5" t="n">
        <v>0.159988425925926</v>
      </c>
      <c r="AI1053" s="5" t="n">
        <v>0</v>
      </c>
      <c r="AJ1053" s="5" t="n">
        <v>0</v>
      </c>
      <c r="AK1053" s="5" t="n">
        <v>0</v>
      </c>
      <c r="AL1053" s="5" t="n">
        <v>0</v>
      </c>
      <c r="AM1053" s="4" t="s">
        <v>78</v>
      </c>
      <c r="AN1053" s="0" t="n">
        <v>0</v>
      </c>
      <c r="AO1053" s="0" t="n">
        <v>0</v>
      </c>
      <c r="AP1053" s="0" t="n">
        <v>0</v>
      </c>
      <c r="AQ1053" s="0" t="n">
        <v>0</v>
      </c>
      <c r="AR1053" s="0" t="n">
        <v>0</v>
      </c>
      <c r="AS1053" s="0" t="n">
        <v>0</v>
      </c>
      <c r="AT1053" s="0" t="n">
        <v>0</v>
      </c>
      <c r="AU1053" s="0" t="n">
        <v>0</v>
      </c>
      <c r="AV1053" s="0" t="n">
        <v>0</v>
      </c>
      <c r="AW1053" s="0" t="n">
        <v>0</v>
      </c>
      <c r="AX1053" s="0" t="n">
        <v>0</v>
      </c>
      <c r="AY1053" s="0" t="n">
        <v>0</v>
      </c>
      <c r="AZ1053" s="0" t="n">
        <v>0</v>
      </c>
      <c r="BA1053" s="0" t="n">
        <v>0</v>
      </c>
      <c r="BB1053" s="0" t="n">
        <v>0</v>
      </c>
      <c r="BC1053" s="0" t="n">
        <v>0</v>
      </c>
      <c r="BD1053" s="0" t="n">
        <v>0</v>
      </c>
      <c r="BE1053" s="0" t="n">
        <v>0</v>
      </c>
      <c r="BF1053" s="0" t="n">
        <v>0</v>
      </c>
      <c r="BG1053" s="0" t="n">
        <v>0</v>
      </c>
      <c r="BH1053" s="0" t="n">
        <v>0</v>
      </c>
      <c r="BI1053" s="0" t="n">
        <v>0</v>
      </c>
      <c r="BJ1053" s="0" t="n">
        <v>0</v>
      </c>
      <c r="BK1053" s="0" t="n">
        <v>0</v>
      </c>
      <c r="BM1053" s="6" t="n">
        <f aca="false">IFERROR(VALUE(F1053),"")</f>
        <v>92.45</v>
      </c>
      <c r="BN1053" s="6" t="n">
        <f aca="false">IF(R1053="-","",IFERROR(VALUE(LEFT(Q1053,LEN(Q1053)-2)),""))</f>
        <v>39</v>
      </c>
      <c r="BO1053" s="6" t="n">
        <f aca="false">IF(R1053="-","",IFERROR(VALUE(LEFT(R1053,LEN(R1053)-5)),""))</f>
        <v>2.37</v>
      </c>
      <c r="BP1053" s="6" t="n">
        <f aca="false">IF(R1053="-","",IFERROR(VALUE(F1053),""))</f>
        <v>92.45</v>
      </c>
      <c r="BQ1053" s="4" t="n">
        <f aca="false">IF(R1053="-",1,0)</f>
        <v>0</v>
      </c>
    </row>
    <row r="1054" customFormat="false" ht="15" hidden="false" customHeight="false" outlineLevel="0" collapsed="false">
      <c r="A1054" s="0" t="s">
        <v>4132</v>
      </c>
      <c r="B1054" s="0" t="s">
        <v>4133</v>
      </c>
      <c r="C1054" s="0" t="s">
        <v>70</v>
      </c>
      <c r="D1054" s="0" t="s">
        <v>4142</v>
      </c>
      <c r="E1054" s="3" t="n">
        <v>46275</v>
      </c>
      <c r="F1054" s="4" t="s">
        <v>4143</v>
      </c>
      <c r="G1054" s="5" t="n">
        <v>0.0988773148148148</v>
      </c>
      <c r="H1054" s="5" t="n">
        <v>0.0761689814814815</v>
      </c>
      <c r="I1054" s="5" t="n">
        <v>0.000324074074074074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5" t="n">
        <v>0</v>
      </c>
      <c r="P1054" s="5" t="n">
        <v>0.00958333333333333</v>
      </c>
      <c r="Q1054" s="4" t="s">
        <v>4144</v>
      </c>
      <c r="R1054" s="4" t="s">
        <v>2513</v>
      </c>
      <c r="S1054" s="5" t="n">
        <v>0.000115740740740741</v>
      </c>
      <c r="T1054" s="5" t="n">
        <v>0.0512731481481482</v>
      </c>
      <c r="U1054" s="5" t="n">
        <v>0.0333333333333333</v>
      </c>
      <c r="V1054" s="5" t="n">
        <v>0.0121527777777778</v>
      </c>
      <c r="W1054" s="5" t="n">
        <v>0</v>
      </c>
      <c r="X1054" s="5" t="n">
        <v>0</v>
      </c>
      <c r="Y1054" s="5" t="n">
        <v>0</v>
      </c>
      <c r="Z1054" s="0" t="n">
        <v>0</v>
      </c>
      <c r="AA1054" s="0" t="n">
        <v>0</v>
      </c>
      <c r="AB1054" s="0" t="n">
        <v>0</v>
      </c>
      <c r="AC1054" s="4" t="s">
        <v>75</v>
      </c>
      <c r="AD1054" s="4" t="s">
        <v>75</v>
      </c>
      <c r="AE1054" s="4" t="s">
        <v>4141</v>
      </c>
      <c r="AF1054" s="4" t="s">
        <v>4145</v>
      </c>
      <c r="AG1054" s="5" t="n">
        <v>0.0730324074074074</v>
      </c>
      <c r="AH1054" s="5" t="n">
        <v>0.0969791666666667</v>
      </c>
      <c r="AI1054" s="5" t="n">
        <v>0</v>
      </c>
      <c r="AJ1054" s="5" t="n">
        <v>0</v>
      </c>
      <c r="AK1054" s="5" t="n">
        <v>0</v>
      </c>
      <c r="AL1054" s="5" t="n">
        <v>0</v>
      </c>
      <c r="AM1054" s="4" t="s">
        <v>78</v>
      </c>
      <c r="AN1054" s="0" t="n">
        <v>0</v>
      </c>
      <c r="AO1054" s="0" t="n">
        <v>0</v>
      </c>
      <c r="AP1054" s="0" t="n">
        <v>0</v>
      </c>
      <c r="AQ1054" s="0" t="n">
        <v>0</v>
      </c>
      <c r="AR1054" s="0" t="n">
        <v>0</v>
      </c>
      <c r="AS1054" s="0" t="n">
        <v>0</v>
      </c>
      <c r="AT1054" s="0" t="n">
        <v>0</v>
      </c>
      <c r="AU1054" s="0" t="n">
        <v>1</v>
      </c>
      <c r="AV1054" s="0" t="n">
        <v>0</v>
      </c>
      <c r="AW1054" s="0" t="n">
        <v>0</v>
      </c>
      <c r="AX1054" s="0" t="n">
        <v>0</v>
      </c>
      <c r="AY1054" s="0" t="n">
        <v>0</v>
      </c>
      <c r="AZ1054" s="0" t="n">
        <v>0</v>
      </c>
      <c r="BA1054" s="0" t="n">
        <v>0</v>
      </c>
      <c r="BB1054" s="0" t="n">
        <v>0</v>
      </c>
      <c r="BC1054" s="0" t="n">
        <v>0</v>
      </c>
      <c r="BD1054" s="0" t="n">
        <v>0</v>
      </c>
      <c r="BE1054" s="0" t="n">
        <v>0</v>
      </c>
      <c r="BF1054" s="0" t="n">
        <v>0</v>
      </c>
      <c r="BG1054" s="0" t="n">
        <v>0</v>
      </c>
      <c r="BH1054" s="0" t="n">
        <v>0</v>
      </c>
      <c r="BI1054" s="0" t="n">
        <v>0</v>
      </c>
      <c r="BJ1054" s="0" t="n">
        <v>0</v>
      </c>
      <c r="BK1054" s="0" t="n">
        <v>0</v>
      </c>
      <c r="BM1054" s="6" t="n">
        <f aca="false">IFERROR(VALUE(F1054),"")</f>
        <v>33.49</v>
      </c>
      <c r="BN1054" s="6" t="n">
        <f aca="false">IF(R1054="-","",IFERROR(VALUE(LEFT(Q1054,LEN(Q1054)-2)),""))</f>
        <v>13</v>
      </c>
      <c r="BO1054" s="6" t="n">
        <f aca="false">IF(R1054="-","",IFERROR(VALUE(LEFT(R1054,LEN(R1054)-5)),""))</f>
        <v>2.58</v>
      </c>
      <c r="BP1054" s="6" t="n">
        <f aca="false">IF(R1054="-","",IFERROR(VALUE(F1054),""))</f>
        <v>33.49</v>
      </c>
      <c r="BQ1054" s="4" t="n">
        <f aca="false">IF(R1054="-",1,0)</f>
        <v>0</v>
      </c>
    </row>
    <row r="1055" customFormat="false" ht="15" hidden="false" customHeight="false" outlineLevel="0" collapsed="false">
      <c r="A1055" s="0" t="s">
        <v>4132</v>
      </c>
      <c r="B1055" s="0" t="s">
        <v>4133</v>
      </c>
      <c r="C1055" s="0" t="s">
        <v>70</v>
      </c>
      <c r="D1055" s="0" t="s">
        <v>4146</v>
      </c>
      <c r="E1055" s="3" t="n">
        <v>46276</v>
      </c>
      <c r="F1055" s="4" t="s">
        <v>4147</v>
      </c>
      <c r="G1055" s="5" t="n">
        <v>0.448668981481482</v>
      </c>
      <c r="H1055" s="5" t="n">
        <v>0.43880787037037</v>
      </c>
      <c r="I1055" s="5" t="n">
        <v>0.000289351851851852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5" t="n">
        <v>0</v>
      </c>
      <c r="P1055" s="5" t="n">
        <v>0.0411921296296296</v>
      </c>
      <c r="Q1055" s="4" t="s">
        <v>4148</v>
      </c>
      <c r="R1055" s="4" t="s">
        <v>1456</v>
      </c>
      <c r="S1055" s="5" t="n">
        <v>0</v>
      </c>
      <c r="T1055" s="5" t="n">
        <v>0.205208333333333</v>
      </c>
      <c r="U1055" s="5" t="n">
        <v>0.112268518518519</v>
      </c>
      <c r="V1055" s="5" t="n">
        <v>0.122337962962963</v>
      </c>
      <c r="W1055" s="5" t="n">
        <v>0</v>
      </c>
      <c r="X1055" s="5" t="n">
        <v>0</v>
      </c>
      <c r="Y1055" s="5" t="n">
        <v>0</v>
      </c>
      <c r="Z1055" s="0" t="n">
        <v>0</v>
      </c>
      <c r="AA1055" s="0" t="n">
        <v>0</v>
      </c>
      <c r="AB1055" s="0" t="n">
        <v>0</v>
      </c>
      <c r="AC1055" s="4" t="s">
        <v>75</v>
      </c>
      <c r="AD1055" s="4" t="s">
        <v>1518</v>
      </c>
      <c r="AE1055" s="4" t="s">
        <v>4145</v>
      </c>
      <c r="AF1055" s="4" t="s">
        <v>4149</v>
      </c>
      <c r="AG1055" s="5" t="n">
        <v>0.348275462962963</v>
      </c>
      <c r="AH1055" s="5" t="n">
        <v>0.120358796296296</v>
      </c>
      <c r="AI1055" s="5" t="n">
        <v>0</v>
      </c>
      <c r="AJ1055" s="5" t="n">
        <v>0</v>
      </c>
      <c r="AK1055" s="5" t="n">
        <v>0</v>
      </c>
      <c r="AL1055" s="5" t="n">
        <v>0</v>
      </c>
      <c r="AM1055" s="4" t="s">
        <v>78</v>
      </c>
      <c r="AN1055" s="0" t="n">
        <v>0</v>
      </c>
      <c r="AO1055" s="0" t="n">
        <v>0</v>
      </c>
      <c r="AP1055" s="0" t="n">
        <v>0</v>
      </c>
      <c r="AQ1055" s="0" t="n">
        <v>0</v>
      </c>
      <c r="AR1055" s="0" t="n">
        <v>0</v>
      </c>
      <c r="AS1055" s="0" t="n">
        <v>0</v>
      </c>
      <c r="AT1055" s="0" t="n">
        <v>0</v>
      </c>
      <c r="AU1055" s="0" t="n">
        <v>3</v>
      </c>
      <c r="AV1055" s="0" t="n">
        <v>0</v>
      </c>
      <c r="AW1055" s="0" t="n">
        <v>0</v>
      </c>
      <c r="AX1055" s="0" t="n">
        <v>0</v>
      </c>
      <c r="AY1055" s="0" t="n">
        <v>0</v>
      </c>
      <c r="AZ1055" s="0" t="n">
        <v>0</v>
      </c>
      <c r="BA1055" s="0" t="n">
        <v>0</v>
      </c>
      <c r="BB1055" s="0" t="n">
        <v>0</v>
      </c>
      <c r="BC1055" s="0" t="n">
        <v>0</v>
      </c>
      <c r="BD1055" s="0" t="n">
        <v>0</v>
      </c>
      <c r="BE1055" s="0" t="n">
        <v>0</v>
      </c>
      <c r="BF1055" s="0" t="n">
        <v>0</v>
      </c>
      <c r="BG1055" s="0" t="n">
        <v>0</v>
      </c>
      <c r="BH1055" s="0" t="n">
        <v>0</v>
      </c>
      <c r="BI1055" s="0" t="n">
        <v>0</v>
      </c>
      <c r="BJ1055" s="0" t="n">
        <v>0</v>
      </c>
      <c r="BK1055" s="0" t="n">
        <v>0</v>
      </c>
      <c r="BM1055" s="6" t="n">
        <f aca="false">IFERROR(VALUE(F1055),"")</f>
        <v>276.04</v>
      </c>
      <c r="BN1055" s="6" t="n">
        <f aca="false">IF(R1055="-","",IFERROR(VALUE(LEFT(Q1055,LEN(Q1055)-2)),""))</f>
        <v>82</v>
      </c>
      <c r="BO1055" s="6" t="n">
        <f aca="false">IF(R1055="-","",IFERROR(VALUE(LEFT(R1055,LEN(R1055)-5)),""))</f>
        <v>3.37</v>
      </c>
      <c r="BP1055" s="6" t="n">
        <f aca="false">IF(R1055="-","",IFERROR(VALUE(F1055),""))</f>
        <v>276.04</v>
      </c>
      <c r="BQ1055" s="4" t="n">
        <f aca="false">IF(R1055="-",1,0)</f>
        <v>0</v>
      </c>
    </row>
    <row r="1056" customFormat="false" ht="15" hidden="false" customHeight="false" outlineLevel="0" collapsed="false">
      <c r="A1056" s="0" t="s">
        <v>4132</v>
      </c>
      <c r="B1056" s="0" t="s">
        <v>4133</v>
      </c>
      <c r="C1056" s="0" t="s">
        <v>70</v>
      </c>
      <c r="D1056" s="0" t="s">
        <v>4146</v>
      </c>
      <c r="E1056" s="3" t="n">
        <v>46277</v>
      </c>
      <c r="F1056" s="4" t="s">
        <v>4150</v>
      </c>
      <c r="G1056" s="5" t="n">
        <v>0.109224537037037</v>
      </c>
      <c r="H1056" s="5" t="n">
        <v>0.0802083333333333</v>
      </c>
      <c r="I1056" s="5" t="n">
        <v>0.000127314814814815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5" t="n">
        <v>0</v>
      </c>
      <c r="P1056" s="5" t="n">
        <v>0.0163425925925926</v>
      </c>
      <c r="Q1056" s="4" t="s">
        <v>4151</v>
      </c>
      <c r="R1056" s="4" t="s">
        <v>4152</v>
      </c>
      <c r="S1056" s="5" t="n">
        <v>0</v>
      </c>
      <c r="T1056" s="5" t="n">
        <v>0.0391203703703704</v>
      </c>
      <c r="U1056" s="5" t="n">
        <v>0.0189814814814815</v>
      </c>
      <c r="V1056" s="5" t="n">
        <v>0.0479166666666667</v>
      </c>
      <c r="W1056" s="5" t="n">
        <v>0</v>
      </c>
      <c r="X1056" s="5" t="n">
        <v>0</v>
      </c>
      <c r="Y1056" s="5" t="n">
        <v>0</v>
      </c>
      <c r="Z1056" s="0" t="n">
        <v>0</v>
      </c>
      <c r="AA1056" s="0" t="n">
        <v>0</v>
      </c>
      <c r="AB1056" s="0" t="n">
        <v>0</v>
      </c>
      <c r="AC1056" s="4" t="s">
        <v>1518</v>
      </c>
      <c r="AD1056" s="4" t="s">
        <v>228</v>
      </c>
      <c r="AE1056" s="4" t="s">
        <v>4153</v>
      </c>
      <c r="AF1056" s="4" t="s">
        <v>4154</v>
      </c>
      <c r="AG1056" s="5" t="n">
        <v>0.0797106481481481</v>
      </c>
      <c r="AH1056" s="5" t="n">
        <v>0.0489467592592593</v>
      </c>
      <c r="AI1056" s="5" t="n">
        <v>0</v>
      </c>
      <c r="AJ1056" s="5" t="n">
        <v>0</v>
      </c>
      <c r="AK1056" s="5" t="n">
        <v>0</v>
      </c>
      <c r="AL1056" s="5" t="n">
        <v>0</v>
      </c>
      <c r="AM1056" s="4" t="s">
        <v>78</v>
      </c>
      <c r="AN1056" s="0" t="n">
        <v>0</v>
      </c>
      <c r="AO1056" s="0" t="n">
        <v>0</v>
      </c>
      <c r="AP1056" s="0" t="n">
        <v>0</v>
      </c>
      <c r="AQ1056" s="0" t="n">
        <v>0</v>
      </c>
      <c r="AR1056" s="0" t="n">
        <v>0</v>
      </c>
      <c r="AS1056" s="0" t="n">
        <v>0</v>
      </c>
      <c r="AT1056" s="0" t="n">
        <v>0</v>
      </c>
      <c r="AU1056" s="0" t="n">
        <v>0</v>
      </c>
      <c r="AV1056" s="0" t="n">
        <v>0</v>
      </c>
      <c r="AW1056" s="0" t="n">
        <v>0</v>
      </c>
      <c r="AX1056" s="0" t="n">
        <v>0</v>
      </c>
      <c r="AY1056" s="0" t="n">
        <v>0</v>
      </c>
      <c r="AZ1056" s="0" t="n">
        <v>0</v>
      </c>
      <c r="BA1056" s="0" t="n">
        <v>0</v>
      </c>
      <c r="BB1056" s="0" t="n">
        <v>0</v>
      </c>
      <c r="BC1056" s="0" t="n">
        <v>0</v>
      </c>
      <c r="BD1056" s="0" t="n">
        <v>0</v>
      </c>
      <c r="BE1056" s="0" t="n">
        <v>0</v>
      </c>
      <c r="BF1056" s="0" t="n">
        <v>0</v>
      </c>
      <c r="BG1056" s="0" t="n">
        <v>0</v>
      </c>
      <c r="BH1056" s="0" t="n">
        <v>0</v>
      </c>
      <c r="BI1056" s="0" t="n">
        <v>0</v>
      </c>
      <c r="BJ1056" s="0" t="n">
        <v>0</v>
      </c>
      <c r="BK1056" s="0" t="n">
        <v>0</v>
      </c>
      <c r="BM1056" s="6" t="n">
        <f aca="false">IFERROR(VALUE(F1056),"")</f>
        <v>101.98</v>
      </c>
      <c r="BN1056" s="6" t="n">
        <f aca="false">IF(R1056="-","",IFERROR(VALUE(LEFT(Q1056,LEN(Q1056)-2)),""))</f>
        <v>24</v>
      </c>
      <c r="BO1056" s="6" t="n">
        <f aca="false">IF(R1056="-","",IFERROR(VALUE(LEFT(R1056,LEN(R1056)-5)),""))</f>
        <v>4.25</v>
      </c>
      <c r="BP1056" s="6" t="n">
        <f aca="false">IF(R1056="-","",IFERROR(VALUE(F1056),""))</f>
        <v>101.98</v>
      </c>
      <c r="BQ1056" s="4" t="n">
        <f aca="false">IF(R1056="-",1,0)</f>
        <v>0</v>
      </c>
    </row>
    <row r="1057" customFormat="false" ht="15" hidden="false" customHeight="false" outlineLevel="0" collapsed="false">
      <c r="A1057" s="0" t="s">
        <v>4132</v>
      </c>
      <c r="B1057" s="0" t="s">
        <v>4133</v>
      </c>
      <c r="C1057" s="0" t="s">
        <v>70</v>
      </c>
      <c r="D1057" s="0" t="s">
        <v>4086</v>
      </c>
      <c r="E1057" s="3" t="n">
        <v>46278</v>
      </c>
      <c r="F1057" s="4" t="s">
        <v>4155</v>
      </c>
      <c r="G1057" s="5" t="n">
        <v>0.0909837962962963</v>
      </c>
      <c r="H1057" s="5" t="n">
        <v>0.0909837962962963</v>
      </c>
      <c r="I1057" s="5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1</v>
      </c>
      <c r="O1057" s="5" t="n">
        <v>0</v>
      </c>
      <c r="P1057" s="5" t="n">
        <v>0</v>
      </c>
      <c r="Q1057" s="4" t="s">
        <v>4156</v>
      </c>
      <c r="R1057" s="4" t="s">
        <v>4157</v>
      </c>
      <c r="S1057" s="5" t="n">
        <v>0.000115740740740741</v>
      </c>
      <c r="T1057" s="5" t="n">
        <v>0.0239583333333333</v>
      </c>
      <c r="U1057" s="5" t="n">
        <v>0.0194444444444444</v>
      </c>
      <c r="V1057" s="5" t="n">
        <v>0.0425925925925926</v>
      </c>
      <c r="W1057" s="5" t="n">
        <v>0</v>
      </c>
      <c r="X1057" s="5" t="n">
        <v>0</v>
      </c>
      <c r="Y1057" s="5" t="n">
        <v>0</v>
      </c>
      <c r="Z1057" s="0" t="n">
        <v>0</v>
      </c>
      <c r="AA1057" s="0" t="n">
        <v>0</v>
      </c>
      <c r="AB1057" s="0" t="n">
        <v>0</v>
      </c>
      <c r="AC1057" s="4" t="s">
        <v>75</v>
      </c>
      <c r="AD1057" s="4" t="s">
        <v>4158</v>
      </c>
      <c r="AE1057" s="4" t="s">
        <v>4154</v>
      </c>
      <c r="AF1057" s="4" t="s">
        <v>4159</v>
      </c>
      <c r="AG1057" s="5" t="n">
        <v>0.0749074074074074</v>
      </c>
      <c r="AH1057" s="5" t="n">
        <v>0.0165393518518519</v>
      </c>
      <c r="AI1057" s="5" t="n">
        <v>0</v>
      </c>
      <c r="AJ1057" s="5" t="n">
        <v>0</v>
      </c>
      <c r="AK1057" s="5" t="n">
        <v>0</v>
      </c>
      <c r="AL1057" s="5" t="n">
        <v>0</v>
      </c>
      <c r="AM1057" s="4" t="s">
        <v>78</v>
      </c>
      <c r="AN1057" s="0" t="n">
        <v>0</v>
      </c>
      <c r="AO1057" s="0" t="n">
        <v>0</v>
      </c>
      <c r="AP1057" s="0" t="n">
        <v>0</v>
      </c>
      <c r="AQ1057" s="0" t="n">
        <v>0</v>
      </c>
      <c r="AR1057" s="0" t="n">
        <v>0</v>
      </c>
      <c r="AS1057" s="0" t="n">
        <v>0</v>
      </c>
      <c r="AT1057" s="0" t="n">
        <v>0</v>
      </c>
      <c r="AU1057" s="0" t="n">
        <v>0</v>
      </c>
      <c r="AV1057" s="0" t="n">
        <v>0</v>
      </c>
      <c r="AW1057" s="0" t="n">
        <v>0</v>
      </c>
      <c r="AX1057" s="0" t="n">
        <v>0</v>
      </c>
      <c r="AY1057" s="0" t="n">
        <v>0</v>
      </c>
      <c r="AZ1057" s="0" t="n">
        <v>0</v>
      </c>
      <c r="BA1057" s="0" t="n">
        <v>0</v>
      </c>
      <c r="BB1057" s="0" t="n">
        <v>0</v>
      </c>
      <c r="BC1057" s="0" t="n">
        <v>0</v>
      </c>
      <c r="BD1057" s="0" t="n">
        <v>0</v>
      </c>
      <c r="BE1057" s="0" t="n">
        <v>0</v>
      </c>
      <c r="BF1057" s="0" t="n">
        <v>0</v>
      </c>
      <c r="BG1057" s="0" t="n">
        <v>0</v>
      </c>
      <c r="BH1057" s="0" t="n">
        <v>0</v>
      </c>
      <c r="BI1057" s="0" t="n">
        <v>0</v>
      </c>
      <c r="BJ1057" s="0" t="n">
        <v>0</v>
      </c>
      <c r="BK1057" s="0" t="n">
        <v>0</v>
      </c>
      <c r="BM1057" s="6" t="n">
        <f aca="false">IFERROR(VALUE(F1057),"")</f>
        <v>85.88</v>
      </c>
      <c r="BN1057" s="6" t="n">
        <f aca="false">IF(R1057="-","",IFERROR(VALUE(LEFT(Q1057,LEN(Q1057)-2)),""))</f>
        <v>23</v>
      </c>
      <c r="BO1057" s="6" t="n">
        <f aca="false">IF(R1057="-","",IFERROR(VALUE(LEFT(R1057,LEN(R1057)-5)),""))</f>
        <v>3.73</v>
      </c>
      <c r="BP1057" s="6" t="n">
        <f aca="false">IF(R1057="-","",IFERROR(VALUE(F1057),""))</f>
        <v>85.88</v>
      </c>
      <c r="BQ1057" s="4" t="n">
        <f aca="false">IF(R1057="-",1,0)</f>
        <v>0</v>
      </c>
    </row>
    <row r="1058" customFormat="false" ht="15" hidden="false" customHeight="false" outlineLevel="0" collapsed="false">
      <c r="A1058" s="0" t="s">
        <v>4160</v>
      </c>
      <c r="B1058" s="0" t="s">
        <v>4161</v>
      </c>
      <c r="C1058" s="0" t="s">
        <v>70</v>
      </c>
      <c r="D1058" s="0" t="s">
        <v>4162</v>
      </c>
      <c r="E1058" s="3" t="n">
        <v>46273</v>
      </c>
      <c r="F1058" s="4" t="s">
        <v>4163</v>
      </c>
      <c r="G1058" s="5" t="n">
        <v>0.266666666666667</v>
      </c>
      <c r="H1058" s="5" t="n">
        <v>0.245555555555556</v>
      </c>
      <c r="I1058" s="5" t="n">
        <v>0</v>
      </c>
      <c r="J1058" s="0" t="n">
        <v>1</v>
      </c>
      <c r="K1058" s="0" t="n">
        <v>1</v>
      </c>
      <c r="L1058" s="0" t="n">
        <v>0</v>
      </c>
      <c r="M1058" s="0" t="n">
        <v>0</v>
      </c>
      <c r="N1058" s="0" t="n">
        <v>3</v>
      </c>
      <c r="O1058" s="5" t="n">
        <v>0</v>
      </c>
      <c r="P1058" s="5" t="n">
        <v>0</v>
      </c>
      <c r="Q1058" s="4" t="s">
        <v>73</v>
      </c>
      <c r="R1058" s="4" t="s">
        <v>73</v>
      </c>
      <c r="S1058" s="5" t="n">
        <v>0</v>
      </c>
      <c r="T1058" s="5" t="n">
        <v>0</v>
      </c>
      <c r="U1058" s="5" t="n">
        <v>0</v>
      </c>
      <c r="V1058" s="5" t="n">
        <v>0</v>
      </c>
      <c r="W1058" s="5" t="n">
        <v>0</v>
      </c>
      <c r="X1058" s="5" t="n">
        <v>0</v>
      </c>
      <c r="Y1058" s="5" t="n">
        <v>0</v>
      </c>
      <c r="Z1058" s="0" t="n">
        <v>0</v>
      </c>
      <c r="AA1058" s="0" t="n">
        <v>0</v>
      </c>
      <c r="AB1058" s="0" t="n">
        <v>0</v>
      </c>
      <c r="AC1058" s="4" t="s">
        <v>4164</v>
      </c>
      <c r="AD1058" s="4" t="s">
        <v>770</v>
      </c>
      <c r="AE1058" s="4" t="s">
        <v>4165</v>
      </c>
      <c r="AF1058" s="4" t="s">
        <v>4166</v>
      </c>
      <c r="AG1058" s="5" t="n">
        <v>0.21375</v>
      </c>
      <c r="AH1058" s="5" t="n">
        <v>0.109236111111111</v>
      </c>
      <c r="AI1058" s="5" t="n">
        <v>0</v>
      </c>
      <c r="AJ1058" s="5" t="n">
        <v>0</v>
      </c>
      <c r="AK1058" s="5" t="n">
        <v>0</v>
      </c>
      <c r="AL1058" s="5" t="n">
        <v>0</v>
      </c>
      <c r="AM1058" s="4" t="s">
        <v>78</v>
      </c>
      <c r="AN1058" s="0" t="n">
        <v>0</v>
      </c>
      <c r="AO1058" s="0" t="n">
        <v>0</v>
      </c>
      <c r="AP1058" s="0" t="n">
        <v>0</v>
      </c>
      <c r="AQ1058" s="0" t="n">
        <v>0</v>
      </c>
      <c r="AR1058" s="0" t="n">
        <v>0</v>
      </c>
      <c r="AS1058" s="0" t="n">
        <v>1</v>
      </c>
      <c r="AT1058" s="0" t="n">
        <v>0</v>
      </c>
      <c r="AU1058" s="0" t="n">
        <v>1</v>
      </c>
      <c r="AV1058" s="0" t="n">
        <v>0</v>
      </c>
      <c r="AW1058" s="0" t="n">
        <v>0</v>
      </c>
      <c r="AX1058" s="0" t="n">
        <v>0</v>
      </c>
      <c r="AY1058" s="0" t="n">
        <v>0</v>
      </c>
      <c r="AZ1058" s="0" t="n">
        <v>0</v>
      </c>
      <c r="BA1058" s="0" t="n">
        <v>0</v>
      </c>
      <c r="BB1058" s="0" t="n">
        <v>0</v>
      </c>
      <c r="BC1058" s="0" t="n">
        <v>0</v>
      </c>
      <c r="BD1058" s="0" t="n">
        <v>0</v>
      </c>
      <c r="BE1058" s="0" t="n">
        <v>0</v>
      </c>
      <c r="BF1058" s="0" t="n">
        <v>0</v>
      </c>
      <c r="BG1058" s="0" t="n">
        <v>0</v>
      </c>
      <c r="BH1058" s="0" t="n">
        <v>0</v>
      </c>
      <c r="BI1058" s="0" t="n">
        <v>0</v>
      </c>
      <c r="BJ1058" s="0" t="n">
        <v>0</v>
      </c>
      <c r="BK1058" s="0" t="n">
        <v>0</v>
      </c>
      <c r="BM1058" s="6" t="n">
        <f aca="false">IFERROR(VALUE(F1058),"")</f>
        <v>177.97</v>
      </c>
      <c r="BN1058" s="6" t="str">
        <f aca="false">IF(R1058="-","",IFERROR(VALUE(LEFT(Q1058,LEN(Q1058)-2)),""))</f>
        <v/>
      </c>
      <c r="BO1058" s="6" t="str">
        <f aca="false">IF(R1058="-","",IFERROR(VALUE(LEFT(R1058,LEN(R1058)-5)),""))</f>
        <v/>
      </c>
      <c r="BP1058" s="6" t="str">
        <f aca="false">IF(R1058="-","",IFERROR(VALUE(F1058),""))</f>
        <v/>
      </c>
      <c r="BQ1058" s="4" t="n">
        <f aca="false">IF(R1058="-",1,0)</f>
        <v>1</v>
      </c>
    </row>
    <row r="1059" customFormat="false" ht="15" hidden="false" customHeight="false" outlineLevel="0" collapsed="false">
      <c r="A1059" s="0" t="s">
        <v>4160</v>
      </c>
      <c r="B1059" s="0" t="s">
        <v>4161</v>
      </c>
      <c r="C1059" s="0" t="s">
        <v>70</v>
      </c>
      <c r="D1059" s="0" t="s">
        <v>4167</v>
      </c>
      <c r="E1059" s="3" t="n">
        <v>46274</v>
      </c>
      <c r="F1059" s="4" t="s">
        <v>4168</v>
      </c>
      <c r="G1059" s="5" t="n">
        <v>0.479328703703704</v>
      </c>
      <c r="H1059" s="5" t="n">
        <v>0.450729166666667</v>
      </c>
      <c r="I1059" s="5" t="n">
        <v>0.000625</v>
      </c>
      <c r="J1059" s="0" t="n">
        <v>1</v>
      </c>
      <c r="K1059" s="0" t="n">
        <v>9</v>
      </c>
      <c r="L1059" s="0" t="n">
        <v>0</v>
      </c>
      <c r="M1059" s="0" t="n">
        <v>0</v>
      </c>
      <c r="N1059" s="0" t="n">
        <v>11</v>
      </c>
      <c r="O1059" s="5" t="n">
        <v>0</v>
      </c>
      <c r="P1059" s="5" t="n">
        <v>0</v>
      </c>
      <c r="Q1059" s="4" t="s">
        <v>73</v>
      </c>
      <c r="R1059" s="4" t="s">
        <v>73</v>
      </c>
      <c r="S1059" s="5" t="n">
        <v>0</v>
      </c>
      <c r="T1059" s="5" t="n">
        <v>0</v>
      </c>
      <c r="U1059" s="5" t="n">
        <v>0</v>
      </c>
      <c r="V1059" s="5" t="n">
        <v>0</v>
      </c>
      <c r="W1059" s="5" t="n">
        <v>0</v>
      </c>
      <c r="X1059" s="5" t="n">
        <v>0</v>
      </c>
      <c r="Y1059" s="5" t="n">
        <v>0</v>
      </c>
      <c r="Z1059" s="0" t="n">
        <v>0</v>
      </c>
      <c r="AA1059" s="0" t="n">
        <v>0</v>
      </c>
      <c r="AB1059" s="0" t="n">
        <v>0</v>
      </c>
      <c r="AC1059" s="4" t="s">
        <v>770</v>
      </c>
      <c r="AD1059" s="4" t="s">
        <v>74</v>
      </c>
      <c r="AE1059" s="4" t="s">
        <v>4166</v>
      </c>
      <c r="AF1059" s="4" t="s">
        <v>4169</v>
      </c>
      <c r="AG1059" s="5" t="n">
        <v>0.378726851851852</v>
      </c>
      <c r="AH1059" s="5" t="n">
        <v>0.185844907407407</v>
      </c>
      <c r="AI1059" s="5" t="n">
        <v>0</v>
      </c>
      <c r="AJ1059" s="5" t="n">
        <v>0</v>
      </c>
      <c r="AK1059" s="5" t="n">
        <v>0</v>
      </c>
      <c r="AL1059" s="5" t="n">
        <v>0</v>
      </c>
      <c r="AM1059" s="4" t="s">
        <v>78</v>
      </c>
      <c r="AN1059" s="0" t="n">
        <v>0</v>
      </c>
      <c r="AO1059" s="0" t="n">
        <v>0</v>
      </c>
      <c r="AP1059" s="0" t="n">
        <v>0</v>
      </c>
      <c r="AQ1059" s="0" t="n">
        <v>0</v>
      </c>
      <c r="AR1059" s="0" t="n">
        <v>0</v>
      </c>
      <c r="AS1059" s="0" t="n">
        <v>0</v>
      </c>
      <c r="AT1059" s="0" t="n">
        <v>0</v>
      </c>
      <c r="AU1059" s="0" t="n">
        <v>1</v>
      </c>
      <c r="AV1059" s="0" t="n">
        <v>0</v>
      </c>
      <c r="AW1059" s="0" t="n">
        <v>0</v>
      </c>
      <c r="AX1059" s="0" t="n">
        <v>0</v>
      </c>
      <c r="AY1059" s="0" t="n">
        <v>0</v>
      </c>
      <c r="AZ1059" s="0" t="n">
        <v>0</v>
      </c>
      <c r="BA1059" s="0" t="n">
        <v>0</v>
      </c>
      <c r="BB1059" s="0" t="n">
        <v>0</v>
      </c>
      <c r="BC1059" s="0" t="n">
        <v>0</v>
      </c>
      <c r="BD1059" s="0" t="n">
        <v>0</v>
      </c>
      <c r="BE1059" s="0" t="n">
        <v>0</v>
      </c>
      <c r="BF1059" s="0" t="n">
        <v>0</v>
      </c>
      <c r="BG1059" s="0" t="n">
        <v>0</v>
      </c>
      <c r="BH1059" s="0" t="n">
        <v>0</v>
      </c>
      <c r="BI1059" s="0" t="n">
        <v>0</v>
      </c>
      <c r="BJ1059" s="0" t="n">
        <v>0</v>
      </c>
      <c r="BK1059" s="0" t="n">
        <v>0</v>
      </c>
      <c r="BM1059" s="6" t="n">
        <f aca="false">IFERROR(VALUE(F1059),"")</f>
        <v>266.77</v>
      </c>
      <c r="BN1059" s="6" t="str">
        <f aca="false">IF(R1059="-","",IFERROR(VALUE(LEFT(Q1059,LEN(Q1059)-2)),""))</f>
        <v/>
      </c>
      <c r="BO1059" s="6" t="str">
        <f aca="false">IF(R1059="-","",IFERROR(VALUE(LEFT(R1059,LEN(R1059)-5)),""))</f>
        <v/>
      </c>
      <c r="BP1059" s="6" t="str">
        <f aca="false">IF(R1059="-","",IFERROR(VALUE(F1059),""))</f>
        <v/>
      </c>
      <c r="BQ1059" s="4" t="n">
        <f aca="false">IF(R1059="-",1,0)</f>
        <v>1</v>
      </c>
    </row>
    <row r="1060" customFormat="false" ht="15" hidden="false" customHeight="false" outlineLevel="0" collapsed="false">
      <c r="A1060" s="0" t="s">
        <v>4160</v>
      </c>
      <c r="B1060" s="0" t="s">
        <v>4161</v>
      </c>
      <c r="C1060" s="0" t="s">
        <v>70</v>
      </c>
      <c r="D1060" s="0" t="s">
        <v>4170</v>
      </c>
      <c r="E1060" s="3" t="n">
        <v>46275</v>
      </c>
      <c r="F1060" s="4" t="s">
        <v>4171</v>
      </c>
      <c r="G1060" s="5" t="n">
        <v>0.61962962962963</v>
      </c>
      <c r="H1060" s="5" t="n">
        <v>0.400046296296296</v>
      </c>
      <c r="I1060" s="5" t="n">
        <v>0.0012037037037037</v>
      </c>
      <c r="J1060" s="0" t="n">
        <v>0</v>
      </c>
      <c r="K1060" s="0" t="n">
        <v>6</v>
      </c>
      <c r="L1060" s="0" t="n">
        <v>0</v>
      </c>
      <c r="M1060" s="0" t="n">
        <v>0</v>
      </c>
      <c r="N1060" s="0" t="n">
        <v>8</v>
      </c>
      <c r="O1060" s="5" t="n">
        <v>0</v>
      </c>
      <c r="P1060" s="5" t="n">
        <v>0</v>
      </c>
      <c r="Q1060" s="4" t="s">
        <v>73</v>
      </c>
      <c r="R1060" s="4" t="s">
        <v>73</v>
      </c>
      <c r="S1060" s="5" t="n">
        <v>0</v>
      </c>
      <c r="T1060" s="5" t="n">
        <v>0</v>
      </c>
      <c r="U1060" s="5" t="n">
        <v>0</v>
      </c>
      <c r="V1060" s="5" t="n">
        <v>0</v>
      </c>
      <c r="W1060" s="5" t="n">
        <v>0</v>
      </c>
      <c r="X1060" s="5" t="n">
        <v>0</v>
      </c>
      <c r="Y1060" s="5" t="n">
        <v>0</v>
      </c>
      <c r="Z1060" s="0" t="n">
        <v>0</v>
      </c>
      <c r="AA1060" s="0" t="n">
        <v>0</v>
      </c>
      <c r="AB1060" s="0" t="n">
        <v>0</v>
      </c>
      <c r="AC1060" s="4" t="s">
        <v>1610</v>
      </c>
      <c r="AD1060" s="4" t="s">
        <v>228</v>
      </c>
      <c r="AE1060" s="4" t="s">
        <v>4169</v>
      </c>
      <c r="AF1060" s="4" t="s">
        <v>4172</v>
      </c>
      <c r="AG1060" s="5" t="n">
        <v>0.475914351851852</v>
      </c>
      <c r="AH1060" s="5" t="n">
        <v>0.164594907407407</v>
      </c>
      <c r="AI1060" s="5" t="n">
        <v>0</v>
      </c>
      <c r="AJ1060" s="5" t="n">
        <v>0</v>
      </c>
      <c r="AK1060" s="5" t="n">
        <v>0</v>
      </c>
      <c r="AL1060" s="5" t="n">
        <v>0</v>
      </c>
      <c r="AM1060" s="4" t="s">
        <v>78</v>
      </c>
      <c r="AN1060" s="0" t="n">
        <v>0</v>
      </c>
      <c r="AO1060" s="0" t="n">
        <v>1</v>
      </c>
      <c r="AP1060" s="0" t="n">
        <v>0</v>
      </c>
      <c r="AQ1060" s="0" t="n">
        <v>0</v>
      </c>
      <c r="AR1060" s="0" t="n">
        <v>1</v>
      </c>
      <c r="AS1060" s="0" t="n">
        <v>0</v>
      </c>
      <c r="AT1060" s="0" t="n">
        <v>0</v>
      </c>
      <c r="AU1060" s="0" t="n">
        <v>4</v>
      </c>
      <c r="AV1060" s="0" t="n">
        <v>0</v>
      </c>
      <c r="AW1060" s="0" t="n">
        <v>0</v>
      </c>
      <c r="AX1060" s="0" t="n">
        <v>0</v>
      </c>
      <c r="AY1060" s="0" t="n">
        <v>0</v>
      </c>
      <c r="AZ1060" s="0" t="n">
        <v>0</v>
      </c>
      <c r="BA1060" s="0" t="n">
        <v>0</v>
      </c>
      <c r="BB1060" s="0" t="n">
        <v>0</v>
      </c>
      <c r="BC1060" s="0" t="n">
        <v>0</v>
      </c>
      <c r="BD1060" s="0" t="n">
        <v>0</v>
      </c>
      <c r="BE1060" s="0" t="n">
        <v>0</v>
      </c>
      <c r="BF1060" s="0" t="n">
        <v>0</v>
      </c>
      <c r="BG1060" s="0" t="n">
        <v>0</v>
      </c>
      <c r="BH1060" s="0" t="n">
        <v>0</v>
      </c>
      <c r="BI1060" s="0" t="n">
        <v>0</v>
      </c>
      <c r="BJ1060" s="0" t="n">
        <v>0</v>
      </c>
      <c r="BK1060" s="0" t="n">
        <v>0</v>
      </c>
      <c r="BM1060" s="6" t="n">
        <f aca="false">IFERROR(VALUE(F1060),"")</f>
        <v>321.74</v>
      </c>
      <c r="BN1060" s="6" t="str">
        <f aca="false">IF(R1060="-","",IFERROR(VALUE(LEFT(Q1060,LEN(Q1060)-2)),""))</f>
        <v/>
      </c>
      <c r="BO1060" s="6" t="str">
        <f aca="false">IF(R1060="-","",IFERROR(VALUE(LEFT(R1060,LEN(R1060)-5)),""))</f>
        <v/>
      </c>
      <c r="BP1060" s="6" t="str">
        <f aca="false">IF(R1060="-","",IFERROR(VALUE(F1060),""))</f>
        <v/>
      </c>
      <c r="BQ1060" s="4" t="n">
        <f aca="false">IF(R1060="-",1,0)</f>
        <v>1</v>
      </c>
    </row>
    <row r="1061" customFormat="false" ht="15" hidden="false" customHeight="false" outlineLevel="0" collapsed="false">
      <c r="A1061" s="0" t="s">
        <v>4160</v>
      </c>
      <c r="B1061" s="0" t="s">
        <v>4161</v>
      </c>
      <c r="C1061" s="0" t="s">
        <v>70</v>
      </c>
      <c r="D1061" s="0" t="s">
        <v>4173</v>
      </c>
      <c r="E1061" s="3" t="n">
        <v>46276</v>
      </c>
      <c r="F1061" s="4" t="s">
        <v>4174</v>
      </c>
      <c r="G1061" s="5" t="n">
        <v>0.433275462962963</v>
      </c>
      <c r="H1061" s="5" t="n">
        <v>0.218854166666667</v>
      </c>
      <c r="I1061" s="5" t="n">
        <v>0.000706018518518519</v>
      </c>
      <c r="J1061" s="0" t="n">
        <v>3</v>
      </c>
      <c r="K1061" s="0" t="n">
        <v>6</v>
      </c>
      <c r="L1061" s="0" t="n">
        <v>0</v>
      </c>
      <c r="M1061" s="0" t="n">
        <v>0</v>
      </c>
      <c r="N1061" s="0" t="n">
        <v>2</v>
      </c>
      <c r="O1061" s="5" t="n">
        <v>0</v>
      </c>
      <c r="P1061" s="5" t="n">
        <v>0</v>
      </c>
      <c r="Q1061" s="4" t="s">
        <v>73</v>
      </c>
      <c r="R1061" s="4" t="s">
        <v>73</v>
      </c>
      <c r="S1061" s="5" t="n">
        <v>0</v>
      </c>
      <c r="T1061" s="5" t="n">
        <v>0</v>
      </c>
      <c r="U1061" s="5" t="n">
        <v>0</v>
      </c>
      <c r="V1061" s="5" t="n">
        <v>0</v>
      </c>
      <c r="W1061" s="5" t="n">
        <v>0</v>
      </c>
      <c r="X1061" s="5" t="n">
        <v>0</v>
      </c>
      <c r="Y1061" s="5" t="n">
        <v>0</v>
      </c>
      <c r="Z1061" s="0" t="n">
        <v>0</v>
      </c>
      <c r="AA1061" s="0" t="n">
        <v>0</v>
      </c>
      <c r="AB1061" s="0" t="n">
        <v>0</v>
      </c>
      <c r="AC1061" s="4" t="s">
        <v>75</v>
      </c>
      <c r="AD1061" s="4" t="s">
        <v>75</v>
      </c>
      <c r="AE1061" s="4" t="s">
        <v>4172</v>
      </c>
      <c r="AF1061" s="4" t="s">
        <v>4175</v>
      </c>
      <c r="AG1061" s="5" t="n">
        <v>0.319583333333333</v>
      </c>
      <c r="AH1061" s="5" t="n">
        <v>0.209583333333333</v>
      </c>
      <c r="AI1061" s="5" t="n">
        <v>0</v>
      </c>
      <c r="AJ1061" s="5" t="n">
        <v>0</v>
      </c>
      <c r="AK1061" s="5" t="n">
        <v>0</v>
      </c>
      <c r="AL1061" s="5" t="n">
        <v>0</v>
      </c>
      <c r="AM1061" s="4" t="s">
        <v>78</v>
      </c>
      <c r="AN1061" s="0" t="n">
        <v>0</v>
      </c>
      <c r="AO1061" s="0" t="n">
        <v>0</v>
      </c>
      <c r="AP1061" s="0" t="n">
        <v>0</v>
      </c>
      <c r="AQ1061" s="0" t="n">
        <v>0</v>
      </c>
      <c r="AR1061" s="0" t="n">
        <v>0</v>
      </c>
      <c r="AS1061" s="0" t="n">
        <v>0</v>
      </c>
      <c r="AT1061" s="0" t="n">
        <v>0</v>
      </c>
      <c r="AU1061" s="0" t="n">
        <v>0</v>
      </c>
      <c r="AV1061" s="0" t="n">
        <v>0</v>
      </c>
      <c r="AW1061" s="0" t="n">
        <v>0</v>
      </c>
      <c r="AX1061" s="0" t="n">
        <v>0</v>
      </c>
      <c r="AY1061" s="0" t="n">
        <v>0</v>
      </c>
      <c r="AZ1061" s="0" t="n">
        <v>0</v>
      </c>
      <c r="BA1061" s="0" t="n">
        <v>0</v>
      </c>
      <c r="BB1061" s="0" t="n">
        <v>0</v>
      </c>
      <c r="BC1061" s="0" t="n">
        <v>0</v>
      </c>
      <c r="BD1061" s="0" t="n">
        <v>0</v>
      </c>
      <c r="BE1061" s="0" t="n">
        <v>0</v>
      </c>
      <c r="BF1061" s="0" t="n">
        <v>0</v>
      </c>
      <c r="BG1061" s="0" t="n">
        <v>0</v>
      </c>
      <c r="BH1061" s="0" t="n">
        <v>0</v>
      </c>
      <c r="BI1061" s="0" t="n">
        <v>0</v>
      </c>
      <c r="BJ1061" s="0" t="n">
        <v>0</v>
      </c>
      <c r="BK1061" s="0" t="n">
        <v>0</v>
      </c>
      <c r="BM1061" s="6" t="n">
        <f aca="false">IFERROR(VALUE(F1061),"")</f>
        <v>217.35</v>
      </c>
      <c r="BN1061" s="6" t="str">
        <f aca="false">IF(R1061="-","",IFERROR(VALUE(LEFT(Q1061,LEN(Q1061)-2)),""))</f>
        <v/>
      </c>
      <c r="BO1061" s="6" t="str">
        <f aca="false">IF(R1061="-","",IFERROR(VALUE(LEFT(R1061,LEN(R1061)-5)),""))</f>
        <v/>
      </c>
      <c r="BP1061" s="6" t="str">
        <f aca="false">IF(R1061="-","",IFERROR(VALUE(F1061),""))</f>
        <v/>
      </c>
      <c r="BQ1061" s="4" t="n">
        <f aca="false">IF(R1061="-",1,0)</f>
        <v>1</v>
      </c>
    </row>
    <row r="1062" customFormat="false" ht="15" hidden="false" customHeight="false" outlineLevel="0" collapsed="false">
      <c r="A1062" s="0" t="s">
        <v>4160</v>
      </c>
      <c r="B1062" s="0" t="s">
        <v>4161</v>
      </c>
      <c r="C1062" s="0" t="s">
        <v>70</v>
      </c>
      <c r="D1062" s="0" t="s">
        <v>4176</v>
      </c>
      <c r="E1062" s="3" t="n">
        <v>46277</v>
      </c>
      <c r="F1062" s="4" t="s">
        <v>4177</v>
      </c>
      <c r="G1062" s="5" t="n">
        <v>0.598229166666667</v>
      </c>
      <c r="H1062" s="5" t="n">
        <v>0.590081018518519</v>
      </c>
      <c r="I1062" s="5" t="n">
        <v>0.000844907407407407</v>
      </c>
      <c r="J1062" s="0" t="n">
        <v>0</v>
      </c>
      <c r="K1062" s="0" t="n">
        <v>10</v>
      </c>
      <c r="L1062" s="0" t="n">
        <v>0</v>
      </c>
      <c r="M1062" s="0" t="n">
        <v>0</v>
      </c>
      <c r="N1062" s="0" t="n">
        <v>11</v>
      </c>
      <c r="O1062" s="5" t="n">
        <v>0</v>
      </c>
      <c r="P1062" s="5" t="n">
        <v>0</v>
      </c>
      <c r="Q1062" s="4" t="s">
        <v>73</v>
      </c>
      <c r="R1062" s="4" t="s">
        <v>73</v>
      </c>
      <c r="S1062" s="5" t="n">
        <v>0</v>
      </c>
      <c r="T1062" s="5" t="n">
        <v>0</v>
      </c>
      <c r="U1062" s="5" t="n">
        <v>0</v>
      </c>
      <c r="V1062" s="5" t="n">
        <v>0</v>
      </c>
      <c r="W1062" s="5" t="n">
        <v>0</v>
      </c>
      <c r="X1062" s="5" t="n">
        <v>0</v>
      </c>
      <c r="Y1062" s="5" t="n">
        <v>0</v>
      </c>
      <c r="Z1062" s="0" t="n">
        <v>0</v>
      </c>
      <c r="AA1062" s="0" t="n">
        <v>0</v>
      </c>
      <c r="AB1062" s="0" t="n">
        <v>0</v>
      </c>
      <c r="AC1062" s="4" t="s">
        <v>75</v>
      </c>
      <c r="AD1062" s="4" t="s">
        <v>228</v>
      </c>
      <c r="AE1062" s="4" t="s">
        <v>4175</v>
      </c>
      <c r="AF1062" s="4" t="s">
        <v>4178</v>
      </c>
      <c r="AG1062" s="5" t="n">
        <v>0.460729166666667</v>
      </c>
      <c r="AH1062" s="5" t="n">
        <v>0.192905092592593</v>
      </c>
      <c r="AI1062" s="5" t="n">
        <v>0</v>
      </c>
      <c r="AJ1062" s="5" t="n">
        <v>0</v>
      </c>
      <c r="AK1062" s="5" t="n">
        <v>0</v>
      </c>
      <c r="AL1062" s="5" t="n">
        <v>0</v>
      </c>
      <c r="AM1062" s="4" t="s">
        <v>78</v>
      </c>
      <c r="AN1062" s="0" t="n">
        <v>0</v>
      </c>
      <c r="AO1062" s="0" t="n">
        <v>2</v>
      </c>
      <c r="AP1062" s="0" t="n">
        <v>0</v>
      </c>
      <c r="AQ1062" s="0" t="n">
        <v>0</v>
      </c>
      <c r="AR1062" s="0" t="n">
        <v>0</v>
      </c>
      <c r="AS1062" s="0" t="n">
        <v>0</v>
      </c>
      <c r="AT1062" s="0" t="n">
        <v>0</v>
      </c>
      <c r="AU1062" s="0" t="n">
        <v>0</v>
      </c>
      <c r="AV1062" s="0" t="n">
        <v>0</v>
      </c>
      <c r="AW1062" s="0" t="n">
        <v>0</v>
      </c>
      <c r="AX1062" s="0" t="n">
        <v>0</v>
      </c>
      <c r="AY1062" s="0" t="n">
        <v>0</v>
      </c>
      <c r="AZ1062" s="0" t="n">
        <v>0</v>
      </c>
      <c r="BA1062" s="0" t="n">
        <v>0</v>
      </c>
      <c r="BB1062" s="0" t="n">
        <v>0</v>
      </c>
      <c r="BC1062" s="0" t="n">
        <v>0</v>
      </c>
      <c r="BD1062" s="0" t="n">
        <v>0</v>
      </c>
      <c r="BE1062" s="0" t="n">
        <v>0</v>
      </c>
      <c r="BF1062" s="0" t="n">
        <v>0</v>
      </c>
      <c r="BG1062" s="0" t="n">
        <v>0</v>
      </c>
      <c r="BH1062" s="0" t="n">
        <v>0</v>
      </c>
      <c r="BI1062" s="0" t="n">
        <v>0</v>
      </c>
      <c r="BJ1062" s="0" t="n">
        <v>0</v>
      </c>
      <c r="BK1062" s="0" t="n">
        <v>0</v>
      </c>
      <c r="BM1062" s="6" t="n">
        <f aca="false">IFERROR(VALUE(F1062),"")</f>
        <v>386.72</v>
      </c>
      <c r="BN1062" s="6" t="str">
        <f aca="false">IF(R1062="-","",IFERROR(VALUE(LEFT(Q1062,LEN(Q1062)-2)),""))</f>
        <v/>
      </c>
      <c r="BO1062" s="6" t="str">
        <f aca="false">IF(R1062="-","",IFERROR(VALUE(LEFT(R1062,LEN(R1062)-5)),""))</f>
        <v/>
      </c>
      <c r="BP1062" s="6" t="str">
        <f aca="false">IF(R1062="-","",IFERROR(VALUE(F1062),""))</f>
        <v/>
      </c>
      <c r="BQ1062" s="4" t="n">
        <f aca="false">IF(R1062="-",1,0)</f>
        <v>1</v>
      </c>
    </row>
    <row r="1063" customFormat="false" ht="15" hidden="false" customHeight="false" outlineLevel="0" collapsed="false">
      <c r="A1063" s="0" t="s">
        <v>4160</v>
      </c>
      <c r="B1063" s="0" t="s">
        <v>4161</v>
      </c>
      <c r="C1063" s="0" t="s">
        <v>70</v>
      </c>
      <c r="D1063" s="0" t="s">
        <v>4179</v>
      </c>
      <c r="E1063" s="3" t="n">
        <v>46278</v>
      </c>
      <c r="F1063" s="4" t="s">
        <v>4180</v>
      </c>
      <c r="G1063" s="5" t="n">
        <v>0.29150462962963</v>
      </c>
      <c r="H1063" s="5" t="n">
        <v>0.264050925925926</v>
      </c>
      <c r="I1063" s="5" t="n">
        <v>6.94444444444444E-005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5" t="n">
        <v>0</v>
      </c>
      <c r="P1063" s="5" t="n">
        <v>0</v>
      </c>
      <c r="Q1063" s="4" t="s">
        <v>73</v>
      </c>
      <c r="R1063" s="4" t="s">
        <v>73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  <c r="X1063" s="5" t="n">
        <v>0</v>
      </c>
      <c r="Y1063" s="5" t="n">
        <v>0</v>
      </c>
      <c r="Z1063" s="0" t="n">
        <v>0</v>
      </c>
      <c r="AA1063" s="0" t="n">
        <v>0</v>
      </c>
      <c r="AB1063" s="0" t="n">
        <v>0</v>
      </c>
      <c r="AC1063" s="4" t="s">
        <v>75</v>
      </c>
      <c r="AD1063" s="4" t="s">
        <v>228</v>
      </c>
      <c r="AE1063" s="4" t="s">
        <v>4178</v>
      </c>
      <c r="AF1063" s="4" t="s">
        <v>4181</v>
      </c>
      <c r="AG1063" s="5" t="n">
        <v>0.205648148148148</v>
      </c>
      <c r="AH1063" s="5" t="n">
        <v>0.156180555555556</v>
      </c>
      <c r="AI1063" s="5" t="n">
        <v>0</v>
      </c>
      <c r="AJ1063" s="5" t="n">
        <v>0</v>
      </c>
      <c r="AK1063" s="5" t="n">
        <v>0</v>
      </c>
      <c r="AL1063" s="5" t="n">
        <v>0</v>
      </c>
      <c r="AM1063" s="4" t="s">
        <v>78</v>
      </c>
      <c r="AN1063" s="0" t="n">
        <v>0</v>
      </c>
      <c r="AO1063" s="0" t="n">
        <v>0</v>
      </c>
      <c r="AP1063" s="0" t="n">
        <v>0</v>
      </c>
      <c r="AQ1063" s="0" t="n">
        <v>0</v>
      </c>
      <c r="AR1063" s="0" t="n">
        <v>0</v>
      </c>
      <c r="AS1063" s="0" t="n">
        <v>0</v>
      </c>
      <c r="AT1063" s="0" t="n">
        <v>0</v>
      </c>
      <c r="AU1063" s="0" t="n">
        <v>0</v>
      </c>
      <c r="AV1063" s="0" t="n">
        <v>0</v>
      </c>
      <c r="AW1063" s="0" t="n">
        <v>0</v>
      </c>
      <c r="AX1063" s="0" t="n">
        <v>0</v>
      </c>
      <c r="AY1063" s="0" t="n">
        <v>0</v>
      </c>
      <c r="AZ1063" s="0" t="n">
        <v>0</v>
      </c>
      <c r="BA1063" s="0" t="n">
        <v>0</v>
      </c>
      <c r="BB1063" s="0" t="n">
        <v>0</v>
      </c>
      <c r="BC1063" s="0" t="n">
        <v>0</v>
      </c>
      <c r="BD1063" s="0" t="n">
        <v>0</v>
      </c>
      <c r="BE1063" s="0" t="n">
        <v>0</v>
      </c>
      <c r="BF1063" s="0" t="n">
        <v>0</v>
      </c>
      <c r="BG1063" s="0" t="n">
        <v>0</v>
      </c>
      <c r="BH1063" s="0" t="n">
        <v>0</v>
      </c>
      <c r="BI1063" s="0" t="n">
        <v>0</v>
      </c>
      <c r="BJ1063" s="0" t="n">
        <v>0</v>
      </c>
      <c r="BK1063" s="0" t="n">
        <v>0</v>
      </c>
      <c r="BM1063" s="6" t="n">
        <f aca="false">IFERROR(VALUE(F1063),"")</f>
        <v>138.6</v>
      </c>
      <c r="BN1063" s="6" t="str">
        <f aca="false">IF(R1063="-","",IFERROR(VALUE(LEFT(Q1063,LEN(Q1063)-2)),""))</f>
        <v/>
      </c>
      <c r="BO1063" s="6" t="str">
        <f aca="false">IF(R1063="-","",IFERROR(VALUE(LEFT(R1063,LEN(R1063)-5)),""))</f>
        <v/>
      </c>
      <c r="BP1063" s="6" t="str">
        <f aca="false">IF(R1063="-","",IFERROR(VALUE(F1063),""))</f>
        <v/>
      </c>
      <c r="BQ1063" s="4" t="n">
        <f aca="false">IF(R1063="-",1,0)</f>
        <v>1</v>
      </c>
    </row>
    <row r="1064" customFormat="false" ht="15" hidden="false" customHeight="false" outlineLevel="0" collapsed="false">
      <c r="A1064" s="0" t="s">
        <v>4160</v>
      </c>
      <c r="B1064" s="0" t="s">
        <v>4161</v>
      </c>
      <c r="C1064" s="0" t="s">
        <v>70</v>
      </c>
      <c r="D1064" s="0" t="s">
        <v>4182</v>
      </c>
      <c r="E1064" s="3" t="n">
        <v>46279</v>
      </c>
      <c r="F1064" s="4" t="s">
        <v>670</v>
      </c>
      <c r="G1064" s="5" t="n">
        <v>0.44087962962963</v>
      </c>
      <c r="H1064" s="5" t="n">
        <v>0.418541666666667</v>
      </c>
      <c r="I1064" s="5" t="n">
        <v>0.000104166666666667</v>
      </c>
      <c r="J1064" s="0" t="n">
        <v>1</v>
      </c>
      <c r="K1064" s="0" t="n">
        <v>3</v>
      </c>
      <c r="L1064" s="0" t="n">
        <v>0</v>
      </c>
      <c r="M1064" s="0" t="n">
        <v>0</v>
      </c>
      <c r="N1064" s="0" t="n">
        <v>1</v>
      </c>
      <c r="O1064" s="5" t="n">
        <v>0</v>
      </c>
      <c r="P1064" s="5" t="n">
        <v>0</v>
      </c>
      <c r="Q1064" s="4" t="s">
        <v>73</v>
      </c>
      <c r="R1064" s="4" t="s">
        <v>73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0</v>
      </c>
      <c r="Y1064" s="5" t="n">
        <v>0</v>
      </c>
      <c r="Z1064" s="0" t="n">
        <v>0</v>
      </c>
      <c r="AA1064" s="0" t="n">
        <v>0</v>
      </c>
      <c r="AB1064" s="0" t="n">
        <v>0</v>
      </c>
      <c r="AC1064" s="4" t="s">
        <v>75</v>
      </c>
      <c r="AD1064" s="4" t="s">
        <v>816</v>
      </c>
      <c r="AE1064" s="4" t="s">
        <v>4181</v>
      </c>
      <c r="AF1064" s="4" t="s">
        <v>4183</v>
      </c>
      <c r="AG1064" s="5" t="n">
        <v>0.351354166666667</v>
      </c>
      <c r="AH1064" s="5" t="n">
        <v>0.117696759259259</v>
      </c>
      <c r="AI1064" s="5" t="n">
        <v>0</v>
      </c>
      <c r="AJ1064" s="5" t="n">
        <v>0</v>
      </c>
      <c r="AK1064" s="5" t="n">
        <v>0</v>
      </c>
      <c r="AL1064" s="5" t="n">
        <v>0</v>
      </c>
      <c r="AM1064" s="4" t="s">
        <v>78</v>
      </c>
      <c r="AN1064" s="0" t="n">
        <v>0</v>
      </c>
      <c r="AO1064" s="0" t="n">
        <v>0</v>
      </c>
      <c r="AP1064" s="0" t="n">
        <v>0</v>
      </c>
      <c r="AQ1064" s="0" t="n">
        <v>0</v>
      </c>
      <c r="AR1064" s="0" t="n">
        <v>1</v>
      </c>
      <c r="AS1064" s="0" t="n">
        <v>0</v>
      </c>
      <c r="AT1064" s="0" t="n">
        <v>0</v>
      </c>
      <c r="AU1064" s="0" t="n">
        <v>1</v>
      </c>
      <c r="AV1064" s="0" t="n">
        <v>0</v>
      </c>
      <c r="AW1064" s="0" t="n">
        <v>0</v>
      </c>
      <c r="AX1064" s="0" t="n">
        <v>0</v>
      </c>
      <c r="AY1064" s="0" t="n">
        <v>0</v>
      </c>
      <c r="AZ1064" s="0" t="n">
        <v>0</v>
      </c>
      <c r="BA1064" s="0" t="n">
        <v>0</v>
      </c>
      <c r="BB1064" s="0" t="n">
        <v>0</v>
      </c>
      <c r="BC1064" s="0" t="n">
        <v>0</v>
      </c>
      <c r="BD1064" s="0" t="n">
        <v>0</v>
      </c>
      <c r="BE1064" s="0" t="n">
        <v>0</v>
      </c>
      <c r="BF1064" s="0" t="n">
        <v>0</v>
      </c>
      <c r="BG1064" s="0" t="n">
        <v>0</v>
      </c>
      <c r="BH1064" s="0" t="n">
        <v>0</v>
      </c>
      <c r="BI1064" s="0" t="n">
        <v>0</v>
      </c>
      <c r="BJ1064" s="0" t="n">
        <v>0</v>
      </c>
      <c r="BK1064" s="0" t="n">
        <v>0</v>
      </c>
      <c r="BM1064" s="6" t="n">
        <f aca="false">IFERROR(VALUE(F1064),"")</f>
        <v>268.29</v>
      </c>
      <c r="BN1064" s="6" t="str">
        <f aca="false">IF(R1064="-","",IFERROR(VALUE(LEFT(Q1064,LEN(Q1064)-2)),""))</f>
        <v/>
      </c>
      <c r="BO1064" s="6" t="str">
        <f aca="false">IF(R1064="-","",IFERROR(VALUE(LEFT(R1064,LEN(R1064)-5)),""))</f>
        <v/>
      </c>
      <c r="BP1064" s="6" t="str">
        <f aca="false">IF(R1064="-","",IFERROR(VALUE(F1064),""))</f>
        <v/>
      </c>
      <c r="BQ1064" s="4" t="n">
        <f aca="false">IF(R1064="-",1,0)</f>
        <v>1</v>
      </c>
    </row>
    <row r="1065" customFormat="false" ht="15" hidden="false" customHeight="false" outlineLevel="0" collapsed="false">
      <c r="A1065" s="0" t="s">
        <v>4184</v>
      </c>
      <c r="B1065" s="0" t="s">
        <v>4185</v>
      </c>
      <c r="C1065" s="0" t="s">
        <v>70</v>
      </c>
      <c r="E1065" s="3" t="n">
        <v>46273</v>
      </c>
      <c r="F1065" s="4" t="s">
        <v>4186</v>
      </c>
      <c r="G1065" s="5" t="n">
        <v>0.424143518518519</v>
      </c>
      <c r="H1065" s="5" t="n">
        <v>0</v>
      </c>
      <c r="I1065" s="5" t="n">
        <v>0.00524305555555556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6</v>
      </c>
      <c r="O1065" s="5" t="n">
        <v>0</v>
      </c>
      <c r="P1065" s="5" t="n">
        <v>0</v>
      </c>
      <c r="Q1065" s="4" t="s">
        <v>2586</v>
      </c>
      <c r="R1065" s="4" t="s">
        <v>414</v>
      </c>
      <c r="S1065" s="5" t="n">
        <v>0.000115740740740741</v>
      </c>
      <c r="T1065" s="5" t="n">
        <v>0.16087962962963</v>
      </c>
      <c r="U1065" s="5" t="n">
        <v>0.192476851851852</v>
      </c>
      <c r="V1065" s="5" t="n">
        <v>0.0575231481481482</v>
      </c>
      <c r="W1065" s="5" t="n">
        <v>0</v>
      </c>
      <c r="X1065" s="5" t="n">
        <v>0</v>
      </c>
      <c r="Y1065" s="5" t="n">
        <v>0</v>
      </c>
      <c r="Z1065" s="0" t="n">
        <v>0</v>
      </c>
      <c r="AA1065" s="0" t="n">
        <v>0</v>
      </c>
      <c r="AB1065" s="0" t="n">
        <v>0</v>
      </c>
      <c r="AC1065" s="4" t="s">
        <v>208</v>
      </c>
      <c r="AD1065" s="4" t="s">
        <v>208</v>
      </c>
      <c r="AE1065" s="4" t="s">
        <v>4187</v>
      </c>
      <c r="AF1065" s="4" t="s">
        <v>4188</v>
      </c>
      <c r="AG1065" s="5" t="n">
        <v>0.39</v>
      </c>
      <c r="AH1065" s="5" t="n">
        <v>0.106990740740741</v>
      </c>
      <c r="AI1065" s="5" t="n">
        <v>0</v>
      </c>
      <c r="AJ1065" s="5" t="n">
        <v>0</v>
      </c>
      <c r="AK1065" s="5" t="n">
        <v>0</v>
      </c>
      <c r="AL1065" s="5" t="n">
        <v>0</v>
      </c>
      <c r="AM1065" s="4" t="s">
        <v>78</v>
      </c>
      <c r="AN1065" s="0" t="n">
        <v>0</v>
      </c>
      <c r="AO1065" s="0" t="n">
        <v>0</v>
      </c>
      <c r="AP1065" s="0" t="n">
        <v>0</v>
      </c>
      <c r="AQ1065" s="0" t="n">
        <v>0</v>
      </c>
      <c r="AR1065" s="0" t="n">
        <v>0</v>
      </c>
      <c r="AS1065" s="0" t="n">
        <v>0</v>
      </c>
      <c r="AT1065" s="0" t="n">
        <v>0</v>
      </c>
      <c r="AU1065" s="0" t="n">
        <v>0</v>
      </c>
      <c r="AV1065" s="0" t="n">
        <v>0</v>
      </c>
      <c r="AW1065" s="0" t="n">
        <v>0</v>
      </c>
      <c r="AX1065" s="0" t="n">
        <v>0</v>
      </c>
      <c r="AY1065" s="0" t="n">
        <v>0</v>
      </c>
      <c r="AZ1065" s="0" t="n">
        <v>0</v>
      </c>
      <c r="BA1065" s="0" t="n">
        <v>0</v>
      </c>
      <c r="BB1065" s="0" t="n">
        <v>0</v>
      </c>
      <c r="BC1065" s="0" t="n">
        <v>0</v>
      </c>
      <c r="BD1065" s="0" t="n">
        <v>0</v>
      </c>
      <c r="BE1065" s="0" t="n">
        <v>0</v>
      </c>
      <c r="BF1065" s="0" t="n">
        <v>0</v>
      </c>
      <c r="BG1065" s="0" t="n">
        <v>0</v>
      </c>
      <c r="BH1065" s="0" t="n">
        <v>0</v>
      </c>
      <c r="BI1065" s="0" t="n">
        <v>0</v>
      </c>
      <c r="BJ1065" s="0" t="n">
        <v>0</v>
      </c>
      <c r="BK1065" s="0" t="n">
        <v>0</v>
      </c>
      <c r="BM1065" s="6" t="n">
        <f aca="false">IFERROR(VALUE(F1065),"")</f>
        <v>197.16</v>
      </c>
      <c r="BN1065" s="6" t="n">
        <f aca="false">IF(R1065="-","",IFERROR(VALUE(LEFT(Q1065,LEN(Q1065)-2)),""))</f>
        <v>84</v>
      </c>
      <c r="BO1065" s="6" t="n">
        <f aca="false">IF(R1065="-","",IFERROR(VALUE(LEFT(R1065,LEN(R1065)-5)),""))</f>
        <v>2.35</v>
      </c>
      <c r="BP1065" s="6" t="n">
        <f aca="false">IF(R1065="-","",IFERROR(VALUE(F1065),""))</f>
        <v>197.16</v>
      </c>
      <c r="BQ1065" s="4" t="n">
        <f aca="false">IF(R1065="-",1,0)</f>
        <v>0</v>
      </c>
    </row>
    <row r="1066" customFormat="false" ht="15" hidden="false" customHeight="false" outlineLevel="0" collapsed="false">
      <c r="A1066" s="0" t="s">
        <v>4184</v>
      </c>
      <c r="B1066" s="0" t="s">
        <v>4185</v>
      </c>
      <c r="C1066" s="0" t="s">
        <v>70</v>
      </c>
      <c r="E1066" s="3" t="n">
        <v>46274</v>
      </c>
      <c r="F1066" s="4" t="s">
        <v>4189</v>
      </c>
      <c r="G1066" s="5" t="n">
        <v>0.536967592592593</v>
      </c>
      <c r="H1066" s="5" t="n">
        <v>0</v>
      </c>
      <c r="I1066" s="5" t="n">
        <v>0.00314814814814815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7</v>
      </c>
      <c r="O1066" s="5" t="n">
        <v>0</v>
      </c>
      <c r="P1066" s="5" t="n">
        <v>0</v>
      </c>
      <c r="Q1066" s="4" t="s">
        <v>4190</v>
      </c>
      <c r="R1066" s="4" t="s">
        <v>1089</v>
      </c>
      <c r="S1066" s="5" t="n">
        <v>0.000231481481481482</v>
      </c>
      <c r="T1066" s="5" t="n">
        <v>0.200810185185185</v>
      </c>
      <c r="U1066" s="5" t="n">
        <v>0.245138888888889</v>
      </c>
      <c r="V1066" s="5" t="n">
        <v>0.0679398148148148</v>
      </c>
      <c r="W1066" s="5" t="n">
        <v>0</v>
      </c>
      <c r="X1066" s="5" t="n">
        <v>0</v>
      </c>
      <c r="Y1066" s="5" t="n">
        <v>0</v>
      </c>
      <c r="Z1066" s="0" t="n">
        <v>0</v>
      </c>
      <c r="AA1066" s="0" t="n">
        <v>0</v>
      </c>
      <c r="AB1066" s="0" t="n">
        <v>0</v>
      </c>
      <c r="AC1066" s="4" t="s">
        <v>208</v>
      </c>
      <c r="AD1066" s="4" t="s">
        <v>4191</v>
      </c>
      <c r="AE1066" s="4" t="s">
        <v>4188</v>
      </c>
      <c r="AF1066" s="4" t="s">
        <v>4192</v>
      </c>
      <c r="AG1066" s="5" t="n">
        <v>0.485960648148148</v>
      </c>
      <c r="AH1066" s="5" t="n">
        <v>0.120717592592593</v>
      </c>
      <c r="AI1066" s="5" t="n">
        <v>0</v>
      </c>
      <c r="AJ1066" s="5" t="n">
        <v>0</v>
      </c>
      <c r="AK1066" s="5" t="n">
        <v>0</v>
      </c>
      <c r="AL1066" s="5" t="n">
        <v>0</v>
      </c>
      <c r="AM1066" s="4" t="s">
        <v>78</v>
      </c>
      <c r="AN1066" s="0" t="n">
        <v>0</v>
      </c>
      <c r="AO1066" s="0" t="n">
        <v>0</v>
      </c>
      <c r="AP1066" s="0" t="n">
        <v>0</v>
      </c>
      <c r="AQ1066" s="0" t="n">
        <v>0</v>
      </c>
      <c r="AR1066" s="0" t="n">
        <v>0</v>
      </c>
      <c r="AS1066" s="0" t="n">
        <v>0</v>
      </c>
      <c r="AT1066" s="0" t="n">
        <v>0</v>
      </c>
      <c r="AU1066" s="0" t="n">
        <v>0</v>
      </c>
      <c r="AV1066" s="0" t="n">
        <v>0</v>
      </c>
      <c r="AW1066" s="0" t="n">
        <v>0</v>
      </c>
      <c r="AX1066" s="0" t="n">
        <v>0</v>
      </c>
      <c r="AY1066" s="0" t="n">
        <v>0</v>
      </c>
      <c r="AZ1066" s="0" t="n">
        <v>0</v>
      </c>
      <c r="BA1066" s="0" t="n">
        <v>0</v>
      </c>
      <c r="BB1066" s="0" t="n">
        <v>0</v>
      </c>
      <c r="BC1066" s="0" t="n">
        <v>0</v>
      </c>
      <c r="BD1066" s="0" t="n">
        <v>0</v>
      </c>
      <c r="BE1066" s="0" t="n">
        <v>0</v>
      </c>
      <c r="BF1066" s="0" t="n">
        <v>0</v>
      </c>
      <c r="BG1066" s="0" t="n">
        <v>0</v>
      </c>
      <c r="BH1066" s="0" t="n">
        <v>0</v>
      </c>
      <c r="BI1066" s="0" t="n">
        <v>0</v>
      </c>
      <c r="BJ1066" s="0" t="n">
        <v>0</v>
      </c>
      <c r="BK1066" s="0" t="n">
        <v>0</v>
      </c>
      <c r="BM1066" s="6" t="n">
        <f aca="false">IFERROR(VALUE(F1066),"")</f>
        <v>251.07</v>
      </c>
      <c r="BN1066" s="6" t="n">
        <f aca="false">IF(R1066="-","",IFERROR(VALUE(LEFT(Q1066,LEN(Q1066)-2)),""))</f>
        <v>103.5</v>
      </c>
      <c r="BO1066" s="6" t="n">
        <f aca="false">IF(R1066="-","",IFERROR(VALUE(LEFT(R1066,LEN(R1066)-5)),""))</f>
        <v>2.43</v>
      </c>
      <c r="BP1066" s="6" t="n">
        <f aca="false">IF(R1066="-","",IFERROR(VALUE(F1066),""))</f>
        <v>251.07</v>
      </c>
      <c r="BQ1066" s="4" t="n">
        <f aca="false">IF(R1066="-",1,0)</f>
        <v>0</v>
      </c>
    </row>
    <row r="1067" customFormat="false" ht="15" hidden="false" customHeight="false" outlineLevel="0" collapsed="false">
      <c r="A1067" s="0" t="s">
        <v>4184</v>
      </c>
      <c r="B1067" s="0" t="s">
        <v>4185</v>
      </c>
      <c r="C1067" s="0" t="s">
        <v>70</v>
      </c>
      <c r="E1067" s="3" t="n">
        <v>46275</v>
      </c>
      <c r="F1067" s="4" t="s">
        <v>4193</v>
      </c>
      <c r="G1067" s="5" t="n">
        <v>0.417546296296296</v>
      </c>
      <c r="H1067" s="5" t="n">
        <v>0</v>
      </c>
      <c r="I1067" s="5" t="n">
        <v>0.00428240740740741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7</v>
      </c>
      <c r="O1067" s="5" t="n">
        <v>0</v>
      </c>
      <c r="P1067" s="5" t="n">
        <v>0</v>
      </c>
      <c r="Q1067" s="4" t="s">
        <v>4148</v>
      </c>
      <c r="R1067" s="4" t="s">
        <v>2141</v>
      </c>
      <c r="S1067" s="5" t="n">
        <v>0</v>
      </c>
      <c r="T1067" s="5" t="n">
        <v>0.150462962962963</v>
      </c>
      <c r="U1067" s="5" t="n">
        <v>0.193055555555556</v>
      </c>
      <c r="V1067" s="5" t="n">
        <v>0.059375</v>
      </c>
      <c r="W1067" s="5" t="n">
        <v>0</v>
      </c>
      <c r="X1067" s="5" t="n">
        <v>0</v>
      </c>
      <c r="Y1067" s="5" t="n">
        <v>0</v>
      </c>
      <c r="Z1067" s="0" t="n">
        <v>0</v>
      </c>
      <c r="AA1067" s="0" t="n">
        <v>0</v>
      </c>
      <c r="AB1067" s="0" t="n">
        <v>0</v>
      </c>
      <c r="AC1067" s="4" t="s">
        <v>4191</v>
      </c>
      <c r="AD1067" s="4" t="s">
        <v>208</v>
      </c>
      <c r="AE1067" s="4" t="s">
        <v>4194</v>
      </c>
      <c r="AF1067" s="4" t="s">
        <v>4195</v>
      </c>
      <c r="AG1067" s="5" t="n">
        <v>0.379895833333333</v>
      </c>
      <c r="AH1067" s="5" t="n">
        <v>0.102777777777778</v>
      </c>
      <c r="AI1067" s="5" t="n">
        <v>0</v>
      </c>
      <c r="AJ1067" s="5" t="n">
        <v>0</v>
      </c>
      <c r="AK1067" s="5" t="n">
        <v>0</v>
      </c>
      <c r="AL1067" s="5" t="n">
        <v>0</v>
      </c>
      <c r="AM1067" s="4" t="s">
        <v>78</v>
      </c>
      <c r="AN1067" s="0" t="n">
        <v>0</v>
      </c>
      <c r="AO1067" s="0" t="n">
        <v>0</v>
      </c>
      <c r="AP1067" s="0" t="n">
        <v>0</v>
      </c>
      <c r="AQ1067" s="0" t="n">
        <v>0</v>
      </c>
      <c r="AR1067" s="0" t="n">
        <v>0</v>
      </c>
      <c r="AS1067" s="0" t="n">
        <v>0</v>
      </c>
      <c r="AT1067" s="0" t="n">
        <v>0</v>
      </c>
      <c r="AU1067" s="0" t="n">
        <v>0</v>
      </c>
      <c r="AV1067" s="0" t="n">
        <v>0</v>
      </c>
      <c r="AW1067" s="0" t="n">
        <v>0</v>
      </c>
      <c r="AX1067" s="0" t="n">
        <v>0</v>
      </c>
      <c r="AY1067" s="0" t="n">
        <v>0</v>
      </c>
      <c r="AZ1067" s="0" t="n">
        <v>0</v>
      </c>
      <c r="BA1067" s="0" t="n">
        <v>0</v>
      </c>
      <c r="BB1067" s="0" t="n">
        <v>0</v>
      </c>
      <c r="BC1067" s="0" t="n">
        <v>0</v>
      </c>
      <c r="BD1067" s="0" t="n">
        <v>0</v>
      </c>
      <c r="BE1067" s="0" t="n">
        <v>0</v>
      </c>
      <c r="BF1067" s="0" t="n">
        <v>0</v>
      </c>
      <c r="BG1067" s="0" t="n">
        <v>0</v>
      </c>
      <c r="BH1067" s="0" t="n">
        <v>0</v>
      </c>
      <c r="BI1067" s="0" t="n">
        <v>0</v>
      </c>
      <c r="BJ1067" s="0" t="n">
        <v>0</v>
      </c>
      <c r="BK1067" s="0" t="n">
        <v>0</v>
      </c>
      <c r="BM1067" s="6" t="n">
        <f aca="false">IFERROR(VALUE(F1067),"")</f>
        <v>198.8</v>
      </c>
      <c r="BN1067" s="6" t="n">
        <f aca="false">IF(R1067="-","",IFERROR(VALUE(LEFT(Q1067,LEN(Q1067)-2)),""))</f>
        <v>82</v>
      </c>
      <c r="BO1067" s="6" t="n">
        <f aca="false">IF(R1067="-","",IFERROR(VALUE(LEFT(R1067,LEN(R1067)-5)),""))</f>
        <v>2.42</v>
      </c>
      <c r="BP1067" s="6" t="n">
        <f aca="false">IF(R1067="-","",IFERROR(VALUE(F1067),""))</f>
        <v>198.8</v>
      </c>
      <c r="BQ1067" s="4" t="n">
        <f aca="false">IF(R1067="-",1,0)</f>
        <v>0</v>
      </c>
    </row>
    <row r="1068" customFormat="false" ht="15" hidden="false" customHeight="false" outlineLevel="0" collapsed="false">
      <c r="A1068" s="0" t="s">
        <v>4184</v>
      </c>
      <c r="B1068" s="0" t="s">
        <v>4185</v>
      </c>
      <c r="C1068" s="0" t="s">
        <v>70</v>
      </c>
      <c r="E1068" s="3" t="n">
        <v>46276</v>
      </c>
      <c r="F1068" s="4" t="s">
        <v>4196</v>
      </c>
      <c r="G1068" s="5" t="n">
        <v>0.333587962962963</v>
      </c>
      <c r="H1068" s="5" t="n">
        <v>0</v>
      </c>
      <c r="I1068" s="5" t="n">
        <v>0.00188657407407407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3</v>
      </c>
      <c r="O1068" s="5" t="n">
        <v>0</v>
      </c>
      <c r="P1068" s="5" t="n">
        <v>0</v>
      </c>
      <c r="Q1068" s="4" t="s">
        <v>4197</v>
      </c>
      <c r="R1068" s="4" t="s">
        <v>2765</v>
      </c>
      <c r="S1068" s="5" t="n">
        <v>0.000115740740740741</v>
      </c>
      <c r="T1068" s="5" t="n">
        <v>0.131828703703704</v>
      </c>
      <c r="U1068" s="5" t="n">
        <v>0.14375</v>
      </c>
      <c r="V1068" s="5" t="n">
        <v>0.0465277777777778</v>
      </c>
      <c r="W1068" s="5" t="n">
        <v>0.000231481481481482</v>
      </c>
      <c r="X1068" s="5" t="n">
        <v>0</v>
      </c>
      <c r="Y1068" s="5" t="n">
        <v>0</v>
      </c>
      <c r="Z1068" s="0" t="n">
        <v>0</v>
      </c>
      <c r="AA1068" s="0" t="n">
        <v>0</v>
      </c>
      <c r="AB1068" s="0" t="n">
        <v>0</v>
      </c>
      <c r="AC1068" s="4" t="s">
        <v>208</v>
      </c>
      <c r="AD1068" s="4" t="s">
        <v>208</v>
      </c>
      <c r="AE1068" s="4" t="s">
        <v>4195</v>
      </c>
      <c r="AF1068" s="4" t="s">
        <v>4198</v>
      </c>
      <c r="AG1068" s="5" t="n">
        <v>0.299965277777778</v>
      </c>
      <c r="AH1068" s="5" t="n">
        <v>0.0901851851851852</v>
      </c>
      <c r="AI1068" s="5" t="n">
        <v>0</v>
      </c>
      <c r="AJ1068" s="5" t="n">
        <v>0</v>
      </c>
      <c r="AK1068" s="5" t="n">
        <v>0</v>
      </c>
      <c r="AL1068" s="5" t="n">
        <v>0</v>
      </c>
      <c r="AM1068" s="4" t="s">
        <v>78</v>
      </c>
      <c r="AN1068" s="0" t="n">
        <v>0</v>
      </c>
      <c r="AO1068" s="0" t="n">
        <v>0</v>
      </c>
      <c r="AP1068" s="0" t="n">
        <v>0</v>
      </c>
      <c r="AQ1068" s="0" t="n">
        <v>0</v>
      </c>
      <c r="AR1068" s="0" t="n">
        <v>0</v>
      </c>
      <c r="AS1068" s="0" t="n">
        <v>0</v>
      </c>
      <c r="AT1068" s="0" t="n">
        <v>0</v>
      </c>
      <c r="AU1068" s="0" t="n">
        <v>0</v>
      </c>
      <c r="AV1068" s="0" t="n">
        <v>0</v>
      </c>
      <c r="AW1068" s="0" t="n">
        <v>0</v>
      </c>
      <c r="AX1068" s="0" t="n">
        <v>0</v>
      </c>
      <c r="AY1068" s="0" t="n">
        <v>0</v>
      </c>
      <c r="AZ1068" s="0" t="n">
        <v>0</v>
      </c>
      <c r="BA1068" s="0" t="n">
        <v>0</v>
      </c>
      <c r="BB1068" s="0" t="n">
        <v>0</v>
      </c>
      <c r="BC1068" s="0" t="n">
        <v>0</v>
      </c>
      <c r="BD1068" s="0" t="n">
        <v>0</v>
      </c>
      <c r="BE1068" s="0" t="n">
        <v>0</v>
      </c>
      <c r="BF1068" s="0" t="n">
        <v>0</v>
      </c>
      <c r="BG1068" s="0" t="n">
        <v>0</v>
      </c>
      <c r="BH1068" s="0" t="n">
        <v>0</v>
      </c>
      <c r="BI1068" s="0" t="n">
        <v>0</v>
      </c>
      <c r="BJ1068" s="0" t="n">
        <v>0</v>
      </c>
      <c r="BK1068" s="0" t="n">
        <v>0</v>
      </c>
      <c r="BM1068" s="6" t="n">
        <f aca="false">IFERROR(VALUE(F1068),"")</f>
        <v>150</v>
      </c>
      <c r="BN1068" s="6" t="n">
        <f aca="false">IF(R1068="-","",IFERROR(VALUE(LEFT(Q1068,LEN(Q1068)-2)),""))</f>
        <v>67</v>
      </c>
      <c r="BO1068" s="6" t="n">
        <f aca="false">IF(R1068="-","",IFERROR(VALUE(LEFT(R1068,LEN(R1068)-5)),""))</f>
        <v>2.24</v>
      </c>
      <c r="BP1068" s="6" t="n">
        <f aca="false">IF(R1068="-","",IFERROR(VALUE(F1068),""))</f>
        <v>150</v>
      </c>
      <c r="BQ1068" s="4" t="n">
        <f aca="false">IF(R1068="-",1,0)</f>
        <v>0</v>
      </c>
    </row>
    <row r="1069" customFormat="false" ht="15" hidden="false" customHeight="false" outlineLevel="0" collapsed="false">
      <c r="A1069" s="0" t="s">
        <v>4184</v>
      </c>
      <c r="B1069" s="0" t="s">
        <v>4185</v>
      </c>
      <c r="C1069" s="0" t="s">
        <v>70</v>
      </c>
      <c r="E1069" s="3" t="n">
        <v>46278</v>
      </c>
      <c r="F1069" s="4" t="s">
        <v>4199</v>
      </c>
      <c r="G1069" s="5" t="n">
        <v>0.00506944444444444</v>
      </c>
      <c r="H1069" s="5" t="n">
        <v>0</v>
      </c>
      <c r="I1069" s="5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5" t="n">
        <v>0</v>
      </c>
      <c r="P1069" s="5" t="n">
        <v>0</v>
      </c>
      <c r="Q1069" s="4" t="s">
        <v>971</v>
      </c>
      <c r="R1069" s="4" t="s">
        <v>4200</v>
      </c>
      <c r="S1069" s="5" t="n">
        <v>0</v>
      </c>
      <c r="T1069" s="5" t="n">
        <v>0.003125</v>
      </c>
      <c r="U1069" s="5" t="n">
        <v>0.00173611111111111</v>
      </c>
      <c r="V1069" s="5" t="n">
        <v>0</v>
      </c>
      <c r="W1069" s="5" t="n">
        <v>0</v>
      </c>
      <c r="X1069" s="5" t="n">
        <v>0</v>
      </c>
      <c r="Y1069" s="5" t="n">
        <v>0</v>
      </c>
      <c r="Z1069" s="0" t="n">
        <v>0</v>
      </c>
      <c r="AA1069" s="0" t="n">
        <v>0</v>
      </c>
      <c r="AB1069" s="0" t="n">
        <v>0</v>
      </c>
      <c r="AC1069" s="4" t="s">
        <v>208</v>
      </c>
      <c r="AD1069" s="4" t="s">
        <v>208</v>
      </c>
      <c r="AE1069" s="4" t="s">
        <v>4198</v>
      </c>
      <c r="AF1069" s="4" t="s">
        <v>4201</v>
      </c>
      <c r="AG1069" s="5" t="n">
        <v>0.00253472222222222</v>
      </c>
      <c r="AH1069" s="5" t="n">
        <v>0.015</v>
      </c>
      <c r="AI1069" s="5" t="n">
        <v>0</v>
      </c>
      <c r="AJ1069" s="5" t="n">
        <v>0</v>
      </c>
      <c r="AK1069" s="5" t="n">
        <v>0</v>
      </c>
      <c r="AL1069" s="5" t="n">
        <v>0</v>
      </c>
      <c r="AM1069" s="4" t="s">
        <v>78</v>
      </c>
      <c r="AN1069" s="0" t="n">
        <v>0</v>
      </c>
      <c r="AO1069" s="0" t="n">
        <v>0</v>
      </c>
      <c r="AP1069" s="0" t="n">
        <v>0</v>
      </c>
      <c r="AQ1069" s="0" t="n">
        <v>0</v>
      </c>
      <c r="AR1069" s="0" t="n">
        <v>0</v>
      </c>
      <c r="AS1069" s="0" t="n">
        <v>0</v>
      </c>
      <c r="AT1069" s="0" t="n">
        <v>0</v>
      </c>
      <c r="AU1069" s="0" t="n">
        <v>0</v>
      </c>
      <c r="AV1069" s="0" t="n">
        <v>0</v>
      </c>
      <c r="AW1069" s="0" t="n">
        <v>0</v>
      </c>
      <c r="AX1069" s="0" t="n">
        <v>0</v>
      </c>
      <c r="AY1069" s="0" t="n">
        <v>0</v>
      </c>
      <c r="AZ1069" s="0" t="n">
        <v>0</v>
      </c>
      <c r="BA1069" s="0" t="n">
        <v>0</v>
      </c>
      <c r="BB1069" s="0" t="n">
        <v>0</v>
      </c>
      <c r="BC1069" s="0" t="n">
        <v>0</v>
      </c>
      <c r="BD1069" s="0" t="n">
        <v>0</v>
      </c>
      <c r="BE1069" s="0" t="n">
        <v>0</v>
      </c>
      <c r="BF1069" s="0" t="n">
        <v>0</v>
      </c>
      <c r="BG1069" s="0" t="n">
        <v>0</v>
      </c>
      <c r="BH1069" s="0" t="n">
        <v>0</v>
      </c>
      <c r="BI1069" s="0" t="n">
        <v>0</v>
      </c>
      <c r="BJ1069" s="0" t="n">
        <v>0</v>
      </c>
      <c r="BK1069" s="0" t="n">
        <v>0</v>
      </c>
      <c r="BM1069" s="6" t="n">
        <f aca="false">IFERROR(VALUE(F1069),"")</f>
        <v>0.29</v>
      </c>
      <c r="BN1069" s="6" t="n">
        <f aca="false">IF(R1069="-","",IFERROR(VALUE(LEFT(Q1069,LEN(Q1069)-2)),""))</f>
        <v>0.5</v>
      </c>
      <c r="BO1069" s="6" t="n">
        <f aca="false">IF(R1069="-","",IFERROR(VALUE(LEFT(R1069,LEN(R1069)-5)),""))</f>
        <v>0.58</v>
      </c>
      <c r="BP1069" s="6" t="n">
        <f aca="false">IF(R1069="-","",IFERROR(VALUE(F1069),""))</f>
        <v>0.29</v>
      </c>
      <c r="BQ1069" s="4" t="n">
        <f aca="false">IF(R1069="-",1,0)</f>
        <v>0</v>
      </c>
    </row>
    <row r="1070" customFormat="false" ht="15" hidden="false" customHeight="false" outlineLevel="0" collapsed="false">
      <c r="A1070" s="0" t="s">
        <v>4184</v>
      </c>
      <c r="B1070" s="0" t="s">
        <v>4185</v>
      </c>
      <c r="C1070" s="0" t="s">
        <v>70</v>
      </c>
      <c r="E1070" s="3" t="n">
        <v>46279</v>
      </c>
      <c r="F1070" s="4" t="s">
        <v>4202</v>
      </c>
      <c r="G1070" s="5" t="n">
        <v>0.39962962962963</v>
      </c>
      <c r="H1070" s="5" t="n">
        <v>0</v>
      </c>
      <c r="I1070" s="5" t="n">
        <v>0.0034837962962963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4</v>
      </c>
      <c r="O1070" s="5" t="n">
        <v>0</v>
      </c>
      <c r="P1070" s="5" t="n">
        <v>0.00868055555555556</v>
      </c>
      <c r="Q1070" s="4" t="s">
        <v>756</v>
      </c>
      <c r="R1070" s="4" t="s">
        <v>3146</v>
      </c>
      <c r="S1070" s="5" t="n">
        <v>0.000115740740740741</v>
      </c>
      <c r="T1070" s="5" t="n">
        <v>0.15</v>
      </c>
      <c r="U1070" s="5" t="n">
        <v>0.179513888888889</v>
      </c>
      <c r="V1070" s="5" t="n">
        <v>0.0570601851851852</v>
      </c>
      <c r="W1070" s="5" t="n">
        <v>0.000347222222222222</v>
      </c>
      <c r="X1070" s="5" t="n">
        <v>0</v>
      </c>
      <c r="Y1070" s="5" t="n">
        <v>0</v>
      </c>
      <c r="Z1070" s="0" t="n">
        <v>0</v>
      </c>
      <c r="AA1070" s="0" t="n">
        <v>0</v>
      </c>
      <c r="AB1070" s="0" t="n">
        <v>0</v>
      </c>
      <c r="AC1070" s="4" t="s">
        <v>208</v>
      </c>
      <c r="AD1070" s="4" t="s">
        <v>208</v>
      </c>
      <c r="AE1070" s="4" t="s">
        <v>4201</v>
      </c>
      <c r="AF1070" s="4" t="s">
        <v>4203</v>
      </c>
      <c r="AG1070" s="5" t="n">
        <v>0.360358796296296</v>
      </c>
      <c r="AH1070" s="5" t="n">
        <v>0.0880787037037037</v>
      </c>
      <c r="AI1070" s="5" t="n">
        <v>0</v>
      </c>
      <c r="AJ1070" s="5" t="n">
        <v>0</v>
      </c>
      <c r="AK1070" s="5" t="n">
        <v>0</v>
      </c>
      <c r="AL1070" s="5" t="n">
        <v>0</v>
      </c>
      <c r="AM1070" s="4" t="s">
        <v>78</v>
      </c>
      <c r="AN1070" s="0" t="n">
        <v>0</v>
      </c>
      <c r="AO1070" s="0" t="n">
        <v>0</v>
      </c>
      <c r="AP1070" s="0" t="n">
        <v>0</v>
      </c>
      <c r="AQ1070" s="0" t="n">
        <v>0</v>
      </c>
      <c r="AR1070" s="0" t="n">
        <v>0</v>
      </c>
      <c r="AS1070" s="0" t="n">
        <v>0</v>
      </c>
      <c r="AT1070" s="0" t="n">
        <v>0</v>
      </c>
      <c r="AU1070" s="0" t="n">
        <v>0</v>
      </c>
      <c r="AV1070" s="0" t="n">
        <v>0</v>
      </c>
      <c r="AW1070" s="0" t="n">
        <v>0</v>
      </c>
      <c r="AX1070" s="0" t="n">
        <v>0</v>
      </c>
      <c r="AY1070" s="0" t="n">
        <v>0</v>
      </c>
      <c r="AZ1070" s="0" t="n">
        <v>0</v>
      </c>
      <c r="BA1070" s="0" t="n">
        <v>0</v>
      </c>
      <c r="BB1070" s="0" t="n">
        <v>0</v>
      </c>
      <c r="BC1070" s="0" t="n">
        <v>0</v>
      </c>
      <c r="BD1070" s="0" t="n">
        <v>0</v>
      </c>
      <c r="BE1070" s="0" t="n">
        <v>0</v>
      </c>
      <c r="BF1070" s="0" t="n">
        <v>0</v>
      </c>
      <c r="BG1070" s="0" t="n">
        <v>0</v>
      </c>
      <c r="BH1070" s="0" t="n">
        <v>0</v>
      </c>
      <c r="BI1070" s="0" t="n">
        <v>0</v>
      </c>
      <c r="BJ1070" s="0" t="n">
        <v>0</v>
      </c>
      <c r="BK1070" s="0" t="n">
        <v>0</v>
      </c>
      <c r="BM1070" s="6" t="n">
        <f aca="false">IFERROR(VALUE(F1070),"")</f>
        <v>191.78</v>
      </c>
      <c r="BN1070" s="6" t="n">
        <f aca="false">IF(R1070="-","",IFERROR(VALUE(LEFT(Q1070,LEN(Q1070)-2)),""))</f>
        <v>83</v>
      </c>
      <c r="BO1070" s="6" t="n">
        <f aca="false">IF(R1070="-","",IFERROR(VALUE(LEFT(R1070,LEN(R1070)-5)),""))</f>
        <v>2.31</v>
      </c>
      <c r="BP1070" s="6" t="n">
        <f aca="false">IF(R1070="-","",IFERROR(VALUE(F1070),""))</f>
        <v>191.78</v>
      </c>
      <c r="BQ1070" s="4" t="n">
        <f aca="false">IF(R1070="-",1,0)</f>
        <v>0</v>
      </c>
    </row>
    <row r="1071" customFormat="false" ht="15" hidden="false" customHeight="false" outlineLevel="0" collapsed="false">
      <c r="A1071" s="0" t="s">
        <v>4204</v>
      </c>
      <c r="B1071" s="0" t="s">
        <v>4205</v>
      </c>
      <c r="C1071" s="0" t="s">
        <v>70</v>
      </c>
      <c r="D1071" s="0" t="s">
        <v>3419</v>
      </c>
      <c r="E1071" s="3" t="n">
        <v>46273</v>
      </c>
      <c r="F1071" s="4" t="s">
        <v>4206</v>
      </c>
      <c r="G1071" s="5" t="n">
        <v>0.321157407407407</v>
      </c>
      <c r="H1071" s="5" t="n">
        <v>0.150497685185185</v>
      </c>
      <c r="I1071" s="5" t="n">
        <v>0.000381944444444445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5" t="n">
        <v>0</v>
      </c>
      <c r="P1071" s="5" t="n">
        <v>0.0177083333333333</v>
      </c>
      <c r="Q1071" s="4" t="s">
        <v>4207</v>
      </c>
      <c r="R1071" s="4" t="s">
        <v>4208</v>
      </c>
      <c r="S1071" s="5" t="n">
        <v>0.000115740740740741</v>
      </c>
      <c r="T1071" s="5" t="n">
        <v>0.0775462962962963</v>
      </c>
      <c r="U1071" s="5" t="n">
        <v>0.078587962962963</v>
      </c>
      <c r="V1071" s="5" t="n">
        <v>0.00509259259259259</v>
      </c>
      <c r="W1071" s="5" t="n">
        <v>0</v>
      </c>
      <c r="X1071" s="5" t="n">
        <v>0</v>
      </c>
      <c r="Y1071" s="5" t="n">
        <v>0</v>
      </c>
      <c r="Z1071" s="0" t="n">
        <v>0</v>
      </c>
      <c r="AA1071" s="0" t="n">
        <v>0</v>
      </c>
      <c r="AB1071" s="0" t="n">
        <v>0</v>
      </c>
      <c r="AC1071" s="4" t="s">
        <v>183</v>
      </c>
      <c r="AD1071" s="4" t="s">
        <v>1725</v>
      </c>
      <c r="AE1071" s="4" t="s">
        <v>4209</v>
      </c>
      <c r="AF1071" s="4" t="s">
        <v>4210</v>
      </c>
      <c r="AG1071" s="5" t="n">
        <v>0.230462962962963</v>
      </c>
      <c r="AH1071" s="5" t="n">
        <v>0.125358796296296</v>
      </c>
      <c r="AI1071" s="5" t="n">
        <v>0</v>
      </c>
      <c r="AJ1071" s="5" t="n">
        <v>0</v>
      </c>
      <c r="AK1071" s="5" t="n">
        <v>0</v>
      </c>
      <c r="AL1071" s="5" t="n">
        <v>0</v>
      </c>
      <c r="AM1071" s="4" t="s">
        <v>78</v>
      </c>
      <c r="AN1071" s="0" t="n">
        <v>0</v>
      </c>
      <c r="AO1071" s="0" t="n">
        <v>0</v>
      </c>
      <c r="AP1071" s="0" t="n">
        <v>0</v>
      </c>
      <c r="AQ1071" s="0" t="n">
        <v>0</v>
      </c>
      <c r="AR1071" s="0" t="n">
        <v>0</v>
      </c>
      <c r="AS1071" s="0" t="n">
        <v>1</v>
      </c>
      <c r="AT1071" s="0" t="n">
        <v>0</v>
      </c>
      <c r="AU1071" s="0" t="n">
        <v>1</v>
      </c>
      <c r="AV1071" s="0" t="n">
        <v>0</v>
      </c>
      <c r="AW1071" s="0" t="n">
        <v>0</v>
      </c>
      <c r="AX1071" s="0" t="n">
        <v>0</v>
      </c>
      <c r="AY1071" s="0" t="n">
        <v>0</v>
      </c>
      <c r="AZ1071" s="0" t="n">
        <v>0</v>
      </c>
      <c r="BA1071" s="0" t="n">
        <v>0</v>
      </c>
      <c r="BB1071" s="0" t="n">
        <v>0</v>
      </c>
      <c r="BC1071" s="0" t="n">
        <v>0</v>
      </c>
      <c r="BD1071" s="0" t="n">
        <v>0</v>
      </c>
      <c r="BE1071" s="0" t="n">
        <v>0</v>
      </c>
      <c r="BF1071" s="0" t="n">
        <v>0</v>
      </c>
      <c r="BG1071" s="0" t="n">
        <v>0</v>
      </c>
      <c r="BH1071" s="0" t="n">
        <v>0</v>
      </c>
      <c r="BI1071" s="0" t="n">
        <v>0</v>
      </c>
      <c r="BJ1071" s="0" t="n">
        <v>0</v>
      </c>
      <c r="BK1071" s="0" t="n">
        <v>0</v>
      </c>
      <c r="BM1071" s="6" t="n">
        <f aca="false">IFERROR(VALUE(F1071),"")</f>
        <v>276.48</v>
      </c>
      <c r="BN1071" s="6" t="n">
        <f aca="false">IF(R1071="-","",IFERROR(VALUE(LEFT(Q1071,LEN(Q1071)-2)),""))</f>
        <v>22.39</v>
      </c>
      <c r="BO1071" s="6" t="n">
        <f aca="false">IF(R1071="-","",IFERROR(VALUE(LEFT(R1071,LEN(R1071)-5)),""))</f>
        <v>12.35</v>
      </c>
      <c r="BP1071" s="6" t="n">
        <f aca="false">IF(R1071="-","",IFERROR(VALUE(F1071),""))</f>
        <v>276.48</v>
      </c>
      <c r="BQ1071" s="4" t="n">
        <f aca="false">IF(R1071="-",1,0)</f>
        <v>0</v>
      </c>
    </row>
    <row r="1072" customFormat="false" ht="15" hidden="false" customHeight="false" outlineLevel="0" collapsed="false">
      <c r="A1072" s="0" t="s">
        <v>4204</v>
      </c>
      <c r="B1072" s="0" t="s">
        <v>4205</v>
      </c>
      <c r="C1072" s="0" t="s">
        <v>70</v>
      </c>
      <c r="D1072" s="0" t="s">
        <v>4211</v>
      </c>
      <c r="E1072" s="3" t="n">
        <v>46274</v>
      </c>
      <c r="F1072" s="4" t="s">
        <v>4212</v>
      </c>
      <c r="G1072" s="5" t="n">
        <v>0.540196759259259</v>
      </c>
      <c r="H1072" s="5" t="n">
        <v>0.469282407407407</v>
      </c>
      <c r="I1072" s="5" t="n">
        <v>0.000613425925925926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6</v>
      </c>
      <c r="O1072" s="5" t="n">
        <v>0</v>
      </c>
      <c r="P1072" s="5" t="n">
        <v>0.0260532407407407</v>
      </c>
      <c r="Q1072" s="4" t="s">
        <v>4213</v>
      </c>
      <c r="R1072" s="4" t="s">
        <v>4214</v>
      </c>
      <c r="S1072" s="5" t="n">
        <v>0.000347222222222222</v>
      </c>
      <c r="T1072" s="5" t="n">
        <v>0.205439814814815</v>
      </c>
      <c r="U1072" s="5" t="n">
        <v>0.292361111111111</v>
      </c>
      <c r="V1072" s="5" t="n">
        <v>0.0177083333333333</v>
      </c>
      <c r="W1072" s="5" t="n">
        <v>0</v>
      </c>
      <c r="X1072" s="5" t="n">
        <v>0</v>
      </c>
      <c r="Y1072" s="5" t="n">
        <v>0</v>
      </c>
      <c r="Z1072" s="0" t="n">
        <v>0</v>
      </c>
      <c r="AA1072" s="0" t="n">
        <v>0</v>
      </c>
      <c r="AB1072" s="0" t="n">
        <v>0</v>
      </c>
      <c r="AC1072" s="4" t="s">
        <v>1725</v>
      </c>
      <c r="AD1072" s="4" t="s">
        <v>228</v>
      </c>
      <c r="AE1072" s="4" t="s">
        <v>4210</v>
      </c>
      <c r="AF1072" s="4" t="s">
        <v>4215</v>
      </c>
      <c r="AG1072" s="5" t="n">
        <v>0.424849537037037</v>
      </c>
      <c r="AH1072" s="5" t="n">
        <v>0.167824074074074</v>
      </c>
      <c r="AI1072" s="5" t="n">
        <v>0</v>
      </c>
      <c r="AJ1072" s="5" t="n">
        <v>0</v>
      </c>
      <c r="AK1072" s="5" t="n">
        <v>0</v>
      </c>
      <c r="AL1072" s="5" t="n">
        <v>0</v>
      </c>
      <c r="AM1072" s="4" t="s">
        <v>78</v>
      </c>
      <c r="AN1072" s="0" t="n">
        <v>0</v>
      </c>
      <c r="AO1072" s="0" t="n">
        <v>0</v>
      </c>
      <c r="AP1072" s="0" t="n">
        <v>0</v>
      </c>
      <c r="AQ1072" s="0" t="n">
        <v>0</v>
      </c>
      <c r="AR1072" s="0" t="n">
        <v>0</v>
      </c>
      <c r="AS1072" s="0" t="n">
        <v>0</v>
      </c>
      <c r="AT1072" s="0" t="n">
        <v>0</v>
      </c>
      <c r="AU1072" s="0" t="n">
        <v>2</v>
      </c>
      <c r="AV1072" s="0" t="n">
        <v>0</v>
      </c>
      <c r="AW1072" s="0" t="n">
        <v>1</v>
      </c>
      <c r="AX1072" s="0" t="n">
        <v>0</v>
      </c>
      <c r="AY1072" s="0" t="n">
        <v>0</v>
      </c>
      <c r="AZ1072" s="0" t="n">
        <v>0</v>
      </c>
      <c r="BA1072" s="0" t="n">
        <v>0</v>
      </c>
      <c r="BB1072" s="0" t="n">
        <v>0</v>
      </c>
      <c r="BC1072" s="0" t="n">
        <v>0</v>
      </c>
      <c r="BD1072" s="0" t="n">
        <v>0</v>
      </c>
      <c r="BE1072" s="0" t="n">
        <v>0</v>
      </c>
      <c r="BF1072" s="0" t="n">
        <v>0</v>
      </c>
      <c r="BG1072" s="0" t="n">
        <v>0</v>
      </c>
      <c r="BH1072" s="0" t="n">
        <v>0</v>
      </c>
      <c r="BI1072" s="0" t="n">
        <v>0</v>
      </c>
      <c r="BJ1072" s="0" t="n">
        <v>0</v>
      </c>
      <c r="BK1072" s="0" t="n">
        <v>0</v>
      </c>
      <c r="BM1072" s="6" t="n">
        <f aca="false">IFERROR(VALUE(F1072),"")</f>
        <v>485.66</v>
      </c>
      <c r="BN1072" s="6" t="n">
        <f aca="false">IF(R1072="-","",IFERROR(VALUE(LEFT(Q1072,LEN(Q1072)-2)),""))</f>
        <v>85.48</v>
      </c>
      <c r="BO1072" s="6" t="n">
        <f aca="false">IF(R1072="-","",IFERROR(VALUE(LEFT(R1072,LEN(R1072)-5)),""))</f>
        <v>5.68</v>
      </c>
      <c r="BP1072" s="6" t="n">
        <f aca="false">IF(R1072="-","",IFERROR(VALUE(F1072),""))</f>
        <v>485.66</v>
      </c>
      <c r="BQ1072" s="4" t="n">
        <f aca="false">IF(R1072="-",1,0)</f>
        <v>0</v>
      </c>
    </row>
    <row r="1073" customFormat="false" ht="15" hidden="false" customHeight="false" outlineLevel="0" collapsed="false">
      <c r="A1073" s="0" t="s">
        <v>4204</v>
      </c>
      <c r="B1073" s="0" t="s">
        <v>4205</v>
      </c>
      <c r="C1073" s="0" t="s">
        <v>70</v>
      </c>
      <c r="D1073" s="0" t="s">
        <v>4216</v>
      </c>
      <c r="E1073" s="3" t="n">
        <v>46275</v>
      </c>
      <c r="F1073" s="4" t="s">
        <v>4217</v>
      </c>
      <c r="G1073" s="5" t="n">
        <v>0.440659722222222</v>
      </c>
      <c r="H1073" s="5" t="n">
        <v>0.407696759259259</v>
      </c>
      <c r="I1073" s="5" t="n">
        <v>0.000763888888888889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1</v>
      </c>
      <c r="O1073" s="5" t="n">
        <v>0</v>
      </c>
      <c r="P1073" s="5" t="n">
        <v>0.00871527777777778</v>
      </c>
      <c r="Q1073" s="4" t="s">
        <v>4218</v>
      </c>
      <c r="R1073" s="4" t="s">
        <v>4219</v>
      </c>
      <c r="S1073" s="5" t="n">
        <v>0.000347222222222222</v>
      </c>
      <c r="T1073" s="5" t="n">
        <v>0.142708333333333</v>
      </c>
      <c r="U1073" s="5" t="n">
        <v>0.235300925925926</v>
      </c>
      <c r="V1073" s="5" t="n">
        <v>0.0166666666666667</v>
      </c>
      <c r="W1073" s="5" t="n">
        <v>0</v>
      </c>
      <c r="X1073" s="5" t="n">
        <v>0</v>
      </c>
      <c r="Y1073" s="5" t="n">
        <v>0</v>
      </c>
      <c r="Z1073" s="0" t="n">
        <v>0</v>
      </c>
      <c r="AA1073" s="0" t="n">
        <v>0</v>
      </c>
      <c r="AB1073" s="0" t="n">
        <v>0</v>
      </c>
      <c r="AC1073" s="4" t="s">
        <v>228</v>
      </c>
      <c r="AD1073" s="4" t="s">
        <v>4220</v>
      </c>
      <c r="AE1073" s="4" t="s">
        <v>4215</v>
      </c>
      <c r="AF1073" s="4" t="s">
        <v>4221</v>
      </c>
      <c r="AG1073" s="5" t="n">
        <v>0.346400462962963</v>
      </c>
      <c r="AH1073" s="5" t="n">
        <v>0.141053240740741</v>
      </c>
      <c r="AI1073" s="5" t="n">
        <v>0</v>
      </c>
      <c r="AJ1073" s="5" t="n">
        <v>0</v>
      </c>
      <c r="AK1073" s="5" t="n">
        <v>0</v>
      </c>
      <c r="AL1073" s="5" t="n">
        <v>0</v>
      </c>
      <c r="AM1073" s="4" t="s">
        <v>78</v>
      </c>
      <c r="AN1073" s="0" t="n">
        <v>0</v>
      </c>
      <c r="AO1073" s="0" t="n">
        <v>0</v>
      </c>
      <c r="AP1073" s="0" t="n">
        <v>0</v>
      </c>
      <c r="AQ1073" s="0" t="n">
        <v>0</v>
      </c>
      <c r="AR1073" s="0" t="n">
        <v>0</v>
      </c>
      <c r="AS1073" s="0" t="n">
        <v>0</v>
      </c>
      <c r="AT1073" s="0" t="n">
        <v>0</v>
      </c>
      <c r="AU1073" s="0" t="n">
        <v>2</v>
      </c>
      <c r="AV1073" s="0" t="n">
        <v>0</v>
      </c>
      <c r="AW1073" s="0" t="n">
        <v>0</v>
      </c>
      <c r="AX1073" s="0" t="n">
        <v>0</v>
      </c>
      <c r="AY1073" s="0" t="n">
        <v>0</v>
      </c>
      <c r="AZ1073" s="0" t="n">
        <v>0</v>
      </c>
      <c r="BA1073" s="0" t="n">
        <v>0</v>
      </c>
      <c r="BB1073" s="0" t="n">
        <v>0</v>
      </c>
      <c r="BC1073" s="0" t="n">
        <v>0</v>
      </c>
      <c r="BD1073" s="0" t="n">
        <v>0</v>
      </c>
      <c r="BE1073" s="0" t="n">
        <v>0</v>
      </c>
      <c r="BF1073" s="0" t="n">
        <v>0</v>
      </c>
      <c r="BG1073" s="0" t="n">
        <v>0</v>
      </c>
      <c r="BH1073" s="0" t="n">
        <v>0</v>
      </c>
      <c r="BI1073" s="0" t="n">
        <v>0</v>
      </c>
      <c r="BJ1073" s="0" t="n">
        <v>0</v>
      </c>
      <c r="BK1073" s="0" t="n">
        <v>0</v>
      </c>
      <c r="BM1073" s="6" t="n">
        <f aca="false">IFERROR(VALUE(F1073),"")</f>
        <v>347.68</v>
      </c>
      <c r="BN1073" s="6" t="n">
        <f aca="false">IF(R1073="-","",IFERROR(VALUE(LEFT(Q1073,LEN(Q1073)-2)),""))</f>
        <v>58.04</v>
      </c>
      <c r="BO1073" s="6" t="n">
        <f aca="false">IF(R1073="-","",IFERROR(VALUE(LEFT(R1073,LEN(R1073)-5)),""))</f>
        <v>5.99</v>
      </c>
      <c r="BP1073" s="6" t="n">
        <f aca="false">IF(R1073="-","",IFERROR(VALUE(F1073),""))</f>
        <v>347.68</v>
      </c>
      <c r="BQ1073" s="4" t="n">
        <f aca="false">IF(R1073="-",1,0)</f>
        <v>0</v>
      </c>
    </row>
    <row r="1074" customFormat="false" ht="15" hidden="false" customHeight="false" outlineLevel="0" collapsed="false">
      <c r="A1074" s="0" t="s">
        <v>4204</v>
      </c>
      <c r="B1074" s="0" t="s">
        <v>4205</v>
      </c>
      <c r="C1074" s="0" t="s">
        <v>70</v>
      </c>
      <c r="D1074" s="0" t="s">
        <v>1799</v>
      </c>
      <c r="E1074" s="3" t="n">
        <v>46276</v>
      </c>
      <c r="F1074" s="4" t="s">
        <v>4222</v>
      </c>
      <c r="G1074" s="5" t="n">
        <v>0.619861111111111</v>
      </c>
      <c r="H1074" s="5" t="n">
        <v>0.398634259259259</v>
      </c>
      <c r="I1074" s="5" t="n">
        <v>0.00422453703703704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5</v>
      </c>
      <c r="O1074" s="5" t="n">
        <v>0</v>
      </c>
      <c r="P1074" s="5" t="n">
        <v>0.0627314814814815</v>
      </c>
      <c r="Q1074" s="4" t="s">
        <v>4223</v>
      </c>
      <c r="R1074" s="4" t="s">
        <v>4224</v>
      </c>
      <c r="S1074" s="5" t="n">
        <v>0.000115740740740741</v>
      </c>
      <c r="T1074" s="5" t="n">
        <v>0.142013888888889</v>
      </c>
      <c r="U1074" s="5" t="n">
        <v>0.295833333333333</v>
      </c>
      <c r="V1074" s="5" t="n">
        <v>0.0194444444444444</v>
      </c>
      <c r="W1074" s="5" t="n">
        <v>0</v>
      </c>
      <c r="X1074" s="5" t="n">
        <v>0</v>
      </c>
      <c r="Y1074" s="5" t="n">
        <v>0</v>
      </c>
      <c r="Z1074" s="0" t="n">
        <v>0</v>
      </c>
      <c r="AA1074" s="0" t="n">
        <v>0</v>
      </c>
      <c r="AB1074" s="0" t="n">
        <v>0</v>
      </c>
      <c r="AC1074" s="4" t="s">
        <v>4220</v>
      </c>
      <c r="AD1074" s="4" t="s">
        <v>1998</v>
      </c>
      <c r="AE1074" s="4" t="s">
        <v>4221</v>
      </c>
      <c r="AF1074" s="4" t="s">
        <v>4225</v>
      </c>
      <c r="AG1074" s="5" t="n">
        <v>0.372141203703704</v>
      </c>
      <c r="AH1074" s="5" t="n">
        <v>0.337268518518519</v>
      </c>
      <c r="AI1074" s="5" t="n">
        <v>0</v>
      </c>
      <c r="AJ1074" s="5" t="n">
        <v>0</v>
      </c>
      <c r="AK1074" s="5" t="n">
        <v>0</v>
      </c>
      <c r="AL1074" s="5" t="n">
        <v>0</v>
      </c>
      <c r="AM1074" s="4" t="s">
        <v>78</v>
      </c>
      <c r="AN1074" s="0" t="n">
        <v>0</v>
      </c>
      <c r="AO1074" s="0" t="n">
        <v>0</v>
      </c>
      <c r="AP1074" s="0" t="n">
        <v>0</v>
      </c>
      <c r="AQ1074" s="0" t="n">
        <v>0</v>
      </c>
      <c r="AR1074" s="0" t="n">
        <v>0</v>
      </c>
      <c r="AS1074" s="0" t="n">
        <v>0</v>
      </c>
      <c r="AT1074" s="0" t="n">
        <v>0</v>
      </c>
      <c r="AU1074" s="0" t="n">
        <v>9</v>
      </c>
      <c r="AV1074" s="0" t="n">
        <v>0</v>
      </c>
      <c r="AW1074" s="0" t="n">
        <v>0</v>
      </c>
      <c r="AX1074" s="0" t="n">
        <v>0</v>
      </c>
      <c r="AY1074" s="0" t="n">
        <v>0</v>
      </c>
      <c r="AZ1074" s="0" t="n">
        <v>0</v>
      </c>
      <c r="BA1074" s="0" t="n">
        <v>0</v>
      </c>
      <c r="BB1074" s="0" t="n">
        <v>0</v>
      </c>
      <c r="BC1074" s="0" t="n">
        <v>0</v>
      </c>
      <c r="BD1074" s="0" t="n">
        <v>0</v>
      </c>
      <c r="BE1074" s="0" t="n">
        <v>0</v>
      </c>
      <c r="BF1074" s="0" t="n">
        <v>0</v>
      </c>
      <c r="BG1074" s="0" t="n">
        <v>0</v>
      </c>
      <c r="BH1074" s="0" t="n">
        <v>0</v>
      </c>
      <c r="BI1074" s="0" t="n">
        <v>0</v>
      </c>
      <c r="BJ1074" s="0" t="n">
        <v>0</v>
      </c>
      <c r="BK1074" s="0" t="n">
        <v>0</v>
      </c>
      <c r="BM1074" s="6" t="n">
        <f aca="false">IFERROR(VALUE(F1074),"")</f>
        <v>488.95</v>
      </c>
      <c r="BN1074" s="6" t="n">
        <f aca="false">IF(R1074="-","",IFERROR(VALUE(LEFT(Q1074,LEN(Q1074)-2)),""))</f>
        <v>73.87</v>
      </c>
      <c r="BO1074" s="6" t="n">
        <f aca="false">IF(R1074="-","",IFERROR(VALUE(LEFT(R1074,LEN(R1074)-5)),""))</f>
        <v>6.62</v>
      </c>
      <c r="BP1074" s="6" t="n">
        <f aca="false">IF(R1074="-","",IFERROR(VALUE(F1074),""))</f>
        <v>488.95</v>
      </c>
      <c r="BQ1074" s="4" t="n">
        <f aca="false">IF(R1074="-",1,0)</f>
        <v>0</v>
      </c>
    </row>
    <row r="1075" customFormat="false" ht="15" hidden="false" customHeight="false" outlineLevel="0" collapsed="false">
      <c r="A1075" s="0" t="s">
        <v>4204</v>
      </c>
      <c r="B1075" s="0" t="s">
        <v>4205</v>
      </c>
      <c r="C1075" s="0" t="s">
        <v>70</v>
      </c>
      <c r="D1075" s="0" t="s">
        <v>4226</v>
      </c>
      <c r="E1075" s="3" t="n">
        <v>46277</v>
      </c>
      <c r="F1075" s="4" t="s">
        <v>4227</v>
      </c>
      <c r="G1075" s="5" t="n">
        <v>0.026875</v>
      </c>
      <c r="H1075" s="5" t="n">
        <v>0.0140856481481482</v>
      </c>
      <c r="I1075" s="5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5" t="n">
        <v>0</v>
      </c>
      <c r="P1075" s="5" t="n">
        <v>0</v>
      </c>
      <c r="Q1075" s="4" t="s">
        <v>4228</v>
      </c>
      <c r="R1075" s="4" t="s">
        <v>1183</v>
      </c>
      <c r="S1075" s="5" t="n">
        <v>0</v>
      </c>
      <c r="T1075" s="5" t="n">
        <v>0.0201388888888889</v>
      </c>
      <c r="U1075" s="5" t="n">
        <v>0.00555555555555556</v>
      </c>
      <c r="V1075" s="5" t="n">
        <v>0.000231481481481482</v>
      </c>
      <c r="W1075" s="5" t="n">
        <v>0</v>
      </c>
      <c r="X1075" s="5" t="n">
        <v>0</v>
      </c>
      <c r="Y1075" s="5" t="n">
        <v>0</v>
      </c>
      <c r="Z1075" s="0" t="n">
        <v>0</v>
      </c>
      <c r="AA1075" s="0" t="n">
        <v>0</v>
      </c>
      <c r="AB1075" s="0" t="n">
        <v>0</v>
      </c>
      <c r="AC1075" s="4" t="s">
        <v>1276</v>
      </c>
      <c r="AD1075" s="4" t="s">
        <v>2024</v>
      </c>
      <c r="AE1075" s="4" t="s">
        <v>4225</v>
      </c>
      <c r="AF1075" s="4" t="s">
        <v>4229</v>
      </c>
      <c r="AG1075" s="5" t="n">
        <v>0.0143518518518519</v>
      </c>
      <c r="AH1075" s="5" t="n">
        <v>0.025787037037037</v>
      </c>
      <c r="AI1075" s="5" t="n">
        <v>0</v>
      </c>
      <c r="AJ1075" s="5" t="n">
        <v>0</v>
      </c>
      <c r="AK1075" s="5" t="n">
        <v>0</v>
      </c>
      <c r="AL1075" s="5" t="n">
        <v>0</v>
      </c>
      <c r="AM1075" s="4" t="s">
        <v>78</v>
      </c>
      <c r="AN1075" s="0" t="n">
        <v>0</v>
      </c>
      <c r="AO1075" s="0" t="n">
        <v>0</v>
      </c>
      <c r="AP1075" s="0" t="n">
        <v>0</v>
      </c>
      <c r="AQ1075" s="0" t="n">
        <v>0</v>
      </c>
      <c r="AR1075" s="0" t="n">
        <v>0</v>
      </c>
      <c r="AS1075" s="0" t="n">
        <v>0</v>
      </c>
      <c r="AT1075" s="0" t="n">
        <v>0</v>
      </c>
      <c r="AU1075" s="0" t="n">
        <v>0</v>
      </c>
      <c r="AV1075" s="0" t="n">
        <v>0</v>
      </c>
      <c r="AW1075" s="0" t="n">
        <v>0</v>
      </c>
      <c r="AX1075" s="0" t="n">
        <v>0</v>
      </c>
      <c r="AY1075" s="0" t="n">
        <v>0</v>
      </c>
      <c r="AZ1075" s="0" t="n">
        <v>0</v>
      </c>
      <c r="BA1075" s="0" t="n">
        <v>0</v>
      </c>
      <c r="BB1075" s="0" t="n">
        <v>0</v>
      </c>
      <c r="BC1075" s="0" t="n">
        <v>0</v>
      </c>
      <c r="BD1075" s="0" t="n">
        <v>0</v>
      </c>
      <c r="BE1075" s="0" t="n">
        <v>0</v>
      </c>
      <c r="BF1075" s="0" t="n">
        <v>0</v>
      </c>
      <c r="BG1075" s="0" t="n">
        <v>0</v>
      </c>
      <c r="BH1075" s="0" t="n">
        <v>0</v>
      </c>
      <c r="BI1075" s="0" t="n">
        <v>0</v>
      </c>
      <c r="BJ1075" s="0" t="n">
        <v>0</v>
      </c>
      <c r="BK1075" s="0" t="n">
        <v>0</v>
      </c>
      <c r="BM1075" s="6" t="n">
        <f aca="false">IFERROR(VALUE(F1075),"")</f>
        <v>5.39</v>
      </c>
      <c r="BN1075" s="6" t="n">
        <f aca="false">IF(R1075="-","",IFERROR(VALUE(LEFT(Q1075,LEN(Q1075)-2)),""))</f>
        <v>2.04</v>
      </c>
      <c r="BO1075" s="6" t="n">
        <f aca="false">IF(R1075="-","",IFERROR(VALUE(LEFT(R1075,LEN(R1075)-5)),""))</f>
        <v>2.64</v>
      </c>
      <c r="BP1075" s="6" t="n">
        <f aca="false">IF(R1075="-","",IFERROR(VALUE(F1075),""))</f>
        <v>5.39</v>
      </c>
      <c r="BQ1075" s="4" t="n">
        <f aca="false">IF(R1075="-",1,0)</f>
        <v>0</v>
      </c>
    </row>
    <row r="1076" customFormat="false" ht="15" hidden="false" customHeight="false" outlineLevel="0" collapsed="false">
      <c r="A1076" s="0" t="s">
        <v>4204</v>
      </c>
      <c r="B1076" s="0" t="s">
        <v>4205</v>
      </c>
      <c r="C1076" s="0" t="s">
        <v>70</v>
      </c>
      <c r="E1076" s="3" t="n">
        <v>46278</v>
      </c>
      <c r="F1076" s="4" t="s">
        <v>3377</v>
      </c>
      <c r="G1076" s="5" t="n">
        <v>0.004375</v>
      </c>
      <c r="H1076" s="5" t="n">
        <v>0</v>
      </c>
      <c r="I1076" s="5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5" t="n">
        <v>0</v>
      </c>
      <c r="P1076" s="5" t="n">
        <v>0</v>
      </c>
      <c r="Q1076" s="4" t="s">
        <v>4230</v>
      </c>
      <c r="R1076" s="4" t="s">
        <v>4231</v>
      </c>
      <c r="S1076" s="5" t="n">
        <v>0</v>
      </c>
      <c r="T1076" s="5" t="n">
        <v>0.00405092592592593</v>
      </c>
      <c r="U1076" s="5" t="n">
        <v>0.000231481481481482</v>
      </c>
      <c r="V1076" s="5" t="n">
        <v>0</v>
      </c>
      <c r="W1076" s="5" t="n">
        <v>0</v>
      </c>
      <c r="X1076" s="5" t="n">
        <v>0</v>
      </c>
      <c r="Y1076" s="5" t="n">
        <v>0</v>
      </c>
      <c r="Z1076" s="0" t="n">
        <v>0</v>
      </c>
      <c r="AA1076" s="0" t="n">
        <v>0</v>
      </c>
      <c r="AB1076" s="0" t="n">
        <v>0</v>
      </c>
      <c r="AC1076" s="4" t="s">
        <v>2024</v>
      </c>
      <c r="AD1076" s="4" t="s">
        <v>2024</v>
      </c>
      <c r="AE1076" s="4" t="s">
        <v>4229</v>
      </c>
      <c r="AF1076" s="4" t="s">
        <v>4232</v>
      </c>
      <c r="AG1076" s="5" t="n">
        <v>0.00246527777777778</v>
      </c>
      <c r="AH1076" s="5" t="n">
        <v>0.00236111111111111</v>
      </c>
      <c r="AI1076" s="5" t="n">
        <v>0</v>
      </c>
      <c r="AJ1076" s="5" t="n">
        <v>0</v>
      </c>
      <c r="AK1076" s="5" t="n">
        <v>0</v>
      </c>
      <c r="AL1076" s="5" t="n">
        <v>0</v>
      </c>
      <c r="AM1076" s="4" t="s">
        <v>78</v>
      </c>
      <c r="AN1076" s="0" t="n">
        <v>0</v>
      </c>
      <c r="AO1076" s="0" t="n">
        <v>0</v>
      </c>
      <c r="AP1076" s="0" t="n">
        <v>0</v>
      </c>
      <c r="AQ1076" s="0" t="n">
        <v>0</v>
      </c>
      <c r="AR1076" s="0" t="n">
        <v>0</v>
      </c>
      <c r="AS1076" s="0" t="n">
        <v>0</v>
      </c>
      <c r="AT1076" s="0" t="n">
        <v>0</v>
      </c>
      <c r="AU1076" s="0" t="n">
        <v>0</v>
      </c>
      <c r="AV1076" s="0" t="n">
        <v>0</v>
      </c>
      <c r="AW1076" s="0" t="n">
        <v>0</v>
      </c>
      <c r="AX1076" s="0" t="n">
        <v>0</v>
      </c>
      <c r="AY1076" s="0" t="n">
        <v>0</v>
      </c>
      <c r="AZ1076" s="0" t="n">
        <v>0</v>
      </c>
      <c r="BA1076" s="0" t="n">
        <v>0</v>
      </c>
      <c r="BB1076" s="0" t="n">
        <v>0</v>
      </c>
      <c r="BC1076" s="0" t="n">
        <v>0</v>
      </c>
      <c r="BD1076" s="0" t="n">
        <v>0</v>
      </c>
      <c r="BE1076" s="0" t="n">
        <v>0</v>
      </c>
      <c r="BF1076" s="0" t="n">
        <v>0</v>
      </c>
      <c r="BG1076" s="0" t="n">
        <v>0</v>
      </c>
      <c r="BH1076" s="0" t="n">
        <v>0</v>
      </c>
      <c r="BI1076" s="0" t="n">
        <v>0</v>
      </c>
      <c r="BJ1076" s="0" t="n">
        <v>0</v>
      </c>
      <c r="BK1076" s="0" t="n">
        <v>0</v>
      </c>
      <c r="BM1076" s="6" t="n">
        <f aca="false">IFERROR(VALUE(F1076),"")</f>
        <v>0.08</v>
      </c>
      <c r="BN1076" s="6" t="n">
        <f aca="false">IF(R1076="-","",IFERROR(VALUE(LEFT(Q1076,LEN(Q1076)-2)),""))</f>
        <v>0.31</v>
      </c>
      <c r="BO1076" s="6" t="n">
        <f aca="false">IF(R1076="-","",IFERROR(VALUE(LEFT(R1076,LEN(R1076)-5)),""))</f>
        <v>0.26</v>
      </c>
      <c r="BP1076" s="6" t="n">
        <f aca="false">IF(R1076="-","",IFERROR(VALUE(F1076),""))</f>
        <v>0.08</v>
      </c>
      <c r="BQ1076" s="4" t="n">
        <f aca="false">IF(R1076="-",1,0)</f>
        <v>0</v>
      </c>
    </row>
    <row r="1077" customFormat="false" ht="15" hidden="false" customHeight="false" outlineLevel="0" collapsed="false">
      <c r="A1077" s="0" t="s">
        <v>4204</v>
      </c>
      <c r="B1077" s="0" t="s">
        <v>4205</v>
      </c>
      <c r="C1077" s="0" t="s">
        <v>70</v>
      </c>
      <c r="D1077" s="0" t="s">
        <v>4233</v>
      </c>
      <c r="E1077" s="3" t="n">
        <v>46279</v>
      </c>
      <c r="F1077" s="4" t="s">
        <v>4234</v>
      </c>
      <c r="G1077" s="5" t="n">
        <v>0.290868055555556</v>
      </c>
      <c r="H1077" s="5" t="n">
        <v>0.00497685185185185</v>
      </c>
      <c r="I1077" s="5" t="n">
        <v>0.00204861111111111</v>
      </c>
      <c r="J1077" s="0" t="n">
        <v>0</v>
      </c>
      <c r="K1077" s="0" t="n">
        <v>1</v>
      </c>
      <c r="L1077" s="0" t="n">
        <v>0</v>
      </c>
      <c r="M1077" s="0" t="n">
        <v>0</v>
      </c>
      <c r="N1077" s="0" t="n">
        <v>3</v>
      </c>
      <c r="O1077" s="5" t="n">
        <v>0</v>
      </c>
      <c r="P1077" s="5" t="n">
        <v>0.0220601851851852</v>
      </c>
      <c r="Q1077" s="4" t="s">
        <v>4235</v>
      </c>
      <c r="R1077" s="4" t="s">
        <v>4236</v>
      </c>
      <c r="S1077" s="5" t="n">
        <v>0.000115740740740741</v>
      </c>
      <c r="T1077" s="5" t="n">
        <v>0.123148148148148</v>
      </c>
      <c r="U1077" s="5" t="n">
        <v>0.153703703703704</v>
      </c>
      <c r="V1077" s="5" t="n">
        <v>0.0101851851851852</v>
      </c>
      <c r="W1077" s="5" t="n">
        <v>0</v>
      </c>
      <c r="X1077" s="5" t="n">
        <v>0</v>
      </c>
      <c r="Y1077" s="5" t="n">
        <v>0</v>
      </c>
      <c r="Z1077" s="0" t="n">
        <v>0</v>
      </c>
      <c r="AA1077" s="0" t="n">
        <v>0</v>
      </c>
      <c r="AB1077" s="0" t="n">
        <v>0</v>
      </c>
      <c r="AC1077" s="4" t="s">
        <v>2024</v>
      </c>
      <c r="AD1077" s="4" t="s">
        <v>2024</v>
      </c>
      <c r="AE1077" s="4" t="s">
        <v>4232</v>
      </c>
      <c r="AF1077" s="4" t="s">
        <v>4237</v>
      </c>
      <c r="AG1077" s="5" t="n">
        <v>0.255138888888889</v>
      </c>
      <c r="AH1077" s="5" t="n">
        <v>0.0405092592592593</v>
      </c>
      <c r="AI1077" s="5" t="n">
        <v>0</v>
      </c>
      <c r="AJ1077" s="5" t="n">
        <v>0</v>
      </c>
      <c r="AK1077" s="5" t="n">
        <v>0</v>
      </c>
      <c r="AL1077" s="5" t="n">
        <v>0</v>
      </c>
      <c r="AM1077" s="4" t="s">
        <v>78</v>
      </c>
      <c r="AN1077" s="0" t="n">
        <v>0</v>
      </c>
      <c r="AO1077" s="0" t="n">
        <v>0</v>
      </c>
      <c r="AP1077" s="0" t="n">
        <v>0</v>
      </c>
      <c r="AQ1077" s="0" t="n">
        <v>0</v>
      </c>
      <c r="AR1077" s="0" t="n">
        <v>0</v>
      </c>
      <c r="AS1077" s="0" t="n">
        <v>0</v>
      </c>
      <c r="AT1077" s="0" t="n">
        <v>1</v>
      </c>
      <c r="AU1077" s="0" t="n">
        <v>0</v>
      </c>
      <c r="AV1077" s="0" t="n">
        <v>0</v>
      </c>
      <c r="AW1077" s="0" t="n">
        <v>0</v>
      </c>
      <c r="AX1077" s="0" t="n">
        <v>0</v>
      </c>
      <c r="AY1077" s="0" t="n">
        <v>0</v>
      </c>
      <c r="AZ1077" s="0" t="n">
        <v>0</v>
      </c>
      <c r="BA1077" s="0" t="n">
        <v>0</v>
      </c>
      <c r="BB1077" s="0" t="n">
        <v>0</v>
      </c>
      <c r="BC1077" s="0" t="n">
        <v>0</v>
      </c>
      <c r="BD1077" s="0" t="n">
        <v>0</v>
      </c>
      <c r="BE1077" s="0" t="n">
        <v>0</v>
      </c>
      <c r="BF1077" s="0" t="n">
        <v>0</v>
      </c>
      <c r="BG1077" s="0" t="n">
        <v>0</v>
      </c>
      <c r="BH1077" s="0" t="n">
        <v>0</v>
      </c>
      <c r="BI1077" s="0" t="n">
        <v>0</v>
      </c>
      <c r="BJ1077" s="0" t="n">
        <v>0</v>
      </c>
      <c r="BK1077" s="0" t="n">
        <v>0</v>
      </c>
      <c r="BM1077" s="6" t="n">
        <f aca="false">IFERROR(VALUE(F1077),"")</f>
        <v>171.38</v>
      </c>
      <c r="BN1077" s="6" t="n">
        <f aca="false">IF(R1077="-","",IFERROR(VALUE(LEFT(Q1077,LEN(Q1077)-2)),""))</f>
        <v>32.02</v>
      </c>
      <c r="BO1077" s="6" t="n">
        <f aca="false">IF(R1077="-","",IFERROR(VALUE(LEFT(R1077,LEN(R1077)-5)),""))</f>
        <v>5.35</v>
      </c>
      <c r="BP1077" s="6" t="n">
        <f aca="false">IF(R1077="-","",IFERROR(VALUE(F1077),""))</f>
        <v>171.38</v>
      </c>
      <c r="BQ1077" s="4" t="n">
        <f aca="false">IF(R1077="-",1,0)</f>
        <v>0</v>
      </c>
    </row>
    <row r="1078" customFormat="false" ht="15" hidden="false" customHeight="false" outlineLevel="0" collapsed="false">
      <c r="A1078" s="0" t="s">
        <v>4238</v>
      </c>
      <c r="B1078" s="0" t="s">
        <v>4239</v>
      </c>
      <c r="C1078" s="0" t="s">
        <v>70</v>
      </c>
      <c r="E1078" s="3" t="n">
        <v>46276</v>
      </c>
      <c r="F1078" s="4" t="s">
        <v>95</v>
      </c>
      <c r="G1078" s="5" t="n">
        <v>0.000173611111111111</v>
      </c>
      <c r="H1078" s="5" t="n">
        <v>0</v>
      </c>
      <c r="I1078" s="5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5" t="n">
        <v>0</v>
      </c>
      <c r="P1078" s="5" t="n">
        <v>0</v>
      </c>
      <c r="Q1078" s="4" t="s">
        <v>73</v>
      </c>
      <c r="R1078" s="4" t="s">
        <v>73</v>
      </c>
      <c r="S1078" s="5" t="n">
        <v>0</v>
      </c>
      <c r="T1078" s="5" t="n">
        <v>0</v>
      </c>
      <c r="U1078" s="5" t="n">
        <v>0</v>
      </c>
      <c r="V1078" s="5" t="n">
        <v>0</v>
      </c>
      <c r="W1078" s="5" t="n">
        <v>0</v>
      </c>
      <c r="X1078" s="5" t="n">
        <v>0</v>
      </c>
      <c r="Y1078" s="5" t="n">
        <v>0</v>
      </c>
      <c r="Z1078" s="0" t="n">
        <v>0</v>
      </c>
      <c r="AA1078" s="0" t="n">
        <v>0</v>
      </c>
      <c r="AB1078" s="0" t="n">
        <v>0</v>
      </c>
      <c r="AC1078" s="4" t="s">
        <v>74</v>
      </c>
      <c r="AD1078" s="4" t="s">
        <v>75</v>
      </c>
      <c r="AE1078" s="4" t="s">
        <v>4240</v>
      </c>
      <c r="AF1078" s="4" t="s">
        <v>4240</v>
      </c>
      <c r="AG1078" s="5" t="n">
        <v>0</v>
      </c>
      <c r="AH1078" s="5" t="n">
        <v>0.0188078703703704</v>
      </c>
      <c r="AI1078" s="5" t="n">
        <v>0</v>
      </c>
      <c r="AJ1078" s="5" t="n">
        <v>0</v>
      </c>
      <c r="AK1078" s="5" t="n">
        <v>0</v>
      </c>
      <c r="AL1078" s="5" t="n">
        <v>0</v>
      </c>
      <c r="AM1078" s="4" t="s">
        <v>78</v>
      </c>
      <c r="AN1078" s="0" t="n">
        <v>0</v>
      </c>
      <c r="AO1078" s="0" t="n">
        <v>0</v>
      </c>
      <c r="AP1078" s="0" t="n">
        <v>0</v>
      </c>
      <c r="AQ1078" s="0" t="n">
        <v>0</v>
      </c>
      <c r="AR1078" s="0" t="n">
        <v>0</v>
      </c>
      <c r="AS1078" s="0" t="n">
        <v>0</v>
      </c>
      <c r="AT1078" s="0" t="n">
        <v>0</v>
      </c>
      <c r="AU1078" s="0" t="n">
        <v>0</v>
      </c>
      <c r="AV1078" s="0" t="n">
        <v>0</v>
      </c>
      <c r="AW1078" s="0" t="n">
        <v>0</v>
      </c>
      <c r="AX1078" s="0" t="n">
        <v>0</v>
      </c>
      <c r="AY1078" s="0" t="n">
        <v>0</v>
      </c>
      <c r="AZ1078" s="0" t="n">
        <v>0</v>
      </c>
      <c r="BA1078" s="0" t="n">
        <v>0</v>
      </c>
      <c r="BB1078" s="0" t="n">
        <v>0</v>
      </c>
      <c r="BC1078" s="0" t="n">
        <v>0</v>
      </c>
      <c r="BD1078" s="0" t="n">
        <v>0</v>
      </c>
      <c r="BE1078" s="0" t="n">
        <v>0</v>
      </c>
      <c r="BF1078" s="0" t="n">
        <v>0</v>
      </c>
      <c r="BG1078" s="0" t="n">
        <v>0</v>
      </c>
      <c r="BH1078" s="0" t="n">
        <v>0</v>
      </c>
      <c r="BI1078" s="0" t="n">
        <v>0</v>
      </c>
      <c r="BJ1078" s="0" t="n">
        <v>0</v>
      </c>
      <c r="BK1078" s="0" t="n">
        <v>0</v>
      </c>
      <c r="BM1078" s="6" t="n">
        <f aca="false">IFERROR(VALUE(F1078),"")</f>
        <v>0</v>
      </c>
      <c r="BN1078" s="6" t="str">
        <f aca="false">IF(R1078="-","",IFERROR(VALUE(LEFT(Q1078,LEN(Q1078)-2)),""))</f>
        <v/>
      </c>
      <c r="BO1078" s="6" t="str">
        <f aca="false">IF(R1078="-","",IFERROR(VALUE(LEFT(R1078,LEN(R1078)-5)),""))</f>
        <v/>
      </c>
      <c r="BP1078" s="6" t="str">
        <f aca="false">IF(R1078="-","",IFERROR(VALUE(F1078),""))</f>
        <v/>
      </c>
      <c r="BQ1078" s="4" t="n">
        <f aca="false">IF(R1078="-",1,0)</f>
        <v>1</v>
      </c>
    </row>
    <row r="1079" customFormat="false" ht="15" hidden="false" customHeight="false" outlineLevel="0" collapsed="false">
      <c r="A1079" s="0" t="s">
        <v>4241</v>
      </c>
      <c r="B1079" s="0" t="s">
        <v>4242</v>
      </c>
      <c r="C1079" s="0" t="s">
        <v>70</v>
      </c>
      <c r="D1079" s="0" t="s">
        <v>4243</v>
      </c>
      <c r="E1079" s="3" t="n">
        <v>46273</v>
      </c>
      <c r="F1079" s="4" t="s">
        <v>95</v>
      </c>
      <c r="G1079" s="5" t="n">
        <v>0.505532407407408</v>
      </c>
      <c r="H1079" s="5" t="n">
        <v>0.414270833333333</v>
      </c>
      <c r="I1079" s="5" t="n">
        <v>0.00221064814814815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1</v>
      </c>
      <c r="O1079" s="5" t="n">
        <v>0</v>
      </c>
      <c r="P1079" s="5" t="n">
        <v>0.0147337962962963</v>
      </c>
      <c r="Q1079" s="4" t="s">
        <v>3034</v>
      </c>
      <c r="R1079" s="4" t="s">
        <v>454</v>
      </c>
      <c r="S1079" s="5" t="n">
        <v>0.000115740740740741</v>
      </c>
      <c r="T1079" s="5" t="n">
        <v>0.12650462962963</v>
      </c>
      <c r="U1079" s="5" t="n">
        <v>0.302662037037037</v>
      </c>
      <c r="V1079" s="5" t="n">
        <v>0.0171296296296296</v>
      </c>
      <c r="W1079" s="5" t="n">
        <v>0</v>
      </c>
      <c r="X1079" s="5" t="n">
        <v>0</v>
      </c>
      <c r="Y1079" s="5" t="n">
        <v>0</v>
      </c>
      <c r="Z1079" s="0" t="n">
        <v>0</v>
      </c>
      <c r="AA1079" s="0" t="n">
        <v>0</v>
      </c>
      <c r="AB1079" s="0" t="n">
        <v>0</v>
      </c>
      <c r="AC1079" s="4" t="s">
        <v>4244</v>
      </c>
      <c r="AD1079" s="4" t="s">
        <v>2024</v>
      </c>
      <c r="AE1079" s="4" t="s">
        <v>4245</v>
      </c>
      <c r="AF1079" s="4" t="s">
        <v>4245</v>
      </c>
      <c r="AG1079" s="5" t="n">
        <v>0.39474537037037</v>
      </c>
      <c r="AH1079" s="5" t="n">
        <v>0.210115740740741</v>
      </c>
      <c r="AI1079" s="5" t="n">
        <v>0</v>
      </c>
      <c r="AJ1079" s="5" t="n">
        <v>0</v>
      </c>
      <c r="AK1079" s="5" t="n">
        <v>0</v>
      </c>
      <c r="AL1079" s="5" t="n">
        <v>0</v>
      </c>
      <c r="AM1079" s="4" t="s">
        <v>78</v>
      </c>
      <c r="AN1079" s="0" t="n">
        <v>0</v>
      </c>
      <c r="AO1079" s="0" t="n">
        <v>0</v>
      </c>
      <c r="AP1079" s="0" t="n">
        <v>0</v>
      </c>
      <c r="AQ1079" s="0" t="n">
        <v>0</v>
      </c>
      <c r="AR1079" s="0" t="n">
        <v>0</v>
      </c>
      <c r="AS1079" s="0" t="n">
        <v>1</v>
      </c>
      <c r="AT1079" s="0" t="n">
        <v>0</v>
      </c>
      <c r="AU1079" s="0" t="n">
        <v>1</v>
      </c>
      <c r="AV1079" s="0" t="n">
        <v>0</v>
      </c>
      <c r="AW1079" s="0" t="n">
        <v>0</v>
      </c>
      <c r="AX1079" s="0" t="n">
        <v>0</v>
      </c>
      <c r="AY1079" s="0" t="n">
        <v>0</v>
      </c>
      <c r="AZ1079" s="0" t="n">
        <v>0</v>
      </c>
      <c r="BA1079" s="0" t="n">
        <v>0</v>
      </c>
      <c r="BB1079" s="0" t="n">
        <v>0</v>
      </c>
      <c r="BC1079" s="0" t="n">
        <v>0</v>
      </c>
      <c r="BD1079" s="0" t="n">
        <v>0</v>
      </c>
      <c r="BE1079" s="0" t="n">
        <v>0</v>
      </c>
      <c r="BF1079" s="0" t="n">
        <v>0</v>
      </c>
      <c r="BG1079" s="0" t="n">
        <v>0</v>
      </c>
      <c r="BH1079" s="0" t="n">
        <v>0</v>
      </c>
      <c r="BI1079" s="0" t="n">
        <v>0</v>
      </c>
      <c r="BJ1079" s="0" t="n">
        <v>0</v>
      </c>
      <c r="BK1079" s="0" t="n">
        <v>0</v>
      </c>
      <c r="BM1079" s="6" t="n">
        <f aca="false">IFERROR(VALUE(F1079),"")</f>
        <v>0</v>
      </c>
      <c r="BN1079" s="6" t="n">
        <f aca="false">IF(R1079="-","",IFERROR(VALUE(LEFT(Q1079,LEN(Q1079)-2)),""))</f>
        <v>147.01</v>
      </c>
      <c r="BO1079" s="6" t="n">
        <f aca="false">IF(R1079="-","",IFERROR(VALUE(LEFT(R1079,LEN(R1079)-5)),""))</f>
        <v>0</v>
      </c>
      <c r="BP1079" s="6" t="n">
        <f aca="false">IF(R1079="-","",IFERROR(VALUE(F1079),""))</f>
        <v>0</v>
      </c>
      <c r="BQ1079" s="4" t="n">
        <f aca="false">IF(R1079="-",1,0)</f>
        <v>0</v>
      </c>
    </row>
    <row r="1080" customFormat="false" ht="15" hidden="false" customHeight="false" outlineLevel="0" collapsed="false">
      <c r="A1080" s="0" t="s">
        <v>4241</v>
      </c>
      <c r="B1080" s="0" t="s">
        <v>4242</v>
      </c>
      <c r="C1080" s="0" t="s">
        <v>70</v>
      </c>
      <c r="D1080" s="0" t="s">
        <v>4246</v>
      </c>
      <c r="E1080" s="3" t="n">
        <v>46274</v>
      </c>
      <c r="F1080" s="4" t="s">
        <v>95</v>
      </c>
      <c r="G1080" s="5" t="n">
        <v>0.255462962962963</v>
      </c>
      <c r="H1080" s="5" t="n">
        <v>0.229953703703704</v>
      </c>
      <c r="I1080" s="5" t="n">
        <v>0.000856481481481482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2</v>
      </c>
      <c r="O1080" s="5" t="n">
        <v>0</v>
      </c>
      <c r="P1080" s="5" t="n">
        <v>0.0147337962962963</v>
      </c>
      <c r="Q1080" s="4" t="s">
        <v>4247</v>
      </c>
      <c r="R1080" s="4" t="s">
        <v>454</v>
      </c>
      <c r="S1080" s="5" t="n">
        <v>0</v>
      </c>
      <c r="T1080" s="5" t="n">
        <v>0.125347222222222</v>
      </c>
      <c r="U1080" s="5" t="n">
        <v>0.095625</v>
      </c>
      <c r="V1080" s="5" t="n">
        <v>0.00743055555555556</v>
      </c>
      <c r="W1080" s="5" t="n">
        <v>5.78703703703704E-005</v>
      </c>
      <c r="X1080" s="5" t="n">
        <v>0</v>
      </c>
      <c r="Y1080" s="5" t="n">
        <v>0</v>
      </c>
      <c r="Z1080" s="0" t="n">
        <v>0</v>
      </c>
      <c r="AA1080" s="0" t="n">
        <v>0</v>
      </c>
      <c r="AB1080" s="0" t="n">
        <v>0</v>
      </c>
      <c r="AC1080" s="4" t="s">
        <v>2024</v>
      </c>
      <c r="AD1080" s="4" t="s">
        <v>2024</v>
      </c>
      <c r="AE1080" s="4" t="s">
        <v>4245</v>
      </c>
      <c r="AF1080" s="4" t="s">
        <v>4245</v>
      </c>
      <c r="AG1080" s="5" t="n">
        <v>0.182824074074074</v>
      </c>
      <c r="AH1080" s="5" t="n">
        <v>0.117002314814815</v>
      </c>
      <c r="AI1080" s="5" t="n">
        <v>0</v>
      </c>
      <c r="AJ1080" s="5" t="n">
        <v>0</v>
      </c>
      <c r="AK1080" s="5" t="n">
        <v>0</v>
      </c>
      <c r="AL1080" s="5" t="n">
        <v>0</v>
      </c>
      <c r="AM1080" s="4" t="s">
        <v>78</v>
      </c>
      <c r="AN1080" s="0" t="n">
        <v>0</v>
      </c>
      <c r="AO1080" s="0" t="n">
        <v>2</v>
      </c>
      <c r="AP1080" s="0" t="n">
        <v>0</v>
      </c>
      <c r="AQ1080" s="0" t="n">
        <v>0</v>
      </c>
      <c r="AR1080" s="0" t="n">
        <v>0</v>
      </c>
      <c r="AS1080" s="0" t="n">
        <v>2</v>
      </c>
      <c r="AT1080" s="0" t="n">
        <v>0</v>
      </c>
      <c r="AU1080" s="0" t="n">
        <v>0</v>
      </c>
      <c r="AV1080" s="0" t="n">
        <v>0</v>
      </c>
      <c r="AW1080" s="0" t="n">
        <v>0</v>
      </c>
      <c r="AX1080" s="0" t="n">
        <v>0</v>
      </c>
      <c r="AY1080" s="0" t="n">
        <v>0</v>
      </c>
      <c r="AZ1080" s="0" t="n">
        <v>0</v>
      </c>
      <c r="BA1080" s="0" t="n">
        <v>0</v>
      </c>
      <c r="BB1080" s="0" t="n">
        <v>0</v>
      </c>
      <c r="BC1080" s="0" t="n">
        <v>0</v>
      </c>
      <c r="BD1080" s="0" t="n">
        <v>0</v>
      </c>
      <c r="BE1080" s="0" t="n">
        <v>0</v>
      </c>
      <c r="BF1080" s="0" t="n">
        <v>0</v>
      </c>
      <c r="BG1080" s="0" t="n">
        <v>0</v>
      </c>
      <c r="BH1080" s="0" t="n">
        <v>0</v>
      </c>
      <c r="BI1080" s="0" t="n">
        <v>0</v>
      </c>
      <c r="BJ1080" s="0" t="n">
        <v>0</v>
      </c>
      <c r="BK1080" s="0" t="n">
        <v>0</v>
      </c>
      <c r="BM1080" s="6" t="n">
        <f aca="false">IFERROR(VALUE(F1080),"")</f>
        <v>0</v>
      </c>
      <c r="BN1080" s="6" t="n">
        <f aca="false">IF(R1080="-","",IFERROR(VALUE(LEFT(Q1080,LEN(Q1080)-2)),""))</f>
        <v>54.99</v>
      </c>
      <c r="BO1080" s="6" t="n">
        <f aca="false">IF(R1080="-","",IFERROR(VALUE(LEFT(R1080,LEN(R1080)-5)),""))</f>
        <v>0</v>
      </c>
      <c r="BP1080" s="6" t="n">
        <f aca="false">IF(R1080="-","",IFERROR(VALUE(F1080),""))</f>
        <v>0</v>
      </c>
      <c r="BQ1080" s="4" t="n">
        <f aca="false">IF(R1080="-",1,0)</f>
        <v>0</v>
      </c>
    </row>
    <row r="1081" customFormat="false" ht="15" hidden="false" customHeight="false" outlineLevel="0" collapsed="false">
      <c r="A1081" s="0" t="s">
        <v>4241</v>
      </c>
      <c r="B1081" s="0" t="s">
        <v>4242</v>
      </c>
      <c r="C1081" s="0" t="s">
        <v>70</v>
      </c>
      <c r="D1081" s="0" t="s">
        <v>4248</v>
      </c>
      <c r="E1081" s="3" t="n">
        <v>46275</v>
      </c>
      <c r="F1081" s="4" t="s">
        <v>95</v>
      </c>
      <c r="G1081" s="5" t="n">
        <v>0.251226851851852</v>
      </c>
      <c r="H1081" s="5" t="n">
        <v>0.223460648148148</v>
      </c>
      <c r="I1081" s="5" t="n">
        <v>0.00166666666666667</v>
      </c>
      <c r="J1081" s="0" t="n">
        <v>0</v>
      </c>
      <c r="K1081" s="0" t="n">
        <v>1</v>
      </c>
      <c r="L1081" s="0" t="n">
        <v>0</v>
      </c>
      <c r="M1081" s="0" t="n">
        <v>0</v>
      </c>
      <c r="N1081" s="0" t="n">
        <v>3</v>
      </c>
      <c r="O1081" s="5" t="n">
        <v>0</v>
      </c>
      <c r="P1081" s="5" t="n">
        <v>0.0240972222222222</v>
      </c>
      <c r="Q1081" s="4" t="s">
        <v>4249</v>
      </c>
      <c r="R1081" s="4" t="s">
        <v>454</v>
      </c>
      <c r="S1081" s="5" t="n">
        <v>0</v>
      </c>
      <c r="T1081" s="5" t="n">
        <v>0.143518518518519</v>
      </c>
      <c r="U1081" s="5" t="n">
        <v>0.093287037037037</v>
      </c>
      <c r="V1081" s="5" t="n">
        <v>0.00416666666666667</v>
      </c>
      <c r="W1081" s="5" t="n">
        <v>0</v>
      </c>
      <c r="X1081" s="5" t="n">
        <v>0</v>
      </c>
      <c r="Y1081" s="5" t="n">
        <v>0</v>
      </c>
      <c r="Z1081" s="0" t="n">
        <v>0</v>
      </c>
      <c r="AA1081" s="0" t="n">
        <v>0</v>
      </c>
      <c r="AB1081" s="0" t="n">
        <v>0</v>
      </c>
      <c r="AC1081" s="4" t="s">
        <v>2024</v>
      </c>
      <c r="AD1081" s="4" t="s">
        <v>2024</v>
      </c>
      <c r="AE1081" s="4" t="s">
        <v>4245</v>
      </c>
      <c r="AF1081" s="4" t="s">
        <v>4245</v>
      </c>
      <c r="AG1081" s="5" t="n">
        <v>0.187569444444445</v>
      </c>
      <c r="AH1081" s="5" t="n">
        <v>0.0890740740740741</v>
      </c>
      <c r="AI1081" s="5" t="n">
        <v>0</v>
      </c>
      <c r="AJ1081" s="5" t="n">
        <v>0</v>
      </c>
      <c r="AK1081" s="5" t="n">
        <v>0</v>
      </c>
      <c r="AL1081" s="5" t="n">
        <v>0</v>
      </c>
      <c r="AM1081" s="4" t="s">
        <v>78</v>
      </c>
      <c r="AN1081" s="0" t="n">
        <v>0</v>
      </c>
      <c r="AO1081" s="0" t="n">
        <v>0</v>
      </c>
      <c r="AP1081" s="0" t="n">
        <v>0</v>
      </c>
      <c r="AQ1081" s="0" t="n">
        <v>0</v>
      </c>
      <c r="AR1081" s="0" t="n">
        <v>0</v>
      </c>
      <c r="AS1081" s="0" t="n">
        <v>0</v>
      </c>
      <c r="AT1081" s="0" t="n">
        <v>0</v>
      </c>
      <c r="AU1081" s="0" t="n">
        <v>1</v>
      </c>
      <c r="AV1081" s="0" t="n">
        <v>0</v>
      </c>
      <c r="AW1081" s="0" t="n">
        <v>0</v>
      </c>
      <c r="AX1081" s="0" t="n">
        <v>0</v>
      </c>
      <c r="AY1081" s="0" t="n">
        <v>0</v>
      </c>
      <c r="AZ1081" s="0" t="n">
        <v>0</v>
      </c>
      <c r="BA1081" s="0" t="n">
        <v>0</v>
      </c>
      <c r="BB1081" s="0" t="n">
        <v>0</v>
      </c>
      <c r="BC1081" s="0" t="n">
        <v>0</v>
      </c>
      <c r="BD1081" s="0" t="n">
        <v>0</v>
      </c>
      <c r="BE1081" s="0" t="n">
        <v>0</v>
      </c>
      <c r="BF1081" s="0" t="n">
        <v>0</v>
      </c>
      <c r="BG1081" s="0" t="n">
        <v>0</v>
      </c>
      <c r="BH1081" s="0" t="n">
        <v>0</v>
      </c>
      <c r="BI1081" s="0" t="n">
        <v>0</v>
      </c>
      <c r="BJ1081" s="0" t="n">
        <v>0</v>
      </c>
      <c r="BK1081" s="0" t="n">
        <v>0</v>
      </c>
      <c r="BM1081" s="6" t="n">
        <f aca="false">IFERROR(VALUE(F1081),"")</f>
        <v>0</v>
      </c>
      <c r="BN1081" s="6" t="n">
        <f aca="false">IF(R1081="-","",IFERROR(VALUE(LEFT(Q1081,LEN(Q1081)-2)),""))</f>
        <v>54.51</v>
      </c>
      <c r="BO1081" s="6" t="n">
        <f aca="false">IF(R1081="-","",IFERROR(VALUE(LEFT(R1081,LEN(R1081)-5)),""))</f>
        <v>0</v>
      </c>
      <c r="BP1081" s="6" t="n">
        <f aca="false">IF(R1081="-","",IFERROR(VALUE(F1081),""))</f>
        <v>0</v>
      </c>
      <c r="BQ1081" s="4" t="n">
        <f aca="false">IF(R1081="-",1,0)</f>
        <v>0</v>
      </c>
    </row>
    <row r="1082" customFormat="false" ht="15" hidden="false" customHeight="false" outlineLevel="0" collapsed="false">
      <c r="A1082" s="0" t="s">
        <v>4241</v>
      </c>
      <c r="B1082" s="0" t="s">
        <v>4242</v>
      </c>
      <c r="C1082" s="0" t="s">
        <v>70</v>
      </c>
      <c r="D1082" s="0" t="s">
        <v>4250</v>
      </c>
      <c r="E1082" s="3" t="n">
        <v>46276</v>
      </c>
      <c r="F1082" s="4" t="s">
        <v>95</v>
      </c>
      <c r="G1082" s="5" t="n">
        <v>0.212233796296296</v>
      </c>
      <c r="H1082" s="5" t="n">
        <v>0.208842592592593</v>
      </c>
      <c r="I1082" s="5" t="n">
        <v>0.000613425925925926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1</v>
      </c>
      <c r="O1082" s="5" t="n">
        <v>0</v>
      </c>
      <c r="P1082" s="5" t="n">
        <v>0.00965277777777778</v>
      </c>
      <c r="Q1082" s="4" t="s">
        <v>3278</v>
      </c>
      <c r="R1082" s="4" t="s">
        <v>454</v>
      </c>
      <c r="S1082" s="5" t="n">
        <v>0</v>
      </c>
      <c r="T1082" s="5" t="n">
        <v>0.119212962962963</v>
      </c>
      <c r="U1082" s="5" t="n">
        <v>0.0835648148148148</v>
      </c>
      <c r="V1082" s="5" t="n">
        <v>0.00509259259259259</v>
      </c>
      <c r="W1082" s="5" t="n">
        <v>0</v>
      </c>
      <c r="X1082" s="5" t="n">
        <v>0</v>
      </c>
      <c r="Y1082" s="5" t="n">
        <v>0</v>
      </c>
      <c r="Z1082" s="0" t="n">
        <v>0</v>
      </c>
      <c r="AA1082" s="0" t="n">
        <v>0</v>
      </c>
      <c r="AB1082" s="0" t="n">
        <v>0</v>
      </c>
      <c r="AC1082" s="4" t="s">
        <v>2024</v>
      </c>
      <c r="AD1082" s="4" t="s">
        <v>2024</v>
      </c>
      <c r="AE1082" s="4" t="s">
        <v>4245</v>
      </c>
      <c r="AF1082" s="4" t="s">
        <v>4245</v>
      </c>
      <c r="AG1082" s="5" t="n">
        <v>0.18</v>
      </c>
      <c r="AH1082" s="5" t="n">
        <v>0.109270833333333</v>
      </c>
      <c r="AI1082" s="5" t="n">
        <v>0</v>
      </c>
      <c r="AJ1082" s="5" t="n">
        <v>0</v>
      </c>
      <c r="AK1082" s="5" t="n">
        <v>0</v>
      </c>
      <c r="AL1082" s="5" t="n">
        <v>0</v>
      </c>
      <c r="AM1082" s="4" t="s">
        <v>78</v>
      </c>
      <c r="AN1082" s="0" t="n">
        <v>0</v>
      </c>
      <c r="AO1082" s="0" t="n">
        <v>0</v>
      </c>
      <c r="AP1082" s="0" t="n">
        <v>0</v>
      </c>
      <c r="AQ1082" s="0" t="n">
        <v>0</v>
      </c>
      <c r="AR1082" s="0" t="n">
        <v>0</v>
      </c>
      <c r="AS1082" s="0" t="n">
        <v>0</v>
      </c>
      <c r="AT1082" s="0" t="n">
        <v>0</v>
      </c>
      <c r="AU1082" s="0" t="n">
        <v>2</v>
      </c>
      <c r="AV1082" s="0" t="n">
        <v>0</v>
      </c>
      <c r="AW1082" s="0" t="n">
        <v>0</v>
      </c>
      <c r="AX1082" s="0" t="n">
        <v>0</v>
      </c>
      <c r="AY1082" s="0" t="n">
        <v>0</v>
      </c>
      <c r="AZ1082" s="0" t="n">
        <v>0</v>
      </c>
      <c r="BA1082" s="0" t="n">
        <v>0</v>
      </c>
      <c r="BB1082" s="0" t="n">
        <v>0</v>
      </c>
      <c r="BC1082" s="0" t="n">
        <v>0</v>
      </c>
      <c r="BD1082" s="0" t="n">
        <v>0</v>
      </c>
      <c r="BE1082" s="0" t="n">
        <v>0</v>
      </c>
      <c r="BF1082" s="0" t="n">
        <v>0</v>
      </c>
      <c r="BG1082" s="0" t="n">
        <v>0</v>
      </c>
      <c r="BH1082" s="0" t="n">
        <v>0</v>
      </c>
      <c r="BI1082" s="0" t="n">
        <v>0</v>
      </c>
      <c r="BJ1082" s="0" t="n">
        <v>0</v>
      </c>
      <c r="BK1082" s="0" t="n">
        <v>0</v>
      </c>
      <c r="BM1082" s="6" t="n">
        <f aca="false">IFERROR(VALUE(F1082),"")</f>
        <v>0</v>
      </c>
      <c r="BN1082" s="6" t="n">
        <f aca="false">IF(R1082="-","",IFERROR(VALUE(LEFT(Q1082,LEN(Q1082)-2)),""))</f>
        <v>52.5</v>
      </c>
      <c r="BO1082" s="6" t="n">
        <f aca="false">IF(R1082="-","",IFERROR(VALUE(LEFT(R1082,LEN(R1082)-5)),""))</f>
        <v>0</v>
      </c>
      <c r="BP1082" s="6" t="n">
        <f aca="false">IF(R1082="-","",IFERROR(VALUE(F1082),""))</f>
        <v>0</v>
      </c>
      <c r="BQ1082" s="4" t="n">
        <f aca="false">IF(R1082="-",1,0)</f>
        <v>0</v>
      </c>
    </row>
    <row r="1083" customFormat="false" ht="15" hidden="false" customHeight="false" outlineLevel="0" collapsed="false">
      <c r="A1083" s="0" t="s">
        <v>4241</v>
      </c>
      <c r="B1083" s="0" t="s">
        <v>4242</v>
      </c>
      <c r="C1083" s="0" t="s">
        <v>70</v>
      </c>
      <c r="E1083" s="3" t="n">
        <v>46277</v>
      </c>
      <c r="F1083" s="4" t="s">
        <v>95</v>
      </c>
      <c r="G1083" s="5" t="n">
        <v>0.00549768518518519</v>
      </c>
      <c r="H1083" s="5" t="n">
        <v>0</v>
      </c>
      <c r="I1083" s="5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5" t="n">
        <v>0</v>
      </c>
      <c r="P1083" s="5" t="n">
        <v>0</v>
      </c>
      <c r="Q1083" s="4" t="s">
        <v>971</v>
      </c>
      <c r="R1083" s="4" t="s">
        <v>454</v>
      </c>
      <c r="S1083" s="5" t="n">
        <v>0</v>
      </c>
      <c r="T1083" s="5" t="n">
        <v>0.00439814814814815</v>
      </c>
      <c r="U1083" s="5" t="n">
        <v>0</v>
      </c>
      <c r="V1083" s="5" t="n">
        <v>0</v>
      </c>
      <c r="W1083" s="5" t="n">
        <v>0</v>
      </c>
      <c r="X1083" s="5" t="n">
        <v>0</v>
      </c>
      <c r="Y1083" s="5" t="n">
        <v>0</v>
      </c>
      <c r="Z1083" s="0" t="n">
        <v>0</v>
      </c>
      <c r="AA1083" s="0" t="n">
        <v>0</v>
      </c>
      <c r="AB1083" s="0" t="n">
        <v>0</v>
      </c>
      <c r="AC1083" s="4" t="s">
        <v>2024</v>
      </c>
      <c r="AD1083" s="4" t="s">
        <v>2024</v>
      </c>
      <c r="AE1083" s="4" t="s">
        <v>4245</v>
      </c>
      <c r="AF1083" s="4" t="s">
        <v>4245</v>
      </c>
      <c r="AG1083" s="5" t="n">
        <v>0.00167824074074074</v>
      </c>
      <c r="AH1083" s="5" t="n">
        <v>0.00487268518518519</v>
      </c>
      <c r="AI1083" s="5" t="n">
        <v>0</v>
      </c>
      <c r="AJ1083" s="5" t="n">
        <v>0</v>
      </c>
      <c r="AK1083" s="5" t="n">
        <v>0</v>
      </c>
      <c r="AL1083" s="5" t="n">
        <v>0</v>
      </c>
      <c r="AM1083" s="4" t="s">
        <v>78</v>
      </c>
      <c r="AN1083" s="0" t="n">
        <v>0</v>
      </c>
      <c r="AO1083" s="0" t="n">
        <v>0</v>
      </c>
      <c r="AP1083" s="0" t="n">
        <v>0</v>
      </c>
      <c r="AQ1083" s="0" t="n">
        <v>0</v>
      </c>
      <c r="AR1083" s="0" t="n">
        <v>0</v>
      </c>
      <c r="AS1083" s="0" t="n">
        <v>0</v>
      </c>
      <c r="AT1083" s="0" t="n">
        <v>0</v>
      </c>
      <c r="AU1083" s="0" t="n">
        <v>0</v>
      </c>
      <c r="AV1083" s="0" t="n">
        <v>0</v>
      </c>
      <c r="AW1083" s="0" t="n">
        <v>0</v>
      </c>
      <c r="AX1083" s="0" t="n">
        <v>0</v>
      </c>
      <c r="AY1083" s="0" t="n">
        <v>0</v>
      </c>
      <c r="AZ1083" s="0" t="n">
        <v>0</v>
      </c>
      <c r="BA1083" s="0" t="n">
        <v>0</v>
      </c>
      <c r="BB1083" s="0" t="n">
        <v>0</v>
      </c>
      <c r="BC1083" s="0" t="n">
        <v>0</v>
      </c>
      <c r="BD1083" s="0" t="n">
        <v>0</v>
      </c>
      <c r="BE1083" s="0" t="n">
        <v>0</v>
      </c>
      <c r="BF1083" s="0" t="n">
        <v>0</v>
      </c>
      <c r="BG1083" s="0" t="n">
        <v>0</v>
      </c>
      <c r="BH1083" s="0" t="n">
        <v>0</v>
      </c>
      <c r="BI1083" s="0" t="n">
        <v>0</v>
      </c>
      <c r="BJ1083" s="0" t="n">
        <v>0</v>
      </c>
      <c r="BK1083" s="0" t="n">
        <v>0</v>
      </c>
      <c r="BM1083" s="6" t="n">
        <f aca="false">IFERROR(VALUE(F1083),"")</f>
        <v>0</v>
      </c>
      <c r="BN1083" s="6" t="n">
        <f aca="false">IF(R1083="-","",IFERROR(VALUE(LEFT(Q1083,LEN(Q1083)-2)),""))</f>
        <v>0.5</v>
      </c>
      <c r="BO1083" s="6" t="n">
        <f aca="false">IF(R1083="-","",IFERROR(VALUE(LEFT(R1083,LEN(R1083)-5)),""))</f>
        <v>0</v>
      </c>
      <c r="BP1083" s="6" t="n">
        <f aca="false">IF(R1083="-","",IFERROR(VALUE(F1083),""))</f>
        <v>0</v>
      </c>
      <c r="BQ1083" s="4" t="n">
        <f aca="false">IF(R1083="-",1,0)</f>
        <v>0</v>
      </c>
    </row>
    <row r="1084" customFormat="false" ht="15" hidden="false" customHeight="false" outlineLevel="0" collapsed="false">
      <c r="A1084" s="0" t="s">
        <v>4241</v>
      </c>
      <c r="B1084" s="0" t="s">
        <v>4242</v>
      </c>
      <c r="C1084" s="0" t="s">
        <v>70</v>
      </c>
      <c r="D1084" s="0" t="s">
        <v>4248</v>
      </c>
      <c r="E1084" s="3" t="n">
        <v>46279</v>
      </c>
      <c r="F1084" s="4" t="s">
        <v>95</v>
      </c>
      <c r="G1084" s="5" t="n">
        <v>0.26337962962963</v>
      </c>
      <c r="H1084" s="5" t="n">
        <v>0.240150462962963</v>
      </c>
      <c r="I1084" s="5" t="n">
        <v>0.00037037037037037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3</v>
      </c>
      <c r="O1084" s="5" t="n">
        <v>0</v>
      </c>
      <c r="P1084" s="5" t="n">
        <v>0.0363078703703704</v>
      </c>
      <c r="Q1084" s="4" t="s">
        <v>4251</v>
      </c>
      <c r="R1084" s="4" t="s">
        <v>454</v>
      </c>
      <c r="S1084" s="5" t="n">
        <v>0.000231481481481482</v>
      </c>
      <c r="T1084" s="5" t="n">
        <v>0.156481481481482</v>
      </c>
      <c r="U1084" s="5" t="n">
        <v>0.0998842592592593</v>
      </c>
      <c r="V1084" s="5" t="n">
        <v>0.00219907407407407</v>
      </c>
      <c r="W1084" s="5" t="n">
        <v>0</v>
      </c>
      <c r="X1084" s="5" t="n">
        <v>0</v>
      </c>
      <c r="Y1084" s="5" t="n">
        <v>0</v>
      </c>
      <c r="Z1084" s="0" t="n">
        <v>0</v>
      </c>
      <c r="AA1084" s="0" t="n">
        <v>0</v>
      </c>
      <c r="AB1084" s="0" t="n">
        <v>0</v>
      </c>
      <c r="AC1084" s="4" t="s">
        <v>2024</v>
      </c>
      <c r="AD1084" s="4" t="s">
        <v>2024</v>
      </c>
      <c r="AE1084" s="4" t="s">
        <v>4245</v>
      </c>
      <c r="AF1084" s="4" t="s">
        <v>4245</v>
      </c>
      <c r="AG1084" s="5" t="n">
        <v>0.191018518518519</v>
      </c>
      <c r="AH1084" s="5" t="n">
        <v>0.126458333333333</v>
      </c>
      <c r="AI1084" s="5" t="n">
        <v>0</v>
      </c>
      <c r="AJ1084" s="5" t="n">
        <v>0</v>
      </c>
      <c r="AK1084" s="5" t="n">
        <v>0</v>
      </c>
      <c r="AL1084" s="5" t="n">
        <v>0</v>
      </c>
      <c r="AM1084" s="4" t="s">
        <v>78</v>
      </c>
      <c r="AN1084" s="0" t="n">
        <v>0</v>
      </c>
      <c r="AO1084" s="0" t="n">
        <v>0</v>
      </c>
      <c r="AP1084" s="0" t="n">
        <v>0</v>
      </c>
      <c r="AQ1084" s="0" t="n">
        <v>0</v>
      </c>
      <c r="AR1084" s="0" t="n">
        <v>0</v>
      </c>
      <c r="AS1084" s="0" t="n">
        <v>1</v>
      </c>
      <c r="AT1084" s="0" t="n">
        <v>0</v>
      </c>
      <c r="AU1084" s="0" t="n">
        <v>3</v>
      </c>
      <c r="AV1084" s="0" t="n">
        <v>0</v>
      </c>
      <c r="AW1084" s="0" t="n">
        <v>0</v>
      </c>
      <c r="AX1084" s="0" t="n">
        <v>0</v>
      </c>
      <c r="AY1084" s="0" t="n">
        <v>0</v>
      </c>
      <c r="AZ1084" s="0" t="n">
        <v>0</v>
      </c>
      <c r="BA1084" s="0" t="n">
        <v>0</v>
      </c>
      <c r="BB1084" s="0" t="n">
        <v>0</v>
      </c>
      <c r="BC1084" s="0" t="n">
        <v>0</v>
      </c>
      <c r="BD1084" s="0" t="n">
        <v>0</v>
      </c>
      <c r="BE1084" s="0" t="n">
        <v>0</v>
      </c>
      <c r="BF1084" s="0" t="n">
        <v>0</v>
      </c>
      <c r="BG1084" s="0" t="n">
        <v>0</v>
      </c>
      <c r="BH1084" s="0" t="n">
        <v>0</v>
      </c>
      <c r="BI1084" s="0" t="n">
        <v>0</v>
      </c>
      <c r="BJ1084" s="0" t="n">
        <v>0</v>
      </c>
      <c r="BK1084" s="0" t="n">
        <v>0</v>
      </c>
      <c r="BM1084" s="6" t="n">
        <f aca="false">IFERROR(VALUE(F1084),"")</f>
        <v>0</v>
      </c>
      <c r="BN1084" s="6" t="n">
        <f aca="false">IF(R1084="-","",IFERROR(VALUE(LEFT(Q1084,LEN(Q1084)-2)),""))</f>
        <v>59.01</v>
      </c>
      <c r="BO1084" s="6" t="n">
        <f aca="false">IF(R1084="-","",IFERROR(VALUE(LEFT(R1084,LEN(R1084)-5)),""))</f>
        <v>0</v>
      </c>
      <c r="BP1084" s="6" t="n">
        <f aca="false">IF(R1084="-","",IFERROR(VALUE(F1084),""))</f>
        <v>0</v>
      </c>
      <c r="BQ1084" s="4" t="n">
        <f aca="false">IF(R1084="-",1,0)</f>
        <v>0</v>
      </c>
    </row>
    <row r="1085" customFormat="false" ht="15" hidden="false" customHeight="false" outlineLevel="0" collapsed="false">
      <c r="A1085" s="0" t="s">
        <v>4252</v>
      </c>
      <c r="B1085" s="0" t="s">
        <v>4253</v>
      </c>
      <c r="C1085" s="0" t="s">
        <v>70</v>
      </c>
      <c r="D1085" s="0" t="s">
        <v>4254</v>
      </c>
      <c r="E1085" s="3" t="n">
        <v>46273</v>
      </c>
      <c r="F1085" s="4" t="s">
        <v>4255</v>
      </c>
      <c r="G1085" s="5" t="n">
        <v>0.460949074074074</v>
      </c>
      <c r="H1085" s="5" t="n">
        <v>0.268020833333333</v>
      </c>
      <c r="I1085" s="5" t="n">
        <v>9.25925925925926E-005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5" t="n">
        <v>0</v>
      </c>
      <c r="P1085" s="5" t="n">
        <v>0</v>
      </c>
      <c r="Q1085" s="4" t="s">
        <v>73</v>
      </c>
      <c r="R1085" s="4" t="s">
        <v>73</v>
      </c>
      <c r="S1085" s="5" t="n">
        <v>0</v>
      </c>
      <c r="T1085" s="5" t="n">
        <v>0</v>
      </c>
      <c r="U1085" s="5" t="n">
        <v>0</v>
      </c>
      <c r="V1085" s="5" t="n">
        <v>0</v>
      </c>
      <c r="W1085" s="5" t="n">
        <v>0</v>
      </c>
      <c r="X1085" s="5" t="n">
        <v>0</v>
      </c>
      <c r="Y1085" s="5" t="n">
        <v>0</v>
      </c>
      <c r="Z1085" s="0" t="n">
        <v>0</v>
      </c>
      <c r="AA1085" s="0" t="n">
        <v>0</v>
      </c>
      <c r="AB1085" s="0" t="n">
        <v>0</v>
      </c>
      <c r="AC1085" s="4" t="s">
        <v>208</v>
      </c>
      <c r="AD1085" s="4" t="s">
        <v>4256</v>
      </c>
      <c r="AE1085" s="4" t="s">
        <v>4257</v>
      </c>
      <c r="AF1085" s="4" t="s">
        <v>4258</v>
      </c>
      <c r="AG1085" s="5" t="n">
        <v>0.22537037037037</v>
      </c>
      <c r="AH1085" s="5" t="n">
        <v>0.309363425925926</v>
      </c>
      <c r="AI1085" s="5" t="n">
        <v>0</v>
      </c>
      <c r="AJ1085" s="5" t="n">
        <v>0</v>
      </c>
      <c r="AK1085" s="5" t="n">
        <v>0</v>
      </c>
      <c r="AL1085" s="5" t="n">
        <v>0</v>
      </c>
      <c r="AM1085" s="4" t="s">
        <v>78</v>
      </c>
      <c r="AN1085" s="0" t="n">
        <v>0</v>
      </c>
      <c r="AO1085" s="0" t="n">
        <v>0</v>
      </c>
      <c r="AP1085" s="0" t="n">
        <v>0</v>
      </c>
      <c r="AQ1085" s="0" t="n">
        <v>0</v>
      </c>
      <c r="AR1085" s="0" t="n">
        <v>0</v>
      </c>
      <c r="AS1085" s="0" t="n">
        <v>0</v>
      </c>
      <c r="AT1085" s="0" t="n">
        <v>0</v>
      </c>
      <c r="AU1085" s="0" t="n">
        <v>1</v>
      </c>
      <c r="AV1085" s="0" t="n">
        <v>0</v>
      </c>
      <c r="AW1085" s="0" t="n">
        <v>0</v>
      </c>
      <c r="AX1085" s="0" t="n">
        <v>0</v>
      </c>
      <c r="AY1085" s="0" t="n">
        <v>0</v>
      </c>
      <c r="AZ1085" s="0" t="n">
        <v>0</v>
      </c>
      <c r="BA1085" s="0" t="n">
        <v>0</v>
      </c>
      <c r="BB1085" s="0" t="n">
        <v>0</v>
      </c>
      <c r="BC1085" s="0" t="n">
        <v>0</v>
      </c>
      <c r="BD1085" s="0" t="n">
        <v>0</v>
      </c>
      <c r="BE1085" s="0" t="n">
        <v>0</v>
      </c>
      <c r="BF1085" s="0" t="n">
        <v>0</v>
      </c>
      <c r="BG1085" s="0" t="n">
        <v>0</v>
      </c>
      <c r="BH1085" s="0" t="n">
        <v>0</v>
      </c>
      <c r="BI1085" s="0" t="n">
        <v>0</v>
      </c>
      <c r="BJ1085" s="0" t="n">
        <v>0</v>
      </c>
      <c r="BK1085" s="0" t="n">
        <v>0</v>
      </c>
      <c r="BM1085" s="6" t="n">
        <f aca="false">IFERROR(VALUE(F1085),"")</f>
        <v>245.46</v>
      </c>
      <c r="BN1085" s="6" t="str">
        <f aca="false">IF(R1085="-","",IFERROR(VALUE(LEFT(Q1085,LEN(Q1085)-2)),""))</f>
        <v/>
      </c>
      <c r="BO1085" s="6" t="str">
        <f aca="false">IF(R1085="-","",IFERROR(VALUE(LEFT(R1085,LEN(R1085)-5)),""))</f>
        <v/>
      </c>
      <c r="BP1085" s="6" t="str">
        <f aca="false">IF(R1085="-","",IFERROR(VALUE(F1085),""))</f>
        <v/>
      </c>
      <c r="BQ1085" s="4" t="n">
        <f aca="false">IF(R1085="-",1,0)</f>
        <v>1</v>
      </c>
    </row>
    <row r="1086" customFormat="false" ht="15" hidden="false" customHeight="false" outlineLevel="0" collapsed="false">
      <c r="A1086" s="0" t="s">
        <v>4252</v>
      </c>
      <c r="B1086" s="0" t="s">
        <v>4253</v>
      </c>
      <c r="C1086" s="0" t="s">
        <v>70</v>
      </c>
      <c r="D1086" s="0" t="s">
        <v>4259</v>
      </c>
      <c r="E1086" s="3" t="n">
        <v>46274</v>
      </c>
      <c r="F1086" s="4" t="s">
        <v>4260</v>
      </c>
      <c r="G1086" s="5" t="n">
        <v>0.292106481481482</v>
      </c>
      <c r="H1086" s="5" t="n">
        <v>0.281018518518519</v>
      </c>
      <c r="I1086" s="5" t="n">
        <v>0.000451388888888889</v>
      </c>
      <c r="J1086" s="0" t="n">
        <v>0</v>
      </c>
      <c r="K1086" s="0" t="n">
        <v>4</v>
      </c>
      <c r="L1086" s="0" t="n">
        <v>0</v>
      </c>
      <c r="M1086" s="0" t="n">
        <v>0</v>
      </c>
      <c r="N1086" s="0" t="n">
        <v>0</v>
      </c>
      <c r="O1086" s="5" t="n">
        <v>0</v>
      </c>
      <c r="P1086" s="5" t="n">
        <v>0</v>
      </c>
      <c r="Q1086" s="4" t="s">
        <v>73</v>
      </c>
      <c r="R1086" s="4" t="s">
        <v>73</v>
      </c>
      <c r="S1086" s="5" t="n">
        <v>0</v>
      </c>
      <c r="T1086" s="5" t="n">
        <v>0</v>
      </c>
      <c r="U1086" s="5" t="n">
        <v>0</v>
      </c>
      <c r="V1086" s="5" t="n">
        <v>0</v>
      </c>
      <c r="W1086" s="5" t="n">
        <v>0</v>
      </c>
      <c r="X1086" s="5" t="n">
        <v>0</v>
      </c>
      <c r="Y1086" s="5" t="n">
        <v>0</v>
      </c>
      <c r="Z1086" s="0" t="n">
        <v>0</v>
      </c>
      <c r="AA1086" s="0" t="n">
        <v>0</v>
      </c>
      <c r="AB1086" s="0" t="n">
        <v>0</v>
      </c>
      <c r="AC1086" s="4" t="s">
        <v>4256</v>
      </c>
      <c r="AD1086" s="4" t="s">
        <v>4256</v>
      </c>
      <c r="AE1086" s="4" t="s">
        <v>4258</v>
      </c>
      <c r="AF1086" s="4" t="s">
        <v>4261</v>
      </c>
      <c r="AG1086" s="5" t="n">
        <v>0.242777777777778</v>
      </c>
      <c r="AH1086" s="5" t="n">
        <v>0.114409722222222</v>
      </c>
      <c r="AI1086" s="5" t="n">
        <v>0</v>
      </c>
      <c r="AJ1086" s="5" t="n">
        <v>0</v>
      </c>
      <c r="AK1086" s="5" t="n">
        <v>0</v>
      </c>
      <c r="AL1086" s="5" t="n">
        <v>0</v>
      </c>
      <c r="AM1086" s="4" t="s">
        <v>78</v>
      </c>
      <c r="AN1086" s="0" t="n">
        <v>0</v>
      </c>
      <c r="AO1086" s="0" t="n">
        <v>0</v>
      </c>
      <c r="AP1086" s="0" t="n">
        <v>0</v>
      </c>
      <c r="AQ1086" s="0" t="n">
        <v>0</v>
      </c>
      <c r="AR1086" s="0" t="n">
        <v>0</v>
      </c>
      <c r="AS1086" s="0" t="n">
        <v>0</v>
      </c>
      <c r="AT1086" s="0" t="n">
        <v>0</v>
      </c>
      <c r="AU1086" s="0" t="n">
        <v>8</v>
      </c>
      <c r="AV1086" s="0" t="n">
        <v>0</v>
      </c>
      <c r="AW1086" s="0" t="n">
        <v>0</v>
      </c>
      <c r="AX1086" s="0" t="n">
        <v>0</v>
      </c>
      <c r="AY1086" s="0" t="n">
        <v>0</v>
      </c>
      <c r="AZ1086" s="0" t="n">
        <v>0</v>
      </c>
      <c r="BA1086" s="0" t="n">
        <v>0</v>
      </c>
      <c r="BB1086" s="0" t="n">
        <v>0</v>
      </c>
      <c r="BC1086" s="0" t="n">
        <v>0</v>
      </c>
      <c r="BD1086" s="0" t="n">
        <v>0</v>
      </c>
      <c r="BE1086" s="0" t="n">
        <v>0</v>
      </c>
      <c r="BF1086" s="0" t="n">
        <v>0</v>
      </c>
      <c r="BG1086" s="0" t="n">
        <v>0</v>
      </c>
      <c r="BH1086" s="0" t="n">
        <v>0</v>
      </c>
      <c r="BI1086" s="0" t="n">
        <v>0</v>
      </c>
      <c r="BJ1086" s="0" t="n">
        <v>0</v>
      </c>
      <c r="BK1086" s="0" t="n">
        <v>0</v>
      </c>
      <c r="BM1086" s="6" t="n">
        <f aca="false">IFERROR(VALUE(F1086),"")</f>
        <v>226.88</v>
      </c>
      <c r="BN1086" s="6" t="str">
        <f aca="false">IF(R1086="-","",IFERROR(VALUE(LEFT(Q1086,LEN(Q1086)-2)),""))</f>
        <v/>
      </c>
      <c r="BO1086" s="6" t="str">
        <f aca="false">IF(R1086="-","",IFERROR(VALUE(LEFT(R1086,LEN(R1086)-5)),""))</f>
        <v/>
      </c>
      <c r="BP1086" s="6" t="str">
        <f aca="false">IF(R1086="-","",IFERROR(VALUE(F1086),""))</f>
        <v/>
      </c>
      <c r="BQ1086" s="4" t="n">
        <f aca="false">IF(R1086="-",1,0)</f>
        <v>1</v>
      </c>
    </row>
    <row r="1087" customFormat="false" ht="15" hidden="false" customHeight="false" outlineLevel="0" collapsed="false">
      <c r="A1087" s="0" t="s">
        <v>4252</v>
      </c>
      <c r="B1087" s="0" t="s">
        <v>4253</v>
      </c>
      <c r="C1087" s="0" t="s">
        <v>70</v>
      </c>
      <c r="D1087" s="0" t="s">
        <v>4254</v>
      </c>
      <c r="E1087" s="3" t="n">
        <v>46275</v>
      </c>
      <c r="F1087" s="4" t="s">
        <v>4262</v>
      </c>
      <c r="G1087" s="5" t="n">
        <v>0.238518518518519</v>
      </c>
      <c r="H1087" s="5" t="n">
        <v>0.19837962962963</v>
      </c>
      <c r="I1087" s="5" t="n">
        <v>1.15740740740741E-005</v>
      </c>
      <c r="J1087" s="0" t="n">
        <v>0</v>
      </c>
      <c r="K1087" s="0" t="n">
        <v>3</v>
      </c>
      <c r="L1087" s="0" t="n">
        <v>0</v>
      </c>
      <c r="M1087" s="0" t="n">
        <v>0</v>
      </c>
      <c r="N1087" s="0" t="n">
        <v>0</v>
      </c>
      <c r="O1087" s="5" t="n">
        <v>0</v>
      </c>
      <c r="P1087" s="5" t="n">
        <v>0</v>
      </c>
      <c r="Q1087" s="4" t="s">
        <v>73</v>
      </c>
      <c r="R1087" s="4" t="s">
        <v>73</v>
      </c>
      <c r="S1087" s="5" t="n">
        <v>0</v>
      </c>
      <c r="T1087" s="5" t="n">
        <v>0</v>
      </c>
      <c r="U1087" s="5" t="n">
        <v>0</v>
      </c>
      <c r="V1087" s="5" t="n">
        <v>0</v>
      </c>
      <c r="W1087" s="5" t="n">
        <v>0</v>
      </c>
      <c r="X1087" s="5" t="n">
        <v>0</v>
      </c>
      <c r="Y1087" s="5" t="n">
        <v>0</v>
      </c>
      <c r="Z1087" s="0" t="n">
        <v>0</v>
      </c>
      <c r="AA1087" s="0" t="n">
        <v>0</v>
      </c>
      <c r="AB1087" s="0" t="n">
        <v>0</v>
      </c>
      <c r="AC1087" s="4" t="s">
        <v>4256</v>
      </c>
      <c r="AD1087" s="4" t="s">
        <v>4256</v>
      </c>
      <c r="AE1087" s="4" t="s">
        <v>4261</v>
      </c>
      <c r="AF1087" s="4" t="s">
        <v>4263</v>
      </c>
      <c r="AG1087" s="5" t="n">
        <v>0.172893518518519</v>
      </c>
      <c r="AH1087" s="5" t="n">
        <v>0.103287037037037</v>
      </c>
      <c r="AI1087" s="5" t="n">
        <v>0</v>
      </c>
      <c r="AJ1087" s="5" t="n">
        <v>0</v>
      </c>
      <c r="AK1087" s="5" t="n">
        <v>0</v>
      </c>
      <c r="AL1087" s="5" t="n">
        <v>0</v>
      </c>
      <c r="AM1087" s="4" t="s">
        <v>78</v>
      </c>
      <c r="AN1087" s="0" t="n">
        <v>0</v>
      </c>
      <c r="AO1087" s="0" t="n">
        <v>0</v>
      </c>
      <c r="AP1087" s="0" t="n">
        <v>0</v>
      </c>
      <c r="AQ1087" s="0" t="n">
        <v>0</v>
      </c>
      <c r="AR1087" s="0" t="n">
        <v>0</v>
      </c>
      <c r="AS1087" s="0" t="n">
        <v>0</v>
      </c>
      <c r="AT1087" s="0" t="n">
        <v>0</v>
      </c>
      <c r="AU1087" s="0" t="n">
        <v>2</v>
      </c>
      <c r="AV1087" s="0" t="n">
        <v>0</v>
      </c>
      <c r="AW1087" s="0" t="n">
        <v>0</v>
      </c>
      <c r="AX1087" s="0" t="n">
        <v>0</v>
      </c>
      <c r="AY1087" s="0" t="n">
        <v>0</v>
      </c>
      <c r="AZ1087" s="0" t="n">
        <v>0</v>
      </c>
      <c r="BA1087" s="0" t="n">
        <v>0</v>
      </c>
      <c r="BB1087" s="0" t="n">
        <v>0</v>
      </c>
      <c r="BC1087" s="0" t="n">
        <v>0</v>
      </c>
      <c r="BD1087" s="0" t="n">
        <v>0</v>
      </c>
      <c r="BE1087" s="0" t="n">
        <v>0</v>
      </c>
      <c r="BF1087" s="0" t="n">
        <v>0</v>
      </c>
      <c r="BG1087" s="0" t="n">
        <v>0</v>
      </c>
      <c r="BH1087" s="0" t="n">
        <v>0</v>
      </c>
      <c r="BI1087" s="0" t="n">
        <v>0</v>
      </c>
      <c r="BJ1087" s="0" t="n">
        <v>0</v>
      </c>
      <c r="BK1087" s="0" t="n">
        <v>0</v>
      </c>
      <c r="BM1087" s="6" t="n">
        <f aca="false">IFERROR(VALUE(F1087),"")</f>
        <v>167.98</v>
      </c>
      <c r="BN1087" s="6" t="str">
        <f aca="false">IF(R1087="-","",IFERROR(VALUE(LEFT(Q1087,LEN(Q1087)-2)),""))</f>
        <v/>
      </c>
      <c r="BO1087" s="6" t="str">
        <f aca="false">IF(R1087="-","",IFERROR(VALUE(LEFT(R1087,LEN(R1087)-5)),""))</f>
        <v/>
      </c>
      <c r="BP1087" s="6" t="str">
        <f aca="false">IF(R1087="-","",IFERROR(VALUE(F1087),""))</f>
        <v/>
      </c>
      <c r="BQ1087" s="4" t="n">
        <f aca="false">IF(R1087="-",1,0)</f>
        <v>1</v>
      </c>
    </row>
    <row r="1088" customFormat="false" ht="15" hidden="false" customHeight="false" outlineLevel="0" collapsed="false">
      <c r="A1088" s="0" t="s">
        <v>4252</v>
      </c>
      <c r="B1088" s="0" t="s">
        <v>4253</v>
      </c>
      <c r="C1088" s="0" t="s">
        <v>70</v>
      </c>
      <c r="D1088" s="0" t="s">
        <v>4259</v>
      </c>
      <c r="E1088" s="3" t="n">
        <v>46276</v>
      </c>
      <c r="F1088" s="4" t="s">
        <v>4264</v>
      </c>
      <c r="G1088" s="5" t="n">
        <v>0.287349537037037</v>
      </c>
      <c r="H1088" s="5" t="n">
        <v>0.268993055555556</v>
      </c>
      <c r="I1088" s="5" t="n">
        <v>0.000625</v>
      </c>
      <c r="J1088" s="0" t="n">
        <v>0</v>
      </c>
      <c r="K1088" s="0" t="n">
        <v>4</v>
      </c>
      <c r="L1088" s="0" t="n">
        <v>0</v>
      </c>
      <c r="M1088" s="0" t="n">
        <v>0</v>
      </c>
      <c r="N1088" s="0" t="n">
        <v>0</v>
      </c>
      <c r="O1088" s="5" t="n">
        <v>0</v>
      </c>
      <c r="P1088" s="5" t="n">
        <v>0</v>
      </c>
      <c r="Q1088" s="4" t="s">
        <v>73</v>
      </c>
      <c r="R1088" s="4" t="s">
        <v>73</v>
      </c>
      <c r="S1088" s="5" t="n">
        <v>0</v>
      </c>
      <c r="T1088" s="5" t="n">
        <v>0</v>
      </c>
      <c r="U1088" s="5" t="n">
        <v>0</v>
      </c>
      <c r="V1088" s="5" t="n">
        <v>0</v>
      </c>
      <c r="W1088" s="5" t="n">
        <v>0</v>
      </c>
      <c r="X1088" s="5" t="n">
        <v>0</v>
      </c>
      <c r="Y1088" s="5" t="n">
        <v>0</v>
      </c>
      <c r="Z1088" s="0" t="n">
        <v>0</v>
      </c>
      <c r="AA1088" s="0" t="n">
        <v>0</v>
      </c>
      <c r="AB1088" s="0" t="n">
        <v>0</v>
      </c>
      <c r="AC1088" s="4" t="s">
        <v>4256</v>
      </c>
      <c r="AD1088" s="4" t="s">
        <v>4256</v>
      </c>
      <c r="AE1088" s="4" t="s">
        <v>4263</v>
      </c>
      <c r="AF1088" s="4" t="s">
        <v>4265</v>
      </c>
      <c r="AG1088" s="5" t="n">
        <v>0.238564814814815</v>
      </c>
      <c r="AH1088" s="5" t="n">
        <v>0.13869212962963</v>
      </c>
      <c r="AI1088" s="5" t="n">
        <v>0</v>
      </c>
      <c r="AJ1088" s="5" t="n">
        <v>0</v>
      </c>
      <c r="AK1088" s="5" t="n">
        <v>0</v>
      </c>
      <c r="AL1088" s="5" t="n">
        <v>0</v>
      </c>
      <c r="AM1088" s="4" t="s">
        <v>78</v>
      </c>
      <c r="AN1088" s="0" t="n">
        <v>0</v>
      </c>
      <c r="AO1088" s="0" t="n">
        <v>0</v>
      </c>
      <c r="AP1088" s="0" t="n">
        <v>0</v>
      </c>
      <c r="AQ1088" s="0" t="n">
        <v>0</v>
      </c>
      <c r="AR1088" s="0" t="n">
        <v>0</v>
      </c>
      <c r="AS1088" s="0" t="n">
        <v>0</v>
      </c>
      <c r="AT1088" s="0" t="n">
        <v>0</v>
      </c>
      <c r="AU1088" s="0" t="n">
        <v>13</v>
      </c>
      <c r="AV1088" s="0" t="n">
        <v>0</v>
      </c>
      <c r="AW1088" s="0" t="n">
        <v>0</v>
      </c>
      <c r="AX1088" s="0" t="n">
        <v>0</v>
      </c>
      <c r="AY1088" s="0" t="n">
        <v>0</v>
      </c>
      <c r="AZ1088" s="0" t="n">
        <v>0</v>
      </c>
      <c r="BA1088" s="0" t="n">
        <v>0</v>
      </c>
      <c r="BB1088" s="0" t="n">
        <v>0</v>
      </c>
      <c r="BC1088" s="0" t="n">
        <v>0</v>
      </c>
      <c r="BD1088" s="0" t="n">
        <v>0</v>
      </c>
      <c r="BE1088" s="0" t="n">
        <v>0</v>
      </c>
      <c r="BF1088" s="0" t="n">
        <v>0</v>
      </c>
      <c r="BG1088" s="0" t="n">
        <v>0</v>
      </c>
      <c r="BH1088" s="0" t="n">
        <v>0</v>
      </c>
      <c r="BI1088" s="0" t="n">
        <v>0</v>
      </c>
      <c r="BJ1088" s="0" t="n">
        <v>0</v>
      </c>
      <c r="BK1088" s="0" t="n">
        <v>0</v>
      </c>
      <c r="BM1088" s="6" t="n">
        <f aca="false">IFERROR(VALUE(F1088),"")</f>
        <v>227.67</v>
      </c>
      <c r="BN1088" s="6" t="str">
        <f aca="false">IF(R1088="-","",IFERROR(VALUE(LEFT(Q1088,LEN(Q1088)-2)),""))</f>
        <v/>
      </c>
      <c r="BO1088" s="6" t="str">
        <f aca="false">IF(R1088="-","",IFERROR(VALUE(LEFT(R1088,LEN(R1088)-5)),""))</f>
        <v/>
      </c>
      <c r="BP1088" s="6" t="str">
        <f aca="false">IF(R1088="-","",IFERROR(VALUE(F1088),""))</f>
        <v/>
      </c>
      <c r="BQ1088" s="4" t="n">
        <f aca="false">IF(R1088="-",1,0)</f>
        <v>1</v>
      </c>
    </row>
    <row r="1089" customFormat="false" ht="15" hidden="false" customHeight="false" outlineLevel="0" collapsed="false">
      <c r="A1089" s="0" t="s">
        <v>4252</v>
      </c>
      <c r="B1089" s="0" t="s">
        <v>4253</v>
      </c>
      <c r="C1089" s="0" t="s">
        <v>70</v>
      </c>
      <c r="D1089" s="0" t="s">
        <v>4254</v>
      </c>
      <c r="E1089" s="3" t="n">
        <v>46277</v>
      </c>
      <c r="F1089" s="4" t="s">
        <v>4266</v>
      </c>
      <c r="G1089" s="5" t="n">
        <v>0.21087962962963</v>
      </c>
      <c r="H1089" s="5" t="n">
        <v>0.1865625</v>
      </c>
      <c r="I1089" s="5" t="n">
        <v>0.00025462962962963</v>
      </c>
      <c r="J1089" s="0" t="n">
        <v>1</v>
      </c>
      <c r="K1089" s="0" t="n">
        <v>1</v>
      </c>
      <c r="L1089" s="0" t="n">
        <v>0</v>
      </c>
      <c r="M1089" s="0" t="n">
        <v>0</v>
      </c>
      <c r="N1089" s="0" t="n">
        <v>0</v>
      </c>
      <c r="O1089" s="5" t="n">
        <v>0</v>
      </c>
      <c r="P1089" s="5" t="n">
        <v>0</v>
      </c>
      <c r="Q1089" s="4" t="s">
        <v>73</v>
      </c>
      <c r="R1089" s="4" t="s">
        <v>73</v>
      </c>
      <c r="S1089" s="5" t="n">
        <v>0</v>
      </c>
      <c r="T1089" s="5" t="n">
        <v>0</v>
      </c>
      <c r="U1089" s="5" t="n">
        <v>0</v>
      </c>
      <c r="V1089" s="5" t="n">
        <v>0</v>
      </c>
      <c r="W1089" s="5" t="n">
        <v>0</v>
      </c>
      <c r="X1089" s="5" t="n">
        <v>0</v>
      </c>
      <c r="Y1089" s="5" t="n">
        <v>0</v>
      </c>
      <c r="Z1089" s="0" t="n">
        <v>0</v>
      </c>
      <c r="AA1089" s="0" t="n">
        <v>0</v>
      </c>
      <c r="AB1089" s="0" t="n">
        <v>0</v>
      </c>
      <c r="AC1089" s="4" t="s">
        <v>4256</v>
      </c>
      <c r="AD1089" s="4" t="s">
        <v>4256</v>
      </c>
      <c r="AE1089" s="4" t="s">
        <v>4265</v>
      </c>
      <c r="AF1089" s="4" t="s">
        <v>4267</v>
      </c>
      <c r="AG1089" s="5" t="n">
        <v>0.16224537037037</v>
      </c>
      <c r="AH1089" s="5" t="n">
        <v>0.0648842592592593</v>
      </c>
      <c r="AI1089" s="5" t="n">
        <v>0</v>
      </c>
      <c r="AJ1089" s="5" t="n">
        <v>0</v>
      </c>
      <c r="AK1089" s="5" t="n">
        <v>0</v>
      </c>
      <c r="AL1089" s="5" t="n">
        <v>0</v>
      </c>
      <c r="AM1089" s="4" t="s">
        <v>78</v>
      </c>
      <c r="AN1089" s="0" t="n">
        <v>0</v>
      </c>
      <c r="AO1089" s="0" t="n">
        <v>0</v>
      </c>
      <c r="AP1089" s="0" t="n">
        <v>0</v>
      </c>
      <c r="AQ1089" s="0" t="n">
        <v>0</v>
      </c>
      <c r="AR1089" s="0" t="n">
        <v>0</v>
      </c>
      <c r="AS1089" s="0" t="n">
        <v>0</v>
      </c>
      <c r="AT1089" s="0" t="n">
        <v>0</v>
      </c>
      <c r="AU1089" s="0" t="n">
        <v>2</v>
      </c>
      <c r="AV1089" s="0" t="n">
        <v>0</v>
      </c>
      <c r="AW1089" s="0" t="n">
        <v>0</v>
      </c>
      <c r="AX1089" s="0" t="n">
        <v>0</v>
      </c>
      <c r="AY1089" s="0" t="n">
        <v>0</v>
      </c>
      <c r="AZ1089" s="0" t="n">
        <v>0</v>
      </c>
      <c r="BA1089" s="0" t="n">
        <v>0</v>
      </c>
      <c r="BB1089" s="0" t="n">
        <v>0</v>
      </c>
      <c r="BC1089" s="0" t="n">
        <v>0</v>
      </c>
      <c r="BD1089" s="0" t="n">
        <v>0</v>
      </c>
      <c r="BE1089" s="0" t="n">
        <v>0</v>
      </c>
      <c r="BF1089" s="0" t="n">
        <v>0</v>
      </c>
      <c r="BG1089" s="0" t="n">
        <v>0</v>
      </c>
      <c r="BH1089" s="0" t="n">
        <v>0</v>
      </c>
      <c r="BI1089" s="0" t="n">
        <v>0</v>
      </c>
      <c r="BJ1089" s="0" t="n">
        <v>0</v>
      </c>
      <c r="BK1089" s="0" t="n">
        <v>0</v>
      </c>
      <c r="BM1089" s="6" t="n">
        <f aca="false">IFERROR(VALUE(F1089),"")</f>
        <v>167.23</v>
      </c>
      <c r="BN1089" s="6" t="str">
        <f aca="false">IF(R1089="-","",IFERROR(VALUE(LEFT(Q1089,LEN(Q1089)-2)),""))</f>
        <v/>
      </c>
      <c r="BO1089" s="6" t="str">
        <f aca="false">IF(R1089="-","",IFERROR(VALUE(LEFT(R1089,LEN(R1089)-5)),""))</f>
        <v/>
      </c>
      <c r="BP1089" s="6" t="str">
        <f aca="false">IF(R1089="-","",IFERROR(VALUE(F1089),""))</f>
        <v/>
      </c>
      <c r="BQ1089" s="4" t="n">
        <f aca="false">IF(R1089="-",1,0)</f>
        <v>1</v>
      </c>
    </row>
    <row r="1090" customFormat="false" ht="15" hidden="false" customHeight="false" outlineLevel="0" collapsed="false">
      <c r="A1090" s="0" t="s">
        <v>4252</v>
      </c>
      <c r="B1090" s="0" t="s">
        <v>4253</v>
      </c>
      <c r="C1090" s="0" t="s">
        <v>70</v>
      </c>
      <c r="D1090" s="0" t="s">
        <v>4268</v>
      </c>
      <c r="E1090" s="3" t="n">
        <v>46278</v>
      </c>
      <c r="F1090" s="4" t="s">
        <v>4269</v>
      </c>
      <c r="G1090" s="5" t="n">
        <v>0.191678240740741</v>
      </c>
      <c r="H1090" s="5" t="n">
        <v>0.178715277777778</v>
      </c>
      <c r="I1090" s="5" t="n">
        <v>0.00025462962962963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5" t="n">
        <v>0</v>
      </c>
      <c r="P1090" s="5" t="n">
        <v>0</v>
      </c>
      <c r="Q1090" s="4" t="s">
        <v>73</v>
      </c>
      <c r="R1090" s="4" t="s">
        <v>73</v>
      </c>
      <c r="S1090" s="5" t="n">
        <v>0</v>
      </c>
      <c r="T1090" s="5" t="n">
        <v>0</v>
      </c>
      <c r="U1090" s="5" t="n">
        <v>0</v>
      </c>
      <c r="V1090" s="5" t="n">
        <v>0</v>
      </c>
      <c r="W1090" s="5" t="n">
        <v>0</v>
      </c>
      <c r="X1090" s="5" t="n">
        <v>0</v>
      </c>
      <c r="Y1090" s="5" t="n">
        <v>0</v>
      </c>
      <c r="Z1090" s="0" t="n">
        <v>0</v>
      </c>
      <c r="AA1090" s="0" t="n">
        <v>0</v>
      </c>
      <c r="AB1090" s="0" t="n">
        <v>0</v>
      </c>
      <c r="AC1090" s="4" t="s">
        <v>4256</v>
      </c>
      <c r="AD1090" s="4" t="s">
        <v>4256</v>
      </c>
      <c r="AE1090" s="4" t="s">
        <v>4267</v>
      </c>
      <c r="AF1090" s="4" t="s">
        <v>4270</v>
      </c>
      <c r="AG1090" s="5" t="n">
        <v>0.142685185185185</v>
      </c>
      <c r="AH1090" s="5" t="n">
        <v>0.106215277777778</v>
      </c>
      <c r="AI1090" s="5" t="n">
        <v>0</v>
      </c>
      <c r="AJ1090" s="5" t="n">
        <v>0</v>
      </c>
      <c r="AK1090" s="5" t="n">
        <v>0</v>
      </c>
      <c r="AL1090" s="5" t="n">
        <v>0</v>
      </c>
      <c r="AM1090" s="4" t="s">
        <v>78</v>
      </c>
      <c r="AN1090" s="0" t="n">
        <v>0</v>
      </c>
      <c r="AO1090" s="0" t="n">
        <v>0</v>
      </c>
      <c r="AP1090" s="0" t="n">
        <v>0</v>
      </c>
      <c r="AQ1090" s="0" t="n">
        <v>0</v>
      </c>
      <c r="AR1090" s="0" t="n">
        <v>0</v>
      </c>
      <c r="AS1090" s="0" t="n">
        <v>0</v>
      </c>
      <c r="AT1090" s="0" t="n">
        <v>0</v>
      </c>
      <c r="AU1090" s="0" t="n">
        <v>2</v>
      </c>
      <c r="AV1090" s="0" t="n">
        <v>0</v>
      </c>
      <c r="AW1090" s="0" t="n">
        <v>0</v>
      </c>
      <c r="AX1090" s="0" t="n">
        <v>0</v>
      </c>
      <c r="AY1090" s="0" t="n">
        <v>0</v>
      </c>
      <c r="AZ1090" s="0" t="n">
        <v>0</v>
      </c>
      <c r="BA1090" s="0" t="n">
        <v>0</v>
      </c>
      <c r="BB1090" s="0" t="n">
        <v>0</v>
      </c>
      <c r="BC1090" s="0" t="n">
        <v>0</v>
      </c>
      <c r="BD1090" s="0" t="n">
        <v>0</v>
      </c>
      <c r="BE1090" s="0" t="n">
        <v>0</v>
      </c>
      <c r="BF1090" s="0" t="n">
        <v>0</v>
      </c>
      <c r="BG1090" s="0" t="n">
        <v>0</v>
      </c>
      <c r="BH1090" s="0" t="n">
        <v>0</v>
      </c>
      <c r="BI1090" s="0" t="n">
        <v>0</v>
      </c>
      <c r="BJ1090" s="0" t="n">
        <v>0</v>
      </c>
      <c r="BK1090" s="0" t="n">
        <v>0</v>
      </c>
      <c r="BM1090" s="6" t="n">
        <f aca="false">IFERROR(VALUE(F1090),"")</f>
        <v>163.29</v>
      </c>
      <c r="BN1090" s="6" t="str">
        <f aca="false">IF(R1090="-","",IFERROR(VALUE(LEFT(Q1090,LEN(Q1090)-2)),""))</f>
        <v/>
      </c>
      <c r="BO1090" s="6" t="str">
        <f aca="false">IF(R1090="-","",IFERROR(VALUE(LEFT(R1090,LEN(R1090)-5)),""))</f>
        <v/>
      </c>
      <c r="BP1090" s="6" t="str">
        <f aca="false">IF(R1090="-","",IFERROR(VALUE(F1090),""))</f>
        <v/>
      </c>
      <c r="BQ1090" s="4" t="n">
        <f aca="false">IF(R1090="-",1,0)</f>
        <v>1</v>
      </c>
    </row>
    <row r="1091" customFormat="false" ht="15" hidden="false" customHeight="false" outlineLevel="0" collapsed="false">
      <c r="A1091" s="0" t="s">
        <v>4252</v>
      </c>
      <c r="B1091" s="0" t="s">
        <v>4253</v>
      </c>
      <c r="C1091" s="0" t="s">
        <v>70</v>
      </c>
      <c r="D1091" s="0" t="s">
        <v>4271</v>
      </c>
      <c r="E1091" s="3" t="n">
        <v>46279</v>
      </c>
      <c r="F1091" s="4" t="s">
        <v>4272</v>
      </c>
      <c r="G1091" s="5" t="n">
        <v>0.338321759259259</v>
      </c>
      <c r="H1091" s="5" t="n">
        <v>0.330625</v>
      </c>
      <c r="I1091" s="5" t="n">
        <v>0.000393518518518519</v>
      </c>
      <c r="J1091" s="0" t="n">
        <v>0</v>
      </c>
      <c r="K1091" s="0" t="n">
        <v>5</v>
      </c>
      <c r="L1091" s="0" t="n">
        <v>0</v>
      </c>
      <c r="M1091" s="0" t="n">
        <v>0</v>
      </c>
      <c r="N1091" s="0" t="n">
        <v>0</v>
      </c>
      <c r="O1091" s="5" t="n">
        <v>0</v>
      </c>
      <c r="P1091" s="5" t="n">
        <v>0</v>
      </c>
      <c r="Q1091" s="4" t="s">
        <v>73</v>
      </c>
      <c r="R1091" s="4" t="s">
        <v>73</v>
      </c>
      <c r="S1091" s="5" t="n">
        <v>0</v>
      </c>
      <c r="T1091" s="5" t="n">
        <v>0</v>
      </c>
      <c r="U1091" s="5" t="n">
        <v>0</v>
      </c>
      <c r="V1091" s="5" t="n">
        <v>0</v>
      </c>
      <c r="W1091" s="5" t="n">
        <v>0</v>
      </c>
      <c r="X1091" s="5" t="n">
        <v>0</v>
      </c>
      <c r="Y1091" s="5" t="n">
        <v>0</v>
      </c>
      <c r="Z1091" s="0" t="n">
        <v>0</v>
      </c>
      <c r="AA1091" s="0" t="n">
        <v>0</v>
      </c>
      <c r="AB1091" s="0" t="n">
        <v>0</v>
      </c>
      <c r="AC1091" s="4" t="s">
        <v>4256</v>
      </c>
      <c r="AD1091" s="4" t="s">
        <v>4256</v>
      </c>
      <c r="AE1091" s="4" t="s">
        <v>4270</v>
      </c>
      <c r="AF1091" s="4" t="s">
        <v>4273</v>
      </c>
      <c r="AG1091" s="5" t="n">
        <v>0.260509259259259</v>
      </c>
      <c r="AH1091" s="5" t="n">
        <v>0.116261574074074</v>
      </c>
      <c r="AI1091" s="5" t="n">
        <v>0</v>
      </c>
      <c r="AJ1091" s="5" t="n">
        <v>0</v>
      </c>
      <c r="AK1091" s="5" t="n">
        <v>0</v>
      </c>
      <c r="AL1091" s="5" t="n">
        <v>0</v>
      </c>
      <c r="AM1091" s="4" t="s">
        <v>78</v>
      </c>
      <c r="AN1091" s="0" t="n">
        <v>0</v>
      </c>
      <c r="AO1091" s="0" t="n">
        <v>1</v>
      </c>
      <c r="AP1091" s="0" t="n">
        <v>0</v>
      </c>
      <c r="AQ1091" s="0" t="n">
        <v>0</v>
      </c>
      <c r="AR1091" s="0" t="n">
        <v>0</v>
      </c>
      <c r="AS1091" s="0" t="n">
        <v>0</v>
      </c>
      <c r="AT1091" s="0" t="n">
        <v>0</v>
      </c>
      <c r="AU1091" s="0" t="n">
        <v>6</v>
      </c>
      <c r="AV1091" s="0" t="n">
        <v>0</v>
      </c>
      <c r="AW1091" s="0" t="n">
        <v>1</v>
      </c>
      <c r="AX1091" s="0" t="n">
        <v>0</v>
      </c>
      <c r="AY1091" s="0" t="n">
        <v>0</v>
      </c>
      <c r="AZ1091" s="0" t="n">
        <v>0</v>
      </c>
      <c r="BA1091" s="0" t="n">
        <v>0</v>
      </c>
      <c r="BB1091" s="0" t="n">
        <v>0</v>
      </c>
      <c r="BC1091" s="0" t="n">
        <v>0</v>
      </c>
      <c r="BD1091" s="0" t="n">
        <v>0</v>
      </c>
      <c r="BE1091" s="0" t="n">
        <v>0</v>
      </c>
      <c r="BF1091" s="0" t="n">
        <v>0</v>
      </c>
      <c r="BG1091" s="0" t="n">
        <v>0</v>
      </c>
      <c r="BH1091" s="0" t="n">
        <v>0</v>
      </c>
      <c r="BI1091" s="0" t="n">
        <v>0</v>
      </c>
      <c r="BJ1091" s="0" t="n">
        <v>0</v>
      </c>
      <c r="BK1091" s="0" t="n">
        <v>0</v>
      </c>
      <c r="BM1091" s="6" t="n">
        <f aca="false">IFERROR(VALUE(F1091),"")</f>
        <v>229.01</v>
      </c>
      <c r="BN1091" s="6" t="str">
        <f aca="false">IF(R1091="-","",IFERROR(VALUE(LEFT(Q1091,LEN(Q1091)-2)),""))</f>
        <v/>
      </c>
      <c r="BO1091" s="6" t="str">
        <f aca="false">IF(R1091="-","",IFERROR(VALUE(LEFT(R1091,LEN(R1091)-5)),""))</f>
        <v/>
      </c>
      <c r="BP1091" s="6" t="str">
        <f aca="false">IF(R1091="-","",IFERROR(VALUE(F1091),""))</f>
        <v/>
      </c>
      <c r="BQ1091" s="4" t="n">
        <f aca="false">IF(R1091="-",1,0)</f>
        <v>1</v>
      </c>
    </row>
    <row r="1092" customFormat="false" ht="15" hidden="false" customHeight="false" outlineLevel="0" collapsed="false">
      <c r="A1092" s="0" t="s">
        <v>4274</v>
      </c>
      <c r="B1092" s="0" t="s">
        <v>4275</v>
      </c>
      <c r="C1092" s="0" t="s">
        <v>70</v>
      </c>
      <c r="E1092" s="3" t="n">
        <v>46273</v>
      </c>
      <c r="F1092" s="4" t="s">
        <v>4276</v>
      </c>
      <c r="G1092" s="5" t="n">
        <v>0.432233796296296</v>
      </c>
      <c r="H1092" s="5" t="n">
        <v>0</v>
      </c>
      <c r="I1092" s="5" t="n">
        <v>8.10185185185185E-005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5" t="n">
        <v>0</v>
      </c>
      <c r="P1092" s="5" t="n">
        <v>0</v>
      </c>
      <c r="Q1092" s="4" t="s">
        <v>4277</v>
      </c>
      <c r="R1092" s="4" t="s">
        <v>2765</v>
      </c>
      <c r="S1092" s="5" t="n">
        <v>0</v>
      </c>
      <c r="T1092" s="5" t="n">
        <v>0.17650462962963</v>
      </c>
      <c r="U1092" s="5" t="n">
        <v>0.183564814814815</v>
      </c>
      <c r="V1092" s="5" t="n">
        <v>0.0484953703703704</v>
      </c>
      <c r="W1092" s="5" t="n">
        <v>0</v>
      </c>
      <c r="X1092" s="5" t="n">
        <v>0</v>
      </c>
      <c r="Y1092" s="5" t="n">
        <v>0</v>
      </c>
      <c r="Z1092" s="0" t="n">
        <v>0</v>
      </c>
      <c r="AA1092" s="0" t="n">
        <v>0</v>
      </c>
      <c r="AB1092" s="0" t="n">
        <v>0</v>
      </c>
      <c r="AC1092" s="4" t="s">
        <v>208</v>
      </c>
      <c r="AD1092" s="4" t="s">
        <v>208</v>
      </c>
      <c r="AE1092" s="4" t="s">
        <v>4278</v>
      </c>
      <c r="AF1092" s="4" t="s">
        <v>4279</v>
      </c>
      <c r="AG1092" s="5" t="n">
        <v>0.368101851851852</v>
      </c>
      <c r="AH1092" s="5" t="n">
        <v>0.117291666666667</v>
      </c>
      <c r="AI1092" s="5" t="n">
        <v>0</v>
      </c>
      <c r="AJ1092" s="5" t="n">
        <v>0</v>
      </c>
      <c r="AK1092" s="5" t="n">
        <v>0</v>
      </c>
      <c r="AL1092" s="5" t="n">
        <v>0</v>
      </c>
      <c r="AM1092" s="4" t="s">
        <v>78</v>
      </c>
      <c r="AN1092" s="0" t="n">
        <v>0</v>
      </c>
      <c r="AO1092" s="0" t="n">
        <v>0</v>
      </c>
      <c r="AP1092" s="0" t="n">
        <v>0</v>
      </c>
      <c r="AQ1092" s="0" t="n">
        <v>0</v>
      </c>
      <c r="AR1092" s="0" t="n">
        <v>0</v>
      </c>
      <c r="AS1092" s="0" t="n">
        <v>0</v>
      </c>
      <c r="AT1092" s="0" t="n">
        <v>0</v>
      </c>
      <c r="AU1092" s="0" t="n">
        <v>0</v>
      </c>
      <c r="AV1092" s="0" t="n">
        <v>0</v>
      </c>
      <c r="AW1092" s="0" t="n">
        <v>0</v>
      </c>
      <c r="AX1092" s="0" t="n">
        <v>0</v>
      </c>
      <c r="AY1092" s="0" t="n">
        <v>0</v>
      </c>
      <c r="AZ1092" s="0" t="n">
        <v>0</v>
      </c>
      <c r="BA1092" s="0" t="n">
        <v>0</v>
      </c>
      <c r="BB1092" s="0" t="n">
        <v>0</v>
      </c>
      <c r="BC1092" s="0" t="n">
        <v>0</v>
      </c>
      <c r="BD1092" s="0" t="n">
        <v>1</v>
      </c>
      <c r="BE1092" s="0" t="n">
        <v>0</v>
      </c>
      <c r="BF1092" s="0" t="n">
        <v>0</v>
      </c>
      <c r="BG1092" s="0" t="n">
        <v>0</v>
      </c>
      <c r="BH1092" s="0" t="n">
        <v>0</v>
      </c>
      <c r="BI1092" s="0" t="n">
        <v>0</v>
      </c>
      <c r="BJ1092" s="0" t="n">
        <v>0</v>
      </c>
      <c r="BK1092" s="0" t="n">
        <v>0</v>
      </c>
      <c r="BM1092" s="6" t="n">
        <f aca="false">IFERROR(VALUE(F1092),"")</f>
        <v>259.28</v>
      </c>
      <c r="BN1092" s="6" t="n">
        <f aca="false">IF(R1092="-","",IFERROR(VALUE(LEFT(Q1092,LEN(Q1092)-2)),""))</f>
        <v>115.69</v>
      </c>
      <c r="BO1092" s="6" t="n">
        <f aca="false">IF(R1092="-","",IFERROR(VALUE(LEFT(R1092,LEN(R1092)-5)),""))</f>
        <v>2.24</v>
      </c>
      <c r="BP1092" s="6" t="n">
        <f aca="false">IF(R1092="-","",IFERROR(VALUE(F1092),""))</f>
        <v>259.28</v>
      </c>
      <c r="BQ1092" s="4" t="n">
        <f aca="false">IF(R1092="-",1,0)</f>
        <v>0</v>
      </c>
    </row>
    <row r="1093" customFormat="false" ht="15" hidden="false" customHeight="false" outlineLevel="0" collapsed="false">
      <c r="A1093" s="0" t="s">
        <v>4274</v>
      </c>
      <c r="B1093" s="0" t="s">
        <v>4275</v>
      </c>
      <c r="C1093" s="0" t="s">
        <v>70</v>
      </c>
      <c r="E1093" s="3" t="n">
        <v>46274</v>
      </c>
      <c r="F1093" s="4" t="s">
        <v>4280</v>
      </c>
      <c r="G1093" s="5" t="n">
        <v>0.347222222222222</v>
      </c>
      <c r="H1093" s="5" t="n">
        <v>0</v>
      </c>
      <c r="I1093" s="5" t="n">
        <v>2.31481481481482E-005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5" t="n">
        <v>0</v>
      </c>
      <c r="P1093" s="5" t="n">
        <v>0</v>
      </c>
      <c r="Q1093" s="4" t="s">
        <v>4281</v>
      </c>
      <c r="R1093" s="4" t="s">
        <v>4282</v>
      </c>
      <c r="S1093" s="5" t="n">
        <v>0.000115740740740741</v>
      </c>
      <c r="T1093" s="5" t="n">
        <v>0.134143518518519</v>
      </c>
      <c r="U1093" s="5" t="n">
        <v>0.0950231481481482</v>
      </c>
      <c r="V1093" s="5" t="n">
        <v>0.0263888888888889</v>
      </c>
      <c r="W1093" s="5" t="n">
        <v>0.000115740740740741</v>
      </c>
      <c r="X1093" s="5" t="n">
        <v>0</v>
      </c>
      <c r="Y1093" s="5" t="n">
        <v>0</v>
      </c>
      <c r="Z1093" s="0" t="n">
        <v>0</v>
      </c>
      <c r="AA1093" s="0" t="n">
        <v>0</v>
      </c>
      <c r="AB1093" s="0" t="n">
        <v>0</v>
      </c>
      <c r="AC1093" s="4" t="s">
        <v>208</v>
      </c>
      <c r="AD1093" s="4" t="s">
        <v>208</v>
      </c>
      <c r="AE1093" s="4" t="s">
        <v>4279</v>
      </c>
      <c r="AF1093" s="4" t="s">
        <v>4283</v>
      </c>
      <c r="AG1093" s="5" t="n">
        <v>0.214340277777778</v>
      </c>
      <c r="AH1093" s="5" t="n">
        <v>0.256956018518519</v>
      </c>
      <c r="AI1093" s="5" t="n">
        <v>0</v>
      </c>
      <c r="AJ1093" s="5" t="n">
        <v>0</v>
      </c>
      <c r="AK1093" s="5" t="n">
        <v>0</v>
      </c>
      <c r="AL1093" s="5" t="n">
        <v>0</v>
      </c>
      <c r="AM1093" s="4" t="s">
        <v>78</v>
      </c>
      <c r="AN1093" s="0" t="n">
        <v>0</v>
      </c>
      <c r="AO1093" s="0" t="n">
        <v>1</v>
      </c>
      <c r="AP1093" s="0" t="n">
        <v>0</v>
      </c>
      <c r="AQ1093" s="0" t="n">
        <v>0</v>
      </c>
      <c r="AR1093" s="0" t="n">
        <v>0</v>
      </c>
      <c r="AS1093" s="0" t="n">
        <v>0</v>
      </c>
      <c r="AT1093" s="0" t="n">
        <v>0</v>
      </c>
      <c r="AU1093" s="0" t="n">
        <v>0</v>
      </c>
      <c r="AV1093" s="0" t="n">
        <v>0</v>
      </c>
      <c r="AW1093" s="0" t="n">
        <v>0</v>
      </c>
      <c r="AX1093" s="0" t="n">
        <v>0</v>
      </c>
      <c r="AY1093" s="0" t="n">
        <v>0</v>
      </c>
      <c r="AZ1093" s="0" t="n">
        <v>0</v>
      </c>
      <c r="BA1093" s="0" t="n">
        <v>0</v>
      </c>
      <c r="BB1093" s="0" t="n">
        <v>0</v>
      </c>
      <c r="BC1093" s="0" t="n">
        <v>0</v>
      </c>
      <c r="BD1093" s="0" t="n">
        <v>0</v>
      </c>
      <c r="BE1093" s="0" t="n">
        <v>0</v>
      </c>
      <c r="BF1093" s="0" t="n">
        <v>0</v>
      </c>
      <c r="BG1093" s="0" t="n">
        <v>0</v>
      </c>
      <c r="BH1093" s="0" t="n">
        <v>0</v>
      </c>
      <c r="BI1093" s="0" t="n">
        <v>0</v>
      </c>
      <c r="BJ1093" s="0" t="n">
        <v>0</v>
      </c>
      <c r="BK1093" s="0" t="n">
        <v>0</v>
      </c>
      <c r="BM1093" s="6" t="n">
        <f aca="false">IFERROR(VALUE(F1093),"")</f>
        <v>134.05</v>
      </c>
      <c r="BN1093" s="6" t="n">
        <f aca="false">IF(R1093="-","",IFERROR(VALUE(LEFT(Q1093,LEN(Q1093)-2)),""))</f>
        <v>64.83</v>
      </c>
      <c r="BO1093" s="6" t="n">
        <f aca="false">IF(R1093="-","",IFERROR(VALUE(LEFT(R1093,LEN(R1093)-5)),""))</f>
        <v>2.07</v>
      </c>
      <c r="BP1093" s="6" t="n">
        <f aca="false">IF(R1093="-","",IFERROR(VALUE(F1093),""))</f>
        <v>134.05</v>
      </c>
      <c r="BQ1093" s="4" t="n">
        <f aca="false">IF(R1093="-",1,0)</f>
        <v>0</v>
      </c>
    </row>
    <row r="1094" customFormat="false" ht="15" hidden="false" customHeight="false" outlineLevel="0" collapsed="false">
      <c r="A1094" s="0" t="s">
        <v>4274</v>
      </c>
      <c r="B1094" s="0" t="s">
        <v>4275</v>
      </c>
      <c r="C1094" s="0" t="s">
        <v>70</v>
      </c>
      <c r="E1094" s="3" t="n">
        <v>46275</v>
      </c>
      <c r="F1094" s="4" t="s">
        <v>4284</v>
      </c>
      <c r="G1094" s="5" t="n">
        <v>0.59912037037037</v>
      </c>
      <c r="H1094" s="5" t="n">
        <v>0</v>
      </c>
      <c r="I1094" s="5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5" t="n">
        <v>0</v>
      </c>
      <c r="P1094" s="5" t="n">
        <v>0.00859953703703704</v>
      </c>
      <c r="Q1094" s="4" t="s">
        <v>4285</v>
      </c>
      <c r="R1094" s="4" t="s">
        <v>3006</v>
      </c>
      <c r="S1094" s="5" t="n">
        <v>0.000115740740740741</v>
      </c>
      <c r="T1094" s="5" t="n">
        <v>0.18275462962963</v>
      </c>
      <c r="U1094" s="5" t="n">
        <v>0.18587962962963</v>
      </c>
      <c r="V1094" s="5" t="n">
        <v>0.0438657407407407</v>
      </c>
      <c r="W1094" s="5" t="n">
        <v>0</v>
      </c>
      <c r="X1094" s="5" t="n">
        <v>0</v>
      </c>
      <c r="Y1094" s="5" t="n">
        <v>0</v>
      </c>
      <c r="Z1094" s="0" t="n">
        <v>0</v>
      </c>
      <c r="AA1094" s="0" t="n">
        <v>0</v>
      </c>
      <c r="AB1094" s="0" t="n">
        <v>0</v>
      </c>
      <c r="AC1094" s="4" t="s">
        <v>208</v>
      </c>
      <c r="AD1094" s="4" t="s">
        <v>208</v>
      </c>
      <c r="AE1094" s="4" t="s">
        <v>4283</v>
      </c>
      <c r="AF1094" s="4" t="s">
        <v>4286</v>
      </c>
      <c r="AG1094" s="5" t="n">
        <v>0.363298611111111</v>
      </c>
      <c r="AH1094" s="5" t="n">
        <v>0.307928240740741</v>
      </c>
      <c r="AI1094" s="5" t="n">
        <v>0</v>
      </c>
      <c r="AJ1094" s="5" t="n">
        <v>0</v>
      </c>
      <c r="AK1094" s="5" t="n">
        <v>0</v>
      </c>
      <c r="AL1094" s="5" t="n">
        <v>0</v>
      </c>
      <c r="AM1094" s="4" t="s">
        <v>78</v>
      </c>
      <c r="AN1094" s="0" t="n">
        <v>0</v>
      </c>
      <c r="AO1094" s="0" t="n">
        <v>0</v>
      </c>
      <c r="AP1094" s="0" t="n">
        <v>0</v>
      </c>
      <c r="AQ1094" s="0" t="n">
        <v>0</v>
      </c>
      <c r="AR1094" s="0" t="n">
        <v>0</v>
      </c>
      <c r="AS1094" s="0" t="n">
        <v>0</v>
      </c>
      <c r="AT1094" s="0" t="n">
        <v>0</v>
      </c>
      <c r="AU1094" s="0" t="n">
        <v>0</v>
      </c>
      <c r="AV1094" s="0" t="n">
        <v>0</v>
      </c>
      <c r="AW1094" s="0" t="n">
        <v>0</v>
      </c>
      <c r="AX1094" s="0" t="n">
        <v>0</v>
      </c>
      <c r="AY1094" s="0" t="n">
        <v>0</v>
      </c>
      <c r="AZ1094" s="0" t="n">
        <v>0</v>
      </c>
      <c r="BA1094" s="0" t="n">
        <v>0</v>
      </c>
      <c r="BB1094" s="0" t="n">
        <v>0</v>
      </c>
      <c r="BC1094" s="0" t="n">
        <v>0</v>
      </c>
      <c r="BD1094" s="0" t="n">
        <v>1</v>
      </c>
      <c r="BE1094" s="0" t="n">
        <v>0</v>
      </c>
      <c r="BF1094" s="0" t="n">
        <v>0</v>
      </c>
      <c r="BG1094" s="0" t="n">
        <v>0</v>
      </c>
      <c r="BH1094" s="0" t="n">
        <v>0</v>
      </c>
      <c r="BI1094" s="0" t="n">
        <v>0</v>
      </c>
      <c r="BJ1094" s="0" t="n">
        <v>0</v>
      </c>
      <c r="BK1094" s="0" t="n">
        <v>0</v>
      </c>
      <c r="BM1094" s="6" t="n">
        <f aca="false">IFERROR(VALUE(F1094),"")</f>
        <v>259.21</v>
      </c>
      <c r="BN1094" s="6" t="n">
        <f aca="false">IF(R1094="-","",IFERROR(VALUE(LEFT(Q1094,LEN(Q1094)-2)),""))</f>
        <v>111.78</v>
      </c>
      <c r="BO1094" s="6" t="n">
        <f aca="false">IF(R1094="-","",IFERROR(VALUE(LEFT(R1094,LEN(R1094)-5)),""))</f>
        <v>2.32</v>
      </c>
      <c r="BP1094" s="6" t="n">
        <f aca="false">IF(R1094="-","",IFERROR(VALUE(F1094),""))</f>
        <v>259.21</v>
      </c>
      <c r="BQ1094" s="4" t="n">
        <f aca="false">IF(R1094="-",1,0)</f>
        <v>0</v>
      </c>
    </row>
    <row r="1095" customFormat="false" ht="15" hidden="false" customHeight="false" outlineLevel="0" collapsed="false">
      <c r="A1095" s="0" t="s">
        <v>4274</v>
      </c>
      <c r="B1095" s="0" t="s">
        <v>4275</v>
      </c>
      <c r="C1095" s="0" t="s">
        <v>70</v>
      </c>
      <c r="E1095" s="3" t="n">
        <v>46276</v>
      </c>
      <c r="F1095" s="4" t="s">
        <v>4287</v>
      </c>
      <c r="G1095" s="5" t="n">
        <v>0.428935185185185</v>
      </c>
      <c r="H1095" s="5" t="n">
        <v>0</v>
      </c>
      <c r="I1095" s="5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4</v>
      </c>
      <c r="O1095" s="5" t="n">
        <v>0</v>
      </c>
      <c r="P1095" s="5" t="n">
        <v>0</v>
      </c>
      <c r="Q1095" s="4" t="s">
        <v>4288</v>
      </c>
      <c r="R1095" s="4" t="s">
        <v>2765</v>
      </c>
      <c r="S1095" s="5" t="n">
        <v>0.000115740740740741</v>
      </c>
      <c r="T1095" s="5" t="n">
        <v>0.175231481481482</v>
      </c>
      <c r="U1095" s="5" t="n">
        <v>0.182060185185185</v>
      </c>
      <c r="V1095" s="5" t="n">
        <v>0.0491898148148148</v>
      </c>
      <c r="W1095" s="5" t="n">
        <v>0.000115740740740741</v>
      </c>
      <c r="X1095" s="5" t="n">
        <v>0</v>
      </c>
      <c r="Y1095" s="5" t="n">
        <v>0</v>
      </c>
      <c r="Z1095" s="0" t="n">
        <v>0</v>
      </c>
      <c r="AA1095" s="0" t="n">
        <v>0</v>
      </c>
      <c r="AB1095" s="0" t="n">
        <v>0</v>
      </c>
      <c r="AC1095" s="4" t="s">
        <v>208</v>
      </c>
      <c r="AD1095" s="4" t="s">
        <v>208</v>
      </c>
      <c r="AE1095" s="4" t="s">
        <v>4286</v>
      </c>
      <c r="AF1095" s="4" t="s">
        <v>4289</v>
      </c>
      <c r="AG1095" s="5" t="n">
        <v>0.367013888888889</v>
      </c>
      <c r="AH1095" s="5" t="n">
        <v>0.140497685185185</v>
      </c>
      <c r="AI1095" s="5" t="n">
        <v>0</v>
      </c>
      <c r="AJ1095" s="5" t="n">
        <v>0</v>
      </c>
      <c r="AK1095" s="5" t="n">
        <v>0</v>
      </c>
      <c r="AL1095" s="5" t="n">
        <v>0</v>
      </c>
      <c r="AM1095" s="4" t="s">
        <v>78</v>
      </c>
      <c r="AN1095" s="0" t="n">
        <v>0</v>
      </c>
      <c r="AO1095" s="0" t="n">
        <v>0</v>
      </c>
      <c r="AP1095" s="0" t="n">
        <v>0</v>
      </c>
      <c r="AQ1095" s="0" t="n">
        <v>0</v>
      </c>
      <c r="AR1095" s="0" t="n">
        <v>0</v>
      </c>
      <c r="AS1095" s="0" t="n">
        <v>0</v>
      </c>
      <c r="AT1095" s="0" t="n">
        <v>0</v>
      </c>
      <c r="AU1095" s="0" t="n">
        <v>0</v>
      </c>
      <c r="AV1095" s="0" t="n">
        <v>0</v>
      </c>
      <c r="AW1095" s="0" t="n">
        <v>0</v>
      </c>
      <c r="AX1095" s="0" t="n">
        <v>0</v>
      </c>
      <c r="AY1095" s="0" t="n">
        <v>0</v>
      </c>
      <c r="AZ1095" s="0" t="n">
        <v>0</v>
      </c>
      <c r="BA1095" s="0" t="n">
        <v>0</v>
      </c>
      <c r="BB1095" s="0" t="n">
        <v>0</v>
      </c>
      <c r="BC1095" s="0" t="n">
        <v>0</v>
      </c>
      <c r="BD1095" s="0" t="n">
        <v>0</v>
      </c>
      <c r="BE1095" s="0" t="n">
        <v>0</v>
      </c>
      <c r="BF1095" s="0" t="n">
        <v>0</v>
      </c>
      <c r="BG1095" s="0" t="n">
        <v>0</v>
      </c>
      <c r="BH1095" s="0" t="n">
        <v>0</v>
      </c>
      <c r="BI1095" s="0" t="n">
        <v>0</v>
      </c>
      <c r="BJ1095" s="0" t="n">
        <v>0</v>
      </c>
      <c r="BK1095" s="0" t="n">
        <v>0</v>
      </c>
      <c r="BM1095" s="6" t="n">
        <f aca="false">IFERROR(VALUE(F1095),"")</f>
        <v>259.93</v>
      </c>
      <c r="BN1095" s="6" t="n">
        <f aca="false">IF(R1095="-","",IFERROR(VALUE(LEFT(Q1095,LEN(Q1095)-2)),""))</f>
        <v>115.94</v>
      </c>
      <c r="BO1095" s="6" t="n">
        <f aca="false">IF(R1095="-","",IFERROR(VALUE(LEFT(R1095,LEN(R1095)-5)),""))</f>
        <v>2.24</v>
      </c>
      <c r="BP1095" s="6" t="n">
        <f aca="false">IF(R1095="-","",IFERROR(VALUE(F1095),""))</f>
        <v>259.93</v>
      </c>
      <c r="BQ1095" s="4" t="n">
        <f aca="false">IF(R1095="-",1,0)</f>
        <v>0</v>
      </c>
    </row>
    <row r="1096" customFormat="false" ht="15" hidden="false" customHeight="false" outlineLevel="0" collapsed="false">
      <c r="A1096" s="0" t="s">
        <v>4274</v>
      </c>
      <c r="B1096" s="0" t="s">
        <v>4275</v>
      </c>
      <c r="C1096" s="0" t="s">
        <v>70</v>
      </c>
      <c r="E1096" s="3" t="n">
        <v>46277</v>
      </c>
      <c r="F1096" s="4" t="s">
        <v>216</v>
      </c>
      <c r="G1096" s="5" t="n">
        <v>0.00372685185185185</v>
      </c>
      <c r="H1096" s="5" t="n">
        <v>0</v>
      </c>
      <c r="I1096" s="5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5" t="n">
        <v>0</v>
      </c>
      <c r="P1096" s="5" t="n">
        <v>0</v>
      </c>
      <c r="Q1096" s="4" t="s">
        <v>4290</v>
      </c>
      <c r="R1096" s="4" t="s">
        <v>4291</v>
      </c>
      <c r="S1096" s="5" t="n">
        <v>0.000115740740740741</v>
      </c>
      <c r="T1096" s="5" t="n">
        <v>0.00243055555555556</v>
      </c>
      <c r="U1096" s="5" t="n">
        <v>0.000925925925925926</v>
      </c>
      <c r="V1096" s="5" t="n">
        <v>0</v>
      </c>
      <c r="W1096" s="5" t="n">
        <v>0</v>
      </c>
      <c r="X1096" s="5" t="n">
        <v>0</v>
      </c>
      <c r="Y1096" s="5" t="n">
        <v>0</v>
      </c>
      <c r="Z1096" s="0" t="n">
        <v>0</v>
      </c>
      <c r="AA1096" s="0" t="n">
        <v>0</v>
      </c>
      <c r="AB1096" s="0" t="n">
        <v>0</v>
      </c>
      <c r="AC1096" s="4" t="s">
        <v>208</v>
      </c>
      <c r="AD1096" s="4" t="s">
        <v>208</v>
      </c>
      <c r="AE1096" s="4" t="s">
        <v>4289</v>
      </c>
      <c r="AF1096" s="4" t="s">
        <v>4292</v>
      </c>
      <c r="AG1096" s="5" t="n">
        <v>0.0024537037037037</v>
      </c>
      <c r="AH1096" s="5" t="n">
        <v>0.0184606481481482</v>
      </c>
      <c r="AI1096" s="5" t="n">
        <v>0</v>
      </c>
      <c r="AJ1096" s="5" t="n">
        <v>0</v>
      </c>
      <c r="AK1096" s="5" t="n">
        <v>0</v>
      </c>
      <c r="AL1096" s="5" t="n">
        <v>0</v>
      </c>
      <c r="AM1096" s="4" t="s">
        <v>78</v>
      </c>
      <c r="AN1096" s="0" t="n">
        <v>0</v>
      </c>
      <c r="AO1096" s="0" t="n">
        <v>0</v>
      </c>
      <c r="AP1096" s="0" t="n">
        <v>0</v>
      </c>
      <c r="AQ1096" s="0" t="n">
        <v>0</v>
      </c>
      <c r="AR1096" s="0" t="n">
        <v>0</v>
      </c>
      <c r="AS1096" s="0" t="n">
        <v>0</v>
      </c>
      <c r="AT1096" s="0" t="n">
        <v>0</v>
      </c>
      <c r="AU1096" s="0" t="n">
        <v>0</v>
      </c>
      <c r="AV1096" s="0" t="n">
        <v>0</v>
      </c>
      <c r="AW1096" s="0" t="n">
        <v>0</v>
      </c>
      <c r="AX1096" s="0" t="n">
        <v>0</v>
      </c>
      <c r="AY1096" s="0" t="n">
        <v>0</v>
      </c>
      <c r="AZ1096" s="0" t="n">
        <v>0</v>
      </c>
      <c r="BA1096" s="0" t="n">
        <v>0</v>
      </c>
      <c r="BB1096" s="0" t="n">
        <v>0</v>
      </c>
      <c r="BC1096" s="0" t="n">
        <v>0</v>
      </c>
      <c r="BD1096" s="0" t="n">
        <v>0</v>
      </c>
      <c r="BE1096" s="0" t="n">
        <v>0</v>
      </c>
      <c r="BF1096" s="0" t="n">
        <v>0</v>
      </c>
      <c r="BG1096" s="0" t="n">
        <v>0</v>
      </c>
      <c r="BH1096" s="0" t="n">
        <v>0</v>
      </c>
      <c r="BI1096" s="0" t="n">
        <v>0</v>
      </c>
      <c r="BJ1096" s="0" t="n">
        <v>0</v>
      </c>
      <c r="BK1096" s="0" t="n">
        <v>0</v>
      </c>
      <c r="BM1096" s="6" t="n">
        <f aca="false">IFERROR(VALUE(F1096),"")</f>
        <v>0.19</v>
      </c>
      <c r="BN1096" s="6" t="n">
        <f aca="false">IF(R1096="-","",IFERROR(VALUE(LEFT(Q1096,LEN(Q1096)-2)),""))</f>
        <v>0.39</v>
      </c>
      <c r="BO1096" s="6" t="n">
        <f aca="false">IF(R1096="-","",IFERROR(VALUE(LEFT(R1096,LEN(R1096)-5)),""))</f>
        <v>0.49</v>
      </c>
      <c r="BP1096" s="6" t="n">
        <f aca="false">IF(R1096="-","",IFERROR(VALUE(F1096),""))</f>
        <v>0.19</v>
      </c>
      <c r="BQ1096" s="4" t="n">
        <f aca="false">IF(R1096="-",1,0)</f>
        <v>0</v>
      </c>
    </row>
    <row r="1097" customFormat="false" ht="15" hidden="false" customHeight="false" outlineLevel="0" collapsed="false">
      <c r="A1097" s="0" t="s">
        <v>4274</v>
      </c>
      <c r="B1097" s="0" t="s">
        <v>4275</v>
      </c>
      <c r="C1097" s="0" t="s">
        <v>70</v>
      </c>
      <c r="E1097" s="3" t="n">
        <v>46278</v>
      </c>
      <c r="F1097" s="4" t="s">
        <v>95</v>
      </c>
      <c r="G1097" s="5" t="n">
        <v>0</v>
      </c>
      <c r="H1097" s="5" t="n">
        <v>0</v>
      </c>
      <c r="I1097" s="5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5" t="n">
        <v>0</v>
      </c>
      <c r="P1097" s="5" t="n">
        <v>0</v>
      </c>
      <c r="Q1097" s="4" t="s">
        <v>73</v>
      </c>
      <c r="R1097" s="4" t="s">
        <v>73</v>
      </c>
      <c r="S1097" s="5" t="n">
        <v>0</v>
      </c>
      <c r="T1097" s="5" t="n">
        <v>0</v>
      </c>
      <c r="U1097" s="5" t="n">
        <v>0</v>
      </c>
      <c r="V1097" s="5" t="n">
        <v>0</v>
      </c>
      <c r="W1097" s="5" t="n">
        <v>0</v>
      </c>
      <c r="X1097" s="5" t="n">
        <v>0</v>
      </c>
      <c r="Y1097" s="5" t="n">
        <v>0</v>
      </c>
      <c r="Z1097" s="0" t="n">
        <v>0</v>
      </c>
      <c r="AA1097" s="0" t="n">
        <v>0</v>
      </c>
      <c r="AB1097" s="0" t="n">
        <v>0</v>
      </c>
      <c r="AC1097" s="4" t="s">
        <v>208</v>
      </c>
      <c r="AD1097" s="4" t="s">
        <v>208</v>
      </c>
      <c r="AE1097" s="4" t="s">
        <v>4292</v>
      </c>
      <c r="AF1097" s="4" t="s">
        <v>4292</v>
      </c>
      <c r="AG1097" s="5" t="n">
        <v>0</v>
      </c>
      <c r="AH1097" s="5" t="n">
        <v>0.0128935185185185</v>
      </c>
      <c r="AI1097" s="5" t="n">
        <v>0</v>
      </c>
      <c r="AJ1097" s="5" t="n">
        <v>0</v>
      </c>
      <c r="AK1097" s="5" t="n">
        <v>0</v>
      </c>
      <c r="AL1097" s="5" t="n">
        <v>0</v>
      </c>
      <c r="AM1097" s="4" t="s">
        <v>78</v>
      </c>
      <c r="AN1097" s="0" t="n">
        <v>0</v>
      </c>
      <c r="AO1097" s="0" t="n">
        <v>0</v>
      </c>
      <c r="AP1097" s="0" t="n">
        <v>0</v>
      </c>
      <c r="AQ1097" s="0" t="n">
        <v>0</v>
      </c>
      <c r="AR1097" s="0" t="n">
        <v>0</v>
      </c>
      <c r="AS1097" s="0" t="n">
        <v>0</v>
      </c>
      <c r="AT1097" s="0" t="n">
        <v>0</v>
      </c>
      <c r="AU1097" s="0" t="n">
        <v>0</v>
      </c>
      <c r="AV1097" s="0" t="n">
        <v>0</v>
      </c>
      <c r="AW1097" s="0" t="n">
        <v>0</v>
      </c>
      <c r="AX1097" s="0" t="n">
        <v>0</v>
      </c>
      <c r="AY1097" s="0" t="n">
        <v>0</v>
      </c>
      <c r="AZ1097" s="0" t="n">
        <v>0</v>
      </c>
      <c r="BA1097" s="0" t="n">
        <v>0</v>
      </c>
      <c r="BB1097" s="0" t="n">
        <v>0</v>
      </c>
      <c r="BC1097" s="0" t="n">
        <v>0</v>
      </c>
      <c r="BD1097" s="0" t="n">
        <v>0</v>
      </c>
      <c r="BE1097" s="0" t="n">
        <v>0</v>
      </c>
      <c r="BF1097" s="0" t="n">
        <v>0</v>
      </c>
      <c r="BG1097" s="0" t="n">
        <v>0</v>
      </c>
      <c r="BH1097" s="0" t="n">
        <v>0</v>
      </c>
      <c r="BI1097" s="0" t="n">
        <v>0</v>
      </c>
      <c r="BJ1097" s="0" t="n">
        <v>0</v>
      </c>
      <c r="BK1097" s="0" t="n">
        <v>0</v>
      </c>
      <c r="BM1097" s="6" t="n">
        <f aca="false">IFERROR(VALUE(F1097),"")</f>
        <v>0</v>
      </c>
      <c r="BN1097" s="6" t="str">
        <f aca="false">IF(R1097="-","",IFERROR(VALUE(LEFT(Q1097,LEN(Q1097)-2)),""))</f>
        <v/>
      </c>
      <c r="BO1097" s="6" t="str">
        <f aca="false">IF(R1097="-","",IFERROR(VALUE(LEFT(R1097,LEN(R1097)-5)),""))</f>
        <v/>
      </c>
      <c r="BP1097" s="6" t="str">
        <f aca="false">IF(R1097="-","",IFERROR(VALUE(F1097),""))</f>
        <v/>
      </c>
      <c r="BQ1097" s="4" t="n">
        <f aca="false">IF(R1097="-",1,0)</f>
        <v>1</v>
      </c>
    </row>
    <row r="1098" customFormat="false" ht="15" hidden="false" customHeight="false" outlineLevel="0" collapsed="false">
      <c r="A1098" s="0" t="s">
        <v>4274</v>
      </c>
      <c r="B1098" s="0" t="s">
        <v>4275</v>
      </c>
      <c r="C1098" s="0" t="s">
        <v>70</v>
      </c>
      <c r="E1098" s="3" t="n">
        <v>46279</v>
      </c>
      <c r="F1098" s="4" t="s">
        <v>4293</v>
      </c>
      <c r="G1098" s="5" t="n">
        <v>0.433680555555556</v>
      </c>
      <c r="H1098" s="5" t="n">
        <v>0</v>
      </c>
      <c r="I1098" s="5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5" t="n">
        <v>0</v>
      </c>
      <c r="P1098" s="5" t="n">
        <v>0</v>
      </c>
      <c r="Q1098" s="4" t="s">
        <v>4294</v>
      </c>
      <c r="R1098" s="4" t="s">
        <v>2765</v>
      </c>
      <c r="S1098" s="5" t="n">
        <v>0</v>
      </c>
      <c r="T1098" s="5" t="n">
        <v>0.175578703703704</v>
      </c>
      <c r="U1098" s="5" t="n">
        <v>0.193055555555556</v>
      </c>
      <c r="V1098" s="5" t="n">
        <v>0.0457175925925926</v>
      </c>
      <c r="W1098" s="5" t="n">
        <v>0</v>
      </c>
      <c r="X1098" s="5" t="n">
        <v>0</v>
      </c>
      <c r="Y1098" s="5" t="n">
        <v>0</v>
      </c>
      <c r="Z1098" s="0" t="n">
        <v>0</v>
      </c>
      <c r="AA1098" s="0" t="n">
        <v>0</v>
      </c>
      <c r="AB1098" s="0" t="n">
        <v>0</v>
      </c>
      <c r="AC1098" s="4" t="s">
        <v>208</v>
      </c>
      <c r="AD1098" s="4" t="s">
        <v>208</v>
      </c>
      <c r="AE1098" s="4" t="s">
        <v>4292</v>
      </c>
      <c r="AF1098" s="4" t="s">
        <v>4295</v>
      </c>
      <c r="AG1098" s="5" t="n">
        <v>0.367708333333333</v>
      </c>
      <c r="AH1098" s="5" t="n">
        <v>0.151412037037037</v>
      </c>
      <c r="AI1098" s="5" t="n">
        <v>0</v>
      </c>
      <c r="AJ1098" s="5" t="n">
        <v>0</v>
      </c>
      <c r="AK1098" s="5" t="n">
        <v>0</v>
      </c>
      <c r="AL1098" s="5" t="n">
        <v>0</v>
      </c>
      <c r="AM1098" s="4" t="s">
        <v>78</v>
      </c>
      <c r="AN1098" s="0" t="n">
        <v>0</v>
      </c>
      <c r="AO1098" s="0" t="n">
        <v>0</v>
      </c>
      <c r="AP1098" s="0" t="n">
        <v>0</v>
      </c>
      <c r="AQ1098" s="0" t="n">
        <v>0</v>
      </c>
      <c r="AR1098" s="0" t="n">
        <v>0</v>
      </c>
      <c r="AS1098" s="0" t="n">
        <v>0</v>
      </c>
      <c r="AT1098" s="0" t="n">
        <v>0</v>
      </c>
      <c r="AU1098" s="0" t="n">
        <v>0</v>
      </c>
      <c r="AV1098" s="0" t="n">
        <v>0</v>
      </c>
      <c r="AW1098" s="0" t="n">
        <v>0</v>
      </c>
      <c r="AX1098" s="0" t="n">
        <v>0</v>
      </c>
      <c r="AY1098" s="0" t="n">
        <v>0</v>
      </c>
      <c r="AZ1098" s="0" t="n">
        <v>0</v>
      </c>
      <c r="BA1098" s="0" t="n">
        <v>0</v>
      </c>
      <c r="BB1098" s="0" t="n">
        <v>0</v>
      </c>
      <c r="BC1098" s="0" t="n">
        <v>0</v>
      </c>
      <c r="BD1098" s="0" t="n">
        <v>3</v>
      </c>
      <c r="BE1098" s="0" t="n">
        <v>0</v>
      </c>
      <c r="BF1098" s="0" t="n">
        <v>0</v>
      </c>
      <c r="BG1098" s="0" t="n">
        <v>0</v>
      </c>
      <c r="BH1098" s="0" t="n">
        <v>0</v>
      </c>
      <c r="BI1098" s="0" t="n">
        <v>0</v>
      </c>
      <c r="BJ1098" s="0" t="n">
        <v>0</v>
      </c>
      <c r="BK1098" s="0" t="n">
        <v>0</v>
      </c>
      <c r="BM1098" s="6" t="n">
        <f aca="false">IFERROR(VALUE(F1098),"")</f>
        <v>259.31</v>
      </c>
      <c r="BN1098" s="6" t="n">
        <f aca="false">IF(R1098="-","",IFERROR(VALUE(LEFT(Q1098,LEN(Q1098)-2)),""))</f>
        <v>115.96</v>
      </c>
      <c r="BO1098" s="6" t="n">
        <f aca="false">IF(R1098="-","",IFERROR(VALUE(LEFT(R1098,LEN(R1098)-5)),""))</f>
        <v>2.24</v>
      </c>
      <c r="BP1098" s="6" t="n">
        <f aca="false">IF(R1098="-","",IFERROR(VALUE(F1098),""))</f>
        <v>259.31</v>
      </c>
      <c r="BQ1098" s="4" t="n">
        <f aca="false">IF(R1098="-",1,0)</f>
        <v>0</v>
      </c>
    </row>
    <row r="1099" customFormat="false" ht="15" hidden="false" customHeight="false" outlineLevel="0" collapsed="false">
      <c r="A1099" s="0" t="s">
        <v>4296</v>
      </c>
      <c r="B1099" s="0" t="s">
        <v>4297</v>
      </c>
      <c r="C1099" s="0" t="s">
        <v>70</v>
      </c>
      <c r="E1099" s="3" t="n">
        <v>46273</v>
      </c>
      <c r="F1099" s="4" t="s">
        <v>95</v>
      </c>
      <c r="G1099" s="5" t="n">
        <v>0.0040625</v>
      </c>
      <c r="H1099" s="5" t="n">
        <v>0</v>
      </c>
      <c r="I1099" s="5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5" t="n">
        <v>0</v>
      </c>
      <c r="P1099" s="5" t="n">
        <v>0</v>
      </c>
      <c r="Q1099" s="4" t="s">
        <v>2548</v>
      </c>
      <c r="R1099" s="4" t="s">
        <v>454</v>
      </c>
      <c r="S1099" s="5" t="n">
        <v>0</v>
      </c>
      <c r="T1099" s="5" t="n">
        <v>0.00196759259259259</v>
      </c>
      <c r="U1099" s="5" t="n">
        <v>0.00162037037037037</v>
      </c>
      <c r="V1099" s="5" t="n">
        <v>0.000347222222222222</v>
      </c>
      <c r="W1099" s="5" t="n">
        <v>0</v>
      </c>
      <c r="X1099" s="5" t="n">
        <v>0</v>
      </c>
      <c r="Y1099" s="5" t="n">
        <v>0</v>
      </c>
      <c r="Z1099" s="0" t="n">
        <v>0</v>
      </c>
      <c r="AA1099" s="0" t="n">
        <v>0</v>
      </c>
      <c r="AB1099" s="0" t="n">
        <v>0</v>
      </c>
      <c r="AC1099" s="4" t="s">
        <v>152</v>
      </c>
      <c r="AD1099" s="4" t="s">
        <v>152</v>
      </c>
      <c r="AE1099" s="4" t="s">
        <v>4298</v>
      </c>
      <c r="AF1099" s="4" t="s">
        <v>4298</v>
      </c>
      <c r="AG1099" s="5" t="n">
        <v>0.00146990740740741</v>
      </c>
      <c r="AH1099" s="5" t="n">
        <v>0.0161458333333333</v>
      </c>
      <c r="AI1099" s="5" t="n">
        <v>0</v>
      </c>
      <c r="AJ1099" s="5" t="n">
        <v>0</v>
      </c>
      <c r="AK1099" s="5" t="n">
        <v>0</v>
      </c>
      <c r="AL1099" s="5" t="n">
        <v>0</v>
      </c>
      <c r="AM1099" s="4" t="s">
        <v>78</v>
      </c>
      <c r="AN1099" s="0" t="n">
        <v>0</v>
      </c>
      <c r="AO1099" s="0" t="n">
        <v>0</v>
      </c>
      <c r="AP1099" s="0" t="n">
        <v>0</v>
      </c>
      <c r="AQ1099" s="0" t="n">
        <v>0</v>
      </c>
      <c r="AR1099" s="0" t="n">
        <v>0</v>
      </c>
      <c r="AS1099" s="0" t="n">
        <v>0</v>
      </c>
      <c r="AT1099" s="0" t="n">
        <v>0</v>
      </c>
      <c r="AU1099" s="0" t="n">
        <v>0</v>
      </c>
      <c r="AV1099" s="0" t="n">
        <v>0</v>
      </c>
      <c r="AW1099" s="0" t="n">
        <v>0</v>
      </c>
      <c r="AX1099" s="0" t="n">
        <v>0</v>
      </c>
      <c r="AY1099" s="0" t="n">
        <v>0</v>
      </c>
      <c r="AZ1099" s="0" t="n">
        <v>0</v>
      </c>
      <c r="BA1099" s="0" t="n">
        <v>0</v>
      </c>
      <c r="BB1099" s="0" t="n">
        <v>0</v>
      </c>
      <c r="BC1099" s="0" t="n">
        <v>0</v>
      </c>
      <c r="BD1099" s="0" t="n">
        <v>0</v>
      </c>
      <c r="BE1099" s="0" t="n">
        <v>0</v>
      </c>
      <c r="BF1099" s="0" t="n">
        <v>0</v>
      </c>
      <c r="BG1099" s="0" t="n">
        <v>0</v>
      </c>
      <c r="BH1099" s="0" t="n">
        <v>0</v>
      </c>
      <c r="BI1099" s="0" t="n">
        <v>0</v>
      </c>
      <c r="BJ1099" s="0" t="n">
        <v>0</v>
      </c>
      <c r="BK1099" s="0" t="n">
        <v>0</v>
      </c>
      <c r="BM1099" s="6" t="n">
        <f aca="false">IFERROR(VALUE(F1099),"")</f>
        <v>0</v>
      </c>
      <c r="BN1099" s="6" t="n">
        <f aca="false">IF(R1099="-","",IFERROR(VALUE(LEFT(Q1099,LEN(Q1099)-2)),""))</f>
        <v>0.59</v>
      </c>
      <c r="BO1099" s="6" t="n">
        <f aca="false">IF(R1099="-","",IFERROR(VALUE(LEFT(R1099,LEN(R1099)-5)),""))</f>
        <v>0</v>
      </c>
      <c r="BP1099" s="6" t="n">
        <f aca="false">IF(R1099="-","",IFERROR(VALUE(F1099),""))</f>
        <v>0</v>
      </c>
      <c r="BQ1099" s="4" t="n">
        <f aca="false">IF(R1099="-",1,0)</f>
        <v>0</v>
      </c>
    </row>
    <row r="1100" customFormat="false" ht="15" hidden="false" customHeight="false" outlineLevel="0" collapsed="false">
      <c r="A1100" s="0" t="s">
        <v>4296</v>
      </c>
      <c r="B1100" s="0" t="s">
        <v>4297</v>
      </c>
      <c r="C1100" s="0" t="s">
        <v>70</v>
      </c>
      <c r="E1100" s="3" t="n">
        <v>46275</v>
      </c>
      <c r="F1100" s="4" t="s">
        <v>95</v>
      </c>
      <c r="G1100" s="5" t="n">
        <v>0.00200231481481482</v>
      </c>
      <c r="H1100" s="5" t="n">
        <v>0</v>
      </c>
      <c r="I1100" s="5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5" t="n">
        <v>0</v>
      </c>
      <c r="P1100" s="5" t="n">
        <v>0</v>
      </c>
      <c r="Q1100" s="4" t="s">
        <v>1445</v>
      </c>
      <c r="R1100" s="4" t="s">
        <v>454</v>
      </c>
      <c r="S1100" s="5" t="n">
        <v>0</v>
      </c>
      <c r="T1100" s="5" t="n">
        <v>0.000810185185185185</v>
      </c>
      <c r="U1100" s="5" t="n">
        <v>0.00115740740740741</v>
      </c>
      <c r="V1100" s="5" t="n">
        <v>0</v>
      </c>
      <c r="W1100" s="5" t="n">
        <v>0</v>
      </c>
      <c r="X1100" s="5" t="n">
        <v>0</v>
      </c>
      <c r="Y1100" s="5" t="n">
        <v>0</v>
      </c>
      <c r="Z1100" s="0" t="n">
        <v>0</v>
      </c>
      <c r="AA1100" s="0" t="n">
        <v>0</v>
      </c>
      <c r="AB1100" s="0" t="n">
        <v>0</v>
      </c>
      <c r="AC1100" s="4" t="s">
        <v>152</v>
      </c>
      <c r="AD1100" s="4" t="s">
        <v>152</v>
      </c>
      <c r="AE1100" s="4" t="s">
        <v>4298</v>
      </c>
      <c r="AF1100" s="4" t="s">
        <v>4298</v>
      </c>
      <c r="AG1100" s="5" t="n">
        <v>0.000324074074074074</v>
      </c>
      <c r="AH1100" s="5" t="n">
        <v>0.0185185185185185</v>
      </c>
      <c r="AI1100" s="5" t="n">
        <v>0</v>
      </c>
      <c r="AJ1100" s="5" t="n">
        <v>0</v>
      </c>
      <c r="AK1100" s="5" t="n">
        <v>0</v>
      </c>
      <c r="AL1100" s="5" t="n">
        <v>0</v>
      </c>
      <c r="AM1100" s="4" t="s">
        <v>78</v>
      </c>
      <c r="AN1100" s="0" t="n">
        <v>0</v>
      </c>
      <c r="AO1100" s="0" t="n">
        <v>0</v>
      </c>
      <c r="AP1100" s="0" t="n">
        <v>0</v>
      </c>
      <c r="AQ1100" s="0" t="n">
        <v>0</v>
      </c>
      <c r="AR1100" s="0" t="n">
        <v>0</v>
      </c>
      <c r="AS1100" s="0" t="n">
        <v>0</v>
      </c>
      <c r="AT1100" s="0" t="n">
        <v>0</v>
      </c>
      <c r="AU1100" s="0" t="n">
        <v>0</v>
      </c>
      <c r="AV1100" s="0" t="n">
        <v>0</v>
      </c>
      <c r="AW1100" s="0" t="n">
        <v>0</v>
      </c>
      <c r="AX1100" s="0" t="n">
        <v>0</v>
      </c>
      <c r="AY1100" s="0" t="n">
        <v>0</v>
      </c>
      <c r="AZ1100" s="0" t="n">
        <v>0</v>
      </c>
      <c r="BA1100" s="0" t="n">
        <v>0</v>
      </c>
      <c r="BB1100" s="0" t="n">
        <v>0</v>
      </c>
      <c r="BC1100" s="0" t="n">
        <v>0</v>
      </c>
      <c r="BD1100" s="0" t="n">
        <v>0</v>
      </c>
      <c r="BE1100" s="0" t="n">
        <v>0</v>
      </c>
      <c r="BF1100" s="0" t="n">
        <v>0</v>
      </c>
      <c r="BG1100" s="0" t="n">
        <v>0</v>
      </c>
      <c r="BH1100" s="0" t="n">
        <v>0</v>
      </c>
      <c r="BI1100" s="0" t="n">
        <v>0</v>
      </c>
      <c r="BJ1100" s="0" t="n">
        <v>0</v>
      </c>
      <c r="BK1100" s="0" t="n">
        <v>0</v>
      </c>
      <c r="BM1100" s="6" t="n">
        <f aca="false">IFERROR(VALUE(F1100),"")</f>
        <v>0</v>
      </c>
      <c r="BN1100" s="6" t="n">
        <f aca="false">IF(R1100="-","",IFERROR(VALUE(LEFT(Q1100,LEN(Q1100)-2)),""))</f>
        <v>0.29</v>
      </c>
      <c r="BO1100" s="6" t="n">
        <f aca="false">IF(R1100="-","",IFERROR(VALUE(LEFT(R1100,LEN(R1100)-5)),""))</f>
        <v>0</v>
      </c>
      <c r="BP1100" s="6" t="n">
        <f aca="false">IF(R1100="-","",IFERROR(VALUE(F1100),""))</f>
        <v>0</v>
      </c>
      <c r="BQ1100" s="4" t="n">
        <f aca="false">IF(R1100="-",1,0)</f>
        <v>0</v>
      </c>
    </row>
    <row r="1101" customFormat="false" ht="15" hidden="false" customHeight="false" outlineLevel="0" collapsed="false">
      <c r="A1101" s="0" t="s">
        <v>4296</v>
      </c>
      <c r="B1101" s="0" t="s">
        <v>4297</v>
      </c>
      <c r="C1101" s="0" t="s">
        <v>70</v>
      </c>
      <c r="E1101" s="3" t="n">
        <v>46276</v>
      </c>
      <c r="F1101" s="4" t="s">
        <v>95</v>
      </c>
      <c r="G1101" s="5" t="n">
        <v>0.00253472222222222</v>
      </c>
      <c r="H1101" s="5" t="n">
        <v>0</v>
      </c>
      <c r="I1101" s="5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5" t="n">
        <v>0</v>
      </c>
      <c r="P1101" s="5" t="n">
        <v>0</v>
      </c>
      <c r="Q1101" s="4" t="s">
        <v>4299</v>
      </c>
      <c r="R1101" s="4" t="s">
        <v>454</v>
      </c>
      <c r="S1101" s="5" t="n">
        <v>0</v>
      </c>
      <c r="T1101" s="5" t="n">
        <v>0.00150462962962963</v>
      </c>
      <c r="U1101" s="5" t="n">
        <v>0.000925925925925926</v>
      </c>
      <c r="V1101" s="5" t="n">
        <v>0</v>
      </c>
      <c r="W1101" s="5" t="n">
        <v>0</v>
      </c>
      <c r="X1101" s="5" t="n">
        <v>0</v>
      </c>
      <c r="Y1101" s="5" t="n">
        <v>0</v>
      </c>
      <c r="Z1101" s="0" t="n">
        <v>0</v>
      </c>
      <c r="AA1101" s="0" t="n">
        <v>0</v>
      </c>
      <c r="AB1101" s="0" t="n">
        <v>0</v>
      </c>
      <c r="AC1101" s="4" t="s">
        <v>152</v>
      </c>
      <c r="AD1101" s="4" t="s">
        <v>152</v>
      </c>
      <c r="AE1101" s="4" t="s">
        <v>4298</v>
      </c>
      <c r="AF1101" s="4" t="s">
        <v>4298</v>
      </c>
      <c r="AG1101" s="5" t="n">
        <v>0.00137731481481482</v>
      </c>
      <c r="AH1101" s="5" t="n">
        <v>0.00947916666666667</v>
      </c>
      <c r="AI1101" s="5" t="n">
        <v>0</v>
      </c>
      <c r="AJ1101" s="5" t="n">
        <v>0</v>
      </c>
      <c r="AK1101" s="5" t="n">
        <v>0</v>
      </c>
      <c r="AL1101" s="5" t="n">
        <v>0</v>
      </c>
      <c r="AM1101" s="4" t="s">
        <v>78</v>
      </c>
      <c r="AN1101" s="0" t="n">
        <v>0</v>
      </c>
      <c r="AO1101" s="0" t="n">
        <v>0</v>
      </c>
      <c r="AP1101" s="0" t="n">
        <v>0</v>
      </c>
      <c r="AQ1101" s="0" t="n">
        <v>0</v>
      </c>
      <c r="AR1101" s="0" t="n">
        <v>0</v>
      </c>
      <c r="AS1101" s="0" t="n">
        <v>0</v>
      </c>
      <c r="AT1101" s="0" t="n">
        <v>0</v>
      </c>
      <c r="AU1101" s="0" t="n">
        <v>0</v>
      </c>
      <c r="AV1101" s="0" t="n">
        <v>0</v>
      </c>
      <c r="AW1101" s="0" t="n">
        <v>0</v>
      </c>
      <c r="AX1101" s="0" t="n">
        <v>0</v>
      </c>
      <c r="AY1101" s="0" t="n">
        <v>0</v>
      </c>
      <c r="AZ1101" s="0" t="n">
        <v>0</v>
      </c>
      <c r="BA1101" s="0" t="n">
        <v>0</v>
      </c>
      <c r="BB1101" s="0" t="n">
        <v>0</v>
      </c>
      <c r="BC1101" s="0" t="n">
        <v>0</v>
      </c>
      <c r="BD1101" s="0" t="n">
        <v>0</v>
      </c>
      <c r="BE1101" s="0" t="n">
        <v>0</v>
      </c>
      <c r="BF1101" s="0" t="n">
        <v>0</v>
      </c>
      <c r="BG1101" s="0" t="n">
        <v>0</v>
      </c>
      <c r="BH1101" s="0" t="n">
        <v>0</v>
      </c>
      <c r="BI1101" s="0" t="n">
        <v>0</v>
      </c>
      <c r="BJ1101" s="0" t="n">
        <v>0</v>
      </c>
      <c r="BK1101" s="0" t="n">
        <v>0</v>
      </c>
      <c r="BM1101" s="6" t="n">
        <f aca="false">IFERROR(VALUE(F1101),"")</f>
        <v>0</v>
      </c>
      <c r="BN1101" s="6" t="n">
        <f aca="false">IF(R1101="-","",IFERROR(VALUE(LEFT(Q1101,LEN(Q1101)-2)),""))</f>
        <v>0.35</v>
      </c>
      <c r="BO1101" s="6" t="n">
        <f aca="false">IF(R1101="-","",IFERROR(VALUE(LEFT(R1101,LEN(R1101)-5)),""))</f>
        <v>0</v>
      </c>
      <c r="BP1101" s="6" t="n">
        <f aca="false">IF(R1101="-","",IFERROR(VALUE(F1101),""))</f>
        <v>0</v>
      </c>
      <c r="BQ1101" s="4" t="n">
        <f aca="false">IF(R1101="-",1,0)</f>
        <v>0</v>
      </c>
    </row>
    <row r="1102" customFormat="false" ht="15" hidden="false" customHeight="false" outlineLevel="0" collapsed="false">
      <c r="A1102" s="0" t="s">
        <v>4300</v>
      </c>
      <c r="B1102" s="0" t="s">
        <v>4301</v>
      </c>
      <c r="C1102" s="0" t="s">
        <v>70</v>
      </c>
      <c r="D1102" s="0" t="s">
        <v>3093</v>
      </c>
      <c r="E1102" s="3" t="n">
        <v>46273</v>
      </c>
      <c r="F1102" s="4" t="s">
        <v>4302</v>
      </c>
      <c r="G1102" s="5" t="n">
        <v>0.246296296296296</v>
      </c>
      <c r="H1102" s="5" t="n">
        <v>0.0784490740740741</v>
      </c>
      <c r="I1102" s="5" t="n">
        <v>0.000393518518518519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5" t="n">
        <v>0</v>
      </c>
      <c r="P1102" s="5" t="n">
        <v>0.0302777777777778</v>
      </c>
      <c r="Q1102" s="4" t="s">
        <v>73</v>
      </c>
      <c r="R1102" s="4" t="s">
        <v>73</v>
      </c>
      <c r="S1102" s="5" t="n">
        <v>0</v>
      </c>
      <c r="T1102" s="5" t="n">
        <v>0.10150462962963</v>
      </c>
      <c r="U1102" s="5" t="n">
        <v>0.0987268518518519</v>
      </c>
      <c r="V1102" s="5" t="n">
        <v>0.00324074074074074</v>
      </c>
      <c r="W1102" s="5" t="n">
        <v>0</v>
      </c>
      <c r="X1102" s="5" t="n">
        <v>0</v>
      </c>
      <c r="Y1102" s="5" t="n">
        <v>0</v>
      </c>
      <c r="Z1102" s="0" t="n">
        <v>0</v>
      </c>
      <c r="AA1102" s="0" t="n">
        <v>0</v>
      </c>
      <c r="AB1102" s="0" t="n">
        <v>0</v>
      </c>
      <c r="AC1102" s="4" t="s">
        <v>158</v>
      </c>
      <c r="AD1102" s="4" t="s">
        <v>152</v>
      </c>
      <c r="AE1102" s="4" t="s">
        <v>4303</v>
      </c>
      <c r="AF1102" s="4" t="s">
        <v>4304</v>
      </c>
      <c r="AG1102" s="5" t="n">
        <v>0.150173611111111</v>
      </c>
      <c r="AH1102" s="5" t="n">
        <v>0.170393518518519</v>
      </c>
      <c r="AI1102" s="5" t="n">
        <v>0</v>
      </c>
      <c r="AJ1102" s="5" t="n">
        <v>0</v>
      </c>
      <c r="AK1102" s="5" t="n">
        <v>0</v>
      </c>
      <c r="AL1102" s="5" t="n">
        <v>0</v>
      </c>
      <c r="AM1102" s="4" t="s">
        <v>78</v>
      </c>
      <c r="AN1102" s="0" t="n">
        <v>0</v>
      </c>
      <c r="AO1102" s="0" t="n">
        <v>0</v>
      </c>
      <c r="AP1102" s="0" t="n">
        <v>0</v>
      </c>
      <c r="AQ1102" s="0" t="n">
        <v>0</v>
      </c>
      <c r="AR1102" s="0" t="n">
        <v>0</v>
      </c>
      <c r="AS1102" s="0" t="n">
        <v>0</v>
      </c>
      <c r="AT1102" s="0" t="n">
        <v>0</v>
      </c>
      <c r="AU1102" s="0" t="n">
        <v>0</v>
      </c>
      <c r="AV1102" s="0" t="n">
        <v>0</v>
      </c>
      <c r="AW1102" s="0" t="n">
        <v>0</v>
      </c>
      <c r="AX1102" s="0" t="n">
        <v>0</v>
      </c>
      <c r="AY1102" s="0" t="n">
        <v>0</v>
      </c>
      <c r="AZ1102" s="0" t="n">
        <v>0</v>
      </c>
      <c r="BA1102" s="0" t="n">
        <v>0</v>
      </c>
      <c r="BB1102" s="0" t="n">
        <v>0</v>
      </c>
      <c r="BC1102" s="0" t="n">
        <v>0</v>
      </c>
      <c r="BD1102" s="0" t="n">
        <v>0</v>
      </c>
      <c r="BE1102" s="0" t="n">
        <v>0</v>
      </c>
      <c r="BF1102" s="0" t="n">
        <v>0</v>
      </c>
      <c r="BG1102" s="0" t="n">
        <v>0</v>
      </c>
      <c r="BH1102" s="0" t="n">
        <v>0</v>
      </c>
      <c r="BI1102" s="0" t="n">
        <v>0</v>
      </c>
      <c r="BJ1102" s="0" t="n">
        <v>0</v>
      </c>
      <c r="BK1102" s="0" t="n">
        <v>0</v>
      </c>
      <c r="BM1102" s="6" t="n">
        <f aca="false">IFERROR(VALUE(F1102),"")</f>
        <v>140.57</v>
      </c>
      <c r="BN1102" s="6" t="str">
        <f aca="false">IF(R1102="-","",IFERROR(VALUE(LEFT(Q1102,LEN(Q1102)-2)),""))</f>
        <v/>
      </c>
      <c r="BO1102" s="6" t="str">
        <f aca="false">IF(R1102="-","",IFERROR(VALUE(LEFT(R1102,LEN(R1102)-5)),""))</f>
        <v/>
      </c>
      <c r="BP1102" s="6" t="str">
        <f aca="false">IF(R1102="-","",IFERROR(VALUE(F1102),""))</f>
        <v/>
      </c>
      <c r="BQ1102" s="4" t="n">
        <f aca="false">IF(R1102="-",1,0)</f>
        <v>1</v>
      </c>
    </row>
    <row r="1103" customFormat="false" ht="15" hidden="false" customHeight="false" outlineLevel="0" collapsed="false">
      <c r="A1103" s="0" t="s">
        <v>4300</v>
      </c>
      <c r="B1103" s="0" t="s">
        <v>4301</v>
      </c>
      <c r="C1103" s="0" t="s">
        <v>70</v>
      </c>
      <c r="D1103" s="0" t="s">
        <v>1118</v>
      </c>
      <c r="E1103" s="3" t="n">
        <v>46274</v>
      </c>
      <c r="F1103" s="4" t="s">
        <v>4305</v>
      </c>
      <c r="G1103" s="5" t="n">
        <v>0.384282407407407</v>
      </c>
      <c r="H1103" s="5" t="n">
        <v>0.257002314814815</v>
      </c>
      <c r="I1103" s="5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5" t="n">
        <v>0</v>
      </c>
      <c r="P1103" s="5" t="n">
        <v>0.0539236111111111</v>
      </c>
      <c r="Q1103" s="4" t="s">
        <v>4306</v>
      </c>
      <c r="R1103" s="4" t="s">
        <v>4307</v>
      </c>
      <c r="S1103" s="5" t="n">
        <v>0</v>
      </c>
      <c r="T1103" s="5" t="n">
        <v>0.146064814814815</v>
      </c>
      <c r="U1103" s="5" t="n">
        <v>0.164351851851852</v>
      </c>
      <c r="V1103" s="5" t="n">
        <v>0.00659722222222222</v>
      </c>
      <c r="W1103" s="5" t="n">
        <v>0</v>
      </c>
      <c r="X1103" s="5" t="n">
        <v>0</v>
      </c>
      <c r="Y1103" s="5" t="n">
        <v>0</v>
      </c>
      <c r="Z1103" s="0" t="n">
        <v>0</v>
      </c>
      <c r="AA1103" s="0" t="n">
        <v>0</v>
      </c>
      <c r="AB1103" s="0" t="n">
        <v>0</v>
      </c>
      <c r="AC1103" s="4" t="s">
        <v>158</v>
      </c>
      <c r="AD1103" s="4" t="s">
        <v>75</v>
      </c>
      <c r="AE1103" s="4" t="s">
        <v>4304</v>
      </c>
      <c r="AF1103" s="4" t="s">
        <v>4308</v>
      </c>
      <c r="AG1103" s="5" t="n">
        <v>0.231168981481482</v>
      </c>
      <c r="AH1103" s="5" t="n">
        <v>0.257951388888889</v>
      </c>
      <c r="AI1103" s="5" t="n">
        <v>0</v>
      </c>
      <c r="AJ1103" s="5" t="n">
        <v>0</v>
      </c>
      <c r="AK1103" s="5" t="n">
        <v>0</v>
      </c>
      <c r="AL1103" s="5" t="n">
        <v>0</v>
      </c>
      <c r="AM1103" s="4" t="s">
        <v>78</v>
      </c>
      <c r="AN1103" s="0" t="n">
        <v>3</v>
      </c>
      <c r="AO1103" s="0" t="n">
        <v>0</v>
      </c>
      <c r="AP1103" s="0" t="n">
        <v>0</v>
      </c>
      <c r="AQ1103" s="0" t="n">
        <v>0</v>
      </c>
      <c r="AR1103" s="0" t="n">
        <v>0</v>
      </c>
      <c r="AS1103" s="0" t="n">
        <v>1</v>
      </c>
      <c r="AT1103" s="0" t="n">
        <v>0</v>
      </c>
      <c r="AU1103" s="0" t="n">
        <v>0</v>
      </c>
      <c r="AV1103" s="0" t="n">
        <v>0</v>
      </c>
      <c r="AW1103" s="0" t="n">
        <v>0</v>
      </c>
      <c r="AX1103" s="0" t="n">
        <v>0</v>
      </c>
      <c r="AY1103" s="0" t="n">
        <v>0</v>
      </c>
      <c r="AZ1103" s="0" t="n">
        <v>0</v>
      </c>
      <c r="BA1103" s="0" t="n">
        <v>0</v>
      </c>
      <c r="BB1103" s="0" t="n">
        <v>0</v>
      </c>
      <c r="BC1103" s="0" t="n">
        <v>0</v>
      </c>
      <c r="BD1103" s="0" t="n">
        <v>0</v>
      </c>
      <c r="BE1103" s="0" t="n">
        <v>0</v>
      </c>
      <c r="BF1103" s="0" t="n">
        <v>0</v>
      </c>
      <c r="BG1103" s="0" t="n">
        <v>0</v>
      </c>
      <c r="BH1103" s="0" t="n">
        <v>0</v>
      </c>
      <c r="BI1103" s="0" t="n">
        <v>0</v>
      </c>
      <c r="BJ1103" s="0" t="n">
        <v>0</v>
      </c>
      <c r="BK1103" s="0" t="n">
        <v>0</v>
      </c>
      <c r="BM1103" s="6" t="n">
        <f aca="false">IFERROR(VALUE(F1103),"")</f>
        <v>250.63</v>
      </c>
      <c r="BN1103" s="6" t="n">
        <f aca="false">IF(R1103="-","",IFERROR(VALUE(LEFT(Q1103,LEN(Q1103)-2)),""))</f>
        <v>2.63</v>
      </c>
      <c r="BO1103" s="6" t="n">
        <f aca="false">IF(R1103="-","",IFERROR(VALUE(LEFT(R1103,LEN(R1103)-5)),""))</f>
        <v>95.3</v>
      </c>
      <c r="BP1103" s="6" t="n">
        <f aca="false">IF(R1103="-","",IFERROR(VALUE(F1103),""))</f>
        <v>250.63</v>
      </c>
      <c r="BQ1103" s="4" t="n">
        <f aca="false">IF(R1103="-",1,0)</f>
        <v>0</v>
      </c>
    </row>
    <row r="1104" customFormat="false" ht="15" hidden="false" customHeight="false" outlineLevel="0" collapsed="false">
      <c r="A1104" s="0" t="s">
        <v>4300</v>
      </c>
      <c r="B1104" s="0" t="s">
        <v>4301</v>
      </c>
      <c r="C1104" s="0" t="s">
        <v>70</v>
      </c>
      <c r="D1104" s="0" t="s">
        <v>4309</v>
      </c>
      <c r="E1104" s="3" t="n">
        <v>46275</v>
      </c>
      <c r="F1104" s="4" t="s">
        <v>4310</v>
      </c>
      <c r="G1104" s="5" t="n">
        <v>0.113518518518519</v>
      </c>
      <c r="H1104" s="5" t="n">
        <v>0.1128125</v>
      </c>
      <c r="I1104" s="5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5" t="n">
        <v>0</v>
      </c>
      <c r="P1104" s="5" t="n">
        <v>0</v>
      </c>
      <c r="Q1104" s="4" t="s">
        <v>4311</v>
      </c>
      <c r="R1104" s="4" t="s">
        <v>4312</v>
      </c>
      <c r="S1104" s="5" t="n">
        <v>0</v>
      </c>
      <c r="T1104" s="5" t="n">
        <v>0.0236111111111111</v>
      </c>
      <c r="U1104" s="5" t="n">
        <v>0.0811342592592593</v>
      </c>
      <c r="V1104" s="5" t="n">
        <v>0.0056712962962963</v>
      </c>
      <c r="W1104" s="5" t="n">
        <v>0</v>
      </c>
      <c r="X1104" s="5" t="n">
        <v>0</v>
      </c>
      <c r="Y1104" s="5" t="n">
        <v>0</v>
      </c>
      <c r="Z1104" s="0" t="n">
        <v>0</v>
      </c>
      <c r="AA1104" s="0" t="n">
        <v>0</v>
      </c>
      <c r="AB1104" s="0" t="n">
        <v>0</v>
      </c>
      <c r="AC1104" s="4" t="s">
        <v>75</v>
      </c>
      <c r="AD1104" s="4" t="s">
        <v>4220</v>
      </c>
      <c r="AE1104" s="4" t="s">
        <v>4308</v>
      </c>
      <c r="AF1104" s="4" t="s">
        <v>4313</v>
      </c>
      <c r="AG1104" s="5" t="n">
        <v>0.101898148148148</v>
      </c>
      <c r="AH1104" s="5" t="n">
        <v>0.0219675925925926</v>
      </c>
      <c r="AI1104" s="5" t="n">
        <v>0</v>
      </c>
      <c r="AJ1104" s="5" t="n">
        <v>0</v>
      </c>
      <c r="AK1104" s="5" t="n">
        <v>0</v>
      </c>
      <c r="AL1104" s="5" t="n">
        <v>0</v>
      </c>
      <c r="AM1104" s="4" t="s">
        <v>78</v>
      </c>
      <c r="AN1104" s="0" t="n">
        <v>0</v>
      </c>
      <c r="AO1104" s="0" t="n">
        <v>0</v>
      </c>
      <c r="AP1104" s="0" t="n">
        <v>0</v>
      </c>
      <c r="AQ1104" s="0" t="n">
        <v>0</v>
      </c>
      <c r="AR1104" s="0" t="n">
        <v>0</v>
      </c>
      <c r="AS1104" s="0" t="n">
        <v>0</v>
      </c>
      <c r="AT1104" s="0" t="n">
        <v>0</v>
      </c>
      <c r="AU1104" s="0" t="n">
        <v>0</v>
      </c>
      <c r="AV1104" s="0" t="n">
        <v>0</v>
      </c>
      <c r="AW1104" s="0" t="n">
        <v>0</v>
      </c>
      <c r="AX1104" s="0" t="n">
        <v>0</v>
      </c>
      <c r="AY1104" s="0" t="n">
        <v>0</v>
      </c>
      <c r="AZ1104" s="0" t="n">
        <v>0</v>
      </c>
      <c r="BA1104" s="0" t="n">
        <v>0</v>
      </c>
      <c r="BB1104" s="0" t="n">
        <v>0</v>
      </c>
      <c r="BC1104" s="0" t="n">
        <v>0</v>
      </c>
      <c r="BD1104" s="0" t="n">
        <v>0</v>
      </c>
      <c r="BE1104" s="0" t="n">
        <v>0</v>
      </c>
      <c r="BF1104" s="0" t="n">
        <v>0</v>
      </c>
      <c r="BG1104" s="0" t="n">
        <v>0</v>
      </c>
      <c r="BH1104" s="0" t="n">
        <v>0</v>
      </c>
      <c r="BI1104" s="0" t="n">
        <v>0</v>
      </c>
      <c r="BJ1104" s="0" t="n">
        <v>0</v>
      </c>
      <c r="BK1104" s="0" t="n">
        <v>0</v>
      </c>
      <c r="BM1104" s="6" t="n">
        <f aca="false">IFERROR(VALUE(F1104),"")</f>
        <v>140.38</v>
      </c>
      <c r="BN1104" s="6" t="n">
        <f aca="false">IF(R1104="-","",IFERROR(VALUE(LEFT(Q1104,LEN(Q1104)-2)),""))</f>
        <v>20.7</v>
      </c>
      <c r="BO1104" s="6" t="n">
        <f aca="false">IF(R1104="-","",IFERROR(VALUE(LEFT(R1104,LEN(R1104)-5)),""))</f>
        <v>6.78</v>
      </c>
      <c r="BP1104" s="6" t="n">
        <f aca="false">IF(R1104="-","",IFERROR(VALUE(F1104),""))</f>
        <v>140.38</v>
      </c>
      <c r="BQ1104" s="4" t="n">
        <f aca="false">IF(R1104="-",1,0)</f>
        <v>0</v>
      </c>
    </row>
    <row r="1105" customFormat="false" ht="15" hidden="false" customHeight="false" outlineLevel="0" collapsed="false">
      <c r="A1105" s="0" t="s">
        <v>4300</v>
      </c>
      <c r="B1105" s="0" t="s">
        <v>4301</v>
      </c>
      <c r="C1105" s="0" t="s">
        <v>70</v>
      </c>
      <c r="D1105" s="0" t="s">
        <v>4314</v>
      </c>
      <c r="E1105" s="3" t="n">
        <v>46276</v>
      </c>
      <c r="F1105" s="4" t="s">
        <v>4315</v>
      </c>
      <c r="G1105" s="5" t="n">
        <v>0.346481481481482</v>
      </c>
      <c r="H1105" s="5" t="n">
        <v>0.340810185185185</v>
      </c>
      <c r="I1105" s="5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5" t="n">
        <v>0</v>
      </c>
      <c r="P1105" s="5" t="n">
        <v>0.0347337962962963</v>
      </c>
      <c r="Q1105" s="4" t="s">
        <v>4316</v>
      </c>
      <c r="R1105" s="4" t="s">
        <v>3906</v>
      </c>
      <c r="S1105" s="5" t="n">
        <v>0.000115740740740741</v>
      </c>
      <c r="T1105" s="5" t="n">
        <v>0.133217592592593</v>
      </c>
      <c r="U1105" s="5" t="n">
        <v>0.169097222222222</v>
      </c>
      <c r="V1105" s="5" t="n">
        <v>0.0268518518518519</v>
      </c>
      <c r="W1105" s="5" t="n">
        <v>0.000115740740740741</v>
      </c>
      <c r="X1105" s="5" t="n">
        <v>0</v>
      </c>
      <c r="Y1105" s="5" t="n">
        <v>0</v>
      </c>
      <c r="Z1105" s="0" t="n">
        <v>0</v>
      </c>
      <c r="AA1105" s="0" t="n">
        <v>0</v>
      </c>
      <c r="AB1105" s="0" t="n">
        <v>0</v>
      </c>
      <c r="AC1105" s="4" t="s">
        <v>4220</v>
      </c>
      <c r="AD1105" s="4" t="s">
        <v>4317</v>
      </c>
      <c r="AE1105" s="4" t="s">
        <v>4313</v>
      </c>
      <c r="AF1105" s="4" t="s">
        <v>4318</v>
      </c>
      <c r="AG1105" s="5" t="n">
        <v>0.263564814814815</v>
      </c>
      <c r="AH1105" s="5" t="n">
        <v>0.119837962962963</v>
      </c>
      <c r="AI1105" s="5" t="n">
        <v>0</v>
      </c>
      <c r="AJ1105" s="5" t="n">
        <v>0</v>
      </c>
      <c r="AK1105" s="5" t="n">
        <v>0</v>
      </c>
      <c r="AL1105" s="5" t="n">
        <v>0</v>
      </c>
      <c r="AM1105" s="4" t="s">
        <v>78</v>
      </c>
      <c r="AN1105" s="0" t="n">
        <v>10</v>
      </c>
      <c r="AO1105" s="0" t="n">
        <v>1</v>
      </c>
      <c r="AP1105" s="0" t="n">
        <v>0</v>
      </c>
      <c r="AQ1105" s="0" t="n">
        <v>0</v>
      </c>
      <c r="AR1105" s="0" t="n">
        <v>0</v>
      </c>
      <c r="AS1105" s="0" t="n">
        <v>0</v>
      </c>
      <c r="AT1105" s="0" t="n">
        <v>0</v>
      </c>
      <c r="AU1105" s="0" t="n">
        <v>1</v>
      </c>
      <c r="AV1105" s="0" t="n">
        <v>0</v>
      </c>
      <c r="AW1105" s="0" t="n">
        <v>0</v>
      </c>
      <c r="AX1105" s="0" t="n">
        <v>0</v>
      </c>
      <c r="AY1105" s="0" t="n">
        <v>0</v>
      </c>
      <c r="AZ1105" s="0" t="n">
        <v>0</v>
      </c>
      <c r="BA1105" s="0" t="n">
        <v>0</v>
      </c>
      <c r="BB1105" s="0" t="n">
        <v>0</v>
      </c>
      <c r="BC1105" s="0" t="n">
        <v>0</v>
      </c>
      <c r="BD1105" s="0" t="n">
        <v>0</v>
      </c>
      <c r="BE1105" s="0" t="n">
        <v>0</v>
      </c>
      <c r="BF1105" s="0" t="n">
        <v>0</v>
      </c>
      <c r="BG1105" s="0" t="n">
        <v>0</v>
      </c>
      <c r="BH1105" s="0" t="n">
        <v>0</v>
      </c>
      <c r="BI1105" s="0" t="n">
        <v>0</v>
      </c>
      <c r="BJ1105" s="0" t="n">
        <v>0</v>
      </c>
      <c r="BK1105" s="0" t="n">
        <v>0</v>
      </c>
      <c r="BM1105" s="6" t="n">
        <f aca="false">IFERROR(VALUE(F1105),"")</f>
        <v>230.36</v>
      </c>
      <c r="BN1105" s="6" t="n">
        <f aca="false">IF(R1105="-","",IFERROR(VALUE(LEFT(Q1105,LEN(Q1105)-2)),""))</f>
        <v>53.95</v>
      </c>
      <c r="BO1105" s="6" t="n">
        <f aca="false">IF(R1105="-","",IFERROR(VALUE(LEFT(R1105,LEN(R1105)-5)),""))</f>
        <v>4.27</v>
      </c>
      <c r="BP1105" s="6" t="n">
        <f aca="false">IF(R1105="-","",IFERROR(VALUE(F1105),""))</f>
        <v>230.36</v>
      </c>
      <c r="BQ1105" s="4" t="n">
        <f aca="false">IF(R1105="-",1,0)</f>
        <v>0</v>
      </c>
    </row>
    <row r="1106" customFormat="false" ht="15" hidden="false" customHeight="false" outlineLevel="0" collapsed="false">
      <c r="A1106" s="0" t="s">
        <v>4300</v>
      </c>
      <c r="B1106" s="0" t="s">
        <v>4301</v>
      </c>
      <c r="C1106" s="0" t="s">
        <v>70</v>
      </c>
      <c r="D1106" s="0" t="s">
        <v>4309</v>
      </c>
      <c r="E1106" s="3" t="n">
        <v>46277</v>
      </c>
      <c r="F1106" s="4" t="s">
        <v>4319</v>
      </c>
      <c r="G1106" s="5" t="n">
        <v>0.294027777777778</v>
      </c>
      <c r="H1106" s="5" t="n">
        <v>0.261400462962963</v>
      </c>
      <c r="I1106" s="5" t="n">
        <v>0.00172453703703704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5" t="n">
        <v>0</v>
      </c>
      <c r="P1106" s="5" t="n">
        <v>0.0256018518518519</v>
      </c>
      <c r="Q1106" s="4" t="s">
        <v>4320</v>
      </c>
      <c r="R1106" s="4" t="s">
        <v>4321</v>
      </c>
      <c r="S1106" s="5" t="n">
        <v>0.000115740740740741</v>
      </c>
      <c r="T1106" s="5" t="n">
        <v>0.0978009259259259</v>
      </c>
      <c r="U1106" s="5" t="n">
        <v>0.182986111111111</v>
      </c>
      <c r="V1106" s="5" t="n">
        <v>0.0103009259259259</v>
      </c>
      <c r="W1106" s="5" t="n">
        <v>0</v>
      </c>
      <c r="X1106" s="5" t="n">
        <v>0</v>
      </c>
      <c r="Y1106" s="5" t="n">
        <v>0</v>
      </c>
      <c r="Z1106" s="0" t="n">
        <v>0</v>
      </c>
      <c r="AA1106" s="0" t="n">
        <v>0</v>
      </c>
      <c r="AB1106" s="0" t="n">
        <v>0</v>
      </c>
      <c r="AC1106" s="4" t="s">
        <v>4317</v>
      </c>
      <c r="AD1106" s="4" t="s">
        <v>2024</v>
      </c>
      <c r="AE1106" s="4" t="s">
        <v>4322</v>
      </c>
      <c r="AF1106" s="4" t="s">
        <v>4323</v>
      </c>
      <c r="AG1106" s="5" t="n">
        <v>0.232326388888889</v>
      </c>
      <c r="AH1106" s="5" t="n">
        <v>0.113715277777778</v>
      </c>
      <c r="AI1106" s="5" t="n">
        <v>0</v>
      </c>
      <c r="AJ1106" s="5" t="n">
        <v>0</v>
      </c>
      <c r="AK1106" s="5" t="n">
        <v>0</v>
      </c>
      <c r="AL1106" s="5" t="n">
        <v>0</v>
      </c>
      <c r="AM1106" s="4" t="s">
        <v>78</v>
      </c>
      <c r="AN1106" s="0" t="n">
        <v>9</v>
      </c>
      <c r="AO1106" s="0" t="n">
        <v>0</v>
      </c>
      <c r="AP1106" s="0" t="n">
        <v>0</v>
      </c>
      <c r="AQ1106" s="0" t="n">
        <v>0</v>
      </c>
      <c r="AR1106" s="0" t="n">
        <v>0</v>
      </c>
      <c r="AS1106" s="0" t="n">
        <v>0</v>
      </c>
      <c r="AT1106" s="0" t="n">
        <v>0</v>
      </c>
      <c r="AU1106" s="0" t="n">
        <v>0</v>
      </c>
      <c r="AV1106" s="0" t="n">
        <v>0</v>
      </c>
      <c r="AW1106" s="0" t="n">
        <v>1</v>
      </c>
      <c r="AX1106" s="0" t="n">
        <v>0</v>
      </c>
      <c r="AY1106" s="0" t="n">
        <v>0</v>
      </c>
      <c r="AZ1106" s="0" t="n">
        <v>0</v>
      </c>
      <c r="BA1106" s="0" t="n">
        <v>0</v>
      </c>
      <c r="BB1106" s="0" t="n">
        <v>0</v>
      </c>
      <c r="BC1106" s="0" t="n">
        <v>0</v>
      </c>
      <c r="BD1106" s="0" t="n">
        <v>0</v>
      </c>
      <c r="BE1106" s="0" t="n">
        <v>0</v>
      </c>
      <c r="BF1106" s="0" t="n">
        <v>0</v>
      </c>
      <c r="BG1106" s="0" t="n">
        <v>0</v>
      </c>
      <c r="BH1106" s="0" t="n">
        <v>0</v>
      </c>
      <c r="BI1106" s="0" t="n">
        <v>0</v>
      </c>
      <c r="BJ1106" s="0" t="n">
        <v>0</v>
      </c>
      <c r="BK1106" s="0" t="n">
        <v>0</v>
      </c>
      <c r="BM1106" s="6" t="n">
        <f aca="false">IFERROR(VALUE(F1106),"")</f>
        <v>297.19</v>
      </c>
      <c r="BN1106" s="6" t="n">
        <f aca="false">IF(R1106="-","",IFERROR(VALUE(LEFT(Q1106,LEN(Q1106)-2)),""))</f>
        <v>44.3</v>
      </c>
      <c r="BO1106" s="6" t="n">
        <f aca="false">IF(R1106="-","",IFERROR(VALUE(LEFT(R1106,LEN(R1106)-5)),""))</f>
        <v>6.71</v>
      </c>
      <c r="BP1106" s="6" t="n">
        <f aca="false">IF(R1106="-","",IFERROR(VALUE(F1106),""))</f>
        <v>297.19</v>
      </c>
      <c r="BQ1106" s="4" t="n">
        <f aca="false">IF(R1106="-",1,0)</f>
        <v>0</v>
      </c>
    </row>
    <row r="1107" customFormat="false" ht="15" hidden="false" customHeight="false" outlineLevel="0" collapsed="false">
      <c r="A1107" s="0" t="s">
        <v>4300</v>
      </c>
      <c r="B1107" s="0" t="s">
        <v>4301</v>
      </c>
      <c r="C1107" s="0" t="s">
        <v>70</v>
      </c>
      <c r="D1107" s="0" t="s">
        <v>4324</v>
      </c>
      <c r="E1107" s="3" t="n">
        <v>46278</v>
      </c>
      <c r="F1107" s="4" t="s">
        <v>4325</v>
      </c>
      <c r="G1107" s="5" t="n">
        <v>0.0134375</v>
      </c>
      <c r="H1107" s="5" t="n">
        <v>0.00596064814814815</v>
      </c>
      <c r="I1107" s="5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5" t="n">
        <v>0</v>
      </c>
      <c r="P1107" s="5" t="n">
        <v>0</v>
      </c>
      <c r="Q1107" s="4" t="s">
        <v>4326</v>
      </c>
      <c r="R1107" s="4" t="s">
        <v>4327</v>
      </c>
      <c r="S1107" s="5" t="n">
        <v>0</v>
      </c>
      <c r="T1107" s="5" t="n">
        <v>0.0127314814814815</v>
      </c>
      <c r="U1107" s="5" t="n">
        <v>0.000231481481481482</v>
      </c>
      <c r="V1107" s="5" t="n">
        <v>0</v>
      </c>
      <c r="W1107" s="5" t="n">
        <v>0</v>
      </c>
      <c r="X1107" s="5" t="n">
        <v>0</v>
      </c>
      <c r="Y1107" s="5" t="n">
        <v>0</v>
      </c>
      <c r="Z1107" s="0" t="n">
        <v>0</v>
      </c>
      <c r="AA1107" s="0" t="n">
        <v>0</v>
      </c>
      <c r="AB1107" s="0" t="n">
        <v>0</v>
      </c>
      <c r="AC1107" s="4" t="s">
        <v>2024</v>
      </c>
      <c r="AD1107" s="4" t="s">
        <v>2024</v>
      </c>
      <c r="AE1107" s="4" t="s">
        <v>4323</v>
      </c>
      <c r="AF1107" s="4" t="s">
        <v>4328</v>
      </c>
      <c r="AG1107" s="5" t="n">
        <v>0.00841435185185185</v>
      </c>
      <c r="AH1107" s="5" t="n">
        <v>0.0207523148148148</v>
      </c>
      <c r="AI1107" s="5" t="n">
        <v>0</v>
      </c>
      <c r="AJ1107" s="5" t="n">
        <v>0</v>
      </c>
      <c r="AK1107" s="5" t="n">
        <v>0</v>
      </c>
      <c r="AL1107" s="5" t="n">
        <v>0</v>
      </c>
      <c r="AM1107" s="4" t="s">
        <v>78</v>
      </c>
      <c r="AN1107" s="0" t="n">
        <v>4</v>
      </c>
      <c r="AO1107" s="0" t="n">
        <v>0</v>
      </c>
      <c r="AP1107" s="0" t="n">
        <v>0</v>
      </c>
      <c r="AQ1107" s="0" t="n">
        <v>0</v>
      </c>
      <c r="AR1107" s="0" t="n">
        <v>0</v>
      </c>
      <c r="AS1107" s="0" t="n">
        <v>0</v>
      </c>
      <c r="AT1107" s="0" t="n">
        <v>0</v>
      </c>
      <c r="AU1107" s="0" t="n">
        <v>0</v>
      </c>
      <c r="AV1107" s="0" t="n">
        <v>0</v>
      </c>
      <c r="AW1107" s="0" t="n">
        <v>0</v>
      </c>
      <c r="AX1107" s="0" t="n">
        <v>0</v>
      </c>
      <c r="AY1107" s="0" t="n">
        <v>0</v>
      </c>
      <c r="AZ1107" s="0" t="n">
        <v>0</v>
      </c>
      <c r="BA1107" s="0" t="n">
        <v>0</v>
      </c>
      <c r="BB1107" s="0" t="n">
        <v>0</v>
      </c>
      <c r="BC1107" s="0" t="n">
        <v>0</v>
      </c>
      <c r="BD1107" s="0" t="n">
        <v>0</v>
      </c>
      <c r="BE1107" s="0" t="n">
        <v>0</v>
      </c>
      <c r="BF1107" s="0" t="n">
        <v>0</v>
      </c>
      <c r="BG1107" s="0" t="n">
        <v>0</v>
      </c>
      <c r="BH1107" s="0" t="n">
        <v>0</v>
      </c>
      <c r="BI1107" s="0" t="n">
        <v>0</v>
      </c>
      <c r="BJ1107" s="0" t="n">
        <v>0</v>
      </c>
      <c r="BK1107" s="0" t="n">
        <v>0</v>
      </c>
      <c r="BM1107" s="6" t="n">
        <f aca="false">IFERROR(VALUE(F1107),"")</f>
        <v>0.38</v>
      </c>
      <c r="BN1107" s="6" t="n">
        <f aca="false">IF(R1107="-","",IFERROR(VALUE(LEFT(Q1107,LEN(Q1107)-2)),""))</f>
        <v>0.68</v>
      </c>
      <c r="BO1107" s="6" t="n">
        <f aca="false">IF(R1107="-","",IFERROR(VALUE(LEFT(R1107,LEN(R1107)-5)),""))</f>
        <v>0.56</v>
      </c>
      <c r="BP1107" s="6" t="n">
        <f aca="false">IF(R1107="-","",IFERROR(VALUE(F1107),""))</f>
        <v>0.38</v>
      </c>
      <c r="BQ1107" s="4" t="n">
        <f aca="false">IF(R1107="-",1,0)</f>
        <v>0</v>
      </c>
    </row>
    <row r="1108" customFormat="false" ht="15" hidden="false" customHeight="false" outlineLevel="0" collapsed="false">
      <c r="A1108" s="0" t="s">
        <v>4300</v>
      </c>
      <c r="B1108" s="0" t="s">
        <v>4301</v>
      </c>
      <c r="C1108" s="0" t="s">
        <v>70</v>
      </c>
      <c r="D1108" s="0" t="s">
        <v>4324</v>
      </c>
      <c r="E1108" s="3" t="n">
        <v>46279</v>
      </c>
      <c r="F1108" s="4" t="s">
        <v>4329</v>
      </c>
      <c r="G1108" s="5" t="n">
        <v>0.398217592592593</v>
      </c>
      <c r="H1108" s="5" t="n">
        <v>0.233912037037037</v>
      </c>
      <c r="I1108" s="5" t="n">
        <v>0.000775462962962963</v>
      </c>
      <c r="J1108" s="0" t="n">
        <v>0</v>
      </c>
      <c r="K1108" s="0" t="n">
        <v>3</v>
      </c>
      <c r="L1108" s="0" t="n">
        <v>0</v>
      </c>
      <c r="M1108" s="0" t="n">
        <v>0</v>
      </c>
      <c r="N1108" s="0" t="n">
        <v>0</v>
      </c>
      <c r="O1108" s="5" t="n">
        <v>0</v>
      </c>
      <c r="P1108" s="5" t="n">
        <v>0.032962962962963</v>
      </c>
      <c r="Q1108" s="4" t="s">
        <v>4330</v>
      </c>
      <c r="R1108" s="4" t="s">
        <v>176</v>
      </c>
      <c r="S1108" s="5" t="n">
        <v>0.000115740740740741</v>
      </c>
      <c r="T1108" s="5" t="n">
        <v>0.12662037037037</v>
      </c>
      <c r="U1108" s="5" t="n">
        <v>0.0880787037037037</v>
      </c>
      <c r="V1108" s="5" t="n">
        <v>0.00277777777777778</v>
      </c>
      <c r="W1108" s="5" t="n">
        <v>0.000231481481481482</v>
      </c>
      <c r="X1108" s="5" t="n">
        <v>0</v>
      </c>
      <c r="Y1108" s="5" t="n">
        <v>0</v>
      </c>
      <c r="Z1108" s="0" t="n">
        <v>0</v>
      </c>
      <c r="AA1108" s="0" t="n">
        <v>0</v>
      </c>
      <c r="AB1108" s="0" t="n">
        <v>0</v>
      </c>
      <c r="AC1108" s="4" t="s">
        <v>2024</v>
      </c>
      <c r="AD1108" s="4" t="s">
        <v>2024</v>
      </c>
      <c r="AE1108" s="4" t="s">
        <v>4328</v>
      </c>
      <c r="AF1108" s="4" t="s">
        <v>4331</v>
      </c>
      <c r="AG1108" s="5" t="n">
        <v>0.146747685185185</v>
      </c>
      <c r="AH1108" s="5" t="n">
        <v>0.307222222222222</v>
      </c>
      <c r="AI1108" s="5" t="n">
        <v>0</v>
      </c>
      <c r="AJ1108" s="5" t="n">
        <v>0</v>
      </c>
      <c r="AK1108" s="5" t="n">
        <v>0</v>
      </c>
      <c r="AL1108" s="5" t="n">
        <v>0</v>
      </c>
      <c r="AM1108" s="4" t="s">
        <v>78</v>
      </c>
      <c r="AN1108" s="0" t="n">
        <v>28</v>
      </c>
      <c r="AO1108" s="0" t="n">
        <v>0</v>
      </c>
      <c r="AP1108" s="0" t="n">
        <v>0</v>
      </c>
      <c r="AQ1108" s="0" t="n">
        <v>0</v>
      </c>
      <c r="AR1108" s="0" t="n">
        <v>2</v>
      </c>
      <c r="AS1108" s="0" t="n">
        <v>6</v>
      </c>
      <c r="AT1108" s="0" t="n">
        <v>1</v>
      </c>
      <c r="AU1108" s="0" t="n">
        <v>2</v>
      </c>
      <c r="AV1108" s="0" t="n">
        <v>0</v>
      </c>
      <c r="AW1108" s="0" t="n">
        <v>0</v>
      </c>
      <c r="AX1108" s="0" t="n">
        <v>0</v>
      </c>
      <c r="AY1108" s="0" t="n">
        <v>0</v>
      </c>
      <c r="AZ1108" s="0" t="n">
        <v>0</v>
      </c>
      <c r="BA1108" s="0" t="n">
        <v>0</v>
      </c>
      <c r="BB1108" s="0" t="n">
        <v>0</v>
      </c>
      <c r="BC1108" s="0" t="n">
        <v>0</v>
      </c>
      <c r="BD1108" s="0" t="n">
        <v>0</v>
      </c>
      <c r="BE1108" s="0" t="n">
        <v>0</v>
      </c>
      <c r="BF1108" s="0" t="n">
        <v>0</v>
      </c>
      <c r="BG1108" s="0" t="n">
        <v>0</v>
      </c>
      <c r="BH1108" s="0" t="n">
        <v>0</v>
      </c>
      <c r="BI1108" s="0" t="n">
        <v>0</v>
      </c>
      <c r="BJ1108" s="0" t="n">
        <v>0</v>
      </c>
      <c r="BK1108" s="0" t="n">
        <v>0</v>
      </c>
      <c r="BM1108" s="6" t="n">
        <f aca="false">IFERROR(VALUE(F1108),"")</f>
        <v>111.87</v>
      </c>
      <c r="BN1108" s="6" t="n">
        <f aca="false">IF(R1108="-","",IFERROR(VALUE(LEFT(Q1108,LEN(Q1108)-2)),""))</f>
        <v>22.8</v>
      </c>
      <c r="BO1108" s="6" t="n">
        <f aca="false">IF(R1108="-","",IFERROR(VALUE(LEFT(R1108,LEN(R1108)-5)),""))</f>
        <v>4.91</v>
      </c>
      <c r="BP1108" s="6" t="n">
        <f aca="false">IF(R1108="-","",IFERROR(VALUE(F1108),""))</f>
        <v>111.87</v>
      </c>
      <c r="BQ1108" s="4" t="n">
        <f aca="false">IF(R1108="-",1,0)</f>
        <v>0</v>
      </c>
    </row>
    <row r="1109" customFormat="false" ht="15" hidden="false" customHeight="false" outlineLevel="0" collapsed="false">
      <c r="A1109" s="0" t="s">
        <v>4332</v>
      </c>
      <c r="B1109" s="0" t="s">
        <v>4333</v>
      </c>
      <c r="C1109" s="0" t="s">
        <v>70</v>
      </c>
      <c r="D1109" s="0" t="s">
        <v>2452</v>
      </c>
      <c r="E1109" s="3" t="n">
        <v>46273</v>
      </c>
      <c r="F1109" s="4" t="s">
        <v>4334</v>
      </c>
      <c r="G1109" s="5" t="n">
        <v>0.0496527777777778</v>
      </c>
      <c r="H1109" s="5" t="n">
        <v>0.0454166666666667</v>
      </c>
      <c r="I1109" s="5" t="n">
        <v>0.000196759259259259</v>
      </c>
      <c r="J1109" s="0" t="n">
        <v>1</v>
      </c>
      <c r="K1109" s="0" t="n">
        <v>0</v>
      </c>
      <c r="L1109" s="0" t="n">
        <v>0</v>
      </c>
      <c r="M1109" s="0" t="n">
        <v>0</v>
      </c>
      <c r="N1109" s="0" t="n">
        <v>0</v>
      </c>
      <c r="O1109" s="5" t="n">
        <v>0</v>
      </c>
      <c r="P1109" s="5" t="n">
        <v>0</v>
      </c>
      <c r="Q1109" s="4" t="s">
        <v>73</v>
      </c>
      <c r="R1109" s="4" t="s">
        <v>73</v>
      </c>
      <c r="S1109" s="5" t="n">
        <v>0</v>
      </c>
      <c r="T1109" s="5" t="n">
        <v>0</v>
      </c>
      <c r="U1109" s="5" t="n">
        <v>0</v>
      </c>
      <c r="V1109" s="5" t="n">
        <v>0</v>
      </c>
      <c r="W1109" s="5" t="n">
        <v>0</v>
      </c>
      <c r="X1109" s="5" t="n">
        <v>0</v>
      </c>
      <c r="Y1109" s="5" t="n">
        <v>0</v>
      </c>
      <c r="Z1109" s="0" t="n">
        <v>0</v>
      </c>
      <c r="AA1109" s="0" t="n">
        <v>0</v>
      </c>
      <c r="AB1109" s="0" t="n">
        <v>0</v>
      </c>
      <c r="AC1109" s="4" t="s">
        <v>74</v>
      </c>
      <c r="AD1109" s="4" t="s">
        <v>228</v>
      </c>
      <c r="AE1109" s="4" t="s">
        <v>4335</v>
      </c>
      <c r="AF1109" s="4" t="s">
        <v>4336</v>
      </c>
      <c r="AG1109" s="5" t="n">
        <v>0.0444097222222222</v>
      </c>
      <c r="AH1109" s="5" t="n">
        <v>0.0169907407407407</v>
      </c>
      <c r="AI1109" s="5" t="n">
        <v>0</v>
      </c>
      <c r="AJ1109" s="5" t="n">
        <v>0</v>
      </c>
      <c r="AK1109" s="5" t="n">
        <v>0</v>
      </c>
      <c r="AL1109" s="5" t="n">
        <v>0</v>
      </c>
      <c r="AM1109" s="4" t="s">
        <v>78</v>
      </c>
      <c r="AN1109" s="0" t="n">
        <v>0</v>
      </c>
      <c r="AO1109" s="0" t="n">
        <v>0</v>
      </c>
      <c r="AP1109" s="0" t="n">
        <v>0</v>
      </c>
      <c r="AQ1109" s="0" t="n">
        <v>0</v>
      </c>
      <c r="AR1109" s="0" t="n">
        <v>0</v>
      </c>
      <c r="AS1109" s="0" t="n">
        <v>0</v>
      </c>
      <c r="AT1109" s="0" t="n">
        <v>0</v>
      </c>
      <c r="AU1109" s="0" t="n">
        <v>0</v>
      </c>
      <c r="AV1109" s="0" t="n">
        <v>0</v>
      </c>
      <c r="AW1109" s="0" t="n">
        <v>0</v>
      </c>
      <c r="AX1109" s="0" t="n">
        <v>0</v>
      </c>
      <c r="AY1109" s="0" t="n">
        <v>0</v>
      </c>
      <c r="AZ1109" s="0" t="n">
        <v>0</v>
      </c>
      <c r="BA1109" s="0" t="n">
        <v>0</v>
      </c>
      <c r="BB1109" s="0" t="n">
        <v>0</v>
      </c>
      <c r="BC1109" s="0" t="n">
        <v>0</v>
      </c>
      <c r="BD1109" s="0" t="n">
        <v>0</v>
      </c>
      <c r="BE1109" s="0" t="n">
        <v>0</v>
      </c>
      <c r="BF1109" s="0" t="n">
        <v>0</v>
      </c>
      <c r="BG1109" s="0" t="n">
        <v>0</v>
      </c>
      <c r="BH1109" s="0" t="n">
        <v>0</v>
      </c>
      <c r="BI1109" s="0" t="n">
        <v>0</v>
      </c>
      <c r="BJ1109" s="0" t="n">
        <v>0</v>
      </c>
      <c r="BK1109" s="0" t="n">
        <v>0</v>
      </c>
      <c r="BM1109" s="6" t="n">
        <f aca="false">IFERROR(VALUE(F1109),"")</f>
        <v>39.02</v>
      </c>
      <c r="BN1109" s="6" t="str">
        <f aca="false">IF(R1109="-","",IFERROR(VALUE(LEFT(Q1109,LEN(Q1109)-2)),""))</f>
        <v/>
      </c>
      <c r="BO1109" s="6" t="str">
        <f aca="false">IF(R1109="-","",IFERROR(VALUE(LEFT(R1109,LEN(R1109)-5)),""))</f>
        <v/>
      </c>
      <c r="BP1109" s="6" t="str">
        <f aca="false">IF(R1109="-","",IFERROR(VALUE(F1109),""))</f>
        <v/>
      </c>
      <c r="BQ1109" s="4" t="n">
        <f aca="false">IF(R1109="-",1,0)</f>
        <v>1</v>
      </c>
    </row>
    <row r="1110" customFormat="false" ht="15" hidden="false" customHeight="false" outlineLevel="0" collapsed="false">
      <c r="A1110" s="0" t="s">
        <v>4332</v>
      </c>
      <c r="B1110" s="0" t="s">
        <v>4333</v>
      </c>
      <c r="C1110" s="0" t="s">
        <v>70</v>
      </c>
      <c r="D1110" s="0" t="s">
        <v>4337</v>
      </c>
      <c r="E1110" s="3" t="n">
        <v>46274</v>
      </c>
      <c r="F1110" s="4" t="s">
        <v>4338</v>
      </c>
      <c r="G1110" s="5" t="n">
        <v>0.16087962962963</v>
      </c>
      <c r="H1110" s="5" t="n">
        <v>0.112476851851852</v>
      </c>
      <c r="I1110" s="5" t="n">
        <v>0.000138888888888889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1</v>
      </c>
      <c r="O1110" s="5" t="n">
        <v>0</v>
      </c>
      <c r="P1110" s="5" t="n">
        <v>0</v>
      </c>
      <c r="Q1110" s="4" t="s">
        <v>73</v>
      </c>
      <c r="R1110" s="4" t="s">
        <v>73</v>
      </c>
      <c r="S1110" s="5" t="n">
        <v>0</v>
      </c>
      <c r="T1110" s="5" t="n">
        <v>0</v>
      </c>
      <c r="U1110" s="5" t="n">
        <v>0</v>
      </c>
      <c r="V1110" s="5" t="n">
        <v>0</v>
      </c>
      <c r="W1110" s="5" t="n">
        <v>0</v>
      </c>
      <c r="X1110" s="5" t="n">
        <v>0</v>
      </c>
      <c r="Y1110" s="5" t="n">
        <v>0</v>
      </c>
      <c r="Z1110" s="0" t="n">
        <v>0</v>
      </c>
      <c r="AA1110" s="0" t="n">
        <v>0</v>
      </c>
      <c r="AB1110" s="0" t="n">
        <v>0</v>
      </c>
      <c r="AC1110" s="4" t="s">
        <v>74</v>
      </c>
      <c r="AD1110" s="4" t="s">
        <v>228</v>
      </c>
      <c r="AE1110" s="4" t="s">
        <v>4336</v>
      </c>
      <c r="AF1110" s="4" t="s">
        <v>4339</v>
      </c>
      <c r="AG1110" s="5" t="n">
        <v>0.11625</v>
      </c>
      <c r="AH1110" s="5" t="n">
        <v>0.0842476851851852</v>
      </c>
      <c r="AI1110" s="5" t="n">
        <v>0</v>
      </c>
      <c r="AJ1110" s="5" t="n">
        <v>0</v>
      </c>
      <c r="AK1110" s="5" t="n">
        <v>0</v>
      </c>
      <c r="AL1110" s="5" t="n">
        <v>0</v>
      </c>
      <c r="AM1110" s="4" t="s">
        <v>78</v>
      </c>
      <c r="AN1110" s="0" t="n">
        <v>0</v>
      </c>
      <c r="AO1110" s="0" t="n">
        <v>0</v>
      </c>
      <c r="AP1110" s="0" t="n">
        <v>0</v>
      </c>
      <c r="AQ1110" s="0" t="n">
        <v>0</v>
      </c>
      <c r="AR1110" s="0" t="n">
        <v>0</v>
      </c>
      <c r="AS1110" s="0" t="n">
        <v>1</v>
      </c>
      <c r="AT1110" s="0" t="n">
        <v>0</v>
      </c>
      <c r="AU1110" s="0" t="n">
        <v>1</v>
      </c>
      <c r="AV1110" s="0" t="n">
        <v>0</v>
      </c>
      <c r="AW1110" s="0" t="n">
        <v>0</v>
      </c>
      <c r="AX1110" s="0" t="n">
        <v>0</v>
      </c>
      <c r="AY1110" s="0" t="n">
        <v>0</v>
      </c>
      <c r="AZ1110" s="0" t="n">
        <v>0</v>
      </c>
      <c r="BA1110" s="0" t="n">
        <v>0</v>
      </c>
      <c r="BB1110" s="0" t="n">
        <v>0</v>
      </c>
      <c r="BC1110" s="0" t="n">
        <v>0</v>
      </c>
      <c r="BD1110" s="0" t="n">
        <v>0</v>
      </c>
      <c r="BE1110" s="0" t="n">
        <v>0</v>
      </c>
      <c r="BF1110" s="0" t="n">
        <v>0</v>
      </c>
      <c r="BG1110" s="0" t="n">
        <v>0</v>
      </c>
      <c r="BH1110" s="0" t="n">
        <v>0</v>
      </c>
      <c r="BI1110" s="0" t="n">
        <v>0</v>
      </c>
      <c r="BJ1110" s="0" t="n">
        <v>0</v>
      </c>
      <c r="BK1110" s="0" t="n">
        <v>0</v>
      </c>
      <c r="BM1110" s="6" t="n">
        <f aca="false">IFERROR(VALUE(F1110),"")</f>
        <v>53.25</v>
      </c>
      <c r="BN1110" s="6" t="str">
        <f aca="false">IF(R1110="-","",IFERROR(VALUE(LEFT(Q1110,LEN(Q1110)-2)),""))</f>
        <v/>
      </c>
      <c r="BO1110" s="6" t="str">
        <f aca="false">IF(R1110="-","",IFERROR(VALUE(LEFT(R1110,LEN(R1110)-5)),""))</f>
        <v/>
      </c>
      <c r="BP1110" s="6" t="str">
        <f aca="false">IF(R1110="-","",IFERROR(VALUE(F1110),""))</f>
        <v/>
      </c>
      <c r="BQ1110" s="4" t="n">
        <f aca="false">IF(R1110="-",1,0)</f>
        <v>1</v>
      </c>
    </row>
    <row r="1111" customFormat="false" ht="15" hidden="false" customHeight="false" outlineLevel="0" collapsed="false">
      <c r="A1111" s="0" t="s">
        <v>4332</v>
      </c>
      <c r="B1111" s="0" t="s">
        <v>4333</v>
      </c>
      <c r="C1111" s="0" t="s">
        <v>70</v>
      </c>
      <c r="D1111" s="0" t="s">
        <v>114</v>
      </c>
      <c r="E1111" s="3" t="n">
        <v>46275</v>
      </c>
      <c r="F1111" s="4" t="s">
        <v>4340</v>
      </c>
      <c r="G1111" s="5" t="n">
        <v>0.0578356481481482</v>
      </c>
      <c r="H1111" s="5" t="n">
        <v>0.0562152777777778</v>
      </c>
      <c r="I1111" s="5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5" t="n">
        <v>0</v>
      </c>
      <c r="P1111" s="5" t="n">
        <v>0</v>
      </c>
      <c r="Q1111" s="4" t="s">
        <v>73</v>
      </c>
      <c r="R1111" s="4" t="s">
        <v>73</v>
      </c>
      <c r="S1111" s="5" t="n">
        <v>0</v>
      </c>
      <c r="T1111" s="5" t="n">
        <v>0</v>
      </c>
      <c r="U1111" s="5" t="n">
        <v>0</v>
      </c>
      <c r="V1111" s="5" t="n">
        <v>0</v>
      </c>
      <c r="W1111" s="5" t="n">
        <v>0</v>
      </c>
      <c r="X1111" s="5" t="n">
        <v>0</v>
      </c>
      <c r="Y1111" s="5" t="n">
        <v>0</v>
      </c>
      <c r="Z1111" s="0" t="n">
        <v>0</v>
      </c>
      <c r="AA1111" s="0" t="n">
        <v>0</v>
      </c>
      <c r="AB1111" s="0" t="n">
        <v>0</v>
      </c>
      <c r="AC1111" s="4" t="s">
        <v>74</v>
      </c>
      <c r="AD1111" s="4" t="s">
        <v>228</v>
      </c>
      <c r="AE1111" s="4" t="s">
        <v>4339</v>
      </c>
      <c r="AF1111" s="4" t="s">
        <v>4341</v>
      </c>
      <c r="AG1111" s="5" t="n">
        <v>0.0507523148148148</v>
      </c>
      <c r="AH1111" s="5" t="n">
        <v>0.0355324074074074</v>
      </c>
      <c r="AI1111" s="5" t="n">
        <v>0</v>
      </c>
      <c r="AJ1111" s="5" t="n">
        <v>0</v>
      </c>
      <c r="AK1111" s="5" t="n">
        <v>0</v>
      </c>
      <c r="AL1111" s="5" t="n">
        <v>0</v>
      </c>
      <c r="AM1111" s="4" t="s">
        <v>78</v>
      </c>
      <c r="AN1111" s="0" t="n">
        <v>0</v>
      </c>
      <c r="AO1111" s="0" t="n">
        <v>0</v>
      </c>
      <c r="AP1111" s="0" t="n">
        <v>0</v>
      </c>
      <c r="AQ1111" s="0" t="n">
        <v>0</v>
      </c>
      <c r="AR1111" s="0" t="n">
        <v>0</v>
      </c>
      <c r="AS1111" s="0" t="n">
        <v>0</v>
      </c>
      <c r="AT1111" s="0" t="n">
        <v>0</v>
      </c>
      <c r="AU1111" s="0" t="n">
        <v>0</v>
      </c>
      <c r="AV1111" s="0" t="n">
        <v>0</v>
      </c>
      <c r="AW1111" s="0" t="n">
        <v>0</v>
      </c>
      <c r="AX1111" s="0" t="n">
        <v>0</v>
      </c>
      <c r="AY1111" s="0" t="n">
        <v>0</v>
      </c>
      <c r="AZ1111" s="0" t="n">
        <v>0</v>
      </c>
      <c r="BA1111" s="0" t="n">
        <v>0</v>
      </c>
      <c r="BB1111" s="0" t="n">
        <v>0</v>
      </c>
      <c r="BC1111" s="0" t="n">
        <v>0</v>
      </c>
      <c r="BD1111" s="0" t="n">
        <v>0</v>
      </c>
      <c r="BE1111" s="0" t="n">
        <v>0</v>
      </c>
      <c r="BF1111" s="0" t="n">
        <v>0</v>
      </c>
      <c r="BG1111" s="0" t="n">
        <v>0</v>
      </c>
      <c r="BH1111" s="0" t="n">
        <v>0</v>
      </c>
      <c r="BI1111" s="0" t="n">
        <v>0</v>
      </c>
      <c r="BJ1111" s="0" t="n">
        <v>0</v>
      </c>
      <c r="BK1111" s="0" t="n">
        <v>0</v>
      </c>
      <c r="BM1111" s="6" t="n">
        <f aca="false">IFERROR(VALUE(F1111),"")</f>
        <v>21.08</v>
      </c>
      <c r="BN1111" s="6" t="str">
        <f aca="false">IF(R1111="-","",IFERROR(VALUE(LEFT(Q1111,LEN(Q1111)-2)),""))</f>
        <v/>
      </c>
      <c r="BO1111" s="6" t="str">
        <f aca="false">IF(R1111="-","",IFERROR(VALUE(LEFT(R1111,LEN(R1111)-5)),""))</f>
        <v/>
      </c>
      <c r="BP1111" s="6" t="str">
        <f aca="false">IF(R1111="-","",IFERROR(VALUE(F1111),""))</f>
        <v/>
      </c>
      <c r="BQ1111" s="4" t="n">
        <f aca="false">IF(R1111="-",1,0)</f>
        <v>1</v>
      </c>
    </row>
    <row r="1112" customFormat="false" ht="15" hidden="false" customHeight="false" outlineLevel="0" collapsed="false">
      <c r="A1112" s="0" t="s">
        <v>4332</v>
      </c>
      <c r="B1112" s="0" t="s">
        <v>4333</v>
      </c>
      <c r="C1112" s="0" t="s">
        <v>70</v>
      </c>
      <c r="D1112" s="0" t="s">
        <v>4342</v>
      </c>
      <c r="E1112" s="3" t="n">
        <v>46276</v>
      </c>
      <c r="F1112" s="4" t="s">
        <v>1622</v>
      </c>
      <c r="G1112" s="5" t="n">
        <v>0.195069444444444</v>
      </c>
      <c r="H1112" s="5" t="n">
        <v>0.189641203703704</v>
      </c>
      <c r="I1112" s="5" t="n">
        <v>0.000416666666666667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3</v>
      </c>
      <c r="O1112" s="5" t="n">
        <v>0</v>
      </c>
      <c r="P1112" s="5" t="n">
        <v>0</v>
      </c>
      <c r="Q1112" s="4" t="s">
        <v>73</v>
      </c>
      <c r="R1112" s="4" t="s">
        <v>73</v>
      </c>
      <c r="S1112" s="5" t="n">
        <v>0</v>
      </c>
      <c r="T1112" s="5" t="n">
        <v>0</v>
      </c>
      <c r="U1112" s="5" t="n">
        <v>0</v>
      </c>
      <c r="V1112" s="5" t="n">
        <v>0</v>
      </c>
      <c r="W1112" s="5" t="n">
        <v>0</v>
      </c>
      <c r="X1112" s="5" t="n">
        <v>0</v>
      </c>
      <c r="Y1112" s="5" t="n">
        <v>0</v>
      </c>
      <c r="Z1112" s="0" t="n">
        <v>0</v>
      </c>
      <c r="AA1112" s="0" t="n">
        <v>0</v>
      </c>
      <c r="AB1112" s="0" t="n">
        <v>0</v>
      </c>
      <c r="AC1112" s="4" t="s">
        <v>75</v>
      </c>
      <c r="AD1112" s="4" t="s">
        <v>228</v>
      </c>
      <c r="AE1112" s="4" t="s">
        <v>4341</v>
      </c>
      <c r="AF1112" s="4" t="s">
        <v>4343</v>
      </c>
      <c r="AG1112" s="5" t="n">
        <v>0.168831018518519</v>
      </c>
      <c r="AH1112" s="5" t="n">
        <v>0.043125</v>
      </c>
      <c r="AI1112" s="5" t="n">
        <v>0</v>
      </c>
      <c r="AJ1112" s="5" t="n">
        <v>0</v>
      </c>
      <c r="AK1112" s="5" t="n">
        <v>0</v>
      </c>
      <c r="AL1112" s="5" t="n">
        <v>0</v>
      </c>
      <c r="AM1112" s="4" t="s">
        <v>78</v>
      </c>
      <c r="AN1112" s="0" t="n">
        <v>0</v>
      </c>
      <c r="AO1112" s="0" t="n">
        <v>0</v>
      </c>
      <c r="AP1112" s="0" t="n">
        <v>0</v>
      </c>
      <c r="AQ1112" s="0" t="n">
        <v>0</v>
      </c>
      <c r="AR1112" s="0" t="n">
        <v>0</v>
      </c>
      <c r="AS1112" s="0" t="n">
        <v>0</v>
      </c>
      <c r="AT1112" s="0" t="n">
        <v>0</v>
      </c>
      <c r="AU1112" s="0" t="n">
        <v>5</v>
      </c>
      <c r="AV1112" s="0" t="n">
        <v>0</v>
      </c>
      <c r="AW1112" s="0" t="n">
        <v>0</v>
      </c>
      <c r="AX1112" s="0" t="n">
        <v>0</v>
      </c>
      <c r="AY1112" s="0" t="n">
        <v>0</v>
      </c>
      <c r="AZ1112" s="0" t="n">
        <v>0</v>
      </c>
      <c r="BA1112" s="0" t="n">
        <v>0</v>
      </c>
      <c r="BB1112" s="0" t="n">
        <v>0</v>
      </c>
      <c r="BC1112" s="0" t="n">
        <v>0</v>
      </c>
      <c r="BD1112" s="0" t="n">
        <v>0</v>
      </c>
      <c r="BE1112" s="0" t="n">
        <v>0</v>
      </c>
      <c r="BF1112" s="0" t="n">
        <v>0</v>
      </c>
      <c r="BG1112" s="0" t="n">
        <v>0</v>
      </c>
      <c r="BH1112" s="0" t="n">
        <v>0</v>
      </c>
      <c r="BI1112" s="0" t="n">
        <v>0</v>
      </c>
      <c r="BJ1112" s="0" t="n">
        <v>0</v>
      </c>
      <c r="BK1112" s="0" t="n">
        <v>0</v>
      </c>
      <c r="BM1112" s="6" t="n">
        <f aca="false">IFERROR(VALUE(F1112),"")</f>
        <v>135.26</v>
      </c>
      <c r="BN1112" s="6" t="str">
        <f aca="false">IF(R1112="-","",IFERROR(VALUE(LEFT(Q1112,LEN(Q1112)-2)),""))</f>
        <v/>
      </c>
      <c r="BO1112" s="6" t="str">
        <f aca="false">IF(R1112="-","",IFERROR(VALUE(LEFT(R1112,LEN(R1112)-5)),""))</f>
        <v/>
      </c>
      <c r="BP1112" s="6" t="str">
        <f aca="false">IF(R1112="-","",IFERROR(VALUE(F1112),""))</f>
        <v/>
      </c>
      <c r="BQ1112" s="4" t="n">
        <f aca="false">IF(R1112="-",1,0)</f>
        <v>1</v>
      </c>
    </row>
    <row r="1113" customFormat="false" ht="15" hidden="false" customHeight="false" outlineLevel="0" collapsed="false">
      <c r="A1113" s="0" t="s">
        <v>4332</v>
      </c>
      <c r="B1113" s="0" t="s">
        <v>4333</v>
      </c>
      <c r="C1113" s="0" t="s">
        <v>70</v>
      </c>
      <c r="D1113" s="0" t="s">
        <v>3235</v>
      </c>
      <c r="E1113" s="3" t="n">
        <v>46277</v>
      </c>
      <c r="F1113" s="4" t="s">
        <v>4344</v>
      </c>
      <c r="G1113" s="5" t="n">
        <v>0.135578703703704</v>
      </c>
      <c r="H1113" s="5" t="n">
        <v>0.107037037037037</v>
      </c>
      <c r="I1113" s="5" t="n">
        <v>0.000694444444444445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5" t="n">
        <v>0</v>
      </c>
      <c r="P1113" s="5" t="n">
        <v>0</v>
      </c>
      <c r="Q1113" s="4" t="s">
        <v>73</v>
      </c>
      <c r="R1113" s="4" t="s">
        <v>73</v>
      </c>
      <c r="S1113" s="5" t="n">
        <v>0</v>
      </c>
      <c r="T1113" s="5" t="n">
        <v>0</v>
      </c>
      <c r="U1113" s="5" t="n">
        <v>0</v>
      </c>
      <c r="V1113" s="5" t="n">
        <v>0</v>
      </c>
      <c r="W1113" s="5" t="n">
        <v>0</v>
      </c>
      <c r="X1113" s="5" t="n">
        <v>0</v>
      </c>
      <c r="Y1113" s="5" t="n">
        <v>0</v>
      </c>
      <c r="Z1113" s="0" t="n">
        <v>0</v>
      </c>
      <c r="AA1113" s="0" t="n">
        <v>0</v>
      </c>
      <c r="AB1113" s="0" t="n">
        <v>0</v>
      </c>
      <c r="AC1113" s="4" t="s">
        <v>75</v>
      </c>
      <c r="AD1113" s="4" t="s">
        <v>228</v>
      </c>
      <c r="AE1113" s="4" t="s">
        <v>4343</v>
      </c>
      <c r="AF1113" s="4" t="s">
        <v>4345</v>
      </c>
      <c r="AG1113" s="5" t="n">
        <v>0.0931134259259259</v>
      </c>
      <c r="AH1113" s="5" t="n">
        <v>0.0834143518518519</v>
      </c>
      <c r="AI1113" s="5" t="n">
        <v>0</v>
      </c>
      <c r="AJ1113" s="5" t="n">
        <v>0</v>
      </c>
      <c r="AK1113" s="5" t="n">
        <v>0</v>
      </c>
      <c r="AL1113" s="5" t="n">
        <v>0</v>
      </c>
      <c r="AM1113" s="4" t="s">
        <v>78</v>
      </c>
      <c r="AN1113" s="0" t="n">
        <v>0</v>
      </c>
      <c r="AO1113" s="0" t="n">
        <v>0</v>
      </c>
      <c r="AP1113" s="0" t="n">
        <v>0</v>
      </c>
      <c r="AQ1113" s="0" t="n">
        <v>0</v>
      </c>
      <c r="AR1113" s="0" t="n">
        <v>0</v>
      </c>
      <c r="AS1113" s="0" t="n">
        <v>0</v>
      </c>
      <c r="AT1113" s="0" t="n">
        <v>0</v>
      </c>
      <c r="AU1113" s="0" t="n">
        <v>0</v>
      </c>
      <c r="AV1113" s="0" t="n">
        <v>0</v>
      </c>
      <c r="AW1113" s="0" t="n">
        <v>0</v>
      </c>
      <c r="AX1113" s="0" t="n">
        <v>0</v>
      </c>
      <c r="AY1113" s="0" t="n">
        <v>0</v>
      </c>
      <c r="AZ1113" s="0" t="n">
        <v>0</v>
      </c>
      <c r="BA1113" s="0" t="n">
        <v>0</v>
      </c>
      <c r="BB1113" s="0" t="n">
        <v>0</v>
      </c>
      <c r="BC1113" s="0" t="n">
        <v>0</v>
      </c>
      <c r="BD1113" s="0" t="n">
        <v>0</v>
      </c>
      <c r="BE1113" s="0" t="n">
        <v>0</v>
      </c>
      <c r="BF1113" s="0" t="n">
        <v>0</v>
      </c>
      <c r="BG1113" s="0" t="n">
        <v>0</v>
      </c>
      <c r="BH1113" s="0" t="n">
        <v>0</v>
      </c>
      <c r="BI1113" s="0" t="n">
        <v>0</v>
      </c>
      <c r="BJ1113" s="0" t="n">
        <v>0</v>
      </c>
      <c r="BK1113" s="0" t="n">
        <v>0</v>
      </c>
      <c r="BM1113" s="6" t="n">
        <f aca="false">IFERROR(VALUE(F1113),"")</f>
        <v>37.62</v>
      </c>
      <c r="BN1113" s="6" t="str">
        <f aca="false">IF(R1113="-","",IFERROR(VALUE(LEFT(Q1113,LEN(Q1113)-2)),""))</f>
        <v/>
      </c>
      <c r="BO1113" s="6" t="str">
        <f aca="false">IF(R1113="-","",IFERROR(VALUE(LEFT(R1113,LEN(R1113)-5)),""))</f>
        <v/>
      </c>
      <c r="BP1113" s="6" t="str">
        <f aca="false">IF(R1113="-","",IFERROR(VALUE(F1113),""))</f>
        <v/>
      </c>
      <c r="BQ1113" s="4" t="n">
        <f aca="false">IF(R1113="-",1,0)</f>
        <v>1</v>
      </c>
    </row>
    <row r="1114" customFormat="false" ht="15" hidden="false" customHeight="false" outlineLevel="0" collapsed="false">
      <c r="A1114" s="0" t="s">
        <v>4332</v>
      </c>
      <c r="B1114" s="0" t="s">
        <v>4333</v>
      </c>
      <c r="C1114" s="0" t="s">
        <v>70</v>
      </c>
      <c r="D1114" s="0" t="s">
        <v>4346</v>
      </c>
      <c r="E1114" s="3" t="n">
        <v>46279</v>
      </c>
      <c r="F1114" s="4" t="s">
        <v>4347</v>
      </c>
      <c r="G1114" s="5" t="n">
        <v>0.233865740740741</v>
      </c>
      <c r="H1114" s="5" t="n">
        <v>0.216458333333333</v>
      </c>
      <c r="I1114" s="5" t="n">
        <v>0.000393518518518519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12</v>
      </c>
      <c r="O1114" s="5" t="n">
        <v>0</v>
      </c>
      <c r="P1114" s="5" t="n">
        <v>0</v>
      </c>
      <c r="Q1114" s="4" t="s">
        <v>73</v>
      </c>
      <c r="R1114" s="4" t="s">
        <v>73</v>
      </c>
      <c r="S1114" s="5" t="n">
        <v>0</v>
      </c>
      <c r="T1114" s="5" t="n">
        <v>0</v>
      </c>
      <c r="U1114" s="5" t="n">
        <v>0</v>
      </c>
      <c r="V1114" s="5" t="n">
        <v>0</v>
      </c>
      <c r="W1114" s="5" t="n">
        <v>0</v>
      </c>
      <c r="X1114" s="5" t="n">
        <v>0</v>
      </c>
      <c r="Y1114" s="5" t="n">
        <v>0</v>
      </c>
      <c r="Z1114" s="0" t="n">
        <v>0</v>
      </c>
      <c r="AA1114" s="0" t="n">
        <v>0</v>
      </c>
      <c r="AB1114" s="0" t="n">
        <v>0</v>
      </c>
      <c r="AC1114" s="4" t="s">
        <v>74</v>
      </c>
      <c r="AD1114" s="4" t="s">
        <v>74</v>
      </c>
      <c r="AE1114" s="4" t="s">
        <v>4345</v>
      </c>
      <c r="AF1114" s="4" t="s">
        <v>4348</v>
      </c>
      <c r="AG1114" s="5" t="n">
        <v>0.187476851851852</v>
      </c>
      <c r="AH1114" s="5" t="n">
        <v>0.166469907407407</v>
      </c>
      <c r="AI1114" s="5" t="n">
        <v>0</v>
      </c>
      <c r="AJ1114" s="5" t="n">
        <v>0</v>
      </c>
      <c r="AK1114" s="5" t="n">
        <v>0</v>
      </c>
      <c r="AL1114" s="5" t="n">
        <v>0</v>
      </c>
      <c r="AM1114" s="4" t="s">
        <v>78</v>
      </c>
      <c r="AN1114" s="0" t="n">
        <v>0</v>
      </c>
      <c r="AO1114" s="0" t="n">
        <v>1</v>
      </c>
      <c r="AP1114" s="0" t="n">
        <v>0</v>
      </c>
      <c r="AQ1114" s="0" t="n">
        <v>0</v>
      </c>
      <c r="AR1114" s="0" t="n">
        <v>0</v>
      </c>
      <c r="AS1114" s="0" t="n">
        <v>0</v>
      </c>
      <c r="AT1114" s="0" t="n">
        <v>0</v>
      </c>
      <c r="AU1114" s="0" t="n">
        <v>3</v>
      </c>
      <c r="AV1114" s="0" t="n">
        <v>0</v>
      </c>
      <c r="AW1114" s="0" t="n">
        <v>0</v>
      </c>
      <c r="AX1114" s="0" t="n">
        <v>0</v>
      </c>
      <c r="AY1114" s="0" t="n">
        <v>0</v>
      </c>
      <c r="AZ1114" s="0" t="n">
        <v>0</v>
      </c>
      <c r="BA1114" s="0" t="n">
        <v>0</v>
      </c>
      <c r="BB1114" s="0" t="n">
        <v>0</v>
      </c>
      <c r="BC1114" s="0" t="n">
        <v>0</v>
      </c>
      <c r="BD1114" s="0" t="n">
        <v>0</v>
      </c>
      <c r="BE1114" s="0" t="n">
        <v>0</v>
      </c>
      <c r="BF1114" s="0" t="n">
        <v>0</v>
      </c>
      <c r="BG1114" s="0" t="n">
        <v>0</v>
      </c>
      <c r="BH1114" s="0" t="n">
        <v>0</v>
      </c>
      <c r="BI1114" s="0" t="n">
        <v>0</v>
      </c>
      <c r="BJ1114" s="0" t="n">
        <v>0</v>
      </c>
      <c r="BK1114" s="0" t="n">
        <v>0</v>
      </c>
      <c r="BM1114" s="6" t="n">
        <f aca="false">IFERROR(VALUE(F1114),"")</f>
        <v>72.52</v>
      </c>
      <c r="BN1114" s="6" t="str">
        <f aca="false">IF(R1114="-","",IFERROR(VALUE(LEFT(Q1114,LEN(Q1114)-2)),""))</f>
        <v/>
      </c>
      <c r="BO1114" s="6" t="str">
        <f aca="false">IF(R1114="-","",IFERROR(VALUE(LEFT(R1114,LEN(R1114)-5)),""))</f>
        <v/>
      </c>
      <c r="BP1114" s="6" t="str">
        <f aca="false">IF(R1114="-","",IFERROR(VALUE(F1114),""))</f>
        <v/>
      </c>
      <c r="BQ1114" s="4" t="n">
        <f aca="false">IF(R1114="-",1,0)</f>
        <v>1</v>
      </c>
    </row>
    <row r="1115" customFormat="false" ht="15" hidden="false" customHeight="false" outlineLevel="0" collapsed="false">
      <c r="A1115" s="0" t="s">
        <v>4349</v>
      </c>
      <c r="B1115" s="0" t="s">
        <v>4350</v>
      </c>
      <c r="C1115" s="0" t="s">
        <v>70</v>
      </c>
      <c r="E1115" s="3" t="n">
        <v>46273</v>
      </c>
      <c r="F1115" s="4" t="s">
        <v>4351</v>
      </c>
      <c r="G1115" s="5" t="n">
        <v>0.574988425925926</v>
      </c>
      <c r="H1115" s="5" t="n">
        <v>0</v>
      </c>
      <c r="I1115" s="5" t="n">
        <v>0.000208333333333333</v>
      </c>
      <c r="J1115" s="0" t="n">
        <v>2</v>
      </c>
      <c r="K1115" s="0" t="n">
        <v>7</v>
      </c>
      <c r="L1115" s="0" t="n">
        <v>0</v>
      </c>
      <c r="M1115" s="0" t="n">
        <v>0</v>
      </c>
      <c r="N1115" s="0" t="n">
        <v>22</v>
      </c>
      <c r="O1115" s="5" t="n">
        <v>0</v>
      </c>
      <c r="P1115" s="5" t="n">
        <v>0</v>
      </c>
      <c r="Q1115" s="4" t="s">
        <v>4352</v>
      </c>
      <c r="R1115" s="4" t="s">
        <v>361</v>
      </c>
      <c r="S1115" s="5" t="n">
        <v>0.000115740740740741</v>
      </c>
      <c r="T1115" s="5" t="n">
        <v>0.185763888888889</v>
      </c>
      <c r="U1115" s="5" t="n">
        <v>0.219675925925926</v>
      </c>
      <c r="V1115" s="5" t="n">
        <v>0.14375</v>
      </c>
      <c r="W1115" s="5" t="n">
        <v>0.000115740740740741</v>
      </c>
      <c r="X1115" s="5" t="n">
        <v>0</v>
      </c>
      <c r="Y1115" s="5" t="n">
        <v>0</v>
      </c>
      <c r="Z1115" s="0" t="n">
        <v>0</v>
      </c>
      <c r="AA1115" s="0" t="n">
        <v>0</v>
      </c>
      <c r="AB1115" s="0" t="n">
        <v>0</v>
      </c>
      <c r="AC1115" s="4" t="s">
        <v>208</v>
      </c>
      <c r="AD1115" s="4" t="s">
        <v>208</v>
      </c>
      <c r="AE1115" s="4" t="s">
        <v>4353</v>
      </c>
      <c r="AF1115" s="4" t="s">
        <v>4354</v>
      </c>
      <c r="AG1115" s="5" t="n">
        <v>0.503125</v>
      </c>
      <c r="AH1115" s="5" t="n">
        <v>0.199571759259259</v>
      </c>
      <c r="AI1115" s="5" t="n">
        <v>0</v>
      </c>
      <c r="AJ1115" s="5" t="n">
        <v>0</v>
      </c>
      <c r="AK1115" s="5" t="n">
        <v>0</v>
      </c>
      <c r="AL1115" s="5" t="n">
        <v>0</v>
      </c>
      <c r="AM1115" s="4" t="s">
        <v>78</v>
      </c>
      <c r="AN1115" s="0" t="n">
        <v>0</v>
      </c>
      <c r="AO1115" s="0" t="n">
        <v>0</v>
      </c>
      <c r="AP1115" s="0" t="n">
        <v>0</v>
      </c>
      <c r="AQ1115" s="0" t="n">
        <v>0</v>
      </c>
      <c r="AR1115" s="0" t="n">
        <v>0</v>
      </c>
      <c r="AS1115" s="0" t="n">
        <v>0</v>
      </c>
      <c r="AT1115" s="0" t="n">
        <v>0</v>
      </c>
      <c r="AU1115" s="0" t="n">
        <v>0</v>
      </c>
      <c r="AV1115" s="0" t="n">
        <v>0</v>
      </c>
      <c r="AW1115" s="0" t="n">
        <v>0</v>
      </c>
      <c r="AX1115" s="0" t="n">
        <v>0</v>
      </c>
      <c r="AY1115" s="0" t="n">
        <v>0</v>
      </c>
      <c r="AZ1115" s="0" t="n">
        <v>0</v>
      </c>
      <c r="BA1115" s="0" t="n">
        <v>0</v>
      </c>
      <c r="BB1115" s="0" t="n">
        <v>0</v>
      </c>
      <c r="BC1115" s="0" t="n">
        <v>0</v>
      </c>
      <c r="BD1115" s="0" t="n">
        <v>0</v>
      </c>
      <c r="BE1115" s="0" t="n">
        <v>0</v>
      </c>
      <c r="BF1115" s="0" t="n">
        <v>0</v>
      </c>
      <c r="BG1115" s="0" t="n">
        <v>0</v>
      </c>
      <c r="BH1115" s="0" t="n">
        <v>0</v>
      </c>
      <c r="BI1115" s="0" t="n">
        <v>0</v>
      </c>
      <c r="BJ1115" s="0" t="n">
        <v>0</v>
      </c>
      <c r="BK1115" s="0" t="n">
        <v>0</v>
      </c>
      <c r="BM1115" s="6" t="n">
        <f aca="false">IFERROR(VALUE(F1115),"")</f>
        <v>291.16</v>
      </c>
      <c r="BN1115" s="6" t="n">
        <f aca="false">IF(R1115="-","",IFERROR(VALUE(LEFT(Q1115,LEN(Q1115)-2)),""))</f>
        <v>93.44</v>
      </c>
      <c r="BO1115" s="6" t="n">
        <f aca="false">IF(R1115="-","",IFERROR(VALUE(LEFT(R1115,LEN(R1115)-5)),""))</f>
        <v>3.12</v>
      </c>
      <c r="BP1115" s="6" t="n">
        <f aca="false">IF(R1115="-","",IFERROR(VALUE(F1115),""))</f>
        <v>291.16</v>
      </c>
      <c r="BQ1115" s="4" t="n">
        <f aca="false">IF(R1115="-",1,0)</f>
        <v>0</v>
      </c>
    </row>
    <row r="1116" customFormat="false" ht="15" hidden="false" customHeight="false" outlineLevel="0" collapsed="false">
      <c r="A1116" s="0" t="s">
        <v>4349</v>
      </c>
      <c r="B1116" s="0" t="s">
        <v>4350</v>
      </c>
      <c r="C1116" s="0" t="s">
        <v>70</v>
      </c>
      <c r="E1116" s="3" t="n">
        <v>46274</v>
      </c>
      <c r="F1116" s="4" t="s">
        <v>4355</v>
      </c>
      <c r="G1116" s="5" t="n">
        <v>0.542523148148148</v>
      </c>
      <c r="H1116" s="5" t="n">
        <v>0</v>
      </c>
      <c r="I1116" s="5" t="n">
        <v>9.25925925925926E-005</v>
      </c>
      <c r="J1116" s="0" t="n">
        <v>0</v>
      </c>
      <c r="K1116" s="0" t="n">
        <v>9</v>
      </c>
      <c r="L1116" s="0" t="n">
        <v>0</v>
      </c>
      <c r="M1116" s="0" t="n">
        <v>0</v>
      </c>
      <c r="N1116" s="0" t="n">
        <v>18</v>
      </c>
      <c r="O1116" s="5" t="n">
        <v>0</v>
      </c>
      <c r="P1116" s="5" t="n">
        <v>0</v>
      </c>
      <c r="Q1116" s="4" t="s">
        <v>4356</v>
      </c>
      <c r="R1116" s="4" t="s">
        <v>420</v>
      </c>
      <c r="S1116" s="5" t="n">
        <v>0.000115740740740741</v>
      </c>
      <c r="T1116" s="5" t="n">
        <v>0.176851851851852</v>
      </c>
      <c r="U1116" s="5" t="n">
        <v>0.208333333333333</v>
      </c>
      <c r="V1116" s="5" t="n">
        <v>0.128009259259259</v>
      </c>
      <c r="W1116" s="5" t="n">
        <v>0</v>
      </c>
      <c r="X1116" s="5" t="n">
        <v>0</v>
      </c>
      <c r="Y1116" s="5" t="n">
        <v>0</v>
      </c>
      <c r="Z1116" s="0" t="n">
        <v>0</v>
      </c>
      <c r="AA1116" s="0" t="n">
        <v>0</v>
      </c>
      <c r="AB1116" s="0" t="n">
        <v>0</v>
      </c>
      <c r="AC1116" s="4" t="s">
        <v>208</v>
      </c>
      <c r="AD1116" s="4" t="s">
        <v>208</v>
      </c>
      <c r="AE1116" s="4" t="s">
        <v>4354</v>
      </c>
      <c r="AF1116" s="4" t="s">
        <v>4357</v>
      </c>
      <c r="AG1116" s="5" t="n">
        <v>0.467060185185185</v>
      </c>
      <c r="AH1116" s="5" t="n">
        <v>0.185185185185185</v>
      </c>
      <c r="AI1116" s="5" t="n">
        <v>0</v>
      </c>
      <c r="AJ1116" s="5" t="n">
        <v>0</v>
      </c>
      <c r="AK1116" s="5" t="n">
        <v>0</v>
      </c>
      <c r="AL1116" s="5" t="n">
        <v>0</v>
      </c>
      <c r="AM1116" s="4" t="s">
        <v>78</v>
      </c>
      <c r="AN1116" s="0" t="n">
        <v>0</v>
      </c>
      <c r="AO1116" s="0" t="n">
        <v>0</v>
      </c>
      <c r="AP1116" s="0" t="n">
        <v>0</v>
      </c>
      <c r="AQ1116" s="0" t="n">
        <v>0</v>
      </c>
      <c r="AR1116" s="0" t="n">
        <v>0</v>
      </c>
      <c r="AS1116" s="0" t="n">
        <v>0</v>
      </c>
      <c r="AT1116" s="0" t="n">
        <v>0</v>
      </c>
      <c r="AU1116" s="0" t="n">
        <v>0</v>
      </c>
      <c r="AV1116" s="0" t="n">
        <v>0</v>
      </c>
      <c r="AW1116" s="0" t="n">
        <v>0</v>
      </c>
      <c r="AX1116" s="0" t="n">
        <v>0</v>
      </c>
      <c r="AY1116" s="0" t="n">
        <v>0</v>
      </c>
      <c r="AZ1116" s="0" t="n">
        <v>0</v>
      </c>
      <c r="BA1116" s="0" t="n">
        <v>0</v>
      </c>
      <c r="BB1116" s="0" t="n">
        <v>0</v>
      </c>
      <c r="BC1116" s="0" t="n">
        <v>0</v>
      </c>
      <c r="BD1116" s="0" t="n">
        <v>0</v>
      </c>
      <c r="BE1116" s="0" t="n">
        <v>0</v>
      </c>
      <c r="BF1116" s="0" t="n">
        <v>0</v>
      </c>
      <c r="BG1116" s="0" t="n">
        <v>0</v>
      </c>
      <c r="BH1116" s="0" t="n">
        <v>0</v>
      </c>
      <c r="BI1116" s="0" t="n">
        <v>0</v>
      </c>
      <c r="BJ1116" s="0" t="n">
        <v>0</v>
      </c>
      <c r="BK1116" s="0" t="n">
        <v>0</v>
      </c>
      <c r="BM1116" s="6" t="n">
        <f aca="false">IFERROR(VALUE(F1116),"")</f>
        <v>265.85</v>
      </c>
      <c r="BN1116" s="6" t="n">
        <f aca="false">IF(R1116="-","",IFERROR(VALUE(LEFT(Q1116,LEN(Q1116)-2)),""))</f>
        <v>81.54</v>
      </c>
      <c r="BO1116" s="6" t="n">
        <f aca="false">IF(R1116="-","",IFERROR(VALUE(LEFT(R1116,LEN(R1116)-5)),""))</f>
        <v>3.26</v>
      </c>
      <c r="BP1116" s="6" t="n">
        <f aca="false">IF(R1116="-","",IFERROR(VALUE(F1116),""))</f>
        <v>265.85</v>
      </c>
      <c r="BQ1116" s="4" t="n">
        <f aca="false">IF(R1116="-",1,0)</f>
        <v>0</v>
      </c>
    </row>
    <row r="1117" customFormat="false" ht="15" hidden="false" customHeight="false" outlineLevel="0" collapsed="false">
      <c r="A1117" s="0" t="s">
        <v>4349</v>
      </c>
      <c r="B1117" s="0" t="s">
        <v>4350</v>
      </c>
      <c r="C1117" s="0" t="s">
        <v>70</v>
      </c>
      <c r="E1117" s="3" t="n">
        <v>46275</v>
      </c>
      <c r="F1117" s="4" t="s">
        <v>4358</v>
      </c>
      <c r="G1117" s="5" t="n">
        <v>0.531689814814815</v>
      </c>
      <c r="H1117" s="5" t="n">
        <v>0</v>
      </c>
      <c r="I1117" s="5" t="n">
        <v>0.000208333333333333</v>
      </c>
      <c r="J1117" s="0" t="n">
        <v>1</v>
      </c>
      <c r="K1117" s="0" t="n">
        <v>8</v>
      </c>
      <c r="L1117" s="0" t="n">
        <v>0</v>
      </c>
      <c r="M1117" s="0" t="n">
        <v>0</v>
      </c>
      <c r="N1117" s="0" t="n">
        <v>40</v>
      </c>
      <c r="O1117" s="5" t="n">
        <v>0</v>
      </c>
      <c r="P1117" s="5" t="n">
        <v>0</v>
      </c>
      <c r="Q1117" s="4" t="s">
        <v>4359</v>
      </c>
      <c r="R1117" s="4" t="s">
        <v>858</v>
      </c>
      <c r="S1117" s="5" t="n">
        <v>0.000462962962962963</v>
      </c>
      <c r="T1117" s="5" t="n">
        <v>0.176736111111111</v>
      </c>
      <c r="U1117" s="5" t="n">
        <v>0.203703703703704</v>
      </c>
      <c r="V1117" s="5" t="n">
        <v>0.115277777777778</v>
      </c>
      <c r="W1117" s="5" t="n">
        <v>0</v>
      </c>
      <c r="X1117" s="5" t="n">
        <v>0</v>
      </c>
      <c r="Y1117" s="5" t="n">
        <v>0</v>
      </c>
      <c r="Z1117" s="0" t="n">
        <v>0</v>
      </c>
      <c r="AA1117" s="0" t="n">
        <v>0</v>
      </c>
      <c r="AB1117" s="0" t="n">
        <v>0</v>
      </c>
      <c r="AC1117" s="4" t="s">
        <v>208</v>
      </c>
      <c r="AD1117" s="4" t="s">
        <v>208</v>
      </c>
      <c r="AE1117" s="4" t="s">
        <v>4357</v>
      </c>
      <c r="AF1117" s="4" t="s">
        <v>4360</v>
      </c>
      <c r="AG1117" s="5" t="n">
        <v>0.454293981481482</v>
      </c>
      <c r="AH1117" s="5" t="n">
        <v>0.199074074074074</v>
      </c>
      <c r="AI1117" s="5" t="n">
        <v>0</v>
      </c>
      <c r="AJ1117" s="5" t="n">
        <v>0</v>
      </c>
      <c r="AK1117" s="5" t="n">
        <v>0</v>
      </c>
      <c r="AL1117" s="5" t="n">
        <v>0</v>
      </c>
      <c r="AM1117" s="4" t="s">
        <v>78</v>
      </c>
      <c r="AN1117" s="0" t="n">
        <v>0</v>
      </c>
      <c r="AO1117" s="0" t="n">
        <v>0</v>
      </c>
      <c r="AP1117" s="0" t="n">
        <v>0</v>
      </c>
      <c r="AQ1117" s="0" t="n">
        <v>0</v>
      </c>
      <c r="AR1117" s="0" t="n">
        <v>0</v>
      </c>
      <c r="AS1117" s="0" t="n">
        <v>0</v>
      </c>
      <c r="AT1117" s="0" t="n">
        <v>0</v>
      </c>
      <c r="AU1117" s="0" t="n">
        <v>0</v>
      </c>
      <c r="AV1117" s="0" t="n">
        <v>0</v>
      </c>
      <c r="AW1117" s="0" t="n">
        <v>0</v>
      </c>
      <c r="AX1117" s="0" t="n">
        <v>0</v>
      </c>
      <c r="AY1117" s="0" t="n">
        <v>0</v>
      </c>
      <c r="AZ1117" s="0" t="n">
        <v>0</v>
      </c>
      <c r="BA1117" s="0" t="n">
        <v>0</v>
      </c>
      <c r="BB1117" s="0" t="n">
        <v>0</v>
      </c>
      <c r="BC1117" s="0" t="n">
        <v>0</v>
      </c>
      <c r="BD1117" s="0" t="n">
        <v>0</v>
      </c>
      <c r="BE1117" s="0" t="n">
        <v>0</v>
      </c>
      <c r="BF1117" s="0" t="n">
        <v>0</v>
      </c>
      <c r="BG1117" s="0" t="n">
        <v>0</v>
      </c>
      <c r="BH1117" s="0" t="n">
        <v>0</v>
      </c>
      <c r="BI1117" s="0" t="n">
        <v>0</v>
      </c>
      <c r="BJ1117" s="0" t="n">
        <v>0</v>
      </c>
      <c r="BK1117" s="0" t="n">
        <v>0</v>
      </c>
      <c r="BM1117" s="6" t="n">
        <f aca="false">IFERROR(VALUE(F1117),"")</f>
        <v>261.26</v>
      </c>
      <c r="BN1117" s="6" t="n">
        <f aca="false">IF(R1117="-","",IFERROR(VALUE(LEFT(Q1117,LEN(Q1117)-2)),""))</f>
        <v>81.47</v>
      </c>
      <c r="BO1117" s="6" t="n">
        <f aca="false">IF(R1117="-","",IFERROR(VALUE(LEFT(R1117,LEN(R1117)-5)),""))</f>
        <v>3.21</v>
      </c>
      <c r="BP1117" s="6" t="n">
        <f aca="false">IF(R1117="-","",IFERROR(VALUE(F1117),""))</f>
        <v>261.26</v>
      </c>
      <c r="BQ1117" s="4" t="n">
        <f aca="false">IF(R1117="-",1,0)</f>
        <v>0</v>
      </c>
    </row>
    <row r="1118" customFormat="false" ht="15" hidden="false" customHeight="false" outlineLevel="0" collapsed="false">
      <c r="A1118" s="0" t="s">
        <v>4349</v>
      </c>
      <c r="B1118" s="0" t="s">
        <v>4350</v>
      </c>
      <c r="C1118" s="0" t="s">
        <v>70</v>
      </c>
      <c r="E1118" s="3" t="n">
        <v>46276</v>
      </c>
      <c r="F1118" s="4" t="s">
        <v>4361</v>
      </c>
      <c r="G1118" s="5" t="n">
        <v>0.441712962962963</v>
      </c>
      <c r="H1118" s="5" t="n">
        <v>0</v>
      </c>
      <c r="I1118" s="5" t="n">
        <v>0.000196759259259259</v>
      </c>
      <c r="J1118" s="0" t="n">
        <v>0</v>
      </c>
      <c r="K1118" s="0" t="n">
        <v>3</v>
      </c>
      <c r="L1118" s="0" t="n">
        <v>0</v>
      </c>
      <c r="M1118" s="0" t="n">
        <v>0</v>
      </c>
      <c r="N1118" s="0" t="n">
        <v>28</v>
      </c>
      <c r="O1118" s="5" t="n">
        <v>0</v>
      </c>
      <c r="P1118" s="5" t="n">
        <v>0</v>
      </c>
      <c r="Q1118" s="4" t="s">
        <v>4362</v>
      </c>
      <c r="R1118" s="4" t="s">
        <v>4363</v>
      </c>
      <c r="S1118" s="5" t="n">
        <v>0.000578703703703704</v>
      </c>
      <c r="T1118" s="5" t="n">
        <v>0.122106481481482</v>
      </c>
      <c r="U1118" s="5" t="n">
        <v>0.175925925925926</v>
      </c>
      <c r="V1118" s="5" t="n">
        <v>0.0818287037037037</v>
      </c>
      <c r="W1118" s="5" t="n">
        <v>0</v>
      </c>
      <c r="X1118" s="5" t="n">
        <v>0</v>
      </c>
      <c r="Y1118" s="5" t="n">
        <v>0</v>
      </c>
      <c r="Z1118" s="0" t="n">
        <v>0</v>
      </c>
      <c r="AA1118" s="0" t="n">
        <v>0</v>
      </c>
      <c r="AB1118" s="0" t="n">
        <v>0</v>
      </c>
      <c r="AC1118" s="4" t="s">
        <v>208</v>
      </c>
      <c r="AD1118" s="4" t="s">
        <v>208</v>
      </c>
      <c r="AE1118" s="4" t="s">
        <v>4360</v>
      </c>
      <c r="AF1118" s="4" t="s">
        <v>4364</v>
      </c>
      <c r="AG1118" s="5" t="n">
        <v>0.374212962962963</v>
      </c>
      <c r="AH1118" s="5" t="n">
        <v>0.235115740740741</v>
      </c>
      <c r="AI1118" s="5" t="n">
        <v>0</v>
      </c>
      <c r="AJ1118" s="5" t="n">
        <v>0</v>
      </c>
      <c r="AK1118" s="5" t="n">
        <v>0</v>
      </c>
      <c r="AL1118" s="5" t="n">
        <v>0</v>
      </c>
      <c r="AM1118" s="4" t="s">
        <v>78</v>
      </c>
      <c r="AN1118" s="0" t="n">
        <v>0</v>
      </c>
      <c r="AO1118" s="0" t="n">
        <v>0</v>
      </c>
      <c r="AP1118" s="0" t="n">
        <v>0</v>
      </c>
      <c r="AQ1118" s="0" t="n">
        <v>0</v>
      </c>
      <c r="AR1118" s="0" t="n">
        <v>0</v>
      </c>
      <c r="AS1118" s="0" t="n">
        <v>0</v>
      </c>
      <c r="AT1118" s="0" t="n">
        <v>0</v>
      </c>
      <c r="AU1118" s="0" t="n">
        <v>0</v>
      </c>
      <c r="AV1118" s="0" t="n">
        <v>0</v>
      </c>
      <c r="AW1118" s="0" t="n">
        <v>0</v>
      </c>
      <c r="AX1118" s="0" t="n">
        <v>0</v>
      </c>
      <c r="AY1118" s="0" t="n">
        <v>0</v>
      </c>
      <c r="AZ1118" s="0" t="n">
        <v>0</v>
      </c>
      <c r="BA1118" s="0" t="n">
        <v>0</v>
      </c>
      <c r="BB1118" s="0" t="n">
        <v>0</v>
      </c>
      <c r="BC1118" s="0" t="n">
        <v>0</v>
      </c>
      <c r="BD1118" s="0" t="n">
        <v>0</v>
      </c>
      <c r="BE1118" s="0" t="n">
        <v>0</v>
      </c>
      <c r="BF1118" s="0" t="n">
        <v>0</v>
      </c>
      <c r="BG1118" s="0" t="n">
        <v>0</v>
      </c>
      <c r="BH1118" s="0" t="n">
        <v>0</v>
      </c>
      <c r="BI1118" s="0" t="n">
        <v>0</v>
      </c>
      <c r="BJ1118" s="0" t="n">
        <v>0</v>
      </c>
      <c r="BK1118" s="0" t="n">
        <v>0</v>
      </c>
      <c r="BM1118" s="6" t="n">
        <f aca="false">IFERROR(VALUE(F1118),"")</f>
        <v>222.49</v>
      </c>
      <c r="BN1118" s="6" t="n">
        <f aca="false">IF(R1118="-","",IFERROR(VALUE(LEFT(Q1118,LEN(Q1118)-2)),""))</f>
        <v>62.62</v>
      </c>
      <c r="BO1118" s="6" t="n">
        <f aca="false">IF(R1118="-","",IFERROR(VALUE(LEFT(R1118,LEN(R1118)-5)),""))</f>
        <v>3.55</v>
      </c>
      <c r="BP1118" s="6" t="n">
        <f aca="false">IF(R1118="-","",IFERROR(VALUE(F1118),""))</f>
        <v>222.49</v>
      </c>
      <c r="BQ1118" s="4" t="n">
        <f aca="false">IF(R1118="-",1,0)</f>
        <v>0</v>
      </c>
    </row>
    <row r="1119" customFormat="false" ht="15" hidden="false" customHeight="false" outlineLevel="0" collapsed="false">
      <c r="A1119" s="0" t="s">
        <v>4349</v>
      </c>
      <c r="B1119" s="0" t="s">
        <v>4350</v>
      </c>
      <c r="C1119" s="0" t="s">
        <v>70</v>
      </c>
      <c r="E1119" s="3" t="n">
        <v>46277</v>
      </c>
      <c r="F1119" s="4" t="s">
        <v>4365</v>
      </c>
      <c r="G1119" s="5" t="n">
        <v>0.257638888888889</v>
      </c>
      <c r="H1119" s="5" t="n">
        <v>0</v>
      </c>
      <c r="I1119" s="5" t="n">
        <v>0.000173611111111111</v>
      </c>
      <c r="J1119" s="0" t="n">
        <v>0</v>
      </c>
      <c r="K1119" s="0" t="n">
        <v>1</v>
      </c>
      <c r="L1119" s="0" t="n">
        <v>0</v>
      </c>
      <c r="M1119" s="0" t="n">
        <v>0</v>
      </c>
      <c r="N1119" s="0" t="n">
        <v>15</v>
      </c>
      <c r="O1119" s="5" t="n">
        <v>0</v>
      </c>
      <c r="P1119" s="5" t="n">
        <v>0</v>
      </c>
      <c r="Q1119" s="4" t="s">
        <v>4366</v>
      </c>
      <c r="R1119" s="4" t="s">
        <v>553</v>
      </c>
      <c r="S1119" s="5" t="n">
        <v>0.000115740740740741</v>
      </c>
      <c r="T1119" s="5" t="n">
        <v>0.0789351851851852</v>
      </c>
      <c r="U1119" s="5" t="n">
        <v>0.105902777777778</v>
      </c>
      <c r="V1119" s="5" t="n">
        <v>0.0490740740740741</v>
      </c>
      <c r="W1119" s="5" t="n">
        <v>0</v>
      </c>
      <c r="X1119" s="5" t="n">
        <v>0</v>
      </c>
      <c r="Y1119" s="5" t="n">
        <v>0</v>
      </c>
      <c r="Z1119" s="0" t="n">
        <v>0</v>
      </c>
      <c r="AA1119" s="0" t="n">
        <v>0</v>
      </c>
      <c r="AB1119" s="0" t="n">
        <v>0</v>
      </c>
      <c r="AC1119" s="4" t="s">
        <v>208</v>
      </c>
      <c r="AD1119" s="4" t="s">
        <v>208</v>
      </c>
      <c r="AE1119" s="4" t="s">
        <v>4364</v>
      </c>
      <c r="AF1119" s="4" t="s">
        <v>4367</v>
      </c>
      <c r="AG1119" s="5" t="n">
        <v>0.226458333333333</v>
      </c>
      <c r="AH1119" s="5" t="n">
        <v>0.0964583333333333</v>
      </c>
      <c r="AI1119" s="5" t="n">
        <v>0</v>
      </c>
      <c r="AJ1119" s="5" t="n">
        <v>0</v>
      </c>
      <c r="AK1119" s="5" t="n">
        <v>0</v>
      </c>
      <c r="AL1119" s="5" t="n">
        <v>0</v>
      </c>
      <c r="AM1119" s="4" t="s">
        <v>78</v>
      </c>
      <c r="AN1119" s="0" t="n">
        <v>0</v>
      </c>
      <c r="AO1119" s="0" t="n">
        <v>0</v>
      </c>
      <c r="AP1119" s="0" t="n">
        <v>0</v>
      </c>
      <c r="AQ1119" s="0" t="n">
        <v>0</v>
      </c>
      <c r="AR1119" s="0" t="n">
        <v>0</v>
      </c>
      <c r="AS1119" s="0" t="n">
        <v>0</v>
      </c>
      <c r="AT1119" s="0" t="n">
        <v>0</v>
      </c>
      <c r="AU1119" s="0" t="n">
        <v>0</v>
      </c>
      <c r="AV1119" s="0" t="n">
        <v>0</v>
      </c>
      <c r="AW1119" s="0" t="n">
        <v>0</v>
      </c>
      <c r="AX1119" s="0" t="n">
        <v>0</v>
      </c>
      <c r="AY1119" s="0" t="n">
        <v>0</v>
      </c>
      <c r="AZ1119" s="0" t="n">
        <v>0</v>
      </c>
      <c r="BA1119" s="0" t="n">
        <v>0</v>
      </c>
      <c r="BB1119" s="0" t="n">
        <v>0</v>
      </c>
      <c r="BC1119" s="0" t="n">
        <v>0</v>
      </c>
      <c r="BD1119" s="0" t="n">
        <v>0</v>
      </c>
      <c r="BE1119" s="0" t="n">
        <v>0</v>
      </c>
      <c r="BF1119" s="0" t="n">
        <v>0</v>
      </c>
      <c r="BG1119" s="0" t="n">
        <v>0</v>
      </c>
      <c r="BH1119" s="0" t="n">
        <v>0</v>
      </c>
      <c r="BI1119" s="0" t="n">
        <v>0</v>
      </c>
      <c r="BJ1119" s="0" t="n">
        <v>0</v>
      </c>
      <c r="BK1119" s="0" t="n">
        <v>0</v>
      </c>
      <c r="BM1119" s="6" t="n">
        <f aca="false">IFERROR(VALUE(F1119),"")</f>
        <v>133.82</v>
      </c>
      <c r="BN1119" s="6" t="n">
        <f aca="false">IF(R1119="-","",IFERROR(VALUE(LEFT(Q1119,LEN(Q1119)-2)),""))</f>
        <v>43.58</v>
      </c>
      <c r="BO1119" s="6" t="n">
        <f aca="false">IF(R1119="-","",IFERROR(VALUE(LEFT(R1119,LEN(R1119)-5)),""))</f>
        <v>3.07</v>
      </c>
      <c r="BP1119" s="6" t="n">
        <f aca="false">IF(R1119="-","",IFERROR(VALUE(F1119),""))</f>
        <v>133.82</v>
      </c>
      <c r="BQ1119" s="4" t="n">
        <f aca="false">IF(R1119="-",1,0)</f>
        <v>0</v>
      </c>
    </row>
    <row r="1120" customFormat="false" ht="15" hidden="false" customHeight="false" outlineLevel="0" collapsed="false">
      <c r="A1120" s="0" t="s">
        <v>4349</v>
      </c>
      <c r="B1120" s="0" t="s">
        <v>4350</v>
      </c>
      <c r="C1120" s="0" t="s">
        <v>70</v>
      </c>
      <c r="E1120" s="3" t="n">
        <v>46278</v>
      </c>
      <c r="F1120" s="4" t="s">
        <v>4368</v>
      </c>
      <c r="G1120" s="5" t="n">
        <v>0.107372685185185</v>
      </c>
      <c r="H1120" s="5" t="n">
        <v>0</v>
      </c>
      <c r="I1120" s="5" t="n">
        <v>8.10185185185185E-005</v>
      </c>
      <c r="J1120" s="0" t="n">
        <v>0</v>
      </c>
      <c r="K1120" s="0" t="n">
        <v>2</v>
      </c>
      <c r="L1120" s="0" t="n">
        <v>0</v>
      </c>
      <c r="M1120" s="0" t="n">
        <v>0</v>
      </c>
      <c r="N1120" s="0" t="n">
        <v>10</v>
      </c>
      <c r="O1120" s="5" t="n">
        <v>0</v>
      </c>
      <c r="P1120" s="5" t="n">
        <v>0</v>
      </c>
      <c r="Q1120" s="4" t="s">
        <v>4369</v>
      </c>
      <c r="R1120" s="4" t="s">
        <v>592</v>
      </c>
      <c r="S1120" s="5" t="n">
        <v>0.000231481481481482</v>
      </c>
      <c r="T1120" s="5" t="n">
        <v>0.0262731481481482</v>
      </c>
      <c r="U1120" s="5" t="n">
        <v>0.0453703703703704</v>
      </c>
      <c r="V1120" s="5" t="n">
        <v>0.022337962962963</v>
      </c>
      <c r="W1120" s="5" t="n">
        <v>0</v>
      </c>
      <c r="X1120" s="5" t="n">
        <v>0</v>
      </c>
      <c r="Y1120" s="5" t="n">
        <v>0</v>
      </c>
      <c r="Z1120" s="0" t="n">
        <v>0</v>
      </c>
      <c r="AA1120" s="0" t="n">
        <v>0</v>
      </c>
      <c r="AB1120" s="0" t="n">
        <v>0</v>
      </c>
      <c r="AC1120" s="4" t="s">
        <v>208</v>
      </c>
      <c r="AD1120" s="4" t="s">
        <v>208</v>
      </c>
      <c r="AE1120" s="4" t="s">
        <v>4367</v>
      </c>
      <c r="AF1120" s="4" t="s">
        <v>4370</v>
      </c>
      <c r="AG1120" s="5" t="n">
        <v>0.0922222222222222</v>
      </c>
      <c r="AH1120" s="5" t="n">
        <v>0.0598726851851852</v>
      </c>
      <c r="AI1120" s="5" t="n">
        <v>0</v>
      </c>
      <c r="AJ1120" s="5" t="n">
        <v>0</v>
      </c>
      <c r="AK1120" s="5" t="n">
        <v>0</v>
      </c>
      <c r="AL1120" s="5" t="n">
        <v>0</v>
      </c>
      <c r="AM1120" s="4" t="s">
        <v>78</v>
      </c>
      <c r="AN1120" s="0" t="n">
        <v>0</v>
      </c>
      <c r="AO1120" s="0" t="n">
        <v>0</v>
      </c>
      <c r="AP1120" s="0" t="n">
        <v>0</v>
      </c>
      <c r="AQ1120" s="0" t="n">
        <v>0</v>
      </c>
      <c r="AR1120" s="0" t="n">
        <v>0</v>
      </c>
      <c r="AS1120" s="0" t="n">
        <v>0</v>
      </c>
      <c r="AT1120" s="0" t="n">
        <v>0</v>
      </c>
      <c r="AU1120" s="0" t="n">
        <v>0</v>
      </c>
      <c r="AV1120" s="0" t="n">
        <v>0</v>
      </c>
      <c r="AW1120" s="0" t="n">
        <v>0</v>
      </c>
      <c r="AX1120" s="0" t="n">
        <v>0</v>
      </c>
      <c r="AY1120" s="0" t="n">
        <v>0</v>
      </c>
      <c r="AZ1120" s="0" t="n">
        <v>0</v>
      </c>
      <c r="BA1120" s="0" t="n">
        <v>0</v>
      </c>
      <c r="BB1120" s="0" t="n">
        <v>0</v>
      </c>
      <c r="BC1120" s="0" t="n">
        <v>0</v>
      </c>
      <c r="BD1120" s="0" t="n">
        <v>0</v>
      </c>
      <c r="BE1120" s="0" t="n">
        <v>0</v>
      </c>
      <c r="BF1120" s="0" t="n">
        <v>0</v>
      </c>
      <c r="BG1120" s="0" t="n">
        <v>0</v>
      </c>
      <c r="BH1120" s="0" t="n">
        <v>0</v>
      </c>
      <c r="BI1120" s="0" t="n">
        <v>0</v>
      </c>
      <c r="BJ1120" s="0" t="n">
        <v>0</v>
      </c>
      <c r="BK1120" s="0" t="n">
        <v>0</v>
      </c>
      <c r="BM1120" s="6" t="n">
        <f aca="false">IFERROR(VALUE(F1120),"")</f>
        <v>52.18</v>
      </c>
      <c r="BN1120" s="6" t="n">
        <f aca="false">IF(R1120="-","",IFERROR(VALUE(LEFT(Q1120,LEN(Q1120)-2)),""))</f>
        <v>13.66</v>
      </c>
      <c r="BO1120" s="6" t="n">
        <f aca="false">IF(R1120="-","",IFERROR(VALUE(LEFT(R1120,LEN(R1120)-5)),""))</f>
        <v>3.82</v>
      </c>
      <c r="BP1120" s="6" t="n">
        <f aca="false">IF(R1120="-","",IFERROR(VALUE(F1120),""))</f>
        <v>52.18</v>
      </c>
      <c r="BQ1120" s="4" t="n">
        <f aca="false">IF(R1120="-",1,0)</f>
        <v>0</v>
      </c>
    </row>
    <row r="1121" customFormat="false" ht="15" hidden="false" customHeight="false" outlineLevel="0" collapsed="false">
      <c r="A1121" s="0" t="s">
        <v>4349</v>
      </c>
      <c r="B1121" s="0" t="s">
        <v>4350</v>
      </c>
      <c r="C1121" s="0" t="s">
        <v>70</v>
      </c>
      <c r="E1121" s="3" t="n">
        <v>46279</v>
      </c>
      <c r="F1121" s="4" t="s">
        <v>4371</v>
      </c>
      <c r="G1121" s="5" t="n">
        <v>0.170416666666667</v>
      </c>
      <c r="H1121" s="5" t="n">
        <v>0</v>
      </c>
      <c r="I1121" s="5" t="n">
        <v>2.31481481481482E-005</v>
      </c>
      <c r="J1121" s="0" t="n">
        <v>0</v>
      </c>
      <c r="K1121" s="0" t="n">
        <v>6</v>
      </c>
      <c r="L1121" s="0" t="n">
        <v>0</v>
      </c>
      <c r="M1121" s="0" t="n">
        <v>0</v>
      </c>
      <c r="N1121" s="0" t="n">
        <v>18</v>
      </c>
      <c r="O1121" s="5" t="n">
        <v>0</v>
      </c>
      <c r="P1121" s="5" t="n">
        <v>0</v>
      </c>
      <c r="Q1121" s="4" t="s">
        <v>4372</v>
      </c>
      <c r="R1121" s="4" t="s">
        <v>361</v>
      </c>
      <c r="S1121" s="5" t="n">
        <v>0.000231481481481482</v>
      </c>
      <c r="T1121" s="5" t="n">
        <v>0.0454861111111111</v>
      </c>
      <c r="U1121" s="5" t="n">
        <v>0.0548611111111111</v>
      </c>
      <c r="V1121" s="5" t="n">
        <v>0.0572222222222222</v>
      </c>
      <c r="W1121" s="5" t="n">
        <v>0.000196759259259259</v>
      </c>
      <c r="X1121" s="5" t="n">
        <v>0</v>
      </c>
      <c r="Y1121" s="5" t="n">
        <v>8.10185185185185E-005</v>
      </c>
      <c r="Z1121" s="0" t="n">
        <v>0</v>
      </c>
      <c r="AA1121" s="0" t="n">
        <v>0</v>
      </c>
      <c r="AB1121" s="0" t="n">
        <v>0</v>
      </c>
      <c r="AC1121" s="4" t="s">
        <v>208</v>
      </c>
      <c r="AD1121" s="4" t="s">
        <v>208</v>
      </c>
      <c r="AE1121" s="4" t="s">
        <v>4370</v>
      </c>
      <c r="AF1121" s="4" t="s">
        <v>4373</v>
      </c>
      <c r="AG1121" s="5" t="n">
        <v>0.147986111111111</v>
      </c>
      <c r="AH1121" s="5" t="n">
        <v>0.0465625</v>
      </c>
      <c r="AI1121" s="5" t="n">
        <v>0</v>
      </c>
      <c r="AJ1121" s="5" t="n">
        <v>0</v>
      </c>
      <c r="AK1121" s="5" t="n">
        <v>0</v>
      </c>
      <c r="AL1121" s="5" t="n">
        <v>0</v>
      </c>
      <c r="AM1121" s="4" t="s">
        <v>78</v>
      </c>
      <c r="AN1121" s="0" t="n">
        <v>0</v>
      </c>
      <c r="AO1121" s="0" t="n">
        <v>0</v>
      </c>
      <c r="AP1121" s="0" t="n">
        <v>0</v>
      </c>
      <c r="AQ1121" s="0" t="n">
        <v>0</v>
      </c>
      <c r="AR1121" s="0" t="n">
        <v>0</v>
      </c>
      <c r="AS1121" s="0" t="n">
        <v>0</v>
      </c>
      <c r="AT1121" s="0" t="n">
        <v>0</v>
      </c>
      <c r="AU1121" s="0" t="n">
        <v>0</v>
      </c>
      <c r="AV1121" s="0" t="n">
        <v>0</v>
      </c>
      <c r="AW1121" s="0" t="n">
        <v>0</v>
      </c>
      <c r="AX1121" s="0" t="n">
        <v>0</v>
      </c>
      <c r="AY1121" s="0" t="n">
        <v>0</v>
      </c>
      <c r="AZ1121" s="0" t="n">
        <v>0</v>
      </c>
      <c r="BA1121" s="0" t="n">
        <v>0</v>
      </c>
      <c r="BB1121" s="0" t="n">
        <v>0</v>
      </c>
      <c r="BC1121" s="0" t="n">
        <v>0</v>
      </c>
      <c r="BD1121" s="0" t="n">
        <v>0</v>
      </c>
      <c r="BE1121" s="0" t="n">
        <v>0</v>
      </c>
      <c r="BF1121" s="0" t="n">
        <v>0</v>
      </c>
      <c r="BG1121" s="0" t="n">
        <v>0</v>
      </c>
      <c r="BH1121" s="0" t="n">
        <v>0</v>
      </c>
      <c r="BI1121" s="0" t="n">
        <v>0</v>
      </c>
      <c r="BJ1121" s="0" t="n">
        <v>0</v>
      </c>
      <c r="BK1121" s="0" t="n">
        <v>0</v>
      </c>
      <c r="BM1121" s="6" t="n">
        <f aca="false">IFERROR(VALUE(F1121),"")</f>
        <v>91.51</v>
      </c>
      <c r="BN1121" s="6" t="n">
        <f aca="false">IF(R1121="-","",IFERROR(VALUE(LEFT(Q1121,LEN(Q1121)-2)),""))</f>
        <v>29.38</v>
      </c>
      <c r="BO1121" s="6" t="n">
        <f aca="false">IF(R1121="-","",IFERROR(VALUE(LEFT(R1121,LEN(R1121)-5)),""))</f>
        <v>3.12</v>
      </c>
      <c r="BP1121" s="6" t="n">
        <f aca="false">IF(R1121="-","",IFERROR(VALUE(F1121),""))</f>
        <v>91.51</v>
      </c>
      <c r="BQ1121" s="4" t="n">
        <f aca="false">IF(R1121="-",1,0)</f>
        <v>0</v>
      </c>
    </row>
    <row r="1122" customFormat="false" ht="15" hidden="false" customHeight="false" outlineLevel="0" collapsed="false">
      <c r="A1122" s="0" t="s">
        <v>4374</v>
      </c>
      <c r="B1122" s="0" t="s">
        <v>4375</v>
      </c>
      <c r="C1122" s="0" t="s">
        <v>70</v>
      </c>
      <c r="D1122" s="0" t="s">
        <v>4376</v>
      </c>
      <c r="E1122" s="3" t="n">
        <v>46273</v>
      </c>
      <c r="F1122" s="4" t="s">
        <v>4377</v>
      </c>
      <c r="G1122" s="5" t="n">
        <v>0.577175925925926</v>
      </c>
      <c r="H1122" s="5" t="n">
        <v>0.544664351851852</v>
      </c>
      <c r="I1122" s="5" t="n">
        <v>0.0034375</v>
      </c>
      <c r="J1122" s="0" t="n">
        <v>1</v>
      </c>
      <c r="K1122" s="0" t="n">
        <v>3</v>
      </c>
      <c r="L1122" s="0" t="n">
        <v>0</v>
      </c>
      <c r="M1122" s="0" t="n">
        <v>0</v>
      </c>
      <c r="N1122" s="0" t="n">
        <v>12</v>
      </c>
      <c r="O1122" s="5" t="n">
        <v>0</v>
      </c>
      <c r="P1122" s="5" t="n">
        <v>0</v>
      </c>
      <c r="Q1122" s="4" t="s">
        <v>4378</v>
      </c>
      <c r="R1122" s="4" t="s">
        <v>319</v>
      </c>
      <c r="S1122" s="5" t="n">
        <v>0.000462962962962963</v>
      </c>
      <c r="T1122" s="5" t="n">
        <v>0.130787037037037</v>
      </c>
      <c r="U1122" s="5" t="n">
        <v>0.256712962962963</v>
      </c>
      <c r="V1122" s="5" t="n">
        <v>0.129513888888889</v>
      </c>
      <c r="W1122" s="5" t="n">
        <v>0</v>
      </c>
      <c r="X1122" s="5" t="n">
        <v>0</v>
      </c>
      <c r="Y1122" s="5" t="n">
        <v>0</v>
      </c>
      <c r="Z1122" s="0" t="n">
        <v>0</v>
      </c>
      <c r="AA1122" s="0" t="n">
        <v>0</v>
      </c>
      <c r="AB1122" s="0" t="n">
        <v>0</v>
      </c>
      <c r="AC1122" s="4" t="s">
        <v>208</v>
      </c>
      <c r="AD1122" s="4" t="s">
        <v>208</v>
      </c>
      <c r="AE1122" s="4" t="s">
        <v>4379</v>
      </c>
      <c r="AF1122" s="4" t="s">
        <v>4380</v>
      </c>
      <c r="AG1122" s="5" t="n">
        <v>0.512164351851852</v>
      </c>
      <c r="AH1122" s="5" t="n">
        <v>0.172407407407407</v>
      </c>
      <c r="AI1122" s="5" t="n">
        <v>0</v>
      </c>
      <c r="AJ1122" s="5" t="n">
        <v>0</v>
      </c>
      <c r="AK1122" s="5" t="n">
        <v>0</v>
      </c>
      <c r="AL1122" s="5" t="n">
        <v>0</v>
      </c>
      <c r="AM1122" s="4" t="s">
        <v>78</v>
      </c>
      <c r="AN1122" s="0" t="n">
        <v>0</v>
      </c>
      <c r="AO1122" s="0" t="n">
        <v>0</v>
      </c>
      <c r="AP1122" s="0" t="n">
        <v>0</v>
      </c>
      <c r="AQ1122" s="0" t="n">
        <v>0</v>
      </c>
      <c r="AR1122" s="0" t="n">
        <v>0</v>
      </c>
      <c r="AS1122" s="0" t="n">
        <v>0</v>
      </c>
      <c r="AT1122" s="0" t="n">
        <v>0</v>
      </c>
      <c r="AU1122" s="0" t="n">
        <v>10</v>
      </c>
      <c r="AV1122" s="0" t="n">
        <v>0</v>
      </c>
      <c r="AW1122" s="0" t="n">
        <v>0</v>
      </c>
      <c r="AX1122" s="0" t="n">
        <v>0</v>
      </c>
      <c r="AY1122" s="0" t="n">
        <v>0</v>
      </c>
      <c r="AZ1122" s="0" t="n">
        <v>0</v>
      </c>
      <c r="BA1122" s="0" t="n">
        <v>0</v>
      </c>
      <c r="BB1122" s="0" t="n">
        <v>0</v>
      </c>
      <c r="BC1122" s="0" t="n">
        <v>0</v>
      </c>
      <c r="BD1122" s="0" t="n">
        <v>0</v>
      </c>
      <c r="BE1122" s="0" t="n">
        <v>0</v>
      </c>
      <c r="BF1122" s="0" t="n">
        <v>0</v>
      </c>
      <c r="BG1122" s="0" t="n">
        <v>0</v>
      </c>
      <c r="BH1122" s="0" t="n">
        <v>0</v>
      </c>
      <c r="BI1122" s="0" t="n">
        <v>0</v>
      </c>
      <c r="BJ1122" s="0" t="n">
        <v>0</v>
      </c>
      <c r="BK1122" s="0" t="n">
        <v>0</v>
      </c>
      <c r="BM1122" s="6" t="n">
        <f aca="false">IFERROR(VALUE(F1122),"")</f>
        <v>267.96</v>
      </c>
      <c r="BN1122" s="6" t="n">
        <f aca="false">IF(R1122="-","",IFERROR(VALUE(LEFT(Q1122,LEN(Q1122)-2)),""))</f>
        <v>95.1</v>
      </c>
      <c r="BO1122" s="6" t="n">
        <f aca="false">IF(R1122="-","",IFERROR(VALUE(LEFT(R1122,LEN(R1122)-5)),""))</f>
        <v>2.82</v>
      </c>
      <c r="BP1122" s="6" t="n">
        <f aca="false">IF(R1122="-","",IFERROR(VALUE(F1122),""))</f>
        <v>267.96</v>
      </c>
      <c r="BQ1122" s="4" t="n">
        <f aca="false">IF(R1122="-",1,0)</f>
        <v>0</v>
      </c>
    </row>
    <row r="1123" customFormat="false" ht="15" hidden="false" customHeight="false" outlineLevel="0" collapsed="false">
      <c r="A1123" s="0" t="s">
        <v>4374</v>
      </c>
      <c r="B1123" s="0" t="s">
        <v>4375</v>
      </c>
      <c r="C1123" s="0" t="s">
        <v>70</v>
      </c>
      <c r="D1123" s="0" t="s">
        <v>4381</v>
      </c>
      <c r="E1123" s="3" t="n">
        <v>46274</v>
      </c>
      <c r="F1123" s="4" t="s">
        <v>4382</v>
      </c>
      <c r="G1123" s="5" t="n">
        <v>0.580763888888889</v>
      </c>
      <c r="H1123" s="5" t="n">
        <v>0.400324074074074</v>
      </c>
      <c r="I1123" s="5" t="n">
        <v>0.00236111111111111</v>
      </c>
      <c r="J1123" s="0" t="n">
        <v>0</v>
      </c>
      <c r="K1123" s="0" t="n">
        <v>1</v>
      </c>
      <c r="L1123" s="0" t="n">
        <v>0</v>
      </c>
      <c r="M1123" s="0" t="n">
        <v>0</v>
      </c>
      <c r="N1123" s="0" t="n">
        <v>7</v>
      </c>
      <c r="O1123" s="5" t="n">
        <v>0</v>
      </c>
      <c r="P1123" s="5" t="n">
        <v>0</v>
      </c>
      <c r="Q1123" s="4" t="s">
        <v>4383</v>
      </c>
      <c r="R1123" s="4" t="s">
        <v>1456</v>
      </c>
      <c r="S1123" s="5" t="n">
        <v>0.000347222222222222</v>
      </c>
      <c r="T1123" s="5" t="n">
        <v>0.103703703703704</v>
      </c>
      <c r="U1123" s="5" t="n">
        <v>0.186342592592593</v>
      </c>
      <c r="V1123" s="5" t="n">
        <v>0.151041666666667</v>
      </c>
      <c r="W1123" s="5" t="n">
        <v>0.000115740740740741</v>
      </c>
      <c r="X1123" s="5" t="n">
        <v>0</v>
      </c>
      <c r="Y1123" s="5" t="n">
        <v>0</v>
      </c>
      <c r="Z1123" s="0" t="n">
        <v>0</v>
      </c>
      <c r="AA1123" s="0" t="n">
        <v>0</v>
      </c>
      <c r="AB1123" s="0" t="n">
        <v>0</v>
      </c>
      <c r="AC1123" s="4" t="s">
        <v>208</v>
      </c>
      <c r="AD1123" s="4" t="s">
        <v>208</v>
      </c>
      <c r="AE1123" s="4" t="s">
        <v>4380</v>
      </c>
      <c r="AF1123" s="4" t="s">
        <v>4384</v>
      </c>
      <c r="AG1123" s="5" t="n">
        <v>0.447002314814815</v>
      </c>
      <c r="AH1123" s="5" t="n">
        <v>0.201134259259259</v>
      </c>
      <c r="AI1123" s="5" t="n">
        <v>0</v>
      </c>
      <c r="AJ1123" s="5" t="n">
        <v>0</v>
      </c>
      <c r="AK1123" s="5" t="n">
        <v>0</v>
      </c>
      <c r="AL1123" s="5" t="n">
        <v>0</v>
      </c>
      <c r="AM1123" s="4" t="s">
        <v>78</v>
      </c>
      <c r="AN1123" s="0" t="n">
        <v>0</v>
      </c>
      <c r="AO1123" s="0" t="n">
        <v>0</v>
      </c>
      <c r="AP1123" s="0" t="n">
        <v>0</v>
      </c>
      <c r="AQ1123" s="0" t="n">
        <v>0</v>
      </c>
      <c r="AR1123" s="0" t="n">
        <v>0</v>
      </c>
      <c r="AS1123" s="0" t="n">
        <v>0</v>
      </c>
      <c r="AT1123" s="0" t="n">
        <v>0</v>
      </c>
      <c r="AU1123" s="0" t="n">
        <v>19</v>
      </c>
      <c r="AV1123" s="0" t="n">
        <v>0</v>
      </c>
      <c r="AW1123" s="0" t="n">
        <v>0</v>
      </c>
      <c r="AX1123" s="0" t="n">
        <v>0</v>
      </c>
      <c r="AY1123" s="0" t="n">
        <v>0</v>
      </c>
      <c r="AZ1123" s="0" t="n">
        <v>0</v>
      </c>
      <c r="BA1123" s="0" t="n">
        <v>0</v>
      </c>
      <c r="BB1123" s="0" t="n">
        <v>0</v>
      </c>
      <c r="BC1123" s="0" t="n">
        <v>1</v>
      </c>
      <c r="BD1123" s="0" t="n">
        <v>1</v>
      </c>
      <c r="BE1123" s="0" t="n">
        <v>0</v>
      </c>
      <c r="BF1123" s="0" t="n">
        <v>0</v>
      </c>
      <c r="BG1123" s="0" t="n">
        <v>0</v>
      </c>
      <c r="BH1123" s="0" t="n">
        <v>0</v>
      </c>
      <c r="BI1123" s="0" t="n">
        <v>0</v>
      </c>
      <c r="BJ1123" s="0" t="n">
        <v>0</v>
      </c>
      <c r="BK1123" s="0" t="n">
        <v>0</v>
      </c>
      <c r="BM1123" s="6" t="n">
        <f aca="false">IFERROR(VALUE(F1123),"")</f>
        <v>232.89</v>
      </c>
      <c r="BN1123" s="6" t="n">
        <f aca="false">IF(R1123="-","",IFERROR(VALUE(LEFT(Q1123,LEN(Q1123)-2)),""))</f>
        <v>69.02</v>
      </c>
      <c r="BO1123" s="6" t="n">
        <f aca="false">IF(R1123="-","",IFERROR(VALUE(LEFT(R1123,LEN(R1123)-5)),""))</f>
        <v>3.37</v>
      </c>
      <c r="BP1123" s="6" t="n">
        <f aca="false">IF(R1123="-","",IFERROR(VALUE(F1123),""))</f>
        <v>232.89</v>
      </c>
      <c r="BQ1123" s="4" t="n">
        <f aca="false">IF(R1123="-",1,0)</f>
        <v>0</v>
      </c>
    </row>
    <row r="1124" customFormat="false" ht="15" hidden="false" customHeight="false" outlineLevel="0" collapsed="false">
      <c r="A1124" s="0" t="s">
        <v>4374</v>
      </c>
      <c r="B1124" s="0" t="s">
        <v>4375</v>
      </c>
      <c r="C1124" s="0" t="s">
        <v>70</v>
      </c>
      <c r="D1124" s="0" t="s">
        <v>4385</v>
      </c>
      <c r="E1124" s="3" t="n">
        <v>46275</v>
      </c>
      <c r="F1124" s="4" t="s">
        <v>4386</v>
      </c>
      <c r="G1124" s="5" t="n">
        <v>0.38337962962963</v>
      </c>
      <c r="H1124" s="5" t="n">
        <v>0.0886458333333333</v>
      </c>
      <c r="I1124" s="5" t="n">
        <v>0.00111111111111111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1</v>
      </c>
      <c r="O1124" s="5" t="n">
        <v>0</v>
      </c>
      <c r="P1124" s="5" t="n">
        <v>0</v>
      </c>
      <c r="Q1124" s="4" t="s">
        <v>1845</v>
      </c>
      <c r="R1124" s="4" t="s">
        <v>4387</v>
      </c>
      <c r="S1124" s="5" t="n">
        <v>0</v>
      </c>
      <c r="T1124" s="5" t="n">
        <v>0.0162037037037037</v>
      </c>
      <c r="U1124" s="5" t="n">
        <v>0.0385416666666667</v>
      </c>
      <c r="V1124" s="5" t="n">
        <v>0.0233796296296296</v>
      </c>
      <c r="W1124" s="5" t="n">
        <v>0</v>
      </c>
      <c r="X1124" s="5" t="n">
        <v>0</v>
      </c>
      <c r="Y1124" s="5" t="n">
        <v>0</v>
      </c>
      <c r="Z1124" s="0" t="n">
        <v>0</v>
      </c>
      <c r="AA1124" s="0" t="n">
        <v>0</v>
      </c>
      <c r="AB1124" s="0" t="n">
        <v>0</v>
      </c>
      <c r="AC1124" s="4" t="s">
        <v>208</v>
      </c>
      <c r="AD1124" s="4" t="s">
        <v>208</v>
      </c>
      <c r="AE1124" s="4" t="s">
        <v>4384</v>
      </c>
      <c r="AF1124" s="4" t="s">
        <v>4388</v>
      </c>
      <c r="AG1124" s="5" t="n">
        <v>0.0816898148148148</v>
      </c>
      <c r="AH1124" s="5" t="n">
        <v>0.0594560185185185</v>
      </c>
      <c r="AI1124" s="5" t="n">
        <v>0</v>
      </c>
      <c r="AJ1124" s="5" t="n">
        <v>0</v>
      </c>
      <c r="AK1124" s="5" t="n">
        <v>0</v>
      </c>
      <c r="AL1124" s="5" t="n">
        <v>0</v>
      </c>
      <c r="AM1124" s="4" t="s">
        <v>78</v>
      </c>
      <c r="AN1124" s="0" t="n">
        <v>0</v>
      </c>
      <c r="AO1124" s="0" t="n">
        <v>0</v>
      </c>
      <c r="AP1124" s="0" t="n">
        <v>0</v>
      </c>
      <c r="AQ1124" s="0" t="n">
        <v>0</v>
      </c>
      <c r="AR1124" s="0" t="n">
        <v>0</v>
      </c>
      <c r="AS1124" s="0" t="n">
        <v>0</v>
      </c>
      <c r="AT1124" s="0" t="n">
        <v>0</v>
      </c>
      <c r="AU1124" s="0" t="n">
        <v>2</v>
      </c>
      <c r="AV1124" s="0" t="n">
        <v>0</v>
      </c>
      <c r="AW1124" s="0" t="n">
        <v>0</v>
      </c>
      <c r="AX1124" s="0" t="n">
        <v>0</v>
      </c>
      <c r="AY1124" s="0" t="n">
        <v>0</v>
      </c>
      <c r="AZ1124" s="0" t="n">
        <v>0</v>
      </c>
      <c r="BA1124" s="0" t="n">
        <v>0</v>
      </c>
      <c r="BB1124" s="0" t="n">
        <v>0</v>
      </c>
      <c r="BC1124" s="0" t="n">
        <v>0</v>
      </c>
      <c r="BD1124" s="0" t="n">
        <v>0</v>
      </c>
      <c r="BE1124" s="0" t="n">
        <v>0</v>
      </c>
      <c r="BF1124" s="0" t="n">
        <v>0</v>
      </c>
      <c r="BG1124" s="0" t="n">
        <v>0</v>
      </c>
      <c r="BH1124" s="0" t="n">
        <v>0</v>
      </c>
      <c r="BI1124" s="0" t="n">
        <v>0</v>
      </c>
      <c r="BJ1124" s="0" t="n">
        <v>0</v>
      </c>
      <c r="BK1124" s="0" t="n">
        <v>0</v>
      </c>
      <c r="BM1124" s="6" t="n">
        <f aca="false">IFERROR(VALUE(F1124),"")</f>
        <v>53.02</v>
      </c>
      <c r="BN1124" s="6" t="n">
        <f aca="false">IF(R1124="-","",IFERROR(VALUE(LEFT(Q1124,LEN(Q1124)-2)),""))</f>
        <v>1.18</v>
      </c>
      <c r="BO1124" s="6" t="n">
        <f aca="false">IF(R1124="-","",IFERROR(VALUE(LEFT(R1124,LEN(R1124)-5)),""))</f>
        <v>44.78</v>
      </c>
      <c r="BP1124" s="6" t="n">
        <f aca="false">IF(R1124="-","",IFERROR(VALUE(F1124),""))</f>
        <v>53.02</v>
      </c>
      <c r="BQ1124" s="4" t="n">
        <f aca="false">IF(R1124="-",1,0)</f>
        <v>0</v>
      </c>
    </row>
    <row r="1125" customFormat="false" ht="15" hidden="false" customHeight="false" outlineLevel="0" collapsed="false">
      <c r="A1125" s="0" t="s">
        <v>4374</v>
      </c>
      <c r="B1125" s="0" t="s">
        <v>4375</v>
      </c>
      <c r="C1125" s="0" t="s">
        <v>70</v>
      </c>
      <c r="D1125" s="0" t="s">
        <v>4389</v>
      </c>
      <c r="E1125" s="3" t="n">
        <v>46276</v>
      </c>
      <c r="F1125" s="4" t="s">
        <v>4390</v>
      </c>
      <c r="G1125" s="5" t="n">
        <v>0.566550925925926</v>
      </c>
      <c r="H1125" s="5" t="n">
        <v>0.385046296296296</v>
      </c>
      <c r="I1125" s="5" t="n">
        <v>0.00347222222222222</v>
      </c>
      <c r="J1125" s="0" t="n">
        <v>0</v>
      </c>
      <c r="K1125" s="0" t="n">
        <v>1</v>
      </c>
      <c r="L1125" s="0" t="n">
        <v>0</v>
      </c>
      <c r="M1125" s="0" t="n">
        <v>0</v>
      </c>
      <c r="N1125" s="0" t="n">
        <v>15</v>
      </c>
      <c r="O1125" s="5" t="n">
        <v>0</v>
      </c>
      <c r="P1125" s="5" t="n">
        <v>0</v>
      </c>
      <c r="Q1125" s="4" t="s">
        <v>4391</v>
      </c>
      <c r="R1125" s="4" t="s">
        <v>1346</v>
      </c>
      <c r="S1125" s="5" t="n">
        <v>0.000347222222222222</v>
      </c>
      <c r="T1125" s="5" t="n">
        <v>0.106018518518519</v>
      </c>
      <c r="U1125" s="5" t="n">
        <v>0.231597222222222</v>
      </c>
      <c r="V1125" s="5" t="n">
        <v>0.115625</v>
      </c>
      <c r="W1125" s="5" t="n">
        <v>0</v>
      </c>
      <c r="X1125" s="5" t="n">
        <v>0</v>
      </c>
      <c r="Y1125" s="5" t="n">
        <v>0</v>
      </c>
      <c r="Z1125" s="0" t="n">
        <v>0</v>
      </c>
      <c r="AA1125" s="0" t="n">
        <v>0</v>
      </c>
      <c r="AB1125" s="0" t="n">
        <v>0</v>
      </c>
      <c r="AC1125" s="4" t="s">
        <v>208</v>
      </c>
      <c r="AD1125" s="4" t="s">
        <v>208</v>
      </c>
      <c r="AE1125" s="4" t="s">
        <v>4388</v>
      </c>
      <c r="AF1125" s="4" t="s">
        <v>4392</v>
      </c>
      <c r="AG1125" s="5" t="n">
        <v>0.505914351851852</v>
      </c>
      <c r="AH1125" s="5" t="n">
        <v>0.214467592592593</v>
      </c>
      <c r="AI1125" s="5" t="n">
        <v>0.000115740740740741</v>
      </c>
      <c r="AJ1125" s="5" t="n">
        <v>0</v>
      </c>
      <c r="AK1125" s="5" t="n">
        <v>0</v>
      </c>
      <c r="AL1125" s="5" t="n">
        <v>0</v>
      </c>
      <c r="AM1125" s="4" t="s">
        <v>78</v>
      </c>
      <c r="AN1125" s="0" t="n">
        <v>0</v>
      </c>
      <c r="AO1125" s="0" t="n">
        <v>0</v>
      </c>
      <c r="AP1125" s="0" t="n">
        <v>0</v>
      </c>
      <c r="AQ1125" s="0" t="n">
        <v>0</v>
      </c>
      <c r="AR1125" s="0" t="n">
        <v>0</v>
      </c>
      <c r="AS1125" s="0" t="n">
        <v>0</v>
      </c>
      <c r="AT1125" s="0" t="n">
        <v>0</v>
      </c>
      <c r="AU1125" s="0" t="n">
        <v>13</v>
      </c>
      <c r="AV1125" s="0" t="n">
        <v>0</v>
      </c>
      <c r="AW1125" s="0" t="n">
        <v>0</v>
      </c>
      <c r="AX1125" s="0" t="n">
        <v>0</v>
      </c>
      <c r="AY1125" s="0" t="n">
        <v>0</v>
      </c>
      <c r="AZ1125" s="0" t="n">
        <v>0</v>
      </c>
      <c r="BA1125" s="0" t="n">
        <v>0</v>
      </c>
      <c r="BB1125" s="0" t="n">
        <v>0</v>
      </c>
      <c r="BC1125" s="0" t="n">
        <v>0</v>
      </c>
      <c r="BD1125" s="0" t="n">
        <v>0</v>
      </c>
      <c r="BE1125" s="0" t="n">
        <v>0</v>
      </c>
      <c r="BF1125" s="0" t="n">
        <v>0</v>
      </c>
      <c r="BG1125" s="0" t="n">
        <v>0</v>
      </c>
      <c r="BH1125" s="0" t="n">
        <v>0</v>
      </c>
      <c r="BI1125" s="0" t="n">
        <v>0</v>
      </c>
      <c r="BJ1125" s="0" t="n">
        <v>0</v>
      </c>
      <c r="BK1125" s="0" t="n">
        <v>0</v>
      </c>
      <c r="BM1125" s="6" t="n">
        <f aca="false">IFERROR(VALUE(F1125),"")</f>
        <v>275.28</v>
      </c>
      <c r="BN1125" s="6" t="n">
        <f aca="false">IF(R1125="-","",IFERROR(VALUE(LEFT(Q1125,LEN(Q1125)-2)),""))</f>
        <v>82.91</v>
      </c>
      <c r="BO1125" s="6" t="n">
        <f aca="false">IF(R1125="-","",IFERROR(VALUE(LEFT(R1125,LEN(R1125)-5)),""))</f>
        <v>3.32</v>
      </c>
      <c r="BP1125" s="6" t="n">
        <f aca="false">IF(R1125="-","",IFERROR(VALUE(F1125),""))</f>
        <v>275.28</v>
      </c>
      <c r="BQ1125" s="4" t="n">
        <f aca="false">IF(R1125="-",1,0)</f>
        <v>0</v>
      </c>
    </row>
    <row r="1126" customFormat="false" ht="15" hidden="false" customHeight="false" outlineLevel="0" collapsed="false">
      <c r="A1126" s="0" t="s">
        <v>4374</v>
      </c>
      <c r="B1126" s="0" t="s">
        <v>4375</v>
      </c>
      <c r="C1126" s="0" t="s">
        <v>70</v>
      </c>
      <c r="D1126" s="0" t="s">
        <v>4393</v>
      </c>
      <c r="E1126" s="3" t="n">
        <v>46277</v>
      </c>
      <c r="F1126" s="4" t="s">
        <v>4394</v>
      </c>
      <c r="G1126" s="5" t="n">
        <v>0.409236111111111</v>
      </c>
      <c r="H1126" s="5" t="n">
        <v>0.229108796296296</v>
      </c>
      <c r="I1126" s="5" t="n">
        <v>0.00277777777777778</v>
      </c>
      <c r="J1126" s="0" t="n">
        <v>0</v>
      </c>
      <c r="K1126" s="0" t="n">
        <v>1</v>
      </c>
      <c r="L1126" s="0" t="n">
        <v>0</v>
      </c>
      <c r="M1126" s="0" t="n">
        <v>0</v>
      </c>
      <c r="N1126" s="0" t="n">
        <v>6</v>
      </c>
      <c r="O1126" s="5" t="n">
        <v>0</v>
      </c>
      <c r="P1126" s="5" t="n">
        <v>0</v>
      </c>
      <c r="Q1126" s="4" t="s">
        <v>4395</v>
      </c>
      <c r="R1126" s="4" t="s">
        <v>1199</v>
      </c>
      <c r="S1126" s="5" t="n">
        <v>0.000115740740740741</v>
      </c>
      <c r="T1126" s="5" t="n">
        <v>0.0796296296296296</v>
      </c>
      <c r="U1126" s="5" t="n">
        <v>0.196527777777778</v>
      </c>
      <c r="V1126" s="5" t="n">
        <v>0.0916666666666667</v>
      </c>
      <c r="W1126" s="5" t="n">
        <v>0</v>
      </c>
      <c r="X1126" s="5" t="n">
        <v>0</v>
      </c>
      <c r="Y1126" s="5" t="n">
        <v>0</v>
      </c>
      <c r="Z1126" s="0" t="n">
        <v>0</v>
      </c>
      <c r="AA1126" s="0" t="n">
        <v>0</v>
      </c>
      <c r="AB1126" s="0" t="n">
        <v>0</v>
      </c>
      <c r="AC1126" s="4" t="s">
        <v>208</v>
      </c>
      <c r="AD1126" s="4" t="s">
        <v>1540</v>
      </c>
      <c r="AE1126" s="4" t="s">
        <v>4396</v>
      </c>
      <c r="AF1126" s="4" t="s">
        <v>4397</v>
      </c>
      <c r="AG1126" s="5" t="n">
        <v>0.370706018518519</v>
      </c>
      <c r="AH1126" s="5" t="n">
        <v>0.114212962962963</v>
      </c>
      <c r="AI1126" s="5" t="n">
        <v>0</v>
      </c>
      <c r="AJ1126" s="5" t="n">
        <v>0</v>
      </c>
      <c r="AK1126" s="5" t="n">
        <v>0</v>
      </c>
      <c r="AL1126" s="5" t="n">
        <v>0</v>
      </c>
      <c r="AM1126" s="4" t="s">
        <v>78</v>
      </c>
      <c r="AN1126" s="0" t="n">
        <v>0</v>
      </c>
      <c r="AO1126" s="0" t="n">
        <v>0</v>
      </c>
      <c r="AP1126" s="0" t="n">
        <v>0</v>
      </c>
      <c r="AQ1126" s="0" t="n">
        <v>0</v>
      </c>
      <c r="AR1126" s="0" t="n">
        <v>0</v>
      </c>
      <c r="AS1126" s="0" t="n">
        <v>0</v>
      </c>
      <c r="AT1126" s="0" t="n">
        <v>0</v>
      </c>
      <c r="AU1126" s="0" t="n">
        <v>2</v>
      </c>
      <c r="AV1126" s="0" t="n">
        <v>0</v>
      </c>
      <c r="AW1126" s="0" t="n">
        <v>0</v>
      </c>
      <c r="AX1126" s="0" t="n">
        <v>0</v>
      </c>
      <c r="AY1126" s="0" t="n">
        <v>0</v>
      </c>
      <c r="AZ1126" s="0" t="n">
        <v>0</v>
      </c>
      <c r="BA1126" s="0" t="n">
        <v>0</v>
      </c>
      <c r="BB1126" s="0" t="n">
        <v>0</v>
      </c>
      <c r="BC1126" s="0" t="n">
        <v>0</v>
      </c>
      <c r="BD1126" s="0" t="n">
        <v>0</v>
      </c>
      <c r="BE1126" s="0" t="n">
        <v>0</v>
      </c>
      <c r="BF1126" s="0" t="n">
        <v>0</v>
      </c>
      <c r="BG1126" s="0" t="n">
        <v>0</v>
      </c>
      <c r="BH1126" s="0" t="n">
        <v>0</v>
      </c>
      <c r="BI1126" s="0" t="n">
        <v>0</v>
      </c>
      <c r="BJ1126" s="0" t="n">
        <v>0</v>
      </c>
      <c r="BK1126" s="0" t="n">
        <v>0</v>
      </c>
      <c r="BM1126" s="6" t="n">
        <f aca="false">IFERROR(VALUE(F1126),"")</f>
        <v>200.21</v>
      </c>
      <c r="BN1126" s="6" t="n">
        <f aca="false">IF(R1126="-","",IFERROR(VALUE(LEFT(Q1126,LEN(Q1126)-2)),""))</f>
        <v>69.38</v>
      </c>
      <c r="BO1126" s="6" t="n">
        <f aca="false">IF(R1126="-","",IFERROR(VALUE(LEFT(R1126,LEN(R1126)-5)),""))</f>
        <v>2.89</v>
      </c>
      <c r="BP1126" s="6" t="n">
        <f aca="false">IF(R1126="-","",IFERROR(VALUE(F1126),""))</f>
        <v>200.21</v>
      </c>
      <c r="BQ1126" s="4" t="n">
        <f aca="false">IF(R1126="-",1,0)</f>
        <v>0</v>
      </c>
    </row>
    <row r="1127" customFormat="false" ht="15" hidden="false" customHeight="false" outlineLevel="0" collapsed="false">
      <c r="A1127" s="0" t="s">
        <v>4374</v>
      </c>
      <c r="B1127" s="0" t="s">
        <v>4375</v>
      </c>
      <c r="C1127" s="0" t="s">
        <v>70</v>
      </c>
      <c r="D1127" s="0" t="s">
        <v>3869</v>
      </c>
      <c r="E1127" s="3" t="n">
        <v>46278</v>
      </c>
      <c r="F1127" s="4" t="s">
        <v>4398</v>
      </c>
      <c r="G1127" s="5" t="n">
        <v>0.137939814814815</v>
      </c>
      <c r="H1127" s="5" t="n">
        <v>0.119212962962963</v>
      </c>
      <c r="I1127" s="5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6</v>
      </c>
      <c r="O1127" s="5" t="n">
        <v>0</v>
      </c>
      <c r="P1127" s="5" t="n">
        <v>0</v>
      </c>
      <c r="Q1127" s="4" t="s">
        <v>4399</v>
      </c>
      <c r="R1127" s="4" t="s">
        <v>369</v>
      </c>
      <c r="S1127" s="5" t="n">
        <v>0</v>
      </c>
      <c r="T1127" s="5" t="n">
        <v>0.0177083333333333</v>
      </c>
      <c r="U1127" s="5" t="n">
        <v>0.0508101851851852</v>
      </c>
      <c r="V1127" s="5" t="n">
        <v>0.049537037037037</v>
      </c>
      <c r="W1127" s="5" t="n">
        <v>0</v>
      </c>
      <c r="X1127" s="5" t="n">
        <v>0</v>
      </c>
      <c r="Y1127" s="5" t="n">
        <v>0</v>
      </c>
      <c r="Z1127" s="0" t="n">
        <v>0</v>
      </c>
      <c r="AA1127" s="0" t="n">
        <v>0</v>
      </c>
      <c r="AB1127" s="0" t="n">
        <v>0</v>
      </c>
      <c r="AC1127" s="4" t="s">
        <v>1540</v>
      </c>
      <c r="AD1127" s="4" t="s">
        <v>208</v>
      </c>
      <c r="AE1127" s="4" t="s">
        <v>4400</v>
      </c>
      <c r="AF1127" s="4" t="s">
        <v>4401</v>
      </c>
      <c r="AG1127" s="5" t="n">
        <v>0.113252314814815</v>
      </c>
      <c r="AH1127" s="5" t="n">
        <v>0.0867361111111111</v>
      </c>
      <c r="AI1127" s="5" t="n">
        <v>1.15740740740741E-005</v>
      </c>
      <c r="AJ1127" s="5" t="n">
        <v>0</v>
      </c>
      <c r="AK1127" s="5" t="n">
        <v>0</v>
      </c>
      <c r="AL1127" s="5" t="n">
        <v>0</v>
      </c>
      <c r="AM1127" s="4" t="s">
        <v>78</v>
      </c>
      <c r="AN1127" s="0" t="n">
        <v>0</v>
      </c>
      <c r="AO1127" s="0" t="n">
        <v>0</v>
      </c>
      <c r="AP1127" s="0" t="n">
        <v>0</v>
      </c>
      <c r="AQ1127" s="0" t="n">
        <v>0</v>
      </c>
      <c r="AR1127" s="0" t="n">
        <v>0</v>
      </c>
      <c r="AS1127" s="0" t="n">
        <v>0</v>
      </c>
      <c r="AT1127" s="0" t="n">
        <v>0</v>
      </c>
      <c r="AU1127" s="0" t="n">
        <v>1</v>
      </c>
      <c r="AV1127" s="0" t="n">
        <v>0</v>
      </c>
      <c r="AW1127" s="0" t="n">
        <v>0</v>
      </c>
      <c r="AX1127" s="0" t="n">
        <v>0</v>
      </c>
      <c r="AY1127" s="0" t="n">
        <v>0</v>
      </c>
      <c r="AZ1127" s="0" t="n">
        <v>0</v>
      </c>
      <c r="BA1127" s="0" t="n">
        <v>0</v>
      </c>
      <c r="BB1127" s="0" t="n">
        <v>0</v>
      </c>
      <c r="BC1127" s="0" t="n">
        <v>0</v>
      </c>
      <c r="BD1127" s="0" t="n">
        <v>0</v>
      </c>
      <c r="BE1127" s="0" t="n">
        <v>0</v>
      </c>
      <c r="BF1127" s="0" t="n">
        <v>0</v>
      </c>
      <c r="BG1127" s="0" t="n">
        <v>0</v>
      </c>
      <c r="BH1127" s="0" t="n">
        <v>0</v>
      </c>
      <c r="BI1127" s="0" t="n">
        <v>0</v>
      </c>
      <c r="BJ1127" s="0" t="n">
        <v>0</v>
      </c>
      <c r="BK1127" s="0" t="n">
        <v>0</v>
      </c>
      <c r="BM1127" s="6" t="n">
        <f aca="false">IFERROR(VALUE(F1127),"")</f>
        <v>58.95</v>
      </c>
      <c r="BN1127" s="6" t="n">
        <f aca="false">IF(R1127="-","",IFERROR(VALUE(LEFT(Q1127,LEN(Q1127)-2)),""))</f>
        <v>19.07</v>
      </c>
      <c r="BO1127" s="6" t="n">
        <f aca="false">IF(R1127="-","",IFERROR(VALUE(LEFT(R1127,LEN(R1127)-5)),""))</f>
        <v>3.09</v>
      </c>
      <c r="BP1127" s="6" t="n">
        <f aca="false">IF(R1127="-","",IFERROR(VALUE(F1127),""))</f>
        <v>58.95</v>
      </c>
      <c r="BQ1127" s="4" t="n">
        <f aca="false">IF(R1127="-",1,0)</f>
        <v>0</v>
      </c>
    </row>
    <row r="1128" customFormat="false" ht="15" hidden="false" customHeight="false" outlineLevel="0" collapsed="false">
      <c r="A1128" s="0" t="s">
        <v>4374</v>
      </c>
      <c r="B1128" s="0" t="s">
        <v>4375</v>
      </c>
      <c r="C1128" s="0" t="s">
        <v>70</v>
      </c>
      <c r="D1128" s="0" t="s">
        <v>4402</v>
      </c>
      <c r="E1128" s="3" t="n">
        <v>46279</v>
      </c>
      <c r="F1128" s="4" t="s">
        <v>4403</v>
      </c>
      <c r="G1128" s="5" t="n">
        <v>0.5234375</v>
      </c>
      <c r="H1128" s="5" t="n">
        <v>0.458634259259259</v>
      </c>
      <c r="I1128" s="5" t="n">
        <v>0.00311342592592593</v>
      </c>
      <c r="J1128" s="0" t="n">
        <v>0</v>
      </c>
      <c r="K1128" s="0" t="n">
        <v>2</v>
      </c>
      <c r="L1128" s="0" t="n">
        <v>0</v>
      </c>
      <c r="M1128" s="0" t="n">
        <v>0</v>
      </c>
      <c r="N1128" s="0" t="n">
        <v>19</v>
      </c>
      <c r="O1128" s="5" t="n">
        <v>0</v>
      </c>
      <c r="P1128" s="5" t="n">
        <v>0.0161689814814815</v>
      </c>
      <c r="Q1128" s="4" t="s">
        <v>4404</v>
      </c>
      <c r="R1128" s="4" t="s">
        <v>473</v>
      </c>
      <c r="S1128" s="5" t="n">
        <v>0</v>
      </c>
      <c r="T1128" s="5" t="n">
        <v>0.12337962962963</v>
      </c>
      <c r="U1128" s="5" t="n">
        <v>0.217361111111111</v>
      </c>
      <c r="V1128" s="5" t="n">
        <v>0.116898148148148</v>
      </c>
      <c r="W1128" s="5" t="n">
        <v>0</v>
      </c>
      <c r="X1128" s="5" t="n">
        <v>0</v>
      </c>
      <c r="Y1128" s="5" t="n">
        <v>0</v>
      </c>
      <c r="Z1128" s="0" t="n">
        <v>0</v>
      </c>
      <c r="AA1128" s="0" t="n">
        <v>0</v>
      </c>
      <c r="AB1128" s="0" t="n">
        <v>0</v>
      </c>
      <c r="AC1128" s="4" t="s">
        <v>208</v>
      </c>
      <c r="AD1128" s="4" t="s">
        <v>208</v>
      </c>
      <c r="AE1128" s="4" t="s">
        <v>4401</v>
      </c>
      <c r="AF1128" s="4" t="s">
        <v>4405</v>
      </c>
      <c r="AG1128" s="5" t="n">
        <v>0.433194444444444</v>
      </c>
      <c r="AH1128" s="5" t="n">
        <v>0.234930555555556</v>
      </c>
      <c r="AI1128" s="5" t="n">
        <v>0</v>
      </c>
      <c r="AJ1128" s="5" t="n">
        <v>0</v>
      </c>
      <c r="AK1128" s="5" t="n">
        <v>0</v>
      </c>
      <c r="AL1128" s="5" t="n">
        <v>0</v>
      </c>
      <c r="AM1128" s="4" t="s">
        <v>78</v>
      </c>
      <c r="AN1128" s="0" t="n">
        <v>0</v>
      </c>
      <c r="AO1128" s="0" t="n">
        <v>1</v>
      </c>
      <c r="AP1128" s="0" t="n">
        <v>0</v>
      </c>
      <c r="AQ1128" s="0" t="n">
        <v>0</v>
      </c>
      <c r="AR1128" s="0" t="n">
        <v>0</v>
      </c>
      <c r="AS1128" s="0" t="n">
        <v>0</v>
      </c>
      <c r="AT1128" s="0" t="n">
        <v>0</v>
      </c>
      <c r="AU1128" s="0" t="n">
        <v>8</v>
      </c>
      <c r="AV1128" s="0" t="n">
        <v>0</v>
      </c>
      <c r="AW1128" s="0" t="n">
        <v>0</v>
      </c>
      <c r="AX1128" s="0" t="n">
        <v>0</v>
      </c>
      <c r="AY1128" s="0" t="n">
        <v>0</v>
      </c>
      <c r="AZ1128" s="0" t="n">
        <v>0</v>
      </c>
      <c r="BA1128" s="0" t="n">
        <v>0</v>
      </c>
      <c r="BB1128" s="0" t="n">
        <v>0</v>
      </c>
      <c r="BC1128" s="0" t="n">
        <v>0</v>
      </c>
      <c r="BD1128" s="0" t="n">
        <v>0</v>
      </c>
      <c r="BE1128" s="0" t="n">
        <v>0</v>
      </c>
      <c r="BF1128" s="0" t="n">
        <v>0</v>
      </c>
      <c r="BG1128" s="0" t="n">
        <v>0</v>
      </c>
      <c r="BH1128" s="0" t="n">
        <v>0</v>
      </c>
      <c r="BI1128" s="0" t="n">
        <v>0</v>
      </c>
      <c r="BJ1128" s="0" t="n">
        <v>0</v>
      </c>
      <c r="BK1128" s="0" t="n">
        <v>0</v>
      </c>
      <c r="BM1128" s="6" t="n">
        <f aca="false">IFERROR(VALUE(F1128),"")</f>
        <v>232.23</v>
      </c>
      <c r="BN1128" s="6" t="n">
        <f aca="false">IF(R1128="-","",IFERROR(VALUE(LEFT(Q1128,LEN(Q1128)-2)),""))</f>
        <v>83.94</v>
      </c>
      <c r="BO1128" s="6" t="n">
        <f aca="false">IF(R1128="-","",IFERROR(VALUE(LEFT(R1128,LEN(R1128)-5)),""))</f>
        <v>2.77</v>
      </c>
      <c r="BP1128" s="6" t="n">
        <f aca="false">IF(R1128="-","",IFERROR(VALUE(F1128),""))</f>
        <v>232.23</v>
      </c>
      <c r="BQ1128" s="4" t="n">
        <f aca="false">IF(R1128="-",1,0)</f>
        <v>0</v>
      </c>
    </row>
    <row r="1129" customFormat="false" ht="15" hidden="false" customHeight="false" outlineLevel="0" collapsed="false">
      <c r="A1129" s="0" t="s">
        <v>4406</v>
      </c>
      <c r="B1129" s="0" t="s">
        <v>4407</v>
      </c>
      <c r="C1129" s="0" t="s">
        <v>70</v>
      </c>
      <c r="E1129" s="3" t="n">
        <v>46273</v>
      </c>
      <c r="F1129" s="4" t="s">
        <v>95</v>
      </c>
      <c r="G1129" s="5" t="n">
        <v>0.0736689814814815</v>
      </c>
      <c r="H1129" s="5" t="n">
        <v>0</v>
      </c>
      <c r="I1129" s="5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5" t="n">
        <v>0</v>
      </c>
      <c r="P1129" s="5" t="n">
        <v>0.015150462962963</v>
      </c>
      <c r="Q1129" s="4" t="s">
        <v>156</v>
      </c>
      <c r="R1129" s="4" t="s">
        <v>454</v>
      </c>
      <c r="S1129" s="5" t="n">
        <v>0</v>
      </c>
      <c r="T1129" s="5" t="n">
        <v>0.0203703703703704</v>
      </c>
      <c r="U1129" s="5" t="n">
        <v>0</v>
      </c>
      <c r="V1129" s="5" t="n">
        <v>0</v>
      </c>
      <c r="W1129" s="5" t="n">
        <v>0</v>
      </c>
      <c r="X1129" s="5" t="n">
        <v>0</v>
      </c>
      <c r="Y1129" s="5" t="n">
        <v>0</v>
      </c>
      <c r="Z1129" s="0" t="n">
        <v>0</v>
      </c>
      <c r="AA1129" s="0" t="n">
        <v>0</v>
      </c>
      <c r="AB1129" s="0" t="n">
        <v>0</v>
      </c>
      <c r="AC1129" s="4" t="s">
        <v>75</v>
      </c>
      <c r="AD1129" s="4" t="s">
        <v>75</v>
      </c>
      <c r="AE1129" s="4" t="s">
        <v>4408</v>
      </c>
      <c r="AF1129" s="4" t="s">
        <v>4409</v>
      </c>
      <c r="AG1129" s="5" t="n">
        <v>0</v>
      </c>
      <c r="AH1129" s="5" t="n">
        <v>0.120590277777778</v>
      </c>
      <c r="AI1129" s="5" t="n">
        <v>0</v>
      </c>
      <c r="AJ1129" s="5" t="n">
        <v>0</v>
      </c>
      <c r="AK1129" s="5" t="n">
        <v>0</v>
      </c>
      <c r="AL1129" s="5" t="n">
        <v>0</v>
      </c>
      <c r="AM1129" s="4" t="s">
        <v>78</v>
      </c>
      <c r="AN1129" s="0" t="n">
        <v>0</v>
      </c>
      <c r="AO1129" s="0" t="n">
        <v>0</v>
      </c>
      <c r="AP1129" s="0" t="n">
        <v>0</v>
      </c>
      <c r="AQ1129" s="0" t="n">
        <v>0</v>
      </c>
      <c r="AR1129" s="0" t="n">
        <v>0</v>
      </c>
      <c r="AS1129" s="0" t="n">
        <v>1</v>
      </c>
      <c r="AT1129" s="0" t="n">
        <v>0</v>
      </c>
      <c r="AU1129" s="0" t="n">
        <v>0</v>
      </c>
      <c r="AV1129" s="0" t="n">
        <v>0</v>
      </c>
      <c r="AW1129" s="0" t="n">
        <v>0</v>
      </c>
      <c r="AX1129" s="0" t="n">
        <v>0</v>
      </c>
      <c r="AY1129" s="0" t="n">
        <v>0</v>
      </c>
      <c r="AZ1129" s="0" t="n">
        <v>0</v>
      </c>
      <c r="BA1129" s="0" t="n">
        <v>0</v>
      </c>
      <c r="BB1129" s="0" t="n">
        <v>0</v>
      </c>
      <c r="BC1129" s="0" t="n">
        <v>0</v>
      </c>
      <c r="BD1129" s="0" t="n">
        <v>0</v>
      </c>
      <c r="BE1129" s="0" t="n">
        <v>0</v>
      </c>
      <c r="BF1129" s="0" t="n">
        <v>0</v>
      </c>
      <c r="BG1129" s="0" t="n">
        <v>0</v>
      </c>
      <c r="BH1129" s="0" t="n">
        <v>0</v>
      </c>
      <c r="BI1129" s="0" t="n">
        <v>0</v>
      </c>
      <c r="BJ1129" s="0" t="n">
        <v>0</v>
      </c>
      <c r="BK1129" s="0" t="n">
        <v>0</v>
      </c>
      <c r="BM1129" s="6" t="n">
        <f aca="false">IFERROR(VALUE(F1129),"")</f>
        <v>0</v>
      </c>
      <c r="BN1129" s="6" t="n">
        <f aca="false">IF(R1129="-","",IFERROR(VALUE(LEFT(Q1129,LEN(Q1129)-2)),""))</f>
        <v>1.65</v>
      </c>
      <c r="BO1129" s="6" t="n">
        <f aca="false">IF(R1129="-","",IFERROR(VALUE(LEFT(R1129,LEN(R1129)-5)),""))</f>
        <v>0</v>
      </c>
      <c r="BP1129" s="6" t="n">
        <f aca="false">IF(R1129="-","",IFERROR(VALUE(F1129),""))</f>
        <v>0</v>
      </c>
      <c r="BQ1129" s="4" t="n">
        <f aca="false">IF(R1129="-",1,0)</f>
        <v>0</v>
      </c>
    </row>
    <row r="1130" customFormat="false" ht="15" hidden="false" customHeight="false" outlineLevel="0" collapsed="false">
      <c r="A1130" s="0" t="s">
        <v>4406</v>
      </c>
      <c r="B1130" s="0" t="s">
        <v>4407</v>
      </c>
      <c r="C1130" s="0" t="s">
        <v>70</v>
      </c>
      <c r="D1130" s="0" t="s">
        <v>3573</v>
      </c>
      <c r="E1130" s="3" t="n">
        <v>46274</v>
      </c>
      <c r="F1130" s="4" t="s">
        <v>4410</v>
      </c>
      <c r="G1130" s="5" t="n">
        <v>0.224525462962963</v>
      </c>
      <c r="H1130" s="5" t="n">
        <v>0.00378472222222222</v>
      </c>
      <c r="I1130" s="5" t="n">
        <v>0.000300925925925926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2</v>
      </c>
      <c r="O1130" s="5" t="n">
        <v>0</v>
      </c>
      <c r="P1130" s="5" t="n">
        <v>0.0285416666666667</v>
      </c>
      <c r="Q1130" s="4" t="s">
        <v>4411</v>
      </c>
      <c r="R1130" s="4" t="s">
        <v>4412</v>
      </c>
      <c r="S1130" s="5" t="n">
        <v>0</v>
      </c>
      <c r="T1130" s="5" t="n">
        <v>0.0631944444444444</v>
      </c>
      <c r="U1130" s="5" t="n">
        <v>0.012037037037037</v>
      </c>
      <c r="V1130" s="5" t="n">
        <v>0.00104166666666667</v>
      </c>
      <c r="W1130" s="5" t="n">
        <v>0</v>
      </c>
      <c r="X1130" s="5" t="n">
        <v>0</v>
      </c>
      <c r="Y1130" s="5" t="n">
        <v>0</v>
      </c>
      <c r="Z1130" s="0" t="n">
        <v>0</v>
      </c>
      <c r="AA1130" s="0" t="n">
        <v>0</v>
      </c>
      <c r="AB1130" s="0" t="n">
        <v>0</v>
      </c>
      <c r="AC1130" s="4" t="s">
        <v>75</v>
      </c>
      <c r="AD1130" s="4" t="s">
        <v>228</v>
      </c>
      <c r="AE1130" s="4" t="s">
        <v>4409</v>
      </c>
      <c r="AF1130" s="4" t="s">
        <v>4413</v>
      </c>
      <c r="AG1130" s="5" t="n">
        <v>0.0277546296296296</v>
      </c>
      <c r="AH1130" s="5" t="n">
        <v>0.267928240740741</v>
      </c>
      <c r="AI1130" s="5" t="n">
        <v>0</v>
      </c>
      <c r="AJ1130" s="5" t="n">
        <v>0</v>
      </c>
      <c r="AK1130" s="5" t="n">
        <v>0</v>
      </c>
      <c r="AL1130" s="5" t="n">
        <v>0</v>
      </c>
      <c r="AM1130" s="4" t="s">
        <v>78</v>
      </c>
      <c r="AN1130" s="0" t="n">
        <v>0</v>
      </c>
      <c r="AO1130" s="0" t="n">
        <v>0</v>
      </c>
      <c r="AP1130" s="0" t="n">
        <v>0</v>
      </c>
      <c r="AQ1130" s="0" t="n">
        <v>0</v>
      </c>
      <c r="AR1130" s="0" t="n">
        <v>0</v>
      </c>
      <c r="AS1130" s="0" t="n">
        <v>0</v>
      </c>
      <c r="AT1130" s="0" t="n">
        <v>0</v>
      </c>
      <c r="AU1130" s="0" t="n">
        <v>0</v>
      </c>
      <c r="AV1130" s="0" t="n">
        <v>0</v>
      </c>
      <c r="AW1130" s="0" t="n">
        <v>0</v>
      </c>
      <c r="AX1130" s="0" t="n">
        <v>0</v>
      </c>
      <c r="AY1130" s="0" t="n">
        <v>0</v>
      </c>
      <c r="AZ1130" s="0" t="n">
        <v>0</v>
      </c>
      <c r="BA1130" s="0" t="n">
        <v>0</v>
      </c>
      <c r="BB1130" s="0" t="n">
        <v>0</v>
      </c>
      <c r="BC1130" s="0" t="n">
        <v>0</v>
      </c>
      <c r="BD1130" s="0" t="n">
        <v>0</v>
      </c>
      <c r="BE1130" s="0" t="n">
        <v>0</v>
      </c>
      <c r="BF1130" s="0" t="n">
        <v>0</v>
      </c>
      <c r="BG1130" s="0" t="n">
        <v>0</v>
      </c>
      <c r="BH1130" s="0" t="n">
        <v>0</v>
      </c>
      <c r="BI1130" s="0" t="n">
        <v>0</v>
      </c>
      <c r="BJ1130" s="0" t="n">
        <v>0</v>
      </c>
      <c r="BK1130" s="0" t="n">
        <v>0</v>
      </c>
      <c r="BM1130" s="6" t="n">
        <f aca="false">IFERROR(VALUE(F1130),"")</f>
        <v>9.82</v>
      </c>
      <c r="BN1130" s="6" t="n">
        <f aca="false">IF(R1130="-","",IFERROR(VALUE(LEFT(Q1130,LEN(Q1130)-2)),""))</f>
        <v>9.66</v>
      </c>
      <c r="BO1130" s="6" t="n">
        <f aca="false">IF(R1130="-","",IFERROR(VALUE(LEFT(R1130,LEN(R1130)-5)),""))</f>
        <v>1.02</v>
      </c>
      <c r="BP1130" s="6" t="n">
        <f aca="false">IF(R1130="-","",IFERROR(VALUE(F1130),""))</f>
        <v>9.82</v>
      </c>
      <c r="BQ1130" s="4" t="n">
        <f aca="false">IF(R1130="-",1,0)</f>
        <v>0</v>
      </c>
    </row>
    <row r="1131" customFormat="false" ht="15" hidden="false" customHeight="false" outlineLevel="0" collapsed="false">
      <c r="A1131" s="0" t="s">
        <v>4406</v>
      </c>
      <c r="B1131" s="0" t="s">
        <v>4407</v>
      </c>
      <c r="C1131" s="0" t="s">
        <v>70</v>
      </c>
      <c r="D1131" s="0" t="s">
        <v>3419</v>
      </c>
      <c r="E1131" s="3" t="n">
        <v>46275</v>
      </c>
      <c r="F1131" s="4" t="s">
        <v>4414</v>
      </c>
      <c r="G1131" s="5" t="n">
        <v>0.195289351851852</v>
      </c>
      <c r="H1131" s="5" t="n">
        <v>0.144421296296296</v>
      </c>
      <c r="I1131" s="5" t="n">
        <v>8.10185185185185E-005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5" t="n">
        <v>0</v>
      </c>
      <c r="P1131" s="5" t="n">
        <v>0</v>
      </c>
      <c r="Q1131" s="4" t="s">
        <v>4415</v>
      </c>
      <c r="R1131" s="4" t="s">
        <v>1199</v>
      </c>
      <c r="S1131" s="5" t="n">
        <v>0.000115740740740741</v>
      </c>
      <c r="T1131" s="5" t="n">
        <v>0.0769675925925926</v>
      </c>
      <c r="U1131" s="5" t="n">
        <v>0.0752314814814815</v>
      </c>
      <c r="V1131" s="5" t="n">
        <v>0.0025462962962963</v>
      </c>
      <c r="W1131" s="5" t="n">
        <v>0</v>
      </c>
      <c r="X1131" s="5" t="n">
        <v>0</v>
      </c>
      <c r="Y1131" s="5" t="n">
        <v>0</v>
      </c>
      <c r="Z1131" s="0" t="n">
        <v>0</v>
      </c>
      <c r="AA1131" s="0" t="n">
        <v>0</v>
      </c>
      <c r="AB1131" s="0" t="n">
        <v>0</v>
      </c>
      <c r="AC1131" s="4" t="s">
        <v>228</v>
      </c>
      <c r="AD1131" s="4" t="s">
        <v>1725</v>
      </c>
      <c r="AE1131" s="4" t="s">
        <v>4413</v>
      </c>
      <c r="AF1131" s="4" t="s">
        <v>4416</v>
      </c>
      <c r="AG1131" s="5" t="n">
        <v>0.11599537037037</v>
      </c>
      <c r="AH1131" s="5" t="n">
        <v>0.0951736111111111</v>
      </c>
      <c r="AI1131" s="5" t="n">
        <v>0</v>
      </c>
      <c r="AJ1131" s="5" t="n">
        <v>0</v>
      </c>
      <c r="AK1131" s="5" t="n">
        <v>0</v>
      </c>
      <c r="AL1131" s="5" t="n">
        <v>0</v>
      </c>
      <c r="AM1131" s="4" t="s">
        <v>78</v>
      </c>
      <c r="AN1131" s="0" t="n">
        <v>0</v>
      </c>
      <c r="AO1131" s="0" t="n">
        <v>1</v>
      </c>
      <c r="AP1131" s="0" t="n">
        <v>0</v>
      </c>
      <c r="AQ1131" s="0" t="n">
        <v>0</v>
      </c>
      <c r="AR1131" s="0" t="n">
        <v>0</v>
      </c>
      <c r="AS1131" s="0" t="n">
        <v>0</v>
      </c>
      <c r="AT1131" s="0" t="n">
        <v>0</v>
      </c>
      <c r="AU1131" s="0" t="n">
        <v>0</v>
      </c>
      <c r="AV1131" s="0" t="n">
        <v>0</v>
      </c>
      <c r="AW1131" s="0" t="n">
        <v>0</v>
      </c>
      <c r="AX1131" s="0" t="n">
        <v>0</v>
      </c>
      <c r="AY1131" s="0" t="n">
        <v>0</v>
      </c>
      <c r="AZ1131" s="0" t="n">
        <v>0</v>
      </c>
      <c r="BA1131" s="0" t="n">
        <v>0</v>
      </c>
      <c r="BB1131" s="0" t="n">
        <v>0</v>
      </c>
      <c r="BC1131" s="0" t="n">
        <v>0</v>
      </c>
      <c r="BD1131" s="0" t="n">
        <v>0</v>
      </c>
      <c r="BE1131" s="0" t="n">
        <v>0</v>
      </c>
      <c r="BF1131" s="0" t="n">
        <v>0</v>
      </c>
      <c r="BG1131" s="0" t="n">
        <v>0</v>
      </c>
      <c r="BH1131" s="0" t="n">
        <v>0</v>
      </c>
      <c r="BI1131" s="0" t="n">
        <v>0</v>
      </c>
      <c r="BJ1131" s="0" t="n">
        <v>0</v>
      </c>
      <c r="BK1131" s="0" t="n">
        <v>0</v>
      </c>
      <c r="BM1131" s="6" t="n">
        <f aca="false">IFERROR(VALUE(F1131),"")</f>
        <v>121.69</v>
      </c>
      <c r="BN1131" s="6" t="n">
        <f aca="false">IF(R1131="-","",IFERROR(VALUE(LEFT(Q1131,LEN(Q1131)-2)),""))</f>
        <v>42.04</v>
      </c>
      <c r="BO1131" s="6" t="n">
        <f aca="false">IF(R1131="-","",IFERROR(VALUE(LEFT(R1131,LEN(R1131)-5)),""))</f>
        <v>2.89</v>
      </c>
      <c r="BP1131" s="6" t="n">
        <f aca="false">IF(R1131="-","",IFERROR(VALUE(F1131),""))</f>
        <v>121.69</v>
      </c>
      <c r="BQ1131" s="4" t="n">
        <f aca="false">IF(R1131="-",1,0)</f>
        <v>0</v>
      </c>
    </row>
    <row r="1132" customFormat="false" ht="15" hidden="false" customHeight="false" outlineLevel="0" collapsed="false">
      <c r="A1132" s="0" t="s">
        <v>4406</v>
      </c>
      <c r="B1132" s="0" t="s">
        <v>4407</v>
      </c>
      <c r="C1132" s="0" t="s">
        <v>70</v>
      </c>
      <c r="D1132" s="0" t="s">
        <v>4417</v>
      </c>
      <c r="E1132" s="3" t="n">
        <v>46276</v>
      </c>
      <c r="F1132" s="4" t="s">
        <v>4418</v>
      </c>
      <c r="G1132" s="5" t="n">
        <v>0.544293981481481</v>
      </c>
      <c r="H1132" s="5" t="n">
        <v>0.521238425925926</v>
      </c>
      <c r="I1132" s="5" t="n">
        <v>0.000173611111111111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2</v>
      </c>
      <c r="O1132" s="5" t="n">
        <v>0</v>
      </c>
      <c r="P1132" s="5" t="n">
        <v>0.00708333333333333</v>
      </c>
      <c r="Q1132" s="4" t="s">
        <v>4419</v>
      </c>
      <c r="R1132" s="4" t="s">
        <v>1421</v>
      </c>
      <c r="S1132" s="5" t="n">
        <v>0</v>
      </c>
      <c r="T1132" s="5" t="n">
        <v>0.205092592592593</v>
      </c>
      <c r="U1132" s="5" t="n">
        <v>0.297222222222222</v>
      </c>
      <c r="V1132" s="5" t="n">
        <v>0.0297453703703704</v>
      </c>
      <c r="W1132" s="5" t="n">
        <v>0</v>
      </c>
      <c r="X1132" s="5" t="n">
        <v>0</v>
      </c>
      <c r="Y1132" s="5" t="n">
        <v>0</v>
      </c>
      <c r="Z1132" s="0" t="n">
        <v>0</v>
      </c>
      <c r="AA1132" s="0" t="n">
        <v>0</v>
      </c>
      <c r="AB1132" s="0" t="n">
        <v>0</v>
      </c>
      <c r="AC1132" s="4" t="s">
        <v>1725</v>
      </c>
      <c r="AD1132" s="4" t="s">
        <v>882</v>
      </c>
      <c r="AE1132" s="4" t="s">
        <v>4416</v>
      </c>
      <c r="AF1132" s="4" t="s">
        <v>4420</v>
      </c>
      <c r="AG1132" s="5" t="n">
        <v>0.453738425925926</v>
      </c>
      <c r="AH1132" s="5" t="n">
        <v>0.161284722222222</v>
      </c>
      <c r="AI1132" s="5" t="n">
        <v>0</v>
      </c>
      <c r="AJ1132" s="5" t="n">
        <v>0</v>
      </c>
      <c r="AK1132" s="5" t="n">
        <v>0</v>
      </c>
      <c r="AL1132" s="5" t="n">
        <v>0</v>
      </c>
      <c r="AM1132" s="4" t="s">
        <v>78</v>
      </c>
      <c r="AN1132" s="0" t="n">
        <v>0</v>
      </c>
      <c r="AO1132" s="0" t="n">
        <v>0</v>
      </c>
      <c r="AP1132" s="0" t="n">
        <v>0</v>
      </c>
      <c r="AQ1132" s="0" t="n">
        <v>0</v>
      </c>
      <c r="AR1132" s="0" t="n">
        <v>0</v>
      </c>
      <c r="AS1132" s="0" t="n">
        <v>0</v>
      </c>
      <c r="AT1132" s="0" t="n">
        <v>0</v>
      </c>
      <c r="AU1132" s="0" t="n">
        <v>4</v>
      </c>
      <c r="AV1132" s="0" t="n">
        <v>0</v>
      </c>
      <c r="AW1132" s="0" t="n">
        <v>0</v>
      </c>
      <c r="AX1132" s="0" t="n">
        <v>0</v>
      </c>
      <c r="AY1132" s="0" t="n">
        <v>0</v>
      </c>
      <c r="AZ1132" s="0" t="n">
        <v>0</v>
      </c>
      <c r="BA1132" s="0" t="n">
        <v>0</v>
      </c>
      <c r="BB1132" s="0" t="n">
        <v>0</v>
      </c>
      <c r="BC1132" s="0" t="n">
        <v>0</v>
      </c>
      <c r="BD1132" s="0" t="n">
        <v>0</v>
      </c>
      <c r="BE1132" s="0" t="n">
        <v>0</v>
      </c>
      <c r="BF1132" s="0" t="n">
        <v>0</v>
      </c>
      <c r="BG1132" s="0" t="n">
        <v>0</v>
      </c>
      <c r="BH1132" s="0" t="n">
        <v>0</v>
      </c>
      <c r="BI1132" s="0" t="n">
        <v>0</v>
      </c>
      <c r="BJ1132" s="0" t="n">
        <v>0</v>
      </c>
      <c r="BK1132" s="0" t="n">
        <v>0</v>
      </c>
      <c r="BM1132" s="6" t="n">
        <f aca="false">IFERROR(VALUE(F1132),"")</f>
        <v>473.12</v>
      </c>
      <c r="BN1132" s="6" t="n">
        <f aca="false">IF(R1132="-","",IFERROR(VALUE(LEFT(Q1132,LEN(Q1132)-2)),""))</f>
        <v>177.56</v>
      </c>
      <c r="BO1132" s="6" t="n">
        <f aca="false">IF(R1132="-","",IFERROR(VALUE(LEFT(R1132,LEN(R1132)-5)),""))</f>
        <v>2.66</v>
      </c>
      <c r="BP1132" s="6" t="n">
        <f aca="false">IF(R1132="-","",IFERROR(VALUE(F1132),""))</f>
        <v>473.12</v>
      </c>
      <c r="BQ1132" s="4" t="n">
        <f aca="false">IF(R1132="-",1,0)</f>
        <v>0</v>
      </c>
    </row>
    <row r="1133" customFormat="false" ht="15" hidden="false" customHeight="false" outlineLevel="0" collapsed="false">
      <c r="A1133" s="0" t="s">
        <v>4406</v>
      </c>
      <c r="B1133" s="0" t="s">
        <v>4407</v>
      </c>
      <c r="C1133" s="0" t="s">
        <v>70</v>
      </c>
      <c r="D1133" s="0" t="s">
        <v>4421</v>
      </c>
      <c r="E1133" s="3" t="n">
        <v>46277</v>
      </c>
      <c r="F1133" s="4" t="s">
        <v>4422</v>
      </c>
      <c r="G1133" s="5" t="n">
        <v>0.456967592592593</v>
      </c>
      <c r="H1133" s="5" t="n">
        <v>0.390185185185185</v>
      </c>
      <c r="I1133" s="5" t="n">
        <v>9.25925925925926E-005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5" t="n">
        <v>0</v>
      </c>
      <c r="P1133" s="5" t="n">
        <v>0.0340277777777778</v>
      </c>
      <c r="Q1133" s="4" t="s">
        <v>4423</v>
      </c>
      <c r="R1133" s="4" t="s">
        <v>487</v>
      </c>
      <c r="S1133" s="5" t="n">
        <v>0</v>
      </c>
      <c r="T1133" s="5" t="n">
        <v>0.173842592592593</v>
      </c>
      <c r="U1133" s="5" t="n">
        <v>0.230902777777778</v>
      </c>
      <c r="V1133" s="5" t="n">
        <v>0.0263888888888889</v>
      </c>
      <c r="W1133" s="5" t="n">
        <v>0</v>
      </c>
      <c r="X1133" s="5" t="n">
        <v>0</v>
      </c>
      <c r="Y1133" s="5" t="n">
        <v>0</v>
      </c>
      <c r="Z1133" s="0" t="n">
        <v>0</v>
      </c>
      <c r="AA1133" s="0" t="n">
        <v>0</v>
      </c>
      <c r="AB1133" s="0" t="n">
        <v>0</v>
      </c>
      <c r="AC1133" s="4" t="s">
        <v>864</v>
      </c>
      <c r="AD1133" s="4" t="s">
        <v>208</v>
      </c>
      <c r="AE1133" s="4" t="s">
        <v>4420</v>
      </c>
      <c r="AF1133" s="4" t="s">
        <v>4424</v>
      </c>
      <c r="AG1133" s="5" t="n">
        <v>0.336840277777778</v>
      </c>
      <c r="AH1133" s="5" t="n">
        <v>0.201446759259259</v>
      </c>
      <c r="AI1133" s="5" t="n">
        <v>0</v>
      </c>
      <c r="AJ1133" s="5" t="n">
        <v>0</v>
      </c>
      <c r="AK1133" s="5" t="n">
        <v>0</v>
      </c>
      <c r="AL1133" s="5" t="n">
        <v>0</v>
      </c>
      <c r="AM1133" s="4" t="s">
        <v>78</v>
      </c>
      <c r="AN1133" s="0" t="n">
        <v>0</v>
      </c>
      <c r="AO1133" s="0" t="n">
        <v>0</v>
      </c>
      <c r="AP1133" s="0" t="n">
        <v>0</v>
      </c>
      <c r="AQ1133" s="0" t="n">
        <v>0</v>
      </c>
      <c r="AR1133" s="0" t="n">
        <v>0</v>
      </c>
      <c r="AS1133" s="0" t="n">
        <v>0</v>
      </c>
      <c r="AT1133" s="0" t="n">
        <v>0</v>
      </c>
      <c r="AU1133" s="0" t="n">
        <v>7</v>
      </c>
      <c r="AV1133" s="0" t="n">
        <v>0</v>
      </c>
      <c r="AW1133" s="0" t="n">
        <v>0</v>
      </c>
      <c r="AX1133" s="0" t="n">
        <v>0</v>
      </c>
      <c r="AY1133" s="0" t="n">
        <v>0</v>
      </c>
      <c r="AZ1133" s="0" t="n">
        <v>0</v>
      </c>
      <c r="BA1133" s="0" t="n">
        <v>0</v>
      </c>
      <c r="BB1133" s="0" t="n">
        <v>0</v>
      </c>
      <c r="BC1133" s="0" t="n">
        <v>0</v>
      </c>
      <c r="BD1133" s="0" t="n">
        <v>0</v>
      </c>
      <c r="BE1133" s="0" t="n">
        <v>0</v>
      </c>
      <c r="BF1133" s="0" t="n">
        <v>0</v>
      </c>
      <c r="BG1133" s="0" t="n">
        <v>0</v>
      </c>
      <c r="BH1133" s="0" t="n">
        <v>0</v>
      </c>
      <c r="BI1133" s="0" t="n">
        <v>0</v>
      </c>
      <c r="BJ1133" s="0" t="n">
        <v>0</v>
      </c>
      <c r="BK1133" s="0" t="n">
        <v>0</v>
      </c>
      <c r="BM1133" s="6" t="n">
        <f aca="false">IFERROR(VALUE(F1133),"")</f>
        <v>379.84</v>
      </c>
      <c r="BN1133" s="6" t="n">
        <f aca="false">IF(R1133="-","",IFERROR(VALUE(LEFT(Q1133,LEN(Q1133)-2)),""))</f>
        <v>139.79</v>
      </c>
      <c r="BO1133" s="6" t="n">
        <f aca="false">IF(R1133="-","",IFERROR(VALUE(LEFT(R1133,LEN(R1133)-5)),""))</f>
        <v>2.72</v>
      </c>
      <c r="BP1133" s="6" t="n">
        <f aca="false">IF(R1133="-","",IFERROR(VALUE(F1133),""))</f>
        <v>379.84</v>
      </c>
      <c r="BQ1133" s="4" t="n">
        <f aca="false">IF(R1133="-",1,0)</f>
        <v>0</v>
      </c>
    </row>
    <row r="1134" customFormat="false" ht="15" hidden="false" customHeight="false" outlineLevel="0" collapsed="false">
      <c r="A1134" s="0" t="s">
        <v>4406</v>
      </c>
      <c r="B1134" s="0" t="s">
        <v>4407</v>
      </c>
      <c r="C1134" s="0" t="s">
        <v>70</v>
      </c>
      <c r="D1134" s="0" t="s">
        <v>4425</v>
      </c>
      <c r="E1134" s="3" t="n">
        <v>46278</v>
      </c>
      <c r="F1134" s="4" t="s">
        <v>4426</v>
      </c>
      <c r="G1134" s="5" t="n">
        <v>0.528159722222222</v>
      </c>
      <c r="H1134" s="5" t="n">
        <v>0.270219907407407</v>
      </c>
      <c r="I1134" s="5" t="n">
        <v>0.00334490740740741</v>
      </c>
      <c r="J1134" s="0" t="n">
        <v>0</v>
      </c>
      <c r="K1134" s="0" t="n">
        <v>1</v>
      </c>
      <c r="L1134" s="0" t="n">
        <v>0</v>
      </c>
      <c r="M1134" s="0" t="n">
        <v>0</v>
      </c>
      <c r="N1134" s="0" t="n">
        <v>1</v>
      </c>
      <c r="O1134" s="5" t="n">
        <v>0</v>
      </c>
      <c r="P1134" s="5" t="n">
        <v>0.0387731481481482</v>
      </c>
      <c r="Q1134" s="4" t="s">
        <v>4427</v>
      </c>
      <c r="R1134" s="4" t="s">
        <v>332</v>
      </c>
      <c r="S1134" s="5" t="n">
        <v>0</v>
      </c>
      <c r="T1134" s="5" t="n">
        <v>0.18599537037037</v>
      </c>
      <c r="U1134" s="5" t="n">
        <v>0.285069444444444</v>
      </c>
      <c r="V1134" s="5" t="n">
        <v>0.0290509259259259</v>
      </c>
      <c r="W1134" s="5" t="n">
        <v>0</v>
      </c>
      <c r="X1134" s="5" t="n">
        <v>0</v>
      </c>
      <c r="Y1134" s="5" t="n">
        <v>0</v>
      </c>
      <c r="Z1134" s="0" t="n">
        <v>0</v>
      </c>
      <c r="AA1134" s="0" t="n">
        <v>0</v>
      </c>
      <c r="AB1134" s="0" t="n">
        <v>0</v>
      </c>
      <c r="AC1134" s="4" t="s">
        <v>208</v>
      </c>
      <c r="AD1134" s="4" t="s">
        <v>887</v>
      </c>
      <c r="AE1134" s="4" t="s">
        <v>4424</v>
      </c>
      <c r="AF1134" s="4" t="s">
        <v>4428</v>
      </c>
      <c r="AG1134" s="5" t="n">
        <v>0.405081018518519</v>
      </c>
      <c r="AH1134" s="5" t="n">
        <v>0.198599537037037</v>
      </c>
      <c r="AI1134" s="5" t="n">
        <v>0</v>
      </c>
      <c r="AJ1134" s="5" t="n">
        <v>0</v>
      </c>
      <c r="AK1134" s="5" t="n">
        <v>0</v>
      </c>
      <c r="AL1134" s="5" t="n">
        <v>0</v>
      </c>
      <c r="AM1134" s="4" t="s">
        <v>78</v>
      </c>
      <c r="AN1134" s="0" t="n">
        <v>0</v>
      </c>
      <c r="AO1134" s="0" t="n">
        <v>0</v>
      </c>
      <c r="AP1134" s="0" t="n">
        <v>0</v>
      </c>
      <c r="AQ1134" s="0" t="n">
        <v>0</v>
      </c>
      <c r="AR1134" s="0" t="n">
        <v>0</v>
      </c>
      <c r="AS1134" s="0" t="n">
        <v>0</v>
      </c>
      <c r="AT1134" s="0" t="n">
        <v>0</v>
      </c>
      <c r="AU1134" s="0" t="n">
        <v>5</v>
      </c>
      <c r="AV1134" s="0" t="n">
        <v>0</v>
      </c>
      <c r="AW1134" s="0" t="n">
        <v>0</v>
      </c>
      <c r="AX1134" s="0" t="n">
        <v>0</v>
      </c>
      <c r="AY1134" s="0" t="n">
        <v>0</v>
      </c>
      <c r="AZ1134" s="0" t="n">
        <v>0</v>
      </c>
      <c r="BA1134" s="0" t="n">
        <v>0</v>
      </c>
      <c r="BB1134" s="0" t="n">
        <v>0</v>
      </c>
      <c r="BC1134" s="0" t="n">
        <v>0</v>
      </c>
      <c r="BD1134" s="0" t="n">
        <v>0</v>
      </c>
      <c r="BE1134" s="0" t="n">
        <v>0</v>
      </c>
      <c r="BF1134" s="0" t="n">
        <v>0</v>
      </c>
      <c r="BG1134" s="0" t="n">
        <v>0</v>
      </c>
      <c r="BH1134" s="0" t="n">
        <v>0</v>
      </c>
      <c r="BI1134" s="0" t="n">
        <v>0</v>
      </c>
      <c r="BJ1134" s="0" t="n">
        <v>0</v>
      </c>
      <c r="BK1134" s="0" t="n">
        <v>0</v>
      </c>
      <c r="BM1134" s="6" t="n">
        <f aca="false">IFERROR(VALUE(F1134),"")</f>
        <v>476.35</v>
      </c>
      <c r="BN1134" s="6" t="n">
        <f aca="false">IF(R1134="-","",IFERROR(VALUE(LEFT(Q1134,LEN(Q1134)-2)),""))</f>
        <v>167.65</v>
      </c>
      <c r="BO1134" s="6" t="n">
        <f aca="false">IF(R1134="-","",IFERROR(VALUE(LEFT(R1134,LEN(R1134)-5)),""))</f>
        <v>2.84</v>
      </c>
      <c r="BP1134" s="6" t="n">
        <f aca="false">IF(R1134="-","",IFERROR(VALUE(F1134),""))</f>
        <v>476.35</v>
      </c>
      <c r="BQ1134" s="4" t="n">
        <f aca="false">IF(R1134="-",1,0)</f>
        <v>0</v>
      </c>
    </row>
    <row r="1135" customFormat="false" ht="15" hidden="false" customHeight="false" outlineLevel="0" collapsed="false">
      <c r="A1135" s="0" t="s">
        <v>4406</v>
      </c>
      <c r="B1135" s="0" t="s">
        <v>4407</v>
      </c>
      <c r="C1135" s="0" t="s">
        <v>70</v>
      </c>
      <c r="D1135" s="0" t="s">
        <v>1201</v>
      </c>
      <c r="E1135" s="3" t="n">
        <v>46279</v>
      </c>
      <c r="F1135" s="4" t="s">
        <v>4429</v>
      </c>
      <c r="G1135" s="5" t="n">
        <v>0.323159722222222</v>
      </c>
      <c r="H1135" s="5" t="n">
        <v>0.209907407407407</v>
      </c>
      <c r="I1135" s="5" t="n">
        <v>0.000115740740740741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1</v>
      </c>
      <c r="O1135" s="5" t="n">
        <v>0</v>
      </c>
      <c r="P1135" s="5" t="n">
        <v>0.00695601851851852</v>
      </c>
      <c r="Q1135" s="4" t="s">
        <v>4430</v>
      </c>
      <c r="R1135" s="4" t="s">
        <v>395</v>
      </c>
      <c r="S1135" s="5" t="n">
        <v>0</v>
      </c>
      <c r="T1135" s="5" t="n">
        <v>0.105555555555556</v>
      </c>
      <c r="U1135" s="5" t="n">
        <v>0.193981481481482</v>
      </c>
      <c r="V1135" s="5" t="n">
        <v>0.0196759259259259</v>
      </c>
      <c r="W1135" s="5" t="n">
        <v>0</v>
      </c>
      <c r="X1135" s="5" t="n">
        <v>0</v>
      </c>
      <c r="Y1135" s="5" t="n">
        <v>0</v>
      </c>
      <c r="Z1135" s="0" t="n">
        <v>0</v>
      </c>
      <c r="AA1135" s="0" t="n">
        <v>0</v>
      </c>
      <c r="AB1135" s="0" t="n">
        <v>0</v>
      </c>
      <c r="AC1135" s="4" t="s">
        <v>882</v>
      </c>
      <c r="AD1135" s="4" t="s">
        <v>842</v>
      </c>
      <c r="AE1135" s="4" t="s">
        <v>4428</v>
      </c>
      <c r="AF1135" s="4" t="s">
        <v>4431</v>
      </c>
      <c r="AG1135" s="5" t="n">
        <v>0.2709375</v>
      </c>
      <c r="AH1135" s="5" t="n">
        <v>0.102592592592593</v>
      </c>
      <c r="AI1135" s="5" t="n">
        <v>0</v>
      </c>
      <c r="AJ1135" s="5" t="n">
        <v>0</v>
      </c>
      <c r="AK1135" s="5" t="n">
        <v>0</v>
      </c>
      <c r="AL1135" s="5" t="n">
        <v>0</v>
      </c>
      <c r="AM1135" s="4" t="s">
        <v>78</v>
      </c>
      <c r="AN1135" s="0" t="n">
        <v>0</v>
      </c>
      <c r="AO1135" s="0" t="n">
        <v>0</v>
      </c>
      <c r="AP1135" s="0" t="n">
        <v>0</v>
      </c>
      <c r="AQ1135" s="0" t="n">
        <v>0</v>
      </c>
      <c r="AR1135" s="0" t="n">
        <v>0</v>
      </c>
      <c r="AS1135" s="0" t="n">
        <v>0</v>
      </c>
      <c r="AT1135" s="0" t="n">
        <v>0</v>
      </c>
      <c r="AU1135" s="0" t="n">
        <v>0</v>
      </c>
      <c r="AV1135" s="0" t="n">
        <v>0</v>
      </c>
      <c r="AW1135" s="0" t="n">
        <v>0</v>
      </c>
      <c r="AX1135" s="0" t="n">
        <v>0</v>
      </c>
      <c r="AY1135" s="0" t="n">
        <v>0</v>
      </c>
      <c r="AZ1135" s="0" t="n">
        <v>0</v>
      </c>
      <c r="BA1135" s="0" t="n">
        <v>0</v>
      </c>
      <c r="BB1135" s="0" t="n">
        <v>0</v>
      </c>
      <c r="BC1135" s="0" t="n">
        <v>0</v>
      </c>
      <c r="BD1135" s="0" t="n">
        <v>0</v>
      </c>
      <c r="BE1135" s="0" t="n">
        <v>0</v>
      </c>
      <c r="BF1135" s="0" t="n">
        <v>0</v>
      </c>
      <c r="BG1135" s="0" t="n">
        <v>0</v>
      </c>
      <c r="BH1135" s="0" t="n">
        <v>0</v>
      </c>
      <c r="BI1135" s="0" t="n">
        <v>0</v>
      </c>
      <c r="BJ1135" s="0" t="n">
        <v>0</v>
      </c>
      <c r="BK1135" s="0" t="n">
        <v>0</v>
      </c>
      <c r="BM1135" s="6" t="n">
        <f aca="false">IFERROR(VALUE(F1135),"")</f>
        <v>321.11</v>
      </c>
      <c r="BN1135" s="6" t="n">
        <f aca="false">IF(R1135="-","",IFERROR(VALUE(LEFT(Q1135,LEN(Q1135)-2)),""))</f>
        <v>109.18</v>
      </c>
      <c r="BO1135" s="6" t="n">
        <f aca="false">IF(R1135="-","",IFERROR(VALUE(LEFT(R1135,LEN(R1135)-5)),""))</f>
        <v>2.94</v>
      </c>
      <c r="BP1135" s="6" t="n">
        <f aca="false">IF(R1135="-","",IFERROR(VALUE(F1135),""))</f>
        <v>321.11</v>
      </c>
      <c r="BQ1135" s="4" t="n">
        <f aca="false">IF(R1135="-",1,0)</f>
        <v>0</v>
      </c>
    </row>
    <row r="1136" customFormat="false" ht="15" hidden="false" customHeight="false" outlineLevel="0" collapsed="false">
      <c r="A1136" s="0" t="s">
        <v>4432</v>
      </c>
      <c r="B1136" s="0" t="s">
        <v>4433</v>
      </c>
      <c r="C1136" s="0" t="s">
        <v>70</v>
      </c>
      <c r="D1136" s="0" t="s">
        <v>4434</v>
      </c>
      <c r="E1136" s="3" t="n">
        <v>46273</v>
      </c>
      <c r="F1136" s="4" t="s">
        <v>4435</v>
      </c>
      <c r="G1136" s="5" t="n">
        <v>0.378900462962963</v>
      </c>
      <c r="H1136" s="5" t="n">
        <v>0.0996064814814815</v>
      </c>
      <c r="I1136" s="5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5" t="n">
        <v>0</v>
      </c>
      <c r="P1136" s="5" t="n">
        <v>0</v>
      </c>
      <c r="Q1136" s="4" t="s">
        <v>4436</v>
      </c>
      <c r="R1136" s="4" t="s">
        <v>1183</v>
      </c>
      <c r="S1136" s="5" t="n">
        <v>0.000347222222222222</v>
      </c>
      <c r="T1136" s="5" t="n">
        <v>0.0546296296296296</v>
      </c>
      <c r="U1136" s="5" t="n">
        <v>0.0509259259259259</v>
      </c>
      <c r="V1136" s="5" t="n">
        <v>0.0037037037037037</v>
      </c>
      <c r="W1136" s="5" t="n">
        <v>0</v>
      </c>
      <c r="X1136" s="5" t="n">
        <v>0</v>
      </c>
      <c r="Y1136" s="5" t="n">
        <v>0</v>
      </c>
      <c r="Z1136" s="0" t="n">
        <v>0</v>
      </c>
      <c r="AA1136" s="0" t="n">
        <v>0</v>
      </c>
      <c r="AB1136" s="0" t="n">
        <v>0</v>
      </c>
      <c r="AC1136" s="4" t="s">
        <v>208</v>
      </c>
      <c r="AD1136" s="4" t="s">
        <v>208</v>
      </c>
      <c r="AE1136" s="4" t="s">
        <v>4437</v>
      </c>
      <c r="AF1136" s="4" t="s">
        <v>4438</v>
      </c>
      <c r="AG1136" s="5" t="n">
        <v>0.094849537037037</v>
      </c>
      <c r="AH1136" s="5" t="n">
        <v>0.389189814814815</v>
      </c>
      <c r="AI1136" s="5" t="n">
        <v>0</v>
      </c>
      <c r="AJ1136" s="5" t="n">
        <v>0</v>
      </c>
      <c r="AK1136" s="5" t="n">
        <v>0</v>
      </c>
      <c r="AL1136" s="5" t="n">
        <v>0</v>
      </c>
      <c r="AM1136" s="4" t="s">
        <v>78</v>
      </c>
      <c r="AN1136" s="0" t="n">
        <v>0</v>
      </c>
      <c r="AO1136" s="0" t="n">
        <v>0</v>
      </c>
      <c r="AP1136" s="0" t="n">
        <v>0</v>
      </c>
      <c r="AQ1136" s="0" t="n">
        <v>0</v>
      </c>
      <c r="AR1136" s="0" t="n">
        <v>0</v>
      </c>
      <c r="AS1136" s="0" t="n">
        <v>0</v>
      </c>
      <c r="AT1136" s="0" t="n">
        <v>0</v>
      </c>
      <c r="AU1136" s="0" t="n">
        <v>0</v>
      </c>
      <c r="AV1136" s="0" t="n">
        <v>0</v>
      </c>
      <c r="AW1136" s="0" t="n">
        <v>0</v>
      </c>
      <c r="AX1136" s="0" t="n">
        <v>0</v>
      </c>
      <c r="AY1136" s="0" t="n">
        <v>0</v>
      </c>
      <c r="AZ1136" s="0" t="n">
        <v>0</v>
      </c>
      <c r="BA1136" s="0" t="n">
        <v>0</v>
      </c>
      <c r="BB1136" s="0" t="n">
        <v>2</v>
      </c>
      <c r="BC1136" s="0" t="n">
        <v>0</v>
      </c>
      <c r="BD1136" s="0" t="n">
        <v>3</v>
      </c>
      <c r="BE1136" s="0" t="n">
        <v>0</v>
      </c>
      <c r="BF1136" s="0" t="n">
        <v>0</v>
      </c>
      <c r="BG1136" s="0" t="n">
        <v>0</v>
      </c>
      <c r="BH1136" s="0" t="n">
        <v>0</v>
      </c>
      <c r="BI1136" s="0" t="n">
        <v>0</v>
      </c>
      <c r="BJ1136" s="0" t="n">
        <v>0</v>
      </c>
      <c r="BK1136" s="0" t="n">
        <v>0</v>
      </c>
      <c r="BM1136" s="6" t="n">
        <f aca="false">IFERROR(VALUE(F1136),"")</f>
        <v>67.16</v>
      </c>
      <c r="BN1136" s="6" t="n">
        <f aca="false">IF(R1136="-","",IFERROR(VALUE(LEFT(Q1136,LEN(Q1136)-2)),""))</f>
        <v>25.46</v>
      </c>
      <c r="BO1136" s="6" t="n">
        <f aca="false">IF(R1136="-","",IFERROR(VALUE(LEFT(R1136,LEN(R1136)-5)),""))</f>
        <v>2.64</v>
      </c>
      <c r="BP1136" s="6" t="n">
        <f aca="false">IF(R1136="-","",IFERROR(VALUE(F1136),""))</f>
        <v>67.16</v>
      </c>
      <c r="BQ1136" s="4" t="n">
        <f aca="false">IF(R1136="-",1,0)</f>
        <v>0</v>
      </c>
    </row>
    <row r="1137" customFormat="false" ht="15" hidden="false" customHeight="false" outlineLevel="0" collapsed="false">
      <c r="A1137" s="0" t="s">
        <v>4432</v>
      </c>
      <c r="B1137" s="0" t="s">
        <v>4433</v>
      </c>
      <c r="C1137" s="0" t="s">
        <v>70</v>
      </c>
      <c r="D1137" s="0" t="s">
        <v>4434</v>
      </c>
      <c r="E1137" s="3" t="n">
        <v>46274</v>
      </c>
      <c r="F1137" s="4" t="s">
        <v>4439</v>
      </c>
      <c r="G1137" s="5" t="n">
        <v>0.274826388888889</v>
      </c>
      <c r="H1137" s="5" t="n">
        <v>0.255416666666667</v>
      </c>
      <c r="I1137" s="5" t="n">
        <v>9.25925925925926E-005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5" t="n">
        <v>0</v>
      </c>
      <c r="P1137" s="5" t="n">
        <v>0</v>
      </c>
      <c r="Q1137" s="4" t="s">
        <v>4440</v>
      </c>
      <c r="R1137" s="4" t="s">
        <v>998</v>
      </c>
      <c r="S1137" s="5" t="n">
        <v>0</v>
      </c>
      <c r="T1137" s="5" t="n">
        <v>0.122106481481482</v>
      </c>
      <c r="U1137" s="5" t="n">
        <v>0.128240740740741</v>
      </c>
      <c r="V1137" s="5" t="n">
        <v>0.00740740740740741</v>
      </c>
      <c r="W1137" s="5" t="n">
        <v>0</v>
      </c>
      <c r="X1137" s="5" t="n">
        <v>0</v>
      </c>
      <c r="Y1137" s="5" t="n">
        <v>0</v>
      </c>
      <c r="Z1137" s="0" t="n">
        <v>0</v>
      </c>
      <c r="AA1137" s="0" t="n">
        <v>0</v>
      </c>
      <c r="AB1137" s="0" t="n">
        <v>0</v>
      </c>
      <c r="AC1137" s="4" t="s">
        <v>208</v>
      </c>
      <c r="AD1137" s="4" t="s">
        <v>208</v>
      </c>
      <c r="AE1137" s="4" t="s">
        <v>4438</v>
      </c>
      <c r="AF1137" s="4" t="s">
        <v>4441</v>
      </c>
      <c r="AG1137" s="5" t="n">
        <v>0.2296875</v>
      </c>
      <c r="AH1137" s="5" t="n">
        <v>0.140034722222222</v>
      </c>
      <c r="AI1137" s="5" t="n">
        <v>0</v>
      </c>
      <c r="AJ1137" s="5" t="n">
        <v>0</v>
      </c>
      <c r="AK1137" s="5" t="n">
        <v>0</v>
      </c>
      <c r="AL1137" s="5" t="n">
        <v>0</v>
      </c>
      <c r="AM1137" s="4" t="s">
        <v>78</v>
      </c>
      <c r="AN1137" s="0" t="n">
        <v>0</v>
      </c>
      <c r="AO1137" s="0" t="n">
        <v>0</v>
      </c>
      <c r="AP1137" s="0" t="n">
        <v>0</v>
      </c>
      <c r="AQ1137" s="0" t="n">
        <v>0</v>
      </c>
      <c r="AR1137" s="0" t="n">
        <v>0</v>
      </c>
      <c r="AS1137" s="0" t="n">
        <v>0</v>
      </c>
      <c r="AT1137" s="0" t="n">
        <v>0</v>
      </c>
      <c r="AU1137" s="0" t="n">
        <v>0</v>
      </c>
      <c r="AV1137" s="0" t="n">
        <v>0</v>
      </c>
      <c r="AW1137" s="0" t="n">
        <v>0</v>
      </c>
      <c r="AX1137" s="0" t="n">
        <v>0</v>
      </c>
      <c r="AY1137" s="0" t="n">
        <v>0</v>
      </c>
      <c r="AZ1137" s="0" t="n">
        <v>0</v>
      </c>
      <c r="BA1137" s="0" t="n">
        <v>0</v>
      </c>
      <c r="BB1137" s="0" t="n">
        <v>1</v>
      </c>
      <c r="BC1137" s="0" t="n">
        <v>0</v>
      </c>
      <c r="BD1137" s="0" t="n">
        <v>7</v>
      </c>
      <c r="BE1137" s="0" t="n">
        <v>0</v>
      </c>
      <c r="BF1137" s="0" t="n">
        <v>0</v>
      </c>
      <c r="BG1137" s="0" t="n">
        <v>0</v>
      </c>
      <c r="BH1137" s="0" t="n">
        <v>0</v>
      </c>
      <c r="BI1137" s="0" t="n">
        <v>0</v>
      </c>
      <c r="BJ1137" s="0" t="n">
        <v>0</v>
      </c>
      <c r="BK1137" s="0" t="n">
        <v>0</v>
      </c>
      <c r="BM1137" s="6" t="n">
        <f aca="false">IFERROR(VALUE(F1137),"")</f>
        <v>169.65</v>
      </c>
      <c r="BN1137" s="6" t="n">
        <f aca="false">IF(R1137="-","",IFERROR(VALUE(LEFT(Q1137,LEN(Q1137)-2)),""))</f>
        <v>63.49</v>
      </c>
      <c r="BO1137" s="6" t="n">
        <f aca="false">IF(R1137="-","",IFERROR(VALUE(LEFT(R1137,LEN(R1137)-5)),""))</f>
        <v>2.67</v>
      </c>
      <c r="BP1137" s="6" t="n">
        <f aca="false">IF(R1137="-","",IFERROR(VALUE(F1137),""))</f>
        <v>169.65</v>
      </c>
      <c r="BQ1137" s="4" t="n">
        <f aca="false">IF(R1137="-",1,0)</f>
        <v>0</v>
      </c>
    </row>
    <row r="1138" customFormat="false" ht="15" hidden="false" customHeight="false" outlineLevel="0" collapsed="false">
      <c r="A1138" s="0" t="s">
        <v>4432</v>
      </c>
      <c r="B1138" s="0" t="s">
        <v>4433</v>
      </c>
      <c r="C1138" s="0" t="s">
        <v>70</v>
      </c>
      <c r="D1138" s="0" t="s">
        <v>4434</v>
      </c>
      <c r="E1138" s="3" t="n">
        <v>46275</v>
      </c>
      <c r="F1138" s="4" t="s">
        <v>4442</v>
      </c>
      <c r="G1138" s="5" t="n">
        <v>0.281921296296296</v>
      </c>
      <c r="H1138" s="5" t="n">
        <v>0.252986111111111</v>
      </c>
      <c r="I1138" s="5" t="n">
        <v>0.000196759259259259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5" t="n">
        <v>0</v>
      </c>
      <c r="P1138" s="5" t="n">
        <v>0.00703703703703704</v>
      </c>
      <c r="Q1138" s="4" t="s">
        <v>4443</v>
      </c>
      <c r="R1138" s="4" t="s">
        <v>378</v>
      </c>
      <c r="S1138" s="5" t="n">
        <v>0</v>
      </c>
      <c r="T1138" s="5" t="n">
        <v>0.121527777777778</v>
      </c>
      <c r="U1138" s="5" t="n">
        <v>0.131712962962963</v>
      </c>
      <c r="V1138" s="5" t="n">
        <v>0.00659722222222222</v>
      </c>
      <c r="W1138" s="5" t="n">
        <v>0</v>
      </c>
      <c r="X1138" s="5" t="n">
        <v>0</v>
      </c>
      <c r="Y1138" s="5" t="n">
        <v>0</v>
      </c>
      <c r="Z1138" s="0" t="n">
        <v>0</v>
      </c>
      <c r="AA1138" s="0" t="n">
        <v>0</v>
      </c>
      <c r="AB1138" s="0" t="n">
        <v>0</v>
      </c>
      <c r="AC1138" s="4" t="s">
        <v>208</v>
      </c>
      <c r="AD1138" s="4" t="s">
        <v>208</v>
      </c>
      <c r="AE1138" s="4" t="s">
        <v>4441</v>
      </c>
      <c r="AF1138" s="4" t="s">
        <v>4444</v>
      </c>
      <c r="AG1138" s="5" t="n">
        <v>0.231666666666667</v>
      </c>
      <c r="AH1138" s="5" t="n">
        <v>0.172777777777778</v>
      </c>
      <c r="AI1138" s="5" t="n">
        <v>0</v>
      </c>
      <c r="AJ1138" s="5" t="n">
        <v>0</v>
      </c>
      <c r="AK1138" s="5" t="n">
        <v>0</v>
      </c>
      <c r="AL1138" s="5" t="n">
        <v>0</v>
      </c>
      <c r="AM1138" s="4" t="s">
        <v>78</v>
      </c>
      <c r="AN1138" s="0" t="n">
        <v>0</v>
      </c>
      <c r="AO1138" s="0" t="n">
        <v>0</v>
      </c>
      <c r="AP1138" s="0" t="n">
        <v>0</v>
      </c>
      <c r="AQ1138" s="0" t="n">
        <v>0</v>
      </c>
      <c r="AR1138" s="0" t="n">
        <v>0</v>
      </c>
      <c r="AS1138" s="0" t="n">
        <v>0</v>
      </c>
      <c r="AT1138" s="0" t="n">
        <v>0</v>
      </c>
      <c r="AU1138" s="0" t="n">
        <v>0</v>
      </c>
      <c r="AV1138" s="0" t="n">
        <v>0</v>
      </c>
      <c r="AW1138" s="0" t="n">
        <v>0</v>
      </c>
      <c r="AX1138" s="0" t="n">
        <v>0</v>
      </c>
      <c r="AY1138" s="0" t="n">
        <v>0</v>
      </c>
      <c r="AZ1138" s="0" t="n">
        <v>0</v>
      </c>
      <c r="BA1138" s="0" t="n">
        <v>0</v>
      </c>
      <c r="BB1138" s="0" t="n">
        <v>0</v>
      </c>
      <c r="BC1138" s="0" t="n">
        <v>0</v>
      </c>
      <c r="BD1138" s="0" t="n">
        <v>10</v>
      </c>
      <c r="BE1138" s="0" t="n">
        <v>0</v>
      </c>
      <c r="BF1138" s="0" t="n">
        <v>0</v>
      </c>
      <c r="BG1138" s="0" t="n">
        <v>0</v>
      </c>
      <c r="BH1138" s="0" t="n">
        <v>0</v>
      </c>
      <c r="BI1138" s="0" t="n">
        <v>0</v>
      </c>
      <c r="BJ1138" s="0" t="n">
        <v>0</v>
      </c>
      <c r="BK1138" s="0" t="n">
        <v>0</v>
      </c>
      <c r="BM1138" s="6" t="n">
        <f aca="false">IFERROR(VALUE(F1138),"")</f>
        <v>169.79</v>
      </c>
      <c r="BN1138" s="6" t="n">
        <f aca="false">IF(R1138="-","",IFERROR(VALUE(LEFT(Q1138,LEN(Q1138)-2)),""))</f>
        <v>62.75</v>
      </c>
      <c r="BO1138" s="6" t="n">
        <f aca="false">IF(R1138="-","",IFERROR(VALUE(LEFT(R1138,LEN(R1138)-5)),""))</f>
        <v>2.71</v>
      </c>
      <c r="BP1138" s="6" t="n">
        <f aca="false">IF(R1138="-","",IFERROR(VALUE(F1138),""))</f>
        <v>169.79</v>
      </c>
      <c r="BQ1138" s="4" t="n">
        <f aca="false">IF(R1138="-",1,0)</f>
        <v>0</v>
      </c>
    </row>
    <row r="1139" customFormat="false" ht="15" hidden="false" customHeight="false" outlineLevel="0" collapsed="false">
      <c r="A1139" s="0" t="s">
        <v>4432</v>
      </c>
      <c r="B1139" s="0" t="s">
        <v>4433</v>
      </c>
      <c r="C1139" s="0" t="s">
        <v>70</v>
      </c>
      <c r="D1139" s="0" t="s">
        <v>4434</v>
      </c>
      <c r="E1139" s="3" t="n">
        <v>46276</v>
      </c>
      <c r="F1139" s="4" t="s">
        <v>4445</v>
      </c>
      <c r="G1139" s="5" t="n">
        <v>0.277118055555556</v>
      </c>
      <c r="H1139" s="5" t="n">
        <v>0.255347222222222</v>
      </c>
      <c r="I1139" s="5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5" t="n">
        <v>0</v>
      </c>
      <c r="P1139" s="5" t="n">
        <v>0</v>
      </c>
      <c r="Q1139" s="4" t="s">
        <v>4446</v>
      </c>
      <c r="R1139" s="4" t="s">
        <v>448</v>
      </c>
      <c r="S1139" s="5" t="n">
        <v>0.000462962962962963</v>
      </c>
      <c r="T1139" s="5" t="n">
        <v>0.130787037037037</v>
      </c>
      <c r="U1139" s="5" t="n">
        <v>0.123148148148148</v>
      </c>
      <c r="V1139" s="5" t="n">
        <v>0.00775462962962963</v>
      </c>
      <c r="W1139" s="5" t="n">
        <v>0</v>
      </c>
      <c r="X1139" s="5" t="n">
        <v>0</v>
      </c>
      <c r="Y1139" s="5" t="n">
        <v>0</v>
      </c>
      <c r="Z1139" s="0" t="n">
        <v>0</v>
      </c>
      <c r="AA1139" s="0" t="n">
        <v>0</v>
      </c>
      <c r="AB1139" s="0" t="n">
        <v>0</v>
      </c>
      <c r="AC1139" s="4" t="s">
        <v>208</v>
      </c>
      <c r="AD1139" s="4" t="s">
        <v>208</v>
      </c>
      <c r="AE1139" s="4" t="s">
        <v>4444</v>
      </c>
      <c r="AF1139" s="4" t="s">
        <v>4447</v>
      </c>
      <c r="AG1139" s="5" t="n">
        <v>0.231215277777778</v>
      </c>
      <c r="AH1139" s="5" t="n">
        <v>0.1365625</v>
      </c>
      <c r="AI1139" s="5" t="n">
        <v>0</v>
      </c>
      <c r="AJ1139" s="5" t="n">
        <v>0</v>
      </c>
      <c r="AK1139" s="5" t="n">
        <v>0</v>
      </c>
      <c r="AL1139" s="5" t="n">
        <v>0</v>
      </c>
      <c r="AM1139" s="4" t="s">
        <v>78</v>
      </c>
      <c r="AN1139" s="0" t="n">
        <v>0</v>
      </c>
      <c r="AO1139" s="0" t="n">
        <v>0</v>
      </c>
      <c r="AP1139" s="0" t="n">
        <v>0</v>
      </c>
      <c r="AQ1139" s="0" t="n">
        <v>0</v>
      </c>
      <c r="AR1139" s="0" t="n">
        <v>0</v>
      </c>
      <c r="AS1139" s="0" t="n">
        <v>0</v>
      </c>
      <c r="AT1139" s="0" t="n">
        <v>0</v>
      </c>
      <c r="AU1139" s="0" t="n">
        <v>0</v>
      </c>
      <c r="AV1139" s="0" t="n">
        <v>0</v>
      </c>
      <c r="AW1139" s="0" t="n">
        <v>0</v>
      </c>
      <c r="AX1139" s="0" t="n">
        <v>0</v>
      </c>
      <c r="AY1139" s="0" t="n">
        <v>0</v>
      </c>
      <c r="AZ1139" s="0" t="n">
        <v>0</v>
      </c>
      <c r="BA1139" s="0" t="n">
        <v>0</v>
      </c>
      <c r="BB1139" s="0" t="n">
        <v>0</v>
      </c>
      <c r="BC1139" s="0" t="n">
        <v>0</v>
      </c>
      <c r="BD1139" s="0" t="n">
        <v>6</v>
      </c>
      <c r="BE1139" s="0" t="n">
        <v>0</v>
      </c>
      <c r="BF1139" s="0" t="n">
        <v>0</v>
      </c>
      <c r="BG1139" s="0" t="n">
        <v>0</v>
      </c>
      <c r="BH1139" s="0" t="n">
        <v>0</v>
      </c>
      <c r="BI1139" s="0" t="n">
        <v>0</v>
      </c>
      <c r="BJ1139" s="0" t="n">
        <v>0</v>
      </c>
      <c r="BK1139" s="0" t="n">
        <v>0</v>
      </c>
      <c r="BM1139" s="6" t="n">
        <f aca="false">IFERROR(VALUE(F1139),"")</f>
        <v>164.6</v>
      </c>
      <c r="BN1139" s="6" t="n">
        <f aca="false">IF(R1139="-","",IFERROR(VALUE(LEFT(Q1139,LEN(Q1139)-2)),""))</f>
        <v>62.18</v>
      </c>
      <c r="BO1139" s="6" t="n">
        <f aca="false">IF(R1139="-","",IFERROR(VALUE(LEFT(R1139,LEN(R1139)-5)),""))</f>
        <v>2.65</v>
      </c>
      <c r="BP1139" s="6" t="n">
        <f aca="false">IF(R1139="-","",IFERROR(VALUE(F1139),""))</f>
        <v>164.6</v>
      </c>
      <c r="BQ1139" s="4" t="n">
        <f aca="false">IF(R1139="-",1,0)</f>
        <v>0</v>
      </c>
    </row>
    <row r="1140" customFormat="false" ht="15" hidden="false" customHeight="false" outlineLevel="0" collapsed="false">
      <c r="A1140" s="0" t="s">
        <v>4432</v>
      </c>
      <c r="B1140" s="0" t="s">
        <v>4433</v>
      </c>
      <c r="C1140" s="0" t="s">
        <v>70</v>
      </c>
      <c r="E1140" s="3" t="n">
        <v>46277</v>
      </c>
      <c r="F1140" s="4" t="s">
        <v>2357</v>
      </c>
      <c r="G1140" s="5" t="n">
        <v>0.0028125</v>
      </c>
      <c r="H1140" s="5" t="n">
        <v>0</v>
      </c>
      <c r="I1140" s="5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5" t="n">
        <v>0</v>
      </c>
      <c r="P1140" s="5" t="n">
        <v>0</v>
      </c>
      <c r="Q1140" s="4" t="s">
        <v>4448</v>
      </c>
      <c r="R1140" s="4" t="s">
        <v>4449</v>
      </c>
      <c r="S1140" s="5" t="n">
        <v>0.000115740740740741</v>
      </c>
      <c r="T1140" s="5" t="n">
        <v>0.00185185185185185</v>
      </c>
      <c r="U1140" s="5" t="n">
        <v>0.000578703703703704</v>
      </c>
      <c r="V1140" s="5" t="n">
        <v>0</v>
      </c>
      <c r="W1140" s="5" t="n">
        <v>0</v>
      </c>
      <c r="X1140" s="5" t="n">
        <v>0</v>
      </c>
      <c r="Y1140" s="5" t="n">
        <v>0</v>
      </c>
      <c r="Z1140" s="0" t="n">
        <v>0</v>
      </c>
      <c r="AA1140" s="0" t="n">
        <v>0</v>
      </c>
      <c r="AB1140" s="0" t="n">
        <v>0</v>
      </c>
      <c r="AC1140" s="4" t="s">
        <v>208</v>
      </c>
      <c r="AD1140" s="4" t="s">
        <v>208</v>
      </c>
      <c r="AE1140" s="4" t="s">
        <v>4447</v>
      </c>
      <c r="AF1140" s="4" t="s">
        <v>4450</v>
      </c>
      <c r="AG1140" s="5" t="n">
        <v>0.00190972222222222</v>
      </c>
      <c r="AH1140" s="5" t="n">
        <v>0.00623842592592593</v>
      </c>
      <c r="AI1140" s="5" t="n">
        <v>0</v>
      </c>
      <c r="AJ1140" s="5" t="n">
        <v>0</v>
      </c>
      <c r="AK1140" s="5" t="n">
        <v>0</v>
      </c>
      <c r="AL1140" s="5" t="n">
        <v>0</v>
      </c>
      <c r="AM1140" s="4" t="s">
        <v>78</v>
      </c>
      <c r="AN1140" s="0" t="n">
        <v>0</v>
      </c>
      <c r="AO1140" s="0" t="n">
        <v>0</v>
      </c>
      <c r="AP1140" s="0" t="n">
        <v>0</v>
      </c>
      <c r="AQ1140" s="0" t="n">
        <v>0</v>
      </c>
      <c r="AR1140" s="0" t="n">
        <v>0</v>
      </c>
      <c r="AS1140" s="0" t="n">
        <v>0</v>
      </c>
      <c r="AT1140" s="0" t="n">
        <v>0</v>
      </c>
      <c r="AU1140" s="0" t="n">
        <v>0</v>
      </c>
      <c r="AV1140" s="0" t="n">
        <v>0</v>
      </c>
      <c r="AW1140" s="0" t="n">
        <v>0</v>
      </c>
      <c r="AX1140" s="0" t="n">
        <v>0</v>
      </c>
      <c r="AY1140" s="0" t="n">
        <v>0</v>
      </c>
      <c r="AZ1140" s="0" t="n">
        <v>0</v>
      </c>
      <c r="BA1140" s="0" t="n">
        <v>0</v>
      </c>
      <c r="BB1140" s="0" t="n">
        <v>0</v>
      </c>
      <c r="BC1140" s="0" t="n">
        <v>0</v>
      </c>
      <c r="BD1140" s="0" t="n">
        <v>0</v>
      </c>
      <c r="BE1140" s="0" t="n">
        <v>0</v>
      </c>
      <c r="BF1140" s="0" t="n">
        <v>0</v>
      </c>
      <c r="BG1140" s="0" t="n">
        <v>0</v>
      </c>
      <c r="BH1140" s="0" t="n">
        <v>0</v>
      </c>
      <c r="BI1140" s="0" t="n">
        <v>0</v>
      </c>
      <c r="BJ1140" s="0" t="n">
        <v>0</v>
      </c>
      <c r="BK1140" s="0" t="n">
        <v>0</v>
      </c>
      <c r="BM1140" s="6" t="n">
        <f aca="false">IFERROR(VALUE(F1140),"")</f>
        <v>0.17</v>
      </c>
      <c r="BN1140" s="6" t="n">
        <f aca="false">IF(R1140="-","",IFERROR(VALUE(LEFT(Q1140,LEN(Q1140)-2)),""))</f>
        <v>0.23</v>
      </c>
      <c r="BO1140" s="6" t="n">
        <f aca="false">IF(R1140="-","",IFERROR(VALUE(LEFT(R1140,LEN(R1140)-5)),""))</f>
        <v>0.75</v>
      </c>
      <c r="BP1140" s="6" t="n">
        <f aca="false">IF(R1140="-","",IFERROR(VALUE(F1140),""))</f>
        <v>0.17</v>
      </c>
      <c r="BQ1140" s="4" t="n">
        <f aca="false">IF(R1140="-",1,0)</f>
        <v>0</v>
      </c>
    </row>
    <row r="1141" customFormat="false" ht="15" hidden="false" customHeight="false" outlineLevel="0" collapsed="false">
      <c r="A1141" s="0" t="s">
        <v>4432</v>
      </c>
      <c r="B1141" s="0" t="s">
        <v>4433</v>
      </c>
      <c r="C1141" s="0" t="s">
        <v>70</v>
      </c>
      <c r="D1141" s="0" t="s">
        <v>4451</v>
      </c>
      <c r="E1141" s="3" t="n">
        <v>46278</v>
      </c>
      <c r="F1141" s="4" t="s">
        <v>4452</v>
      </c>
      <c r="G1141" s="5" t="n">
        <v>0.18130787037037</v>
      </c>
      <c r="H1141" s="5" t="n">
        <v>0.165752314814815</v>
      </c>
      <c r="I1141" s="5" t="n">
        <v>0.000127314814814815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5" t="n">
        <v>0</v>
      </c>
      <c r="P1141" s="5" t="n">
        <v>0</v>
      </c>
      <c r="Q1141" s="4" t="s">
        <v>4453</v>
      </c>
      <c r="R1141" s="4" t="s">
        <v>937</v>
      </c>
      <c r="S1141" s="5" t="n">
        <v>0</v>
      </c>
      <c r="T1141" s="5" t="n">
        <v>0.0783564814814815</v>
      </c>
      <c r="U1141" s="5" t="n">
        <v>0.090625</v>
      </c>
      <c r="V1141" s="5" t="n">
        <v>0.00462962962962963</v>
      </c>
      <c r="W1141" s="5" t="n">
        <v>0</v>
      </c>
      <c r="X1141" s="5" t="n">
        <v>0</v>
      </c>
      <c r="Y1141" s="5" t="n">
        <v>0</v>
      </c>
      <c r="Z1141" s="0" t="n">
        <v>0</v>
      </c>
      <c r="AA1141" s="0" t="n">
        <v>0</v>
      </c>
      <c r="AB1141" s="0" t="n">
        <v>0</v>
      </c>
      <c r="AC1141" s="4" t="s">
        <v>208</v>
      </c>
      <c r="AD1141" s="4" t="s">
        <v>208</v>
      </c>
      <c r="AE1141" s="4" t="s">
        <v>4450</v>
      </c>
      <c r="AF1141" s="4" t="s">
        <v>4454</v>
      </c>
      <c r="AG1141" s="5" t="n">
        <v>0.153726851851852</v>
      </c>
      <c r="AH1141" s="5" t="n">
        <v>0.0543287037037037</v>
      </c>
      <c r="AI1141" s="5" t="n">
        <v>0</v>
      </c>
      <c r="AJ1141" s="5" t="n">
        <v>0</v>
      </c>
      <c r="AK1141" s="5" t="n">
        <v>0</v>
      </c>
      <c r="AL1141" s="5" t="n">
        <v>0</v>
      </c>
      <c r="AM1141" s="4" t="s">
        <v>78</v>
      </c>
      <c r="AN1141" s="0" t="n">
        <v>0</v>
      </c>
      <c r="AO1141" s="0" t="n">
        <v>0</v>
      </c>
      <c r="AP1141" s="0" t="n">
        <v>0</v>
      </c>
      <c r="AQ1141" s="0" t="n">
        <v>0</v>
      </c>
      <c r="AR1141" s="0" t="n">
        <v>0</v>
      </c>
      <c r="AS1141" s="0" t="n">
        <v>0</v>
      </c>
      <c r="AT1141" s="0" t="n">
        <v>0</v>
      </c>
      <c r="AU1141" s="0" t="n">
        <v>0</v>
      </c>
      <c r="AV1141" s="0" t="n">
        <v>0</v>
      </c>
      <c r="AW1141" s="0" t="n">
        <v>0</v>
      </c>
      <c r="AX1141" s="0" t="n">
        <v>0</v>
      </c>
      <c r="AY1141" s="0" t="n">
        <v>0</v>
      </c>
      <c r="AZ1141" s="0" t="n">
        <v>0</v>
      </c>
      <c r="BA1141" s="0" t="n">
        <v>0</v>
      </c>
      <c r="BB1141" s="0" t="n">
        <v>0</v>
      </c>
      <c r="BC1141" s="0" t="n">
        <v>0</v>
      </c>
      <c r="BD1141" s="0" t="n">
        <v>5</v>
      </c>
      <c r="BE1141" s="0" t="n">
        <v>0</v>
      </c>
      <c r="BF1141" s="0" t="n">
        <v>0</v>
      </c>
      <c r="BG1141" s="0" t="n">
        <v>0</v>
      </c>
      <c r="BH1141" s="0" t="n">
        <v>0</v>
      </c>
      <c r="BI1141" s="0" t="n">
        <v>0</v>
      </c>
      <c r="BJ1141" s="0" t="n">
        <v>0</v>
      </c>
      <c r="BK1141" s="0" t="n">
        <v>0</v>
      </c>
      <c r="BM1141" s="6" t="n">
        <f aca="false">IFERROR(VALUE(F1141),"")</f>
        <v>120.93</v>
      </c>
      <c r="BN1141" s="6" t="n">
        <f aca="false">IF(R1141="-","",IFERROR(VALUE(LEFT(Q1141,LEN(Q1141)-2)),""))</f>
        <v>36.26</v>
      </c>
      <c r="BO1141" s="6" t="n">
        <f aca="false">IF(R1141="-","",IFERROR(VALUE(LEFT(R1141,LEN(R1141)-5)),""))</f>
        <v>3.33</v>
      </c>
      <c r="BP1141" s="6" t="n">
        <f aca="false">IF(R1141="-","",IFERROR(VALUE(F1141),""))</f>
        <v>120.93</v>
      </c>
      <c r="BQ1141" s="4" t="n">
        <f aca="false">IF(R1141="-",1,0)</f>
        <v>0</v>
      </c>
    </row>
    <row r="1142" customFormat="false" ht="15" hidden="false" customHeight="false" outlineLevel="0" collapsed="false">
      <c r="A1142" s="0" t="s">
        <v>4432</v>
      </c>
      <c r="B1142" s="0" t="s">
        <v>4433</v>
      </c>
      <c r="C1142" s="0" t="s">
        <v>70</v>
      </c>
      <c r="D1142" s="0" t="s">
        <v>4434</v>
      </c>
      <c r="E1142" s="3" t="n">
        <v>46279</v>
      </c>
      <c r="F1142" s="4" t="s">
        <v>4455</v>
      </c>
      <c r="G1142" s="5" t="n">
        <v>0.269976851851852</v>
      </c>
      <c r="H1142" s="5" t="n">
        <v>0.254756944444445</v>
      </c>
      <c r="I1142" s="5" t="n">
        <v>0.000266203703703704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5" t="n">
        <v>0</v>
      </c>
      <c r="P1142" s="5" t="n">
        <v>0</v>
      </c>
      <c r="Q1142" s="4" t="s">
        <v>4456</v>
      </c>
      <c r="R1142" s="4" t="s">
        <v>1685</v>
      </c>
      <c r="S1142" s="5" t="n">
        <v>0.000115740740740741</v>
      </c>
      <c r="T1142" s="5" t="n">
        <v>0.123726851851852</v>
      </c>
      <c r="U1142" s="5" t="n">
        <v>0.128935185185185</v>
      </c>
      <c r="V1142" s="5" t="n">
        <v>0.00960648148148148</v>
      </c>
      <c r="W1142" s="5" t="n">
        <v>0</v>
      </c>
      <c r="X1142" s="5" t="n">
        <v>0</v>
      </c>
      <c r="Y1142" s="5" t="n">
        <v>0</v>
      </c>
      <c r="Z1142" s="0" t="n">
        <v>0</v>
      </c>
      <c r="AA1142" s="0" t="n">
        <v>0</v>
      </c>
      <c r="AB1142" s="0" t="n">
        <v>0</v>
      </c>
      <c r="AC1142" s="4" t="s">
        <v>4457</v>
      </c>
      <c r="AD1142" s="4" t="s">
        <v>208</v>
      </c>
      <c r="AE1142" s="4" t="s">
        <v>4454</v>
      </c>
      <c r="AF1142" s="4" t="s">
        <v>4458</v>
      </c>
      <c r="AG1142" s="5" t="n">
        <v>0.233900462962963</v>
      </c>
      <c r="AH1142" s="5" t="n">
        <v>0.103935185185185</v>
      </c>
      <c r="AI1142" s="5" t="n">
        <v>0</v>
      </c>
      <c r="AJ1142" s="5" t="n">
        <v>0</v>
      </c>
      <c r="AK1142" s="5" t="n">
        <v>0</v>
      </c>
      <c r="AL1142" s="5" t="n">
        <v>0</v>
      </c>
      <c r="AM1142" s="4" t="s">
        <v>78</v>
      </c>
      <c r="AN1142" s="0" t="n">
        <v>0</v>
      </c>
      <c r="AO1142" s="0" t="n">
        <v>3</v>
      </c>
      <c r="AP1142" s="0" t="n">
        <v>0</v>
      </c>
      <c r="AQ1142" s="0" t="n">
        <v>0</v>
      </c>
      <c r="AR1142" s="0" t="n">
        <v>0</v>
      </c>
      <c r="AS1142" s="0" t="n">
        <v>0</v>
      </c>
      <c r="AT1142" s="0" t="n">
        <v>0</v>
      </c>
      <c r="AU1142" s="0" t="n">
        <v>0</v>
      </c>
      <c r="AV1142" s="0" t="n">
        <v>0</v>
      </c>
      <c r="AW1142" s="0" t="n">
        <v>0</v>
      </c>
      <c r="AX1142" s="0" t="n">
        <v>0</v>
      </c>
      <c r="AY1142" s="0" t="n">
        <v>0</v>
      </c>
      <c r="AZ1142" s="0" t="n">
        <v>0</v>
      </c>
      <c r="BA1142" s="0" t="n">
        <v>0</v>
      </c>
      <c r="BB1142" s="0" t="n">
        <v>2</v>
      </c>
      <c r="BC1142" s="0" t="n">
        <v>0</v>
      </c>
      <c r="BD1142" s="0" t="n">
        <v>13</v>
      </c>
      <c r="BE1142" s="0" t="n">
        <v>0</v>
      </c>
      <c r="BF1142" s="0" t="n">
        <v>0</v>
      </c>
      <c r="BG1142" s="0" t="n">
        <v>0</v>
      </c>
      <c r="BH1142" s="0" t="n">
        <v>0</v>
      </c>
      <c r="BI1142" s="0" t="n">
        <v>0</v>
      </c>
      <c r="BJ1142" s="0" t="n">
        <v>0</v>
      </c>
      <c r="BK1142" s="0" t="n">
        <v>0</v>
      </c>
      <c r="BM1142" s="6" t="n">
        <f aca="false">IFERROR(VALUE(F1142),"")</f>
        <v>169.29</v>
      </c>
      <c r="BN1142" s="6" t="n">
        <f aca="false">IF(R1142="-","",IFERROR(VALUE(LEFT(Q1142,LEN(Q1142)-2)),""))</f>
        <v>65.18</v>
      </c>
      <c r="BO1142" s="6" t="n">
        <f aca="false">IF(R1142="-","",IFERROR(VALUE(LEFT(R1142,LEN(R1142)-5)),""))</f>
        <v>2.6</v>
      </c>
      <c r="BP1142" s="6" t="n">
        <f aca="false">IF(R1142="-","",IFERROR(VALUE(F1142),""))</f>
        <v>169.29</v>
      </c>
      <c r="BQ1142" s="4" t="n">
        <f aca="false">IF(R1142="-",1,0)</f>
        <v>0</v>
      </c>
    </row>
    <row r="1143" customFormat="false" ht="15" hidden="false" customHeight="false" outlineLevel="0" collapsed="false">
      <c r="A1143" s="0" t="s">
        <v>4459</v>
      </c>
      <c r="B1143" s="0" t="s">
        <v>4460</v>
      </c>
      <c r="C1143" s="0" t="s">
        <v>70</v>
      </c>
      <c r="E1143" s="3" t="n">
        <v>46273</v>
      </c>
      <c r="F1143" s="4" t="s">
        <v>4461</v>
      </c>
      <c r="G1143" s="5" t="n">
        <v>0.370219907407407</v>
      </c>
      <c r="H1143" s="5" t="n">
        <v>0</v>
      </c>
      <c r="I1143" s="5" t="n">
        <v>0.000243055555555556</v>
      </c>
      <c r="J1143" s="0" t="n">
        <v>0</v>
      </c>
      <c r="K1143" s="0" t="n">
        <v>1</v>
      </c>
      <c r="L1143" s="0" t="n">
        <v>0</v>
      </c>
      <c r="M1143" s="0" t="n">
        <v>0</v>
      </c>
      <c r="N1143" s="0" t="n">
        <v>2</v>
      </c>
      <c r="O1143" s="5" t="n">
        <v>0</v>
      </c>
      <c r="P1143" s="5" t="n">
        <v>0</v>
      </c>
      <c r="Q1143" s="4" t="s">
        <v>73</v>
      </c>
      <c r="R1143" s="4" t="s">
        <v>73</v>
      </c>
      <c r="S1143" s="5" t="n">
        <v>0</v>
      </c>
      <c r="T1143" s="5" t="n">
        <v>0.0122685185185185</v>
      </c>
      <c r="U1143" s="5" t="n">
        <v>0.0386574074074074</v>
      </c>
      <c r="V1143" s="5" t="n">
        <v>0.0177083333333333</v>
      </c>
      <c r="W1143" s="5" t="n">
        <v>0</v>
      </c>
      <c r="X1143" s="5" t="n">
        <v>0</v>
      </c>
      <c r="Y1143" s="5" t="n">
        <v>0</v>
      </c>
      <c r="Z1143" s="0" t="n">
        <v>0</v>
      </c>
      <c r="AA1143" s="0" t="n">
        <v>0</v>
      </c>
      <c r="AB1143" s="0" t="n">
        <v>0</v>
      </c>
      <c r="AC1143" s="4" t="s">
        <v>4256</v>
      </c>
      <c r="AD1143" s="4" t="s">
        <v>208</v>
      </c>
      <c r="AE1143" s="4" t="s">
        <v>4462</v>
      </c>
      <c r="AF1143" s="4" t="s">
        <v>4463</v>
      </c>
      <c r="AG1143" s="5" t="n">
        <v>0.273090277777778</v>
      </c>
      <c r="AH1143" s="5" t="n">
        <v>0.153923611111111</v>
      </c>
      <c r="AI1143" s="5" t="n">
        <v>0</v>
      </c>
      <c r="AJ1143" s="5" t="n">
        <v>0</v>
      </c>
      <c r="AK1143" s="5" t="n">
        <v>0</v>
      </c>
      <c r="AL1143" s="5" t="n">
        <v>0</v>
      </c>
      <c r="AM1143" s="4" t="s">
        <v>78</v>
      </c>
      <c r="AN1143" s="0" t="n">
        <v>0</v>
      </c>
      <c r="AO1143" s="0" t="n">
        <v>0</v>
      </c>
      <c r="AP1143" s="0" t="n">
        <v>0</v>
      </c>
      <c r="AQ1143" s="0" t="n">
        <v>0</v>
      </c>
      <c r="AR1143" s="0" t="n">
        <v>0</v>
      </c>
      <c r="AS1143" s="0" t="n">
        <v>0</v>
      </c>
      <c r="AT1143" s="0" t="n">
        <v>0</v>
      </c>
      <c r="AU1143" s="0" t="n">
        <v>0</v>
      </c>
      <c r="AV1143" s="0" t="n">
        <v>0</v>
      </c>
      <c r="AW1143" s="0" t="n">
        <v>0</v>
      </c>
      <c r="AX1143" s="0" t="n">
        <v>0</v>
      </c>
      <c r="AY1143" s="0" t="n">
        <v>0</v>
      </c>
      <c r="AZ1143" s="0" t="n">
        <v>0</v>
      </c>
      <c r="BA1143" s="0" t="n">
        <v>0</v>
      </c>
      <c r="BB1143" s="0" t="n">
        <v>0</v>
      </c>
      <c r="BC1143" s="0" t="n">
        <v>0</v>
      </c>
      <c r="BD1143" s="0" t="n">
        <v>0</v>
      </c>
      <c r="BE1143" s="0" t="n">
        <v>0</v>
      </c>
      <c r="BF1143" s="0" t="n">
        <v>0</v>
      </c>
      <c r="BG1143" s="0" t="n">
        <v>0</v>
      </c>
      <c r="BH1143" s="0" t="n">
        <v>0</v>
      </c>
      <c r="BI1143" s="0" t="n">
        <v>0</v>
      </c>
      <c r="BJ1143" s="0" t="n">
        <v>0</v>
      </c>
      <c r="BK1143" s="0" t="n">
        <v>0</v>
      </c>
      <c r="BM1143" s="6" t="n">
        <f aca="false">IFERROR(VALUE(F1143),"")</f>
        <v>31.97</v>
      </c>
      <c r="BN1143" s="6" t="str">
        <f aca="false">IF(R1143="-","",IFERROR(VALUE(LEFT(Q1143,LEN(Q1143)-2)),""))</f>
        <v/>
      </c>
      <c r="BO1143" s="6" t="str">
        <f aca="false">IF(R1143="-","",IFERROR(VALUE(LEFT(R1143,LEN(R1143)-5)),""))</f>
        <v/>
      </c>
      <c r="BP1143" s="6" t="str">
        <f aca="false">IF(R1143="-","",IFERROR(VALUE(F1143),""))</f>
        <v/>
      </c>
      <c r="BQ1143" s="4" t="n">
        <f aca="false">IF(R1143="-",1,0)</f>
        <v>1</v>
      </c>
    </row>
    <row r="1144" customFormat="false" ht="15" hidden="false" customHeight="false" outlineLevel="0" collapsed="false">
      <c r="A1144" s="0" t="s">
        <v>4459</v>
      </c>
      <c r="B1144" s="0" t="s">
        <v>4460</v>
      </c>
      <c r="C1144" s="0" t="s">
        <v>70</v>
      </c>
      <c r="E1144" s="3" t="n">
        <v>46274</v>
      </c>
      <c r="F1144" s="4" t="s">
        <v>4464</v>
      </c>
      <c r="G1144" s="5" t="n">
        <v>0.394756944444444</v>
      </c>
      <c r="H1144" s="5" t="n">
        <v>0</v>
      </c>
      <c r="I1144" s="5" t="n">
        <v>0.000127314814814815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5" t="n">
        <v>0</v>
      </c>
      <c r="P1144" s="5" t="n">
        <v>0</v>
      </c>
      <c r="Q1144" s="4" t="s">
        <v>73</v>
      </c>
      <c r="R1144" s="4" t="s">
        <v>73</v>
      </c>
      <c r="S1144" s="5" t="n">
        <v>0</v>
      </c>
      <c r="T1144" s="5" t="n">
        <v>0.000231481481481482</v>
      </c>
      <c r="U1144" s="5" t="n">
        <v>0.0508101851851852</v>
      </c>
      <c r="V1144" s="5" t="n">
        <v>0.00694444444444444</v>
      </c>
      <c r="W1144" s="5" t="n">
        <v>0</v>
      </c>
      <c r="X1144" s="5" t="n">
        <v>0</v>
      </c>
      <c r="Y1144" s="5" t="n">
        <v>0</v>
      </c>
      <c r="Z1144" s="0" t="n">
        <v>0</v>
      </c>
      <c r="AA1144" s="0" t="n">
        <v>0</v>
      </c>
      <c r="AB1144" s="0" t="n">
        <v>0</v>
      </c>
      <c r="AC1144" s="4" t="s">
        <v>208</v>
      </c>
      <c r="AD1144" s="4" t="s">
        <v>208</v>
      </c>
      <c r="AE1144" s="4" t="s">
        <v>4463</v>
      </c>
      <c r="AF1144" s="4" t="s">
        <v>4465</v>
      </c>
      <c r="AG1144" s="5" t="n">
        <v>0.32224537037037</v>
      </c>
      <c r="AH1144" s="5" t="n">
        <v>0.146909722222222</v>
      </c>
      <c r="AI1144" s="5" t="n">
        <v>0</v>
      </c>
      <c r="AJ1144" s="5" t="n">
        <v>0</v>
      </c>
      <c r="AK1144" s="5" t="n">
        <v>0</v>
      </c>
      <c r="AL1144" s="5" t="n">
        <v>0</v>
      </c>
      <c r="AM1144" s="4" t="s">
        <v>78</v>
      </c>
      <c r="AN1144" s="0" t="n">
        <v>0</v>
      </c>
      <c r="AO1144" s="0" t="n">
        <v>0</v>
      </c>
      <c r="AP1144" s="0" t="n">
        <v>0</v>
      </c>
      <c r="AQ1144" s="0" t="n">
        <v>0</v>
      </c>
      <c r="AR1144" s="0" t="n">
        <v>0</v>
      </c>
      <c r="AS1144" s="0" t="n">
        <v>0</v>
      </c>
      <c r="AT1144" s="0" t="n">
        <v>0</v>
      </c>
      <c r="AU1144" s="0" t="n">
        <v>0</v>
      </c>
      <c r="AV1144" s="0" t="n">
        <v>0</v>
      </c>
      <c r="AW1144" s="0" t="n">
        <v>0</v>
      </c>
      <c r="AX1144" s="0" t="n">
        <v>0</v>
      </c>
      <c r="AY1144" s="0" t="n">
        <v>0</v>
      </c>
      <c r="AZ1144" s="0" t="n">
        <v>0</v>
      </c>
      <c r="BA1144" s="0" t="n">
        <v>0</v>
      </c>
      <c r="BB1144" s="0" t="n">
        <v>0</v>
      </c>
      <c r="BC1144" s="0" t="n">
        <v>0</v>
      </c>
      <c r="BD1144" s="0" t="n">
        <v>0</v>
      </c>
      <c r="BE1144" s="0" t="n">
        <v>0</v>
      </c>
      <c r="BF1144" s="0" t="n">
        <v>0</v>
      </c>
      <c r="BG1144" s="0" t="n">
        <v>0</v>
      </c>
      <c r="BH1144" s="0" t="n">
        <v>0</v>
      </c>
      <c r="BI1144" s="0" t="n">
        <v>0</v>
      </c>
      <c r="BJ1144" s="0" t="n">
        <v>0</v>
      </c>
      <c r="BK1144" s="0" t="n">
        <v>0</v>
      </c>
      <c r="BM1144" s="6" t="n">
        <f aca="false">IFERROR(VALUE(F1144),"")</f>
        <v>1.36</v>
      </c>
      <c r="BN1144" s="6" t="str">
        <f aca="false">IF(R1144="-","",IFERROR(VALUE(LEFT(Q1144,LEN(Q1144)-2)),""))</f>
        <v/>
      </c>
      <c r="BO1144" s="6" t="str">
        <f aca="false">IF(R1144="-","",IFERROR(VALUE(LEFT(R1144,LEN(R1144)-5)),""))</f>
        <v/>
      </c>
      <c r="BP1144" s="6" t="str">
        <f aca="false">IF(R1144="-","",IFERROR(VALUE(F1144),""))</f>
        <v/>
      </c>
      <c r="BQ1144" s="4" t="n">
        <f aca="false">IF(R1144="-",1,0)</f>
        <v>1</v>
      </c>
    </row>
    <row r="1145" customFormat="false" ht="15" hidden="false" customHeight="false" outlineLevel="0" collapsed="false">
      <c r="A1145" s="0" t="s">
        <v>4459</v>
      </c>
      <c r="B1145" s="0" t="s">
        <v>4460</v>
      </c>
      <c r="C1145" s="0" t="s">
        <v>70</v>
      </c>
      <c r="E1145" s="3" t="n">
        <v>46275</v>
      </c>
      <c r="F1145" s="4" t="s">
        <v>4466</v>
      </c>
      <c r="G1145" s="5" t="n">
        <v>0.401851851851852</v>
      </c>
      <c r="H1145" s="5" t="n">
        <v>0</v>
      </c>
      <c r="I1145" s="5" t="n">
        <v>0.000196759259259259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1</v>
      </c>
      <c r="O1145" s="5" t="n">
        <v>0</v>
      </c>
      <c r="P1145" s="5" t="n">
        <v>0</v>
      </c>
      <c r="Q1145" s="4" t="s">
        <v>73</v>
      </c>
      <c r="R1145" s="4" t="s">
        <v>73</v>
      </c>
      <c r="S1145" s="5" t="n">
        <v>0</v>
      </c>
      <c r="T1145" s="5" t="n">
        <v>0.00335648148148148</v>
      </c>
      <c r="U1145" s="5" t="n">
        <v>0.0626157407407407</v>
      </c>
      <c r="V1145" s="5" t="n">
        <v>0.00648148148148148</v>
      </c>
      <c r="W1145" s="5" t="n">
        <v>0</v>
      </c>
      <c r="X1145" s="5" t="n">
        <v>0</v>
      </c>
      <c r="Y1145" s="5" t="n">
        <v>0</v>
      </c>
      <c r="Z1145" s="0" t="n">
        <v>0</v>
      </c>
      <c r="AA1145" s="0" t="n">
        <v>0</v>
      </c>
      <c r="AB1145" s="0" t="n">
        <v>0</v>
      </c>
      <c r="AC1145" s="4" t="s">
        <v>208</v>
      </c>
      <c r="AD1145" s="4" t="s">
        <v>208</v>
      </c>
      <c r="AE1145" s="4" t="s">
        <v>4465</v>
      </c>
      <c r="AF1145" s="4" t="s">
        <v>4467</v>
      </c>
      <c r="AG1145" s="5" t="n">
        <v>0.335474537037037</v>
      </c>
      <c r="AH1145" s="5" t="n">
        <v>0.133449074074074</v>
      </c>
      <c r="AI1145" s="5" t="n">
        <v>0</v>
      </c>
      <c r="AJ1145" s="5" t="n">
        <v>0</v>
      </c>
      <c r="AK1145" s="5" t="n">
        <v>0</v>
      </c>
      <c r="AL1145" s="5" t="n">
        <v>0</v>
      </c>
      <c r="AM1145" s="4" t="s">
        <v>78</v>
      </c>
      <c r="AN1145" s="0" t="n">
        <v>0</v>
      </c>
      <c r="AO1145" s="0" t="n">
        <v>0</v>
      </c>
      <c r="AP1145" s="0" t="n">
        <v>0</v>
      </c>
      <c r="AQ1145" s="0" t="n">
        <v>0</v>
      </c>
      <c r="AR1145" s="0" t="n">
        <v>0</v>
      </c>
      <c r="AS1145" s="0" t="n">
        <v>0</v>
      </c>
      <c r="AT1145" s="0" t="n">
        <v>0</v>
      </c>
      <c r="AU1145" s="0" t="n">
        <v>0</v>
      </c>
      <c r="AV1145" s="0" t="n">
        <v>0</v>
      </c>
      <c r="AW1145" s="0" t="n">
        <v>0</v>
      </c>
      <c r="AX1145" s="0" t="n">
        <v>0</v>
      </c>
      <c r="AY1145" s="0" t="n">
        <v>0</v>
      </c>
      <c r="AZ1145" s="0" t="n">
        <v>0</v>
      </c>
      <c r="BA1145" s="0" t="n">
        <v>0</v>
      </c>
      <c r="BB1145" s="0" t="n">
        <v>0</v>
      </c>
      <c r="BC1145" s="0" t="n">
        <v>0</v>
      </c>
      <c r="BD1145" s="0" t="n">
        <v>0</v>
      </c>
      <c r="BE1145" s="0" t="n">
        <v>0</v>
      </c>
      <c r="BF1145" s="0" t="n">
        <v>0</v>
      </c>
      <c r="BG1145" s="0" t="n">
        <v>0</v>
      </c>
      <c r="BH1145" s="0" t="n">
        <v>0</v>
      </c>
      <c r="BI1145" s="0" t="n">
        <v>0</v>
      </c>
      <c r="BJ1145" s="0" t="n">
        <v>0</v>
      </c>
      <c r="BK1145" s="0" t="n">
        <v>0</v>
      </c>
      <c r="BM1145" s="6" t="n">
        <f aca="false">IFERROR(VALUE(F1145),"")</f>
        <v>0.61</v>
      </c>
      <c r="BN1145" s="6" t="str">
        <f aca="false">IF(R1145="-","",IFERROR(VALUE(LEFT(Q1145,LEN(Q1145)-2)),""))</f>
        <v/>
      </c>
      <c r="BO1145" s="6" t="str">
        <f aca="false">IF(R1145="-","",IFERROR(VALUE(LEFT(R1145,LEN(R1145)-5)),""))</f>
        <v/>
      </c>
      <c r="BP1145" s="6" t="str">
        <f aca="false">IF(R1145="-","",IFERROR(VALUE(F1145),""))</f>
        <v/>
      </c>
      <c r="BQ1145" s="4" t="n">
        <f aca="false">IF(R1145="-",1,0)</f>
        <v>1</v>
      </c>
    </row>
    <row r="1146" customFormat="false" ht="15" hidden="false" customHeight="false" outlineLevel="0" collapsed="false">
      <c r="A1146" s="0" t="s">
        <v>4459</v>
      </c>
      <c r="B1146" s="0" t="s">
        <v>4460</v>
      </c>
      <c r="C1146" s="0" t="s">
        <v>70</v>
      </c>
      <c r="E1146" s="3" t="n">
        <v>46276</v>
      </c>
      <c r="F1146" s="4" t="s">
        <v>95</v>
      </c>
      <c r="G1146" s="5" t="n">
        <v>0.416793981481482</v>
      </c>
      <c r="H1146" s="5" t="n">
        <v>0</v>
      </c>
      <c r="I1146" s="5" t="n">
        <v>5.78703703703704E-005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5" t="n">
        <v>0</v>
      </c>
      <c r="P1146" s="5" t="n">
        <v>0</v>
      </c>
      <c r="Q1146" s="4" t="s">
        <v>73</v>
      </c>
      <c r="R1146" s="4" t="s">
        <v>73</v>
      </c>
      <c r="S1146" s="5" t="n">
        <v>0</v>
      </c>
      <c r="T1146" s="5" t="n">
        <v>0.00532407407407407</v>
      </c>
      <c r="U1146" s="5" t="n">
        <v>0.0659722222222222</v>
      </c>
      <c r="V1146" s="5" t="n">
        <v>0.00150462962962963</v>
      </c>
      <c r="W1146" s="5" t="n">
        <v>0</v>
      </c>
      <c r="X1146" s="5" t="n">
        <v>0</v>
      </c>
      <c r="Y1146" s="5" t="n">
        <v>0</v>
      </c>
      <c r="Z1146" s="0" t="n">
        <v>0</v>
      </c>
      <c r="AA1146" s="0" t="n">
        <v>0</v>
      </c>
      <c r="AB1146" s="0" t="n">
        <v>0</v>
      </c>
      <c r="AC1146" s="4" t="s">
        <v>208</v>
      </c>
      <c r="AD1146" s="4" t="s">
        <v>208</v>
      </c>
      <c r="AE1146" s="4" t="s">
        <v>4467</v>
      </c>
      <c r="AF1146" s="4" t="s">
        <v>4467</v>
      </c>
      <c r="AG1146" s="5" t="n">
        <v>0.337175925925926</v>
      </c>
      <c r="AH1146" s="5" t="n">
        <v>0.117476851851852</v>
      </c>
      <c r="AI1146" s="5" t="n">
        <v>0</v>
      </c>
      <c r="AJ1146" s="5" t="n">
        <v>0</v>
      </c>
      <c r="AK1146" s="5" t="n">
        <v>0</v>
      </c>
      <c r="AL1146" s="5" t="n">
        <v>0</v>
      </c>
      <c r="AM1146" s="4" t="s">
        <v>78</v>
      </c>
      <c r="AN1146" s="0" t="n">
        <v>0</v>
      </c>
      <c r="AO1146" s="0" t="n">
        <v>0</v>
      </c>
      <c r="AP1146" s="0" t="n">
        <v>0</v>
      </c>
      <c r="AQ1146" s="0" t="n">
        <v>0</v>
      </c>
      <c r="AR1146" s="0" t="n">
        <v>0</v>
      </c>
      <c r="AS1146" s="0" t="n">
        <v>0</v>
      </c>
      <c r="AT1146" s="0" t="n">
        <v>0</v>
      </c>
      <c r="AU1146" s="0" t="n">
        <v>0</v>
      </c>
      <c r="AV1146" s="0" t="n">
        <v>0</v>
      </c>
      <c r="AW1146" s="0" t="n">
        <v>0</v>
      </c>
      <c r="AX1146" s="0" t="n">
        <v>0</v>
      </c>
      <c r="AY1146" s="0" t="n">
        <v>0</v>
      </c>
      <c r="AZ1146" s="0" t="n">
        <v>0</v>
      </c>
      <c r="BA1146" s="0" t="n">
        <v>0</v>
      </c>
      <c r="BB1146" s="0" t="n">
        <v>0</v>
      </c>
      <c r="BC1146" s="0" t="n">
        <v>0</v>
      </c>
      <c r="BD1146" s="0" t="n">
        <v>0</v>
      </c>
      <c r="BE1146" s="0" t="n">
        <v>0</v>
      </c>
      <c r="BF1146" s="0" t="n">
        <v>0</v>
      </c>
      <c r="BG1146" s="0" t="n">
        <v>0</v>
      </c>
      <c r="BH1146" s="0" t="n">
        <v>0</v>
      </c>
      <c r="BI1146" s="0" t="n">
        <v>0</v>
      </c>
      <c r="BJ1146" s="0" t="n">
        <v>0</v>
      </c>
      <c r="BK1146" s="0" t="n">
        <v>0</v>
      </c>
      <c r="BM1146" s="6" t="n">
        <f aca="false">IFERROR(VALUE(F1146),"")</f>
        <v>0</v>
      </c>
      <c r="BN1146" s="6" t="str">
        <f aca="false">IF(R1146="-","",IFERROR(VALUE(LEFT(Q1146,LEN(Q1146)-2)),""))</f>
        <v/>
      </c>
      <c r="BO1146" s="6" t="str">
        <f aca="false">IF(R1146="-","",IFERROR(VALUE(LEFT(R1146,LEN(R1146)-5)),""))</f>
        <v/>
      </c>
      <c r="BP1146" s="6" t="str">
        <f aca="false">IF(R1146="-","",IFERROR(VALUE(F1146),""))</f>
        <v/>
      </c>
      <c r="BQ1146" s="4" t="n">
        <f aca="false">IF(R1146="-",1,0)</f>
        <v>1</v>
      </c>
    </row>
    <row r="1147" customFormat="false" ht="15" hidden="false" customHeight="false" outlineLevel="0" collapsed="false">
      <c r="A1147" s="0" t="s">
        <v>4459</v>
      </c>
      <c r="B1147" s="0" t="s">
        <v>4460</v>
      </c>
      <c r="C1147" s="0" t="s">
        <v>70</v>
      </c>
      <c r="E1147" s="3" t="n">
        <v>46277</v>
      </c>
      <c r="F1147" s="4" t="s">
        <v>137</v>
      </c>
      <c r="G1147" s="5" t="n">
        <v>0.431527777777778</v>
      </c>
      <c r="H1147" s="5" t="n">
        <v>0</v>
      </c>
      <c r="I1147" s="5" t="n">
        <v>0.000208333333333333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12</v>
      </c>
      <c r="O1147" s="5" t="n">
        <v>0</v>
      </c>
      <c r="P1147" s="5" t="n">
        <v>0</v>
      </c>
      <c r="Q1147" s="4" t="s">
        <v>73</v>
      </c>
      <c r="R1147" s="4" t="s">
        <v>73</v>
      </c>
      <c r="S1147" s="5" t="n">
        <v>0</v>
      </c>
      <c r="T1147" s="5" t="n">
        <v>0.009375</v>
      </c>
      <c r="U1147" s="5" t="n">
        <v>0.0461805555555556</v>
      </c>
      <c r="V1147" s="5" t="n">
        <v>0.0108796296296296</v>
      </c>
      <c r="W1147" s="5" t="n">
        <v>0</v>
      </c>
      <c r="X1147" s="5" t="n">
        <v>0</v>
      </c>
      <c r="Y1147" s="5" t="n">
        <v>0</v>
      </c>
      <c r="Z1147" s="0" t="n">
        <v>0</v>
      </c>
      <c r="AA1147" s="0" t="n">
        <v>0</v>
      </c>
      <c r="AB1147" s="0" t="n">
        <v>0</v>
      </c>
      <c r="AC1147" s="4" t="s">
        <v>208</v>
      </c>
      <c r="AD1147" s="4" t="s">
        <v>208</v>
      </c>
      <c r="AE1147" s="4" t="s">
        <v>4467</v>
      </c>
      <c r="AF1147" s="4" t="s">
        <v>4468</v>
      </c>
      <c r="AG1147" s="5" t="n">
        <v>0.320590277777778</v>
      </c>
      <c r="AH1147" s="5" t="n">
        <v>0.152453703703704</v>
      </c>
      <c r="AI1147" s="5" t="n">
        <v>0</v>
      </c>
      <c r="AJ1147" s="5" t="n">
        <v>0</v>
      </c>
      <c r="AK1147" s="5" t="n">
        <v>0</v>
      </c>
      <c r="AL1147" s="5" t="n">
        <v>0</v>
      </c>
      <c r="AM1147" s="4" t="s">
        <v>78</v>
      </c>
      <c r="AN1147" s="0" t="n">
        <v>0</v>
      </c>
      <c r="AO1147" s="0" t="n">
        <v>0</v>
      </c>
      <c r="AP1147" s="0" t="n">
        <v>0</v>
      </c>
      <c r="AQ1147" s="0" t="n">
        <v>0</v>
      </c>
      <c r="AR1147" s="0" t="n">
        <v>0</v>
      </c>
      <c r="AS1147" s="0" t="n">
        <v>0</v>
      </c>
      <c r="AT1147" s="0" t="n">
        <v>0</v>
      </c>
      <c r="AU1147" s="0" t="n">
        <v>0</v>
      </c>
      <c r="AV1147" s="0" t="n">
        <v>0</v>
      </c>
      <c r="AW1147" s="0" t="n">
        <v>0</v>
      </c>
      <c r="AX1147" s="0" t="n">
        <v>0</v>
      </c>
      <c r="AY1147" s="0" t="n">
        <v>0</v>
      </c>
      <c r="AZ1147" s="0" t="n">
        <v>0</v>
      </c>
      <c r="BA1147" s="0" t="n">
        <v>0</v>
      </c>
      <c r="BB1147" s="0" t="n">
        <v>0</v>
      </c>
      <c r="BC1147" s="0" t="n">
        <v>0</v>
      </c>
      <c r="BD1147" s="0" t="n">
        <v>0</v>
      </c>
      <c r="BE1147" s="0" t="n">
        <v>0</v>
      </c>
      <c r="BF1147" s="0" t="n">
        <v>0</v>
      </c>
      <c r="BG1147" s="0" t="n">
        <v>0</v>
      </c>
      <c r="BH1147" s="0" t="n">
        <v>0</v>
      </c>
      <c r="BI1147" s="0" t="n">
        <v>0</v>
      </c>
      <c r="BJ1147" s="0" t="n">
        <v>0</v>
      </c>
      <c r="BK1147" s="0" t="n">
        <v>0</v>
      </c>
      <c r="BM1147" s="6" t="n">
        <f aca="false">IFERROR(VALUE(F1147),"")</f>
        <v>0.14</v>
      </c>
      <c r="BN1147" s="6" t="str">
        <f aca="false">IF(R1147="-","",IFERROR(VALUE(LEFT(Q1147,LEN(Q1147)-2)),""))</f>
        <v/>
      </c>
      <c r="BO1147" s="6" t="str">
        <f aca="false">IF(R1147="-","",IFERROR(VALUE(LEFT(R1147,LEN(R1147)-5)),""))</f>
        <v/>
      </c>
      <c r="BP1147" s="6" t="str">
        <f aca="false">IF(R1147="-","",IFERROR(VALUE(F1147),""))</f>
        <v/>
      </c>
      <c r="BQ1147" s="4" t="n">
        <f aca="false">IF(R1147="-",1,0)</f>
        <v>1</v>
      </c>
    </row>
    <row r="1148" customFormat="false" ht="15" hidden="false" customHeight="false" outlineLevel="0" collapsed="false">
      <c r="A1148" s="0" t="s">
        <v>4459</v>
      </c>
      <c r="B1148" s="0" t="s">
        <v>4460</v>
      </c>
      <c r="C1148" s="0" t="s">
        <v>70</v>
      </c>
      <c r="E1148" s="3" t="n">
        <v>46278</v>
      </c>
      <c r="F1148" s="4" t="s">
        <v>2861</v>
      </c>
      <c r="G1148" s="5" t="n">
        <v>0.195115740740741</v>
      </c>
      <c r="H1148" s="5" t="n">
        <v>0</v>
      </c>
      <c r="I1148" s="5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1</v>
      </c>
      <c r="O1148" s="5" t="n">
        <v>0</v>
      </c>
      <c r="P1148" s="5" t="n">
        <v>0</v>
      </c>
      <c r="Q1148" s="4" t="s">
        <v>73</v>
      </c>
      <c r="R1148" s="4" t="s">
        <v>73</v>
      </c>
      <c r="S1148" s="5" t="n">
        <v>0</v>
      </c>
      <c r="T1148" s="5" t="n">
        <v>0.000925925925925926</v>
      </c>
      <c r="U1148" s="5" t="n">
        <v>0.0346064814814815</v>
      </c>
      <c r="V1148" s="5" t="n">
        <v>0.00104166666666667</v>
      </c>
      <c r="W1148" s="5" t="n">
        <v>0</v>
      </c>
      <c r="X1148" s="5" t="n">
        <v>0</v>
      </c>
      <c r="Y1148" s="5" t="n">
        <v>0</v>
      </c>
      <c r="Z1148" s="0" t="n">
        <v>0</v>
      </c>
      <c r="AA1148" s="0" t="n">
        <v>0</v>
      </c>
      <c r="AB1148" s="0" t="n">
        <v>0</v>
      </c>
      <c r="AC1148" s="4" t="s">
        <v>208</v>
      </c>
      <c r="AD1148" s="4" t="s">
        <v>208</v>
      </c>
      <c r="AE1148" s="4" t="s">
        <v>4468</v>
      </c>
      <c r="AF1148" s="4" t="s">
        <v>4469</v>
      </c>
      <c r="AG1148" s="5" t="n">
        <v>0.154259259259259</v>
      </c>
      <c r="AH1148" s="5" t="n">
        <v>0.100393518518519</v>
      </c>
      <c r="AI1148" s="5" t="n">
        <v>0</v>
      </c>
      <c r="AJ1148" s="5" t="n">
        <v>0</v>
      </c>
      <c r="AK1148" s="5" t="n">
        <v>0</v>
      </c>
      <c r="AL1148" s="5" t="n">
        <v>0</v>
      </c>
      <c r="AM1148" s="4" t="s">
        <v>78</v>
      </c>
      <c r="AN1148" s="0" t="n">
        <v>0</v>
      </c>
      <c r="AO1148" s="0" t="n">
        <v>0</v>
      </c>
      <c r="AP1148" s="0" t="n">
        <v>0</v>
      </c>
      <c r="AQ1148" s="0" t="n">
        <v>0</v>
      </c>
      <c r="AR1148" s="0" t="n">
        <v>0</v>
      </c>
      <c r="AS1148" s="0" t="n">
        <v>0</v>
      </c>
      <c r="AT1148" s="0" t="n">
        <v>0</v>
      </c>
      <c r="AU1148" s="0" t="n">
        <v>0</v>
      </c>
      <c r="AV1148" s="0" t="n">
        <v>0</v>
      </c>
      <c r="AW1148" s="0" t="n">
        <v>0</v>
      </c>
      <c r="AX1148" s="0" t="n">
        <v>0</v>
      </c>
      <c r="AY1148" s="0" t="n">
        <v>0</v>
      </c>
      <c r="AZ1148" s="0" t="n">
        <v>0</v>
      </c>
      <c r="BA1148" s="0" t="n">
        <v>0</v>
      </c>
      <c r="BB1148" s="0" t="n">
        <v>0</v>
      </c>
      <c r="BC1148" s="0" t="n">
        <v>0</v>
      </c>
      <c r="BD1148" s="0" t="n">
        <v>0</v>
      </c>
      <c r="BE1148" s="0" t="n">
        <v>0</v>
      </c>
      <c r="BF1148" s="0" t="n">
        <v>0</v>
      </c>
      <c r="BG1148" s="0" t="n">
        <v>0</v>
      </c>
      <c r="BH1148" s="0" t="n">
        <v>0</v>
      </c>
      <c r="BI1148" s="0" t="n">
        <v>0</v>
      </c>
      <c r="BJ1148" s="0" t="n">
        <v>0</v>
      </c>
      <c r="BK1148" s="0" t="n">
        <v>0</v>
      </c>
      <c r="BM1148" s="6" t="n">
        <f aca="false">IFERROR(VALUE(F1148),"")</f>
        <v>0.02</v>
      </c>
      <c r="BN1148" s="6" t="str">
        <f aca="false">IF(R1148="-","",IFERROR(VALUE(LEFT(Q1148,LEN(Q1148)-2)),""))</f>
        <v/>
      </c>
      <c r="BO1148" s="6" t="str">
        <f aca="false">IF(R1148="-","",IFERROR(VALUE(LEFT(R1148,LEN(R1148)-5)),""))</f>
        <v/>
      </c>
      <c r="BP1148" s="6" t="str">
        <f aca="false">IF(R1148="-","",IFERROR(VALUE(F1148),""))</f>
        <v/>
      </c>
      <c r="BQ1148" s="4" t="n">
        <f aca="false">IF(R1148="-",1,0)</f>
        <v>1</v>
      </c>
    </row>
    <row r="1149" customFormat="false" ht="15" hidden="false" customHeight="false" outlineLevel="0" collapsed="false">
      <c r="A1149" s="0" t="s">
        <v>4459</v>
      </c>
      <c r="B1149" s="0" t="s">
        <v>4460</v>
      </c>
      <c r="C1149" s="0" t="s">
        <v>70</v>
      </c>
      <c r="E1149" s="3" t="n">
        <v>46279</v>
      </c>
      <c r="F1149" s="4" t="s">
        <v>1158</v>
      </c>
      <c r="G1149" s="5" t="n">
        <v>0.384479166666667</v>
      </c>
      <c r="H1149" s="5" t="n">
        <v>0</v>
      </c>
      <c r="I1149" s="5" t="n">
        <v>2.31481481481482E-005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6</v>
      </c>
      <c r="O1149" s="5" t="n">
        <v>0</v>
      </c>
      <c r="P1149" s="5" t="n">
        <v>0</v>
      </c>
      <c r="Q1149" s="4" t="s">
        <v>73</v>
      </c>
      <c r="R1149" s="4" t="s">
        <v>73</v>
      </c>
      <c r="S1149" s="5" t="n">
        <v>0</v>
      </c>
      <c r="T1149" s="5" t="n">
        <v>0.0106481481481482</v>
      </c>
      <c r="U1149" s="5" t="n">
        <v>0.0538194444444445</v>
      </c>
      <c r="V1149" s="5" t="n">
        <v>0.00972222222222222</v>
      </c>
      <c r="W1149" s="5" t="n">
        <v>0</v>
      </c>
      <c r="X1149" s="5" t="n">
        <v>0</v>
      </c>
      <c r="Y1149" s="5" t="n">
        <v>0</v>
      </c>
      <c r="Z1149" s="0" t="n">
        <v>0</v>
      </c>
      <c r="AA1149" s="0" t="n">
        <v>0</v>
      </c>
      <c r="AB1149" s="0" t="n">
        <v>0</v>
      </c>
      <c r="AC1149" s="4" t="s">
        <v>208</v>
      </c>
      <c r="AD1149" s="4" t="s">
        <v>208</v>
      </c>
      <c r="AE1149" s="4" t="s">
        <v>4469</v>
      </c>
      <c r="AF1149" s="4" t="s">
        <v>4470</v>
      </c>
      <c r="AG1149" s="5" t="n">
        <v>0.313877314814815</v>
      </c>
      <c r="AH1149" s="5" t="n">
        <v>0.158460648148148</v>
      </c>
      <c r="AI1149" s="5" t="n">
        <v>0</v>
      </c>
      <c r="AJ1149" s="5" t="n">
        <v>0</v>
      </c>
      <c r="AK1149" s="5" t="n">
        <v>0</v>
      </c>
      <c r="AL1149" s="5" t="n">
        <v>0</v>
      </c>
      <c r="AM1149" s="4" t="s">
        <v>78</v>
      </c>
      <c r="AN1149" s="0" t="n">
        <v>0</v>
      </c>
      <c r="AO1149" s="0" t="n">
        <v>0</v>
      </c>
      <c r="AP1149" s="0" t="n">
        <v>0</v>
      </c>
      <c r="AQ1149" s="0" t="n">
        <v>0</v>
      </c>
      <c r="AR1149" s="0" t="n">
        <v>0</v>
      </c>
      <c r="AS1149" s="0" t="n">
        <v>0</v>
      </c>
      <c r="AT1149" s="0" t="n">
        <v>0</v>
      </c>
      <c r="AU1149" s="0" t="n">
        <v>0</v>
      </c>
      <c r="AV1149" s="0" t="n">
        <v>0</v>
      </c>
      <c r="AW1149" s="0" t="n">
        <v>0</v>
      </c>
      <c r="AX1149" s="0" t="n">
        <v>0</v>
      </c>
      <c r="AY1149" s="0" t="n">
        <v>0</v>
      </c>
      <c r="AZ1149" s="0" t="n">
        <v>0</v>
      </c>
      <c r="BA1149" s="0" t="n">
        <v>0</v>
      </c>
      <c r="BB1149" s="0" t="n">
        <v>0</v>
      </c>
      <c r="BC1149" s="0" t="n">
        <v>0</v>
      </c>
      <c r="BD1149" s="0" t="n">
        <v>0</v>
      </c>
      <c r="BE1149" s="0" t="n">
        <v>0</v>
      </c>
      <c r="BF1149" s="0" t="n">
        <v>0</v>
      </c>
      <c r="BG1149" s="0" t="n">
        <v>0</v>
      </c>
      <c r="BH1149" s="0" t="n">
        <v>0</v>
      </c>
      <c r="BI1149" s="0" t="n">
        <v>0</v>
      </c>
      <c r="BJ1149" s="0" t="n">
        <v>0</v>
      </c>
      <c r="BK1149" s="0" t="n">
        <v>0</v>
      </c>
      <c r="BM1149" s="6" t="n">
        <f aca="false">IFERROR(VALUE(F1149),"")</f>
        <v>0.04</v>
      </c>
      <c r="BN1149" s="6" t="str">
        <f aca="false">IF(R1149="-","",IFERROR(VALUE(LEFT(Q1149,LEN(Q1149)-2)),""))</f>
        <v/>
      </c>
      <c r="BO1149" s="6" t="str">
        <f aca="false">IF(R1149="-","",IFERROR(VALUE(LEFT(R1149,LEN(R1149)-5)),""))</f>
        <v/>
      </c>
      <c r="BP1149" s="6" t="str">
        <f aca="false">IF(R1149="-","",IFERROR(VALUE(F1149),""))</f>
        <v/>
      </c>
      <c r="BQ1149" s="4" t="n">
        <f aca="false">IF(R1149="-",1,0)</f>
        <v>1</v>
      </c>
    </row>
    <row r="1150" customFormat="false" ht="15" hidden="false" customHeight="false" outlineLevel="0" collapsed="false">
      <c r="A1150" s="0" t="s">
        <v>4471</v>
      </c>
      <c r="B1150" s="0" t="s">
        <v>4472</v>
      </c>
      <c r="C1150" s="0" t="s">
        <v>70</v>
      </c>
      <c r="D1150" s="0" t="s">
        <v>4473</v>
      </c>
      <c r="E1150" s="3" t="n">
        <v>46273</v>
      </c>
      <c r="F1150" s="4" t="s">
        <v>4474</v>
      </c>
      <c r="G1150" s="5" t="n">
        <v>0.344479166666667</v>
      </c>
      <c r="H1150" s="5" t="n">
        <v>0.289456018518519</v>
      </c>
      <c r="I1150" s="5" t="n">
        <v>0.000104166666666667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3</v>
      </c>
      <c r="O1150" s="5" t="n">
        <v>0</v>
      </c>
      <c r="P1150" s="5" t="n">
        <v>0.018900462962963</v>
      </c>
      <c r="Q1150" s="4" t="s">
        <v>73</v>
      </c>
      <c r="R1150" s="4" t="s">
        <v>73</v>
      </c>
      <c r="S1150" s="5" t="n">
        <v>0.000115740740740741</v>
      </c>
      <c r="T1150" s="5" t="n">
        <v>0.157638888888889</v>
      </c>
      <c r="U1150" s="5" t="n">
        <v>0.107060185185185</v>
      </c>
      <c r="V1150" s="5" t="n">
        <v>0.0662037037037037</v>
      </c>
      <c r="W1150" s="5" t="n">
        <v>0.000231481481481482</v>
      </c>
      <c r="X1150" s="5" t="n">
        <v>0</v>
      </c>
      <c r="Y1150" s="5" t="n">
        <v>0</v>
      </c>
      <c r="Z1150" s="0" t="n">
        <v>0</v>
      </c>
      <c r="AA1150" s="0" t="n">
        <v>0</v>
      </c>
      <c r="AB1150" s="0" t="n">
        <v>0</v>
      </c>
      <c r="AC1150" s="4" t="s">
        <v>81</v>
      </c>
      <c r="AD1150" s="4" t="s">
        <v>828</v>
      </c>
      <c r="AE1150" s="4" t="s">
        <v>4475</v>
      </c>
      <c r="AF1150" s="4" t="s">
        <v>4476</v>
      </c>
      <c r="AG1150" s="5" t="n">
        <v>0.255104166666667</v>
      </c>
      <c r="AH1150" s="5" t="n">
        <v>0.20025462962963</v>
      </c>
      <c r="AI1150" s="5" t="n">
        <v>0</v>
      </c>
      <c r="AJ1150" s="5" t="n">
        <v>0</v>
      </c>
      <c r="AK1150" s="5" t="n">
        <v>0</v>
      </c>
      <c r="AL1150" s="5" t="n">
        <v>0</v>
      </c>
      <c r="AM1150" s="4" t="s">
        <v>78</v>
      </c>
      <c r="AN1150" s="0" t="n">
        <v>0</v>
      </c>
      <c r="AO1150" s="0" t="n">
        <v>3</v>
      </c>
      <c r="AP1150" s="0" t="n">
        <v>0</v>
      </c>
      <c r="AQ1150" s="0" t="n">
        <v>0</v>
      </c>
      <c r="AR1150" s="0" t="n">
        <v>0</v>
      </c>
      <c r="AS1150" s="0" t="n">
        <v>0</v>
      </c>
      <c r="AT1150" s="0" t="n">
        <v>0</v>
      </c>
      <c r="AU1150" s="0" t="n">
        <v>12</v>
      </c>
      <c r="AV1150" s="0" t="n">
        <v>0</v>
      </c>
      <c r="AW1150" s="0" t="n">
        <v>0</v>
      </c>
      <c r="AX1150" s="0" t="n">
        <v>0</v>
      </c>
      <c r="AY1150" s="0" t="n">
        <v>0</v>
      </c>
      <c r="AZ1150" s="0" t="n">
        <v>0</v>
      </c>
      <c r="BA1150" s="0" t="n">
        <v>0</v>
      </c>
      <c r="BB1150" s="0" t="n">
        <v>0</v>
      </c>
      <c r="BC1150" s="0" t="n">
        <v>0</v>
      </c>
      <c r="BD1150" s="0" t="n">
        <v>0</v>
      </c>
      <c r="BE1150" s="0" t="n">
        <v>0</v>
      </c>
      <c r="BF1150" s="0" t="n">
        <v>0</v>
      </c>
      <c r="BG1150" s="0" t="n">
        <v>0</v>
      </c>
      <c r="BH1150" s="0" t="n">
        <v>0</v>
      </c>
      <c r="BI1150" s="0" t="n">
        <v>0</v>
      </c>
      <c r="BJ1150" s="0" t="n">
        <v>0</v>
      </c>
      <c r="BK1150" s="0" t="n">
        <v>0</v>
      </c>
      <c r="BM1150" s="6" t="n">
        <f aca="false">IFERROR(VALUE(F1150),"")</f>
        <v>187.66</v>
      </c>
      <c r="BN1150" s="6" t="str">
        <f aca="false">IF(R1150="-","",IFERROR(VALUE(LEFT(Q1150,LEN(Q1150)-2)),""))</f>
        <v/>
      </c>
      <c r="BO1150" s="6" t="str">
        <f aca="false">IF(R1150="-","",IFERROR(VALUE(LEFT(R1150,LEN(R1150)-5)),""))</f>
        <v/>
      </c>
      <c r="BP1150" s="6" t="str">
        <f aca="false">IF(R1150="-","",IFERROR(VALUE(F1150),""))</f>
        <v/>
      </c>
      <c r="BQ1150" s="4" t="n">
        <f aca="false">IF(R1150="-",1,0)</f>
        <v>1</v>
      </c>
    </row>
    <row r="1151" customFormat="false" ht="15" hidden="false" customHeight="false" outlineLevel="0" collapsed="false">
      <c r="A1151" s="0" t="s">
        <v>4471</v>
      </c>
      <c r="B1151" s="0" t="s">
        <v>4472</v>
      </c>
      <c r="C1151" s="0" t="s">
        <v>70</v>
      </c>
      <c r="D1151" s="0" t="s">
        <v>4044</v>
      </c>
      <c r="E1151" s="3" t="n">
        <v>46274</v>
      </c>
      <c r="F1151" s="4" t="s">
        <v>4477</v>
      </c>
      <c r="G1151" s="5" t="n">
        <v>0.0829976851851852</v>
      </c>
      <c r="H1151" s="5" t="n">
        <v>0.0609375</v>
      </c>
      <c r="I1151" s="5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1</v>
      </c>
      <c r="O1151" s="5" t="n">
        <v>0</v>
      </c>
      <c r="P1151" s="5" t="n">
        <v>0</v>
      </c>
      <c r="Q1151" s="4" t="s">
        <v>73</v>
      </c>
      <c r="R1151" s="4" t="s">
        <v>73</v>
      </c>
      <c r="S1151" s="5" t="n">
        <v>0</v>
      </c>
      <c r="T1151" s="5" t="n">
        <v>0.0444444444444445</v>
      </c>
      <c r="U1151" s="5" t="n">
        <v>0.0162037037037037</v>
      </c>
      <c r="V1151" s="5" t="n">
        <v>0.0165509259259259</v>
      </c>
      <c r="W1151" s="5" t="n">
        <v>0</v>
      </c>
      <c r="X1151" s="5" t="n">
        <v>0</v>
      </c>
      <c r="Y1151" s="5" t="n">
        <v>0</v>
      </c>
      <c r="Z1151" s="0" t="n">
        <v>0</v>
      </c>
      <c r="AA1151" s="0" t="n">
        <v>0</v>
      </c>
      <c r="AB1151" s="0" t="n">
        <v>0</v>
      </c>
      <c r="AC1151" s="4" t="s">
        <v>828</v>
      </c>
      <c r="AD1151" s="4" t="s">
        <v>228</v>
      </c>
      <c r="AE1151" s="4" t="s">
        <v>4476</v>
      </c>
      <c r="AF1151" s="4" t="s">
        <v>4478</v>
      </c>
      <c r="AG1151" s="5" t="n">
        <v>0.0562268518518519</v>
      </c>
      <c r="AH1151" s="5" t="n">
        <v>0.0468171296296296</v>
      </c>
      <c r="AI1151" s="5" t="n">
        <v>0</v>
      </c>
      <c r="AJ1151" s="5" t="n">
        <v>0</v>
      </c>
      <c r="AK1151" s="5" t="n">
        <v>0</v>
      </c>
      <c r="AL1151" s="5" t="n">
        <v>0</v>
      </c>
      <c r="AM1151" s="4" t="s">
        <v>78</v>
      </c>
      <c r="AN1151" s="0" t="n">
        <v>0</v>
      </c>
      <c r="AO1151" s="0" t="n">
        <v>0</v>
      </c>
      <c r="AP1151" s="0" t="n">
        <v>0</v>
      </c>
      <c r="AQ1151" s="0" t="n">
        <v>0</v>
      </c>
      <c r="AR1151" s="0" t="n">
        <v>0</v>
      </c>
      <c r="AS1151" s="0" t="n">
        <v>0</v>
      </c>
      <c r="AT1151" s="0" t="n">
        <v>0</v>
      </c>
      <c r="AU1151" s="0" t="n">
        <v>0</v>
      </c>
      <c r="AV1151" s="0" t="n">
        <v>0</v>
      </c>
      <c r="AW1151" s="0" t="n">
        <v>0</v>
      </c>
      <c r="AX1151" s="0" t="n">
        <v>0</v>
      </c>
      <c r="AY1151" s="0" t="n">
        <v>0</v>
      </c>
      <c r="AZ1151" s="0" t="n">
        <v>0</v>
      </c>
      <c r="BA1151" s="0" t="n">
        <v>0</v>
      </c>
      <c r="BB1151" s="0" t="n">
        <v>0</v>
      </c>
      <c r="BC1151" s="0" t="n">
        <v>0</v>
      </c>
      <c r="BD1151" s="0" t="n">
        <v>0</v>
      </c>
      <c r="BE1151" s="0" t="n">
        <v>0</v>
      </c>
      <c r="BF1151" s="0" t="n">
        <v>0</v>
      </c>
      <c r="BG1151" s="0" t="n">
        <v>0</v>
      </c>
      <c r="BH1151" s="0" t="n">
        <v>0</v>
      </c>
      <c r="BI1151" s="0" t="n">
        <v>0</v>
      </c>
      <c r="BJ1151" s="0" t="n">
        <v>0</v>
      </c>
      <c r="BK1151" s="0" t="n">
        <v>0</v>
      </c>
      <c r="BM1151" s="6" t="n">
        <f aca="false">IFERROR(VALUE(F1151),"")</f>
        <v>35.59</v>
      </c>
      <c r="BN1151" s="6" t="str">
        <f aca="false">IF(R1151="-","",IFERROR(VALUE(LEFT(Q1151,LEN(Q1151)-2)),""))</f>
        <v/>
      </c>
      <c r="BO1151" s="6" t="str">
        <f aca="false">IF(R1151="-","",IFERROR(VALUE(LEFT(R1151,LEN(R1151)-5)),""))</f>
        <v/>
      </c>
      <c r="BP1151" s="6" t="str">
        <f aca="false">IF(R1151="-","",IFERROR(VALUE(F1151),""))</f>
        <v/>
      </c>
      <c r="BQ1151" s="4" t="n">
        <f aca="false">IF(R1151="-",1,0)</f>
        <v>1</v>
      </c>
    </row>
    <row r="1152" customFormat="false" ht="15" hidden="false" customHeight="false" outlineLevel="0" collapsed="false">
      <c r="A1152" s="0" t="s">
        <v>4471</v>
      </c>
      <c r="B1152" s="0" t="s">
        <v>4472</v>
      </c>
      <c r="C1152" s="0" t="s">
        <v>70</v>
      </c>
      <c r="D1152" s="0" t="s">
        <v>4479</v>
      </c>
      <c r="E1152" s="3" t="n">
        <v>46275</v>
      </c>
      <c r="F1152" s="4" t="s">
        <v>4480</v>
      </c>
      <c r="G1152" s="5" t="n">
        <v>0.731678240740741</v>
      </c>
      <c r="H1152" s="5" t="n">
        <v>0.399224537037037</v>
      </c>
      <c r="I1152" s="5" t="n">
        <v>0.000706018518518519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4</v>
      </c>
      <c r="O1152" s="5" t="n">
        <v>0</v>
      </c>
      <c r="P1152" s="5" t="n">
        <v>0.0157407407407407</v>
      </c>
      <c r="Q1152" s="4" t="s">
        <v>73</v>
      </c>
      <c r="R1152" s="4" t="s">
        <v>73</v>
      </c>
      <c r="S1152" s="5" t="n">
        <v>0</v>
      </c>
      <c r="T1152" s="5" t="n">
        <v>0.275810185185185</v>
      </c>
      <c r="U1152" s="5" t="n">
        <v>0.201967592592593</v>
      </c>
      <c r="V1152" s="5" t="n">
        <v>0.097337962962963</v>
      </c>
      <c r="W1152" s="5" t="n">
        <v>0.000231481481481482</v>
      </c>
      <c r="X1152" s="5" t="n">
        <v>0</v>
      </c>
      <c r="Y1152" s="5" t="n">
        <v>0</v>
      </c>
      <c r="Z1152" s="0" t="n">
        <v>0</v>
      </c>
      <c r="AA1152" s="0" t="n">
        <v>0</v>
      </c>
      <c r="AB1152" s="0" t="n">
        <v>0</v>
      </c>
      <c r="AC1152" s="4" t="s">
        <v>74</v>
      </c>
      <c r="AD1152" s="4" t="s">
        <v>228</v>
      </c>
      <c r="AE1152" s="4" t="s">
        <v>4478</v>
      </c>
      <c r="AF1152" s="4" t="s">
        <v>4481</v>
      </c>
      <c r="AG1152" s="5" t="n">
        <v>0.475474537037037</v>
      </c>
      <c r="AH1152" s="5" t="n">
        <v>0.157164351851852</v>
      </c>
      <c r="AI1152" s="5" t="n">
        <v>0</v>
      </c>
      <c r="AJ1152" s="5" t="n">
        <v>0</v>
      </c>
      <c r="AK1152" s="5" t="n">
        <v>0</v>
      </c>
      <c r="AL1152" s="5" t="n">
        <v>0</v>
      </c>
      <c r="AM1152" s="4" t="s">
        <v>78</v>
      </c>
      <c r="AN1152" s="0" t="n">
        <v>0</v>
      </c>
      <c r="AO1152" s="0" t="n">
        <v>3</v>
      </c>
      <c r="AP1152" s="0" t="n">
        <v>0</v>
      </c>
      <c r="AQ1152" s="0" t="n">
        <v>0</v>
      </c>
      <c r="AR1152" s="0" t="n">
        <v>0</v>
      </c>
      <c r="AS1152" s="0" t="n">
        <v>1</v>
      </c>
      <c r="AT1152" s="0" t="n">
        <v>0</v>
      </c>
      <c r="AU1152" s="0" t="n">
        <v>16</v>
      </c>
      <c r="AV1152" s="0" t="n">
        <v>0</v>
      </c>
      <c r="AW1152" s="0" t="n">
        <v>0</v>
      </c>
      <c r="AX1152" s="0" t="n">
        <v>0</v>
      </c>
      <c r="AY1152" s="0" t="n">
        <v>0</v>
      </c>
      <c r="AZ1152" s="0" t="n">
        <v>0</v>
      </c>
      <c r="BA1152" s="0" t="n">
        <v>0</v>
      </c>
      <c r="BB1152" s="0" t="n">
        <v>0</v>
      </c>
      <c r="BC1152" s="0" t="n">
        <v>0</v>
      </c>
      <c r="BD1152" s="0" t="n">
        <v>0</v>
      </c>
      <c r="BE1152" s="0" t="n">
        <v>0</v>
      </c>
      <c r="BF1152" s="0" t="n">
        <v>0</v>
      </c>
      <c r="BG1152" s="0" t="n">
        <v>0</v>
      </c>
      <c r="BH1152" s="0" t="n">
        <v>0</v>
      </c>
      <c r="BI1152" s="0" t="n">
        <v>0</v>
      </c>
      <c r="BJ1152" s="0" t="n">
        <v>0</v>
      </c>
      <c r="BK1152" s="0" t="n">
        <v>0</v>
      </c>
      <c r="BM1152" s="6" t="n">
        <f aca="false">IFERROR(VALUE(F1152),"")</f>
        <v>321.05</v>
      </c>
      <c r="BN1152" s="6" t="str">
        <f aca="false">IF(R1152="-","",IFERROR(VALUE(LEFT(Q1152,LEN(Q1152)-2)),""))</f>
        <v/>
      </c>
      <c r="BO1152" s="6" t="str">
        <f aca="false">IF(R1152="-","",IFERROR(VALUE(LEFT(R1152,LEN(R1152)-5)),""))</f>
        <v/>
      </c>
      <c r="BP1152" s="6" t="str">
        <f aca="false">IF(R1152="-","",IFERROR(VALUE(F1152),""))</f>
        <v/>
      </c>
      <c r="BQ1152" s="4" t="n">
        <f aca="false">IF(R1152="-",1,0)</f>
        <v>1</v>
      </c>
    </row>
    <row r="1153" customFormat="false" ht="15" hidden="false" customHeight="false" outlineLevel="0" collapsed="false">
      <c r="A1153" s="0" t="s">
        <v>4471</v>
      </c>
      <c r="B1153" s="0" t="s">
        <v>4472</v>
      </c>
      <c r="C1153" s="0" t="s">
        <v>70</v>
      </c>
      <c r="D1153" s="0" t="s">
        <v>4482</v>
      </c>
      <c r="E1153" s="3" t="n">
        <v>46276</v>
      </c>
      <c r="F1153" s="4" t="s">
        <v>4483</v>
      </c>
      <c r="G1153" s="5" t="n">
        <v>0.275821759259259</v>
      </c>
      <c r="H1153" s="5" t="n">
        <v>0.224895833333333</v>
      </c>
      <c r="I1153" s="5" t="n">
        <v>3.47222222222222E-005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5" t="n">
        <v>0</v>
      </c>
      <c r="P1153" s="5" t="n">
        <v>0.0265972222222222</v>
      </c>
      <c r="Q1153" s="4" t="s">
        <v>73</v>
      </c>
      <c r="R1153" s="4" t="s">
        <v>73</v>
      </c>
      <c r="S1153" s="5" t="n">
        <v>0</v>
      </c>
      <c r="T1153" s="5" t="n">
        <v>0.111805555555556</v>
      </c>
      <c r="U1153" s="5" t="n">
        <v>0.0976851851851852</v>
      </c>
      <c r="V1153" s="5" t="n">
        <v>0.059375</v>
      </c>
      <c r="W1153" s="5" t="n">
        <v>0.000115740740740741</v>
      </c>
      <c r="X1153" s="5" t="n">
        <v>0</v>
      </c>
      <c r="Y1153" s="5" t="n">
        <v>0</v>
      </c>
      <c r="Z1153" s="0" t="n">
        <v>0</v>
      </c>
      <c r="AA1153" s="0" t="n">
        <v>0</v>
      </c>
      <c r="AB1153" s="0" t="n">
        <v>0</v>
      </c>
      <c r="AC1153" s="4" t="s">
        <v>81</v>
      </c>
      <c r="AD1153" s="4" t="s">
        <v>770</v>
      </c>
      <c r="AE1153" s="4" t="s">
        <v>4481</v>
      </c>
      <c r="AF1153" s="4" t="s">
        <v>4484</v>
      </c>
      <c r="AG1153" s="5" t="n">
        <v>0.21150462962963</v>
      </c>
      <c r="AH1153" s="5" t="n">
        <v>0.16244212962963</v>
      </c>
      <c r="AI1153" s="5" t="n">
        <v>0</v>
      </c>
      <c r="AJ1153" s="5" t="n">
        <v>0</v>
      </c>
      <c r="AK1153" s="5" t="n">
        <v>0</v>
      </c>
      <c r="AL1153" s="5" t="n">
        <v>0</v>
      </c>
      <c r="AM1153" s="4" t="s">
        <v>78</v>
      </c>
      <c r="AN1153" s="0" t="n">
        <v>0</v>
      </c>
      <c r="AO1153" s="0" t="n">
        <v>0</v>
      </c>
      <c r="AP1153" s="0" t="n">
        <v>0</v>
      </c>
      <c r="AQ1153" s="0" t="n">
        <v>0</v>
      </c>
      <c r="AR1153" s="0" t="n">
        <v>0</v>
      </c>
      <c r="AS1153" s="0" t="n">
        <v>0</v>
      </c>
      <c r="AT1153" s="0" t="n">
        <v>0</v>
      </c>
      <c r="AU1153" s="0" t="n">
        <v>1</v>
      </c>
      <c r="AV1153" s="0" t="n">
        <v>0</v>
      </c>
      <c r="AW1153" s="0" t="n">
        <v>0</v>
      </c>
      <c r="AX1153" s="0" t="n">
        <v>0</v>
      </c>
      <c r="AY1153" s="0" t="n">
        <v>0</v>
      </c>
      <c r="AZ1153" s="0" t="n">
        <v>0</v>
      </c>
      <c r="BA1153" s="0" t="n">
        <v>0</v>
      </c>
      <c r="BB1153" s="0" t="n">
        <v>0</v>
      </c>
      <c r="BC1153" s="0" t="n">
        <v>0</v>
      </c>
      <c r="BD1153" s="0" t="n">
        <v>0</v>
      </c>
      <c r="BE1153" s="0" t="n">
        <v>0</v>
      </c>
      <c r="BF1153" s="0" t="n">
        <v>0</v>
      </c>
      <c r="BG1153" s="0" t="n">
        <v>0</v>
      </c>
      <c r="BH1153" s="0" t="n">
        <v>0</v>
      </c>
      <c r="BI1153" s="0" t="n">
        <v>0</v>
      </c>
      <c r="BJ1153" s="0" t="n">
        <v>0</v>
      </c>
      <c r="BK1153" s="0" t="n">
        <v>0</v>
      </c>
      <c r="BM1153" s="6" t="n">
        <f aca="false">IFERROR(VALUE(F1153),"")</f>
        <v>219.81</v>
      </c>
      <c r="BN1153" s="6" t="str">
        <f aca="false">IF(R1153="-","",IFERROR(VALUE(LEFT(Q1153,LEN(Q1153)-2)),""))</f>
        <v/>
      </c>
      <c r="BO1153" s="6" t="str">
        <f aca="false">IF(R1153="-","",IFERROR(VALUE(LEFT(R1153,LEN(R1153)-5)),""))</f>
        <v/>
      </c>
      <c r="BP1153" s="6" t="str">
        <f aca="false">IF(R1153="-","",IFERROR(VALUE(F1153),""))</f>
        <v/>
      </c>
      <c r="BQ1153" s="4" t="n">
        <f aca="false">IF(R1153="-",1,0)</f>
        <v>1</v>
      </c>
    </row>
    <row r="1154" customFormat="false" ht="15" hidden="false" customHeight="false" outlineLevel="0" collapsed="false">
      <c r="A1154" s="0" t="s">
        <v>4471</v>
      </c>
      <c r="B1154" s="0" t="s">
        <v>4472</v>
      </c>
      <c r="C1154" s="0" t="s">
        <v>70</v>
      </c>
      <c r="D1154" s="0" t="s">
        <v>4485</v>
      </c>
      <c r="E1154" s="3" t="n">
        <v>46277</v>
      </c>
      <c r="F1154" s="4" t="s">
        <v>4486</v>
      </c>
      <c r="G1154" s="5" t="n">
        <v>0.295613425925926</v>
      </c>
      <c r="H1154" s="5" t="n">
        <v>0.282337962962963</v>
      </c>
      <c r="I1154" s="5" t="n">
        <v>5.78703703703704E-005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5" t="n">
        <v>0</v>
      </c>
      <c r="P1154" s="5" t="n">
        <v>0.0075462962962963</v>
      </c>
      <c r="Q1154" s="4" t="s">
        <v>73</v>
      </c>
      <c r="R1154" s="4" t="s">
        <v>73</v>
      </c>
      <c r="S1154" s="5" t="n">
        <v>0</v>
      </c>
      <c r="T1154" s="5" t="n">
        <v>0.14212962962963</v>
      </c>
      <c r="U1154" s="5" t="n">
        <v>0.0872800925925926</v>
      </c>
      <c r="V1154" s="5" t="n">
        <v>0.0615046296296296</v>
      </c>
      <c r="W1154" s="5" t="n">
        <v>0.000208333333333333</v>
      </c>
      <c r="X1154" s="5" t="n">
        <v>0</v>
      </c>
      <c r="Y1154" s="5" t="n">
        <v>9.25925925925926E-005</v>
      </c>
      <c r="Z1154" s="0" t="n">
        <v>0</v>
      </c>
      <c r="AA1154" s="0" t="n">
        <v>0</v>
      </c>
      <c r="AB1154" s="0" t="n">
        <v>0</v>
      </c>
      <c r="AC1154" s="4" t="s">
        <v>770</v>
      </c>
      <c r="AD1154" s="4" t="s">
        <v>770</v>
      </c>
      <c r="AE1154" s="4" t="s">
        <v>4484</v>
      </c>
      <c r="AF1154" s="4" t="s">
        <v>4487</v>
      </c>
      <c r="AG1154" s="5" t="n">
        <v>0.225277777777778</v>
      </c>
      <c r="AH1154" s="5" t="n">
        <v>0.153229166666667</v>
      </c>
      <c r="AI1154" s="5" t="n">
        <v>0</v>
      </c>
      <c r="AJ1154" s="5" t="n">
        <v>0</v>
      </c>
      <c r="AK1154" s="5" t="n">
        <v>0</v>
      </c>
      <c r="AL1154" s="5" t="n">
        <v>0</v>
      </c>
      <c r="AM1154" s="4" t="s">
        <v>78</v>
      </c>
      <c r="AN1154" s="0" t="n">
        <v>0</v>
      </c>
      <c r="AO1154" s="0" t="n">
        <v>0</v>
      </c>
      <c r="AP1154" s="0" t="n">
        <v>0</v>
      </c>
      <c r="AQ1154" s="0" t="n">
        <v>0</v>
      </c>
      <c r="AR1154" s="0" t="n">
        <v>0</v>
      </c>
      <c r="AS1154" s="0" t="n">
        <v>0</v>
      </c>
      <c r="AT1154" s="0" t="n">
        <v>0</v>
      </c>
      <c r="AU1154" s="0" t="n">
        <v>3</v>
      </c>
      <c r="AV1154" s="0" t="n">
        <v>0</v>
      </c>
      <c r="AW1154" s="0" t="n">
        <v>0</v>
      </c>
      <c r="AX1154" s="0" t="n">
        <v>0</v>
      </c>
      <c r="AY1154" s="0" t="n">
        <v>0</v>
      </c>
      <c r="AZ1154" s="0" t="n">
        <v>0</v>
      </c>
      <c r="BA1154" s="0" t="n">
        <v>0</v>
      </c>
      <c r="BB1154" s="0" t="n">
        <v>0</v>
      </c>
      <c r="BC1154" s="0" t="n">
        <v>0</v>
      </c>
      <c r="BD1154" s="0" t="n">
        <v>0</v>
      </c>
      <c r="BE1154" s="0" t="n">
        <v>0</v>
      </c>
      <c r="BF1154" s="0" t="n">
        <v>0</v>
      </c>
      <c r="BG1154" s="0" t="n">
        <v>0</v>
      </c>
      <c r="BH1154" s="0" t="n">
        <v>0</v>
      </c>
      <c r="BI1154" s="0" t="n">
        <v>0</v>
      </c>
      <c r="BJ1154" s="0" t="n">
        <v>0</v>
      </c>
      <c r="BK1154" s="0" t="n">
        <v>0</v>
      </c>
      <c r="BM1154" s="6" t="n">
        <f aca="false">IFERROR(VALUE(F1154),"")</f>
        <v>192.23</v>
      </c>
      <c r="BN1154" s="6" t="str">
        <f aca="false">IF(R1154="-","",IFERROR(VALUE(LEFT(Q1154,LEN(Q1154)-2)),""))</f>
        <v/>
      </c>
      <c r="BO1154" s="6" t="str">
        <f aca="false">IF(R1154="-","",IFERROR(VALUE(LEFT(R1154,LEN(R1154)-5)),""))</f>
        <v/>
      </c>
      <c r="BP1154" s="6" t="str">
        <f aca="false">IF(R1154="-","",IFERROR(VALUE(F1154),""))</f>
        <v/>
      </c>
      <c r="BQ1154" s="4" t="n">
        <f aca="false">IF(R1154="-",1,0)</f>
        <v>1</v>
      </c>
    </row>
    <row r="1155" customFormat="false" ht="15" hidden="false" customHeight="false" outlineLevel="0" collapsed="false">
      <c r="A1155" s="0" t="s">
        <v>4471</v>
      </c>
      <c r="B1155" s="0" t="s">
        <v>4472</v>
      </c>
      <c r="C1155" s="0" t="s">
        <v>70</v>
      </c>
      <c r="D1155" s="0" t="s">
        <v>4488</v>
      </c>
      <c r="E1155" s="3" t="n">
        <v>46279</v>
      </c>
      <c r="F1155" s="4" t="s">
        <v>4489</v>
      </c>
      <c r="G1155" s="5" t="n">
        <v>0.386087962962963</v>
      </c>
      <c r="H1155" s="5" t="n">
        <v>0.325023148148148</v>
      </c>
      <c r="I1155" s="5" t="n">
        <v>0.000428240740740741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5" t="n">
        <v>0</v>
      </c>
      <c r="P1155" s="5" t="n">
        <v>0.0334259259259259</v>
      </c>
      <c r="Q1155" s="4" t="s">
        <v>73</v>
      </c>
      <c r="R1155" s="4" t="s">
        <v>73</v>
      </c>
      <c r="S1155" s="5" t="n">
        <v>0</v>
      </c>
      <c r="T1155" s="5" t="n">
        <v>0.180115740740741</v>
      </c>
      <c r="U1155" s="5" t="n">
        <v>0.112199074074074</v>
      </c>
      <c r="V1155" s="5" t="n">
        <v>0.0893055555555556</v>
      </c>
      <c r="W1155" s="5" t="n">
        <v>0.000740740740740741</v>
      </c>
      <c r="X1155" s="5" t="n">
        <v>6.94444444444444E-005</v>
      </c>
      <c r="Y1155" s="5" t="n">
        <v>0.000231481481481482</v>
      </c>
      <c r="Z1155" s="0" t="n">
        <v>0</v>
      </c>
      <c r="AA1155" s="0" t="n">
        <v>0</v>
      </c>
      <c r="AB1155" s="0" t="n">
        <v>0</v>
      </c>
      <c r="AC1155" s="4" t="s">
        <v>770</v>
      </c>
      <c r="AD1155" s="4" t="s">
        <v>1725</v>
      </c>
      <c r="AE1155" s="4" t="s">
        <v>4487</v>
      </c>
      <c r="AF1155" s="4" t="s">
        <v>4490</v>
      </c>
      <c r="AG1155" s="5" t="n">
        <v>0.301145833333333</v>
      </c>
      <c r="AH1155" s="5" t="n">
        <v>0.180196759259259</v>
      </c>
      <c r="AI1155" s="5" t="n">
        <v>0</v>
      </c>
      <c r="AJ1155" s="5" t="n">
        <v>0</v>
      </c>
      <c r="AK1155" s="5" t="n">
        <v>0</v>
      </c>
      <c r="AL1155" s="5" t="n">
        <v>0</v>
      </c>
      <c r="AM1155" s="4" t="s">
        <v>78</v>
      </c>
      <c r="AN1155" s="0" t="n">
        <v>0</v>
      </c>
      <c r="AO1155" s="0" t="n">
        <v>0</v>
      </c>
      <c r="AP1155" s="0" t="n">
        <v>0</v>
      </c>
      <c r="AQ1155" s="0" t="n">
        <v>0</v>
      </c>
      <c r="AR1155" s="0" t="n">
        <v>0</v>
      </c>
      <c r="AS1155" s="0" t="n">
        <v>0</v>
      </c>
      <c r="AT1155" s="0" t="n">
        <v>0</v>
      </c>
      <c r="AU1155" s="0" t="n">
        <v>1</v>
      </c>
      <c r="AV1155" s="0" t="n">
        <v>0</v>
      </c>
      <c r="AW1155" s="0" t="n">
        <v>0</v>
      </c>
      <c r="AX1155" s="0" t="n">
        <v>0</v>
      </c>
      <c r="AY1155" s="0" t="n">
        <v>0</v>
      </c>
      <c r="AZ1155" s="0" t="n">
        <v>0</v>
      </c>
      <c r="BA1155" s="0" t="n">
        <v>0</v>
      </c>
      <c r="BB1155" s="0" t="n">
        <v>0</v>
      </c>
      <c r="BC1155" s="0" t="n">
        <v>0</v>
      </c>
      <c r="BD1155" s="0" t="n">
        <v>0</v>
      </c>
      <c r="BE1155" s="0" t="n">
        <v>0</v>
      </c>
      <c r="BF1155" s="0" t="n">
        <v>0</v>
      </c>
      <c r="BG1155" s="0" t="n">
        <v>0</v>
      </c>
      <c r="BH1155" s="0" t="n">
        <v>0</v>
      </c>
      <c r="BI1155" s="0" t="n">
        <v>0</v>
      </c>
      <c r="BJ1155" s="0" t="n">
        <v>0</v>
      </c>
      <c r="BK1155" s="0" t="n">
        <v>0</v>
      </c>
      <c r="BM1155" s="6" t="n">
        <f aca="false">IFERROR(VALUE(F1155),"")</f>
        <v>266.81</v>
      </c>
      <c r="BN1155" s="6" t="str">
        <f aca="false">IF(R1155="-","",IFERROR(VALUE(LEFT(Q1155,LEN(Q1155)-2)),""))</f>
        <v/>
      </c>
      <c r="BO1155" s="6" t="str">
        <f aca="false">IF(R1155="-","",IFERROR(VALUE(LEFT(R1155,LEN(R1155)-5)),""))</f>
        <v/>
      </c>
      <c r="BP1155" s="6" t="str">
        <f aca="false">IF(R1155="-","",IFERROR(VALUE(F1155),""))</f>
        <v/>
      </c>
      <c r="BQ1155" s="4" t="n">
        <f aca="false">IF(R1155="-",1,0)</f>
        <v>1</v>
      </c>
    </row>
    <row r="1156" customFormat="false" ht="15" hidden="false" customHeight="false" outlineLevel="0" collapsed="false">
      <c r="A1156" s="0" t="s">
        <v>4491</v>
      </c>
      <c r="B1156" s="0" t="s">
        <v>4492</v>
      </c>
      <c r="C1156" s="0" t="s">
        <v>70</v>
      </c>
      <c r="E1156" s="3" t="n">
        <v>46273</v>
      </c>
      <c r="F1156" s="4" t="s">
        <v>4493</v>
      </c>
      <c r="G1156" s="5" t="n">
        <v>0.6021875</v>
      </c>
      <c r="H1156" s="5" t="n">
        <v>0</v>
      </c>
      <c r="I1156" s="5" t="n">
        <v>0.000497685185185185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2</v>
      </c>
      <c r="O1156" s="5" t="n">
        <v>0</v>
      </c>
      <c r="P1156" s="5" t="n">
        <v>0.0074537037037037</v>
      </c>
      <c r="Q1156" s="4" t="s">
        <v>4494</v>
      </c>
      <c r="R1156" s="4" t="s">
        <v>3597</v>
      </c>
      <c r="S1156" s="5" t="n">
        <v>0.000347222222222222</v>
      </c>
      <c r="T1156" s="5" t="n">
        <v>0.235416666666667</v>
      </c>
      <c r="U1156" s="5" t="n">
        <v>0.219224537037037</v>
      </c>
      <c r="V1156" s="5" t="n">
        <v>0.135219907407407</v>
      </c>
      <c r="W1156" s="5" t="n">
        <v>0.000289351851851852</v>
      </c>
      <c r="X1156" s="5" t="n">
        <v>0</v>
      </c>
      <c r="Y1156" s="5" t="n">
        <v>5.78703703703704E-005</v>
      </c>
      <c r="Z1156" s="0" t="n">
        <v>0</v>
      </c>
      <c r="AA1156" s="0" t="n">
        <v>0</v>
      </c>
      <c r="AB1156" s="0" t="n">
        <v>0</v>
      </c>
      <c r="AC1156" s="4" t="s">
        <v>208</v>
      </c>
      <c r="AD1156" s="4" t="s">
        <v>208</v>
      </c>
      <c r="AE1156" s="4" t="s">
        <v>4495</v>
      </c>
      <c r="AF1156" s="4" t="s">
        <v>4496</v>
      </c>
      <c r="AG1156" s="5" t="n">
        <v>0.514780092592593</v>
      </c>
      <c r="AH1156" s="5" t="n">
        <v>0.163171296296296</v>
      </c>
      <c r="AI1156" s="5" t="n">
        <v>0</v>
      </c>
      <c r="AJ1156" s="5" t="n">
        <v>0</v>
      </c>
      <c r="AK1156" s="5" t="n">
        <v>0</v>
      </c>
      <c r="AL1156" s="5" t="n">
        <v>0</v>
      </c>
      <c r="AM1156" s="4" t="s">
        <v>78</v>
      </c>
      <c r="AN1156" s="0" t="n">
        <v>0</v>
      </c>
      <c r="AO1156" s="0" t="n">
        <v>0</v>
      </c>
      <c r="AP1156" s="0" t="n">
        <v>0</v>
      </c>
      <c r="AQ1156" s="0" t="n">
        <v>0</v>
      </c>
      <c r="AR1156" s="0" t="n">
        <v>0</v>
      </c>
      <c r="AS1156" s="0" t="n">
        <v>0</v>
      </c>
      <c r="AT1156" s="0" t="n">
        <v>0</v>
      </c>
      <c r="AU1156" s="0" t="n">
        <v>0</v>
      </c>
      <c r="AV1156" s="0" t="n">
        <v>0</v>
      </c>
      <c r="AW1156" s="0" t="n">
        <v>0</v>
      </c>
      <c r="AX1156" s="0" t="n">
        <v>0</v>
      </c>
      <c r="AY1156" s="0" t="n">
        <v>0</v>
      </c>
      <c r="AZ1156" s="0" t="n">
        <v>0</v>
      </c>
      <c r="BA1156" s="0" t="n">
        <v>0</v>
      </c>
      <c r="BB1156" s="0" t="n">
        <v>0</v>
      </c>
      <c r="BC1156" s="0" t="n">
        <v>0</v>
      </c>
      <c r="BD1156" s="0" t="n">
        <v>0</v>
      </c>
      <c r="BE1156" s="0" t="n">
        <v>0</v>
      </c>
      <c r="BF1156" s="0" t="n">
        <v>0</v>
      </c>
      <c r="BG1156" s="0" t="n">
        <v>0</v>
      </c>
      <c r="BH1156" s="0" t="n">
        <v>0</v>
      </c>
      <c r="BI1156" s="0" t="n">
        <v>0</v>
      </c>
      <c r="BJ1156" s="0" t="n">
        <v>0</v>
      </c>
      <c r="BK1156" s="0" t="n">
        <v>0</v>
      </c>
      <c r="BM1156" s="6" t="n">
        <f aca="false">IFERROR(VALUE(F1156),"")</f>
        <v>355.93</v>
      </c>
      <c r="BN1156" s="6" t="n">
        <f aca="false">IF(R1156="-","",IFERROR(VALUE(LEFT(Q1156,LEN(Q1156)-2)),""))</f>
        <v>109.55</v>
      </c>
      <c r="BO1156" s="6" t="n">
        <f aca="false">IF(R1156="-","",IFERROR(VALUE(LEFT(R1156,LEN(R1156)-5)),""))</f>
        <v>3.25</v>
      </c>
      <c r="BP1156" s="6" t="n">
        <f aca="false">IF(R1156="-","",IFERROR(VALUE(F1156),""))</f>
        <v>355.93</v>
      </c>
      <c r="BQ1156" s="4" t="n">
        <f aca="false">IF(R1156="-",1,0)</f>
        <v>0</v>
      </c>
    </row>
    <row r="1157" customFormat="false" ht="15" hidden="false" customHeight="false" outlineLevel="0" collapsed="false">
      <c r="A1157" s="0" t="s">
        <v>4491</v>
      </c>
      <c r="B1157" s="0" t="s">
        <v>4492</v>
      </c>
      <c r="C1157" s="0" t="s">
        <v>70</v>
      </c>
      <c r="E1157" s="3" t="n">
        <v>46274</v>
      </c>
      <c r="F1157" s="4" t="s">
        <v>4497</v>
      </c>
      <c r="G1157" s="5" t="n">
        <v>0.586481481481482</v>
      </c>
      <c r="H1157" s="5" t="n">
        <v>0</v>
      </c>
      <c r="I1157" s="5" t="n">
        <v>0.000115740740740741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3</v>
      </c>
      <c r="O1157" s="5" t="n">
        <v>0</v>
      </c>
      <c r="P1157" s="5" t="n">
        <v>0.00701388888888889</v>
      </c>
      <c r="Q1157" s="4" t="s">
        <v>4498</v>
      </c>
      <c r="R1157" s="4" t="s">
        <v>4499</v>
      </c>
      <c r="S1157" s="5" t="n">
        <v>0</v>
      </c>
      <c r="T1157" s="5" t="n">
        <v>0.228703703703704</v>
      </c>
      <c r="U1157" s="5" t="n">
        <v>0.228703703703704</v>
      </c>
      <c r="V1157" s="5" t="n">
        <v>0.121412037037037</v>
      </c>
      <c r="W1157" s="5" t="n">
        <v>0</v>
      </c>
      <c r="X1157" s="5" t="n">
        <v>0</v>
      </c>
      <c r="Y1157" s="5" t="n">
        <v>0</v>
      </c>
      <c r="Z1157" s="0" t="n">
        <v>0</v>
      </c>
      <c r="AA1157" s="0" t="n">
        <v>0</v>
      </c>
      <c r="AB1157" s="0" t="n">
        <v>0</v>
      </c>
      <c r="AC1157" s="4" t="s">
        <v>208</v>
      </c>
      <c r="AD1157" s="4" t="s">
        <v>208</v>
      </c>
      <c r="AE1157" s="4" t="s">
        <v>4496</v>
      </c>
      <c r="AF1157" s="4" t="s">
        <v>4500</v>
      </c>
      <c r="AG1157" s="5" t="n">
        <v>0.505266203703704</v>
      </c>
      <c r="AH1157" s="5" t="n">
        <v>0.163252314814815</v>
      </c>
      <c r="AI1157" s="5" t="n">
        <v>0</v>
      </c>
      <c r="AJ1157" s="5" t="n">
        <v>0</v>
      </c>
      <c r="AK1157" s="5" t="n">
        <v>0</v>
      </c>
      <c r="AL1157" s="5" t="n">
        <v>0</v>
      </c>
      <c r="AM1157" s="4" t="s">
        <v>78</v>
      </c>
      <c r="AN1157" s="0" t="n">
        <v>0</v>
      </c>
      <c r="AO1157" s="0" t="n">
        <v>0</v>
      </c>
      <c r="AP1157" s="0" t="n">
        <v>0</v>
      </c>
      <c r="AQ1157" s="0" t="n">
        <v>0</v>
      </c>
      <c r="AR1157" s="0" t="n">
        <v>0</v>
      </c>
      <c r="AS1157" s="0" t="n">
        <v>0</v>
      </c>
      <c r="AT1157" s="0" t="n">
        <v>0</v>
      </c>
      <c r="AU1157" s="0" t="n">
        <v>0</v>
      </c>
      <c r="AV1157" s="0" t="n">
        <v>0</v>
      </c>
      <c r="AW1157" s="0" t="n">
        <v>0</v>
      </c>
      <c r="AX1157" s="0" t="n">
        <v>0</v>
      </c>
      <c r="AY1157" s="0" t="n">
        <v>0</v>
      </c>
      <c r="AZ1157" s="0" t="n">
        <v>0</v>
      </c>
      <c r="BA1157" s="0" t="n">
        <v>0</v>
      </c>
      <c r="BB1157" s="0" t="n">
        <v>0</v>
      </c>
      <c r="BC1157" s="0" t="n">
        <v>0</v>
      </c>
      <c r="BD1157" s="0" t="n">
        <v>0</v>
      </c>
      <c r="BE1157" s="0" t="n">
        <v>0</v>
      </c>
      <c r="BF1157" s="0" t="n">
        <v>0</v>
      </c>
      <c r="BG1157" s="0" t="n">
        <v>0</v>
      </c>
      <c r="BH1157" s="0" t="n">
        <v>0</v>
      </c>
      <c r="BI1157" s="0" t="n">
        <v>0</v>
      </c>
      <c r="BJ1157" s="0" t="n">
        <v>0</v>
      </c>
      <c r="BK1157" s="0" t="n">
        <v>0</v>
      </c>
      <c r="BM1157" s="6" t="n">
        <f aca="false">IFERROR(VALUE(F1157),"")</f>
        <v>355.53</v>
      </c>
      <c r="BN1157" s="6" t="n">
        <f aca="false">IF(R1157="-","",IFERROR(VALUE(LEFT(Q1157,LEN(Q1157)-2)),""))</f>
        <v>108.4</v>
      </c>
      <c r="BO1157" s="6" t="n">
        <f aca="false">IF(R1157="-","",IFERROR(VALUE(LEFT(R1157,LEN(R1157)-5)),""))</f>
        <v>3.28</v>
      </c>
      <c r="BP1157" s="6" t="n">
        <f aca="false">IF(R1157="-","",IFERROR(VALUE(F1157),""))</f>
        <v>355.53</v>
      </c>
      <c r="BQ1157" s="4" t="n">
        <f aca="false">IF(R1157="-",1,0)</f>
        <v>0</v>
      </c>
    </row>
    <row r="1158" customFormat="false" ht="15" hidden="false" customHeight="false" outlineLevel="0" collapsed="false">
      <c r="A1158" s="0" t="s">
        <v>4491</v>
      </c>
      <c r="B1158" s="0" t="s">
        <v>4492</v>
      </c>
      <c r="C1158" s="0" t="s">
        <v>70</v>
      </c>
      <c r="E1158" s="3" t="n">
        <v>46275</v>
      </c>
      <c r="F1158" s="4" t="s">
        <v>4501</v>
      </c>
      <c r="G1158" s="5" t="n">
        <v>0.600381944444445</v>
      </c>
      <c r="H1158" s="5" t="n">
        <v>0</v>
      </c>
      <c r="I1158" s="5" t="n">
        <v>0.000266203703703704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3</v>
      </c>
      <c r="O1158" s="5" t="n">
        <v>0</v>
      </c>
      <c r="P1158" s="5" t="n">
        <v>0</v>
      </c>
      <c r="Q1158" s="4" t="s">
        <v>4502</v>
      </c>
      <c r="R1158" s="4" t="s">
        <v>2113</v>
      </c>
      <c r="S1158" s="5" t="n">
        <v>0.000115740740740741</v>
      </c>
      <c r="T1158" s="5" t="n">
        <v>0.221759259259259</v>
      </c>
      <c r="U1158" s="5" t="n">
        <v>0.247337962962963</v>
      </c>
      <c r="V1158" s="5" t="n">
        <v>0.117592592592593</v>
      </c>
      <c r="W1158" s="5" t="n">
        <v>0</v>
      </c>
      <c r="X1158" s="5" t="n">
        <v>0</v>
      </c>
      <c r="Y1158" s="5" t="n">
        <v>0</v>
      </c>
      <c r="Z1158" s="0" t="n">
        <v>0</v>
      </c>
      <c r="AA1158" s="0" t="n">
        <v>0</v>
      </c>
      <c r="AB1158" s="0" t="n">
        <v>0</v>
      </c>
      <c r="AC1158" s="4" t="s">
        <v>208</v>
      </c>
      <c r="AD1158" s="4" t="s">
        <v>208</v>
      </c>
      <c r="AE1158" s="4" t="s">
        <v>4500</v>
      </c>
      <c r="AF1158" s="4" t="s">
        <v>4503</v>
      </c>
      <c r="AG1158" s="5" t="n">
        <v>0.527025462962963</v>
      </c>
      <c r="AH1158" s="5" t="n">
        <v>0.147939814814815</v>
      </c>
      <c r="AI1158" s="5" t="n">
        <v>0</v>
      </c>
      <c r="AJ1158" s="5" t="n">
        <v>0</v>
      </c>
      <c r="AK1158" s="5" t="n">
        <v>0</v>
      </c>
      <c r="AL1158" s="5" t="n">
        <v>0</v>
      </c>
      <c r="AM1158" s="4" t="s">
        <v>78</v>
      </c>
      <c r="AN1158" s="0" t="n">
        <v>0</v>
      </c>
      <c r="AO1158" s="0" t="n">
        <v>0</v>
      </c>
      <c r="AP1158" s="0" t="n">
        <v>0</v>
      </c>
      <c r="AQ1158" s="0" t="n">
        <v>0</v>
      </c>
      <c r="AR1158" s="0" t="n">
        <v>0</v>
      </c>
      <c r="AS1158" s="0" t="n">
        <v>0</v>
      </c>
      <c r="AT1158" s="0" t="n">
        <v>0</v>
      </c>
      <c r="AU1158" s="0" t="n">
        <v>0</v>
      </c>
      <c r="AV1158" s="0" t="n">
        <v>0</v>
      </c>
      <c r="AW1158" s="0" t="n">
        <v>0</v>
      </c>
      <c r="AX1158" s="0" t="n">
        <v>0</v>
      </c>
      <c r="AY1158" s="0" t="n">
        <v>0</v>
      </c>
      <c r="AZ1158" s="0" t="n">
        <v>0</v>
      </c>
      <c r="BA1158" s="0" t="n">
        <v>0</v>
      </c>
      <c r="BB1158" s="0" t="n">
        <v>0</v>
      </c>
      <c r="BC1158" s="0" t="n">
        <v>0</v>
      </c>
      <c r="BD1158" s="0" t="n">
        <v>0</v>
      </c>
      <c r="BE1158" s="0" t="n">
        <v>0</v>
      </c>
      <c r="BF1158" s="0" t="n">
        <v>0</v>
      </c>
      <c r="BG1158" s="0" t="n">
        <v>0</v>
      </c>
      <c r="BH1158" s="0" t="n">
        <v>0</v>
      </c>
      <c r="BI1158" s="0" t="n">
        <v>0</v>
      </c>
      <c r="BJ1158" s="0" t="n">
        <v>0</v>
      </c>
      <c r="BK1158" s="0" t="n">
        <v>0</v>
      </c>
      <c r="BM1158" s="6" t="n">
        <f aca="false">IFERROR(VALUE(F1158),"")</f>
        <v>356.69</v>
      </c>
      <c r="BN1158" s="6" t="n">
        <f aca="false">IF(R1158="-","",IFERROR(VALUE(LEFT(Q1158,LEN(Q1158)-2)),""))</f>
        <v>107.96</v>
      </c>
      <c r="BO1158" s="6" t="n">
        <f aca="false">IF(R1158="-","",IFERROR(VALUE(LEFT(R1158,LEN(R1158)-5)),""))</f>
        <v>3.3</v>
      </c>
      <c r="BP1158" s="6" t="n">
        <f aca="false">IF(R1158="-","",IFERROR(VALUE(F1158),""))</f>
        <v>356.69</v>
      </c>
      <c r="BQ1158" s="4" t="n">
        <f aca="false">IF(R1158="-",1,0)</f>
        <v>0</v>
      </c>
    </row>
    <row r="1159" customFormat="false" ht="15" hidden="false" customHeight="false" outlineLevel="0" collapsed="false">
      <c r="A1159" s="0" t="s">
        <v>4491</v>
      </c>
      <c r="B1159" s="0" t="s">
        <v>4492</v>
      </c>
      <c r="C1159" s="0" t="s">
        <v>70</v>
      </c>
      <c r="E1159" s="3" t="n">
        <v>46276</v>
      </c>
      <c r="F1159" s="4" t="s">
        <v>4504</v>
      </c>
      <c r="G1159" s="5" t="n">
        <v>0.603321759259259</v>
      </c>
      <c r="H1159" s="5" t="n">
        <v>0</v>
      </c>
      <c r="I1159" s="5" t="n">
        <v>6.94444444444444E-005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1</v>
      </c>
      <c r="O1159" s="5" t="n">
        <v>0</v>
      </c>
      <c r="P1159" s="5" t="n">
        <v>0</v>
      </c>
      <c r="Q1159" s="4" t="s">
        <v>4505</v>
      </c>
      <c r="R1159" s="4" t="s">
        <v>858</v>
      </c>
      <c r="S1159" s="5" t="n">
        <v>0.000347222222222222</v>
      </c>
      <c r="T1159" s="5" t="n">
        <v>0.228472222222222</v>
      </c>
      <c r="U1159" s="5" t="n">
        <v>0.25775462962963</v>
      </c>
      <c r="V1159" s="5" t="n">
        <v>0.109259259259259</v>
      </c>
      <c r="W1159" s="5" t="n">
        <v>0.000115740740740741</v>
      </c>
      <c r="X1159" s="5" t="n">
        <v>0</v>
      </c>
      <c r="Y1159" s="5" t="n">
        <v>0</v>
      </c>
      <c r="Z1159" s="0" t="n">
        <v>0</v>
      </c>
      <c r="AA1159" s="0" t="n">
        <v>0</v>
      </c>
      <c r="AB1159" s="0" t="n">
        <v>0</v>
      </c>
      <c r="AC1159" s="4" t="s">
        <v>208</v>
      </c>
      <c r="AD1159" s="4" t="s">
        <v>208</v>
      </c>
      <c r="AE1159" s="4" t="s">
        <v>4503</v>
      </c>
      <c r="AF1159" s="4" t="s">
        <v>4506</v>
      </c>
      <c r="AG1159" s="5" t="n">
        <v>0.529293981481481</v>
      </c>
      <c r="AH1159" s="5" t="n">
        <v>0.1584375</v>
      </c>
      <c r="AI1159" s="5" t="n">
        <v>0</v>
      </c>
      <c r="AJ1159" s="5" t="n">
        <v>0</v>
      </c>
      <c r="AK1159" s="5" t="n">
        <v>0</v>
      </c>
      <c r="AL1159" s="5" t="n">
        <v>0</v>
      </c>
      <c r="AM1159" s="4" t="s">
        <v>78</v>
      </c>
      <c r="AN1159" s="0" t="n">
        <v>0</v>
      </c>
      <c r="AO1159" s="0" t="n">
        <v>0</v>
      </c>
      <c r="AP1159" s="0" t="n">
        <v>0</v>
      </c>
      <c r="AQ1159" s="0" t="n">
        <v>0</v>
      </c>
      <c r="AR1159" s="0" t="n">
        <v>0</v>
      </c>
      <c r="AS1159" s="0" t="n">
        <v>0</v>
      </c>
      <c r="AT1159" s="0" t="n">
        <v>0</v>
      </c>
      <c r="AU1159" s="0" t="n">
        <v>0</v>
      </c>
      <c r="AV1159" s="0" t="n">
        <v>0</v>
      </c>
      <c r="AW1159" s="0" t="n">
        <v>0</v>
      </c>
      <c r="AX1159" s="0" t="n">
        <v>0</v>
      </c>
      <c r="AY1159" s="0" t="n">
        <v>0</v>
      </c>
      <c r="AZ1159" s="0" t="n">
        <v>0</v>
      </c>
      <c r="BA1159" s="0" t="n">
        <v>0</v>
      </c>
      <c r="BB1159" s="0" t="n">
        <v>0</v>
      </c>
      <c r="BC1159" s="0" t="n">
        <v>0</v>
      </c>
      <c r="BD1159" s="0" t="n">
        <v>0</v>
      </c>
      <c r="BE1159" s="0" t="n">
        <v>0</v>
      </c>
      <c r="BF1159" s="0" t="n">
        <v>0</v>
      </c>
      <c r="BG1159" s="0" t="n">
        <v>0</v>
      </c>
      <c r="BH1159" s="0" t="n">
        <v>0</v>
      </c>
      <c r="BI1159" s="0" t="n">
        <v>0</v>
      </c>
      <c r="BJ1159" s="0" t="n">
        <v>0</v>
      </c>
      <c r="BK1159" s="0" t="n">
        <v>0</v>
      </c>
      <c r="BM1159" s="6" t="n">
        <f aca="false">IFERROR(VALUE(F1159),"")</f>
        <v>355.82</v>
      </c>
      <c r="BN1159" s="6" t="n">
        <f aca="false">IF(R1159="-","",IFERROR(VALUE(LEFT(Q1159,LEN(Q1159)-2)),""))</f>
        <v>110.86</v>
      </c>
      <c r="BO1159" s="6" t="n">
        <f aca="false">IF(R1159="-","",IFERROR(VALUE(LEFT(R1159,LEN(R1159)-5)),""))</f>
        <v>3.21</v>
      </c>
      <c r="BP1159" s="6" t="n">
        <f aca="false">IF(R1159="-","",IFERROR(VALUE(F1159),""))</f>
        <v>355.82</v>
      </c>
      <c r="BQ1159" s="4" t="n">
        <f aca="false">IF(R1159="-",1,0)</f>
        <v>0</v>
      </c>
    </row>
    <row r="1160" customFormat="false" ht="15" hidden="false" customHeight="false" outlineLevel="0" collapsed="false">
      <c r="A1160" s="0" t="s">
        <v>4491</v>
      </c>
      <c r="B1160" s="0" t="s">
        <v>4492</v>
      </c>
      <c r="C1160" s="0" t="s">
        <v>70</v>
      </c>
      <c r="E1160" s="3" t="n">
        <v>46277</v>
      </c>
      <c r="F1160" s="4" t="s">
        <v>4507</v>
      </c>
      <c r="G1160" s="5" t="n">
        <v>0.563935185185185</v>
      </c>
      <c r="H1160" s="5" t="n">
        <v>0</v>
      </c>
      <c r="I1160" s="5" t="n">
        <v>0.000173611111111111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5" t="n">
        <v>0</v>
      </c>
      <c r="P1160" s="5" t="n">
        <v>0</v>
      </c>
      <c r="Q1160" s="4" t="s">
        <v>4508</v>
      </c>
      <c r="R1160" s="4" t="s">
        <v>4509</v>
      </c>
      <c r="S1160" s="5" t="n">
        <v>0.000115740740740741</v>
      </c>
      <c r="T1160" s="5" t="n">
        <v>0.205671296296296</v>
      </c>
      <c r="U1160" s="5" t="n">
        <v>0.243402777777778</v>
      </c>
      <c r="V1160" s="5" t="n">
        <v>0.0989583333333333</v>
      </c>
      <c r="W1160" s="5" t="n">
        <v>0</v>
      </c>
      <c r="X1160" s="5" t="n">
        <v>0</v>
      </c>
      <c r="Y1160" s="5" t="n">
        <v>0</v>
      </c>
      <c r="Z1160" s="0" t="n">
        <v>0</v>
      </c>
      <c r="AA1160" s="0" t="n">
        <v>0</v>
      </c>
      <c r="AB1160" s="0" t="n">
        <v>0</v>
      </c>
      <c r="AC1160" s="4" t="s">
        <v>4457</v>
      </c>
      <c r="AD1160" s="4" t="s">
        <v>208</v>
      </c>
      <c r="AE1160" s="4" t="s">
        <v>4506</v>
      </c>
      <c r="AF1160" s="4" t="s">
        <v>4510</v>
      </c>
      <c r="AG1160" s="5" t="n">
        <v>0.486597222222222</v>
      </c>
      <c r="AH1160" s="5" t="n">
        <v>0.172395833333333</v>
      </c>
      <c r="AI1160" s="5" t="n">
        <v>0</v>
      </c>
      <c r="AJ1160" s="5" t="n">
        <v>0</v>
      </c>
      <c r="AK1160" s="5" t="n">
        <v>0</v>
      </c>
      <c r="AL1160" s="5" t="n">
        <v>0</v>
      </c>
      <c r="AM1160" s="4" t="s">
        <v>78</v>
      </c>
      <c r="AN1160" s="0" t="n">
        <v>0</v>
      </c>
      <c r="AO1160" s="0" t="n">
        <v>0</v>
      </c>
      <c r="AP1160" s="0" t="n">
        <v>0</v>
      </c>
      <c r="AQ1160" s="0" t="n">
        <v>0</v>
      </c>
      <c r="AR1160" s="0" t="n">
        <v>0</v>
      </c>
      <c r="AS1160" s="0" t="n">
        <v>0</v>
      </c>
      <c r="AT1160" s="0" t="n">
        <v>0</v>
      </c>
      <c r="AU1160" s="0" t="n">
        <v>0</v>
      </c>
      <c r="AV1160" s="0" t="n">
        <v>0</v>
      </c>
      <c r="AW1160" s="0" t="n">
        <v>0</v>
      </c>
      <c r="AX1160" s="0" t="n">
        <v>0</v>
      </c>
      <c r="AY1160" s="0" t="n">
        <v>0</v>
      </c>
      <c r="AZ1160" s="0" t="n">
        <v>0</v>
      </c>
      <c r="BA1160" s="0" t="n">
        <v>0</v>
      </c>
      <c r="BB1160" s="0" t="n">
        <v>0</v>
      </c>
      <c r="BC1160" s="0" t="n">
        <v>0</v>
      </c>
      <c r="BD1160" s="0" t="n">
        <v>0</v>
      </c>
      <c r="BE1160" s="0" t="n">
        <v>0</v>
      </c>
      <c r="BF1160" s="0" t="n">
        <v>0</v>
      </c>
      <c r="BG1160" s="0" t="n">
        <v>0</v>
      </c>
      <c r="BH1160" s="0" t="n">
        <v>0</v>
      </c>
      <c r="BI1160" s="0" t="n">
        <v>0</v>
      </c>
      <c r="BJ1160" s="0" t="n">
        <v>0</v>
      </c>
      <c r="BK1160" s="0" t="n">
        <v>0</v>
      </c>
      <c r="BM1160" s="6" t="n">
        <f aca="false">IFERROR(VALUE(F1160),"")</f>
        <v>345.95</v>
      </c>
      <c r="BN1160" s="6" t="n">
        <f aca="false">IF(R1160="-","",IFERROR(VALUE(LEFT(Q1160,LEN(Q1160)-2)),""))</f>
        <v>100.22</v>
      </c>
      <c r="BO1160" s="6" t="n">
        <f aca="false">IF(R1160="-","",IFERROR(VALUE(LEFT(R1160,LEN(R1160)-5)),""))</f>
        <v>3.45</v>
      </c>
      <c r="BP1160" s="6" t="n">
        <f aca="false">IF(R1160="-","",IFERROR(VALUE(F1160),""))</f>
        <v>345.95</v>
      </c>
      <c r="BQ1160" s="4" t="n">
        <f aca="false">IF(R1160="-",1,0)</f>
        <v>0</v>
      </c>
    </row>
    <row r="1161" customFormat="false" ht="15" hidden="false" customHeight="false" outlineLevel="0" collapsed="false">
      <c r="A1161" s="0" t="s">
        <v>4491</v>
      </c>
      <c r="B1161" s="0" t="s">
        <v>4492</v>
      </c>
      <c r="C1161" s="0" t="s">
        <v>70</v>
      </c>
      <c r="E1161" s="3" t="n">
        <v>46278</v>
      </c>
      <c r="F1161" s="4" t="s">
        <v>4511</v>
      </c>
      <c r="G1161" s="5" t="n">
        <v>0.33875</v>
      </c>
      <c r="H1161" s="5" t="n">
        <v>0</v>
      </c>
      <c r="I1161" s="5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5" t="n">
        <v>0</v>
      </c>
      <c r="P1161" s="5" t="n">
        <v>0</v>
      </c>
      <c r="Q1161" s="4" t="s">
        <v>4512</v>
      </c>
      <c r="R1161" s="4" t="s">
        <v>948</v>
      </c>
      <c r="S1161" s="5" t="n">
        <v>0.000115740740740741</v>
      </c>
      <c r="T1161" s="5" t="n">
        <v>0.122453703703704</v>
      </c>
      <c r="U1161" s="5" t="n">
        <v>0.113773148148148</v>
      </c>
      <c r="V1161" s="5" t="n">
        <v>0.0961805555555556</v>
      </c>
      <c r="W1161" s="5" t="n">
        <v>0.000115740740740741</v>
      </c>
      <c r="X1161" s="5" t="n">
        <v>0</v>
      </c>
      <c r="Y1161" s="5" t="n">
        <v>0</v>
      </c>
      <c r="Z1161" s="0" t="n">
        <v>0</v>
      </c>
      <c r="AA1161" s="0" t="n">
        <v>0</v>
      </c>
      <c r="AB1161" s="0" t="n">
        <v>0</v>
      </c>
      <c r="AC1161" s="4" t="s">
        <v>208</v>
      </c>
      <c r="AD1161" s="4" t="s">
        <v>208</v>
      </c>
      <c r="AE1161" s="4" t="s">
        <v>4510</v>
      </c>
      <c r="AF1161" s="4" t="s">
        <v>4513</v>
      </c>
      <c r="AG1161" s="5" t="n">
        <v>0.285127314814815</v>
      </c>
      <c r="AH1161" s="5" t="n">
        <v>0.1553125</v>
      </c>
      <c r="AI1161" s="5" t="n">
        <v>0</v>
      </c>
      <c r="AJ1161" s="5" t="n">
        <v>0</v>
      </c>
      <c r="AK1161" s="5" t="n">
        <v>0</v>
      </c>
      <c r="AL1161" s="5" t="n">
        <v>0</v>
      </c>
      <c r="AM1161" s="4" t="s">
        <v>78</v>
      </c>
      <c r="AN1161" s="0" t="n">
        <v>0</v>
      </c>
      <c r="AO1161" s="0" t="n">
        <v>0</v>
      </c>
      <c r="AP1161" s="0" t="n">
        <v>0</v>
      </c>
      <c r="AQ1161" s="0" t="n">
        <v>0</v>
      </c>
      <c r="AR1161" s="0" t="n">
        <v>0</v>
      </c>
      <c r="AS1161" s="0" t="n">
        <v>0</v>
      </c>
      <c r="AT1161" s="0" t="n">
        <v>0</v>
      </c>
      <c r="AU1161" s="0" t="n">
        <v>0</v>
      </c>
      <c r="AV1161" s="0" t="n">
        <v>0</v>
      </c>
      <c r="AW1161" s="0" t="n">
        <v>0</v>
      </c>
      <c r="AX1161" s="0" t="n">
        <v>0</v>
      </c>
      <c r="AY1161" s="0" t="n">
        <v>0</v>
      </c>
      <c r="AZ1161" s="0" t="n">
        <v>0</v>
      </c>
      <c r="BA1161" s="0" t="n">
        <v>0</v>
      </c>
      <c r="BB1161" s="0" t="n">
        <v>0</v>
      </c>
      <c r="BC1161" s="0" t="n">
        <v>0</v>
      </c>
      <c r="BD1161" s="0" t="n">
        <v>0</v>
      </c>
      <c r="BE1161" s="0" t="n">
        <v>0</v>
      </c>
      <c r="BF1161" s="0" t="n">
        <v>0</v>
      </c>
      <c r="BG1161" s="0" t="n">
        <v>0</v>
      </c>
      <c r="BH1161" s="0" t="n">
        <v>0</v>
      </c>
      <c r="BI1161" s="0" t="n">
        <v>0</v>
      </c>
      <c r="BJ1161" s="0" t="n">
        <v>0</v>
      </c>
      <c r="BK1161" s="0" t="n">
        <v>0</v>
      </c>
      <c r="BM1161" s="6" t="n">
        <f aca="false">IFERROR(VALUE(F1161),"")</f>
        <v>219.63</v>
      </c>
      <c r="BN1161" s="6" t="n">
        <f aca="false">IF(R1161="-","",IFERROR(VALUE(LEFT(Q1161,LEN(Q1161)-2)),""))</f>
        <v>67.72</v>
      </c>
      <c r="BO1161" s="6" t="n">
        <f aca="false">IF(R1161="-","",IFERROR(VALUE(LEFT(R1161,LEN(R1161)-5)),""))</f>
        <v>3.24</v>
      </c>
      <c r="BP1161" s="6" t="n">
        <f aca="false">IF(R1161="-","",IFERROR(VALUE(F1161),""))</f>
        <v>219.63</v>
      </c>
      <c r="BQ1161" s="4" t="n">
        <f aca="false">IF(R1161="-",1,0)</f>
        <v>0</v>
      </c>
    </row>
    <row r="1162" customFormat="false" ht="15" hidden="false" customHeight="false" outlineLevel="0" collapsed="false">
      <c r="A1162" s="0" t="s">
        <v>4491</v>
      </c>
      <c r="B1162" s="0" t="s">
        <v>4492</v>
      </c>
      <c r="C1162" s="0" t="s">
        <v>70</v>
      </c>
      <c r="E1162" s="3" t="n">
        <v>46279</v>
      </c>
      <c r="F1162" s="4" t="s">
        <v>4514</v>
      </c>
      <c r="G1162" s="5" t="n">
        <v>0.609247685185185</v>
      </c>
      <c r="H1162" s="5" t="n">
        <v>0</v>
      </c>
      <c r="I1162" s="5" t="n">
        <v>0.00109953703703704</v>
      </c>
      <c r="J1162" s="0" t="n">
        <v>0</v>
      </c>
      <c r="K1162" s="0" t="n">
        <v>1</v>
      </c>
      <c r="L1162" s="0" t="n">
        <v>0</v>
      </c>
      <c r="M1162" s="0" t="n">
        <v>0</v>
      </c>
      <c r="N1162" s="0" t="n">
        <v>4</v>
      </c>
      <c r="O1162" s="5" t="n">
        <v>0</v>
      </c>
      <c r="P1162" s="5" t="n">
        <v>0</v>
      </c>
      <c r="Q1162" s="4" t="s">
        <v>4515</v>
      </c>
      <c r="R1162" s="4" t="s">
        <v>943</v>
      </c>
      <c r="S1162" s="5" t="n">
        <v>0</v>
      </c>
      <c r="T1162" s="5" t="n">
        <v>0.234143518518519</v>
      </c>
      <c r="U1162" s="5" t="n">
        <v>0.227777777777778</v>
      </c>
      <c r="V1162" s="5" t="n">
        <v>0.125694444444444</v>
      </c>
      <c r="W1162" s="5" t="n">
        <v>0</v>
      </c>
      <c r="X1162" s="5" t="n">
        <v>0</v>
      </c>
      <c r="Y1162" s="5" t="n">
        <v>0</v>
      </c>
      <c r="Z1162" s="0" t="n">
        <v>0</v>
      </c>
      <c r="AA1162" s="0" t="n">
        <v>0</v>
      </c>
      <c r="AB1162" s="0" t="n">
        <v>0</v>
      </c>
      <c r="AC1162" s="4" t="s">
        <v>208</v>
      </c>
      <c r="AD1162" s="4" t="s">
        <v>208</v>
      </c>
      <c r="AE1162" s="4" t="s">
        <v>4513</v>
      </c>
      <c r="AF1162" s="4" t="s">
        <v>4516</v>
      </c>
      <c r="AG1162" s="5" t="n">
        <v>0.508344907407408</v>
      </c>
      <c r="AH1162" s="5" t="n">
        <v>0.197407407407407</v>
      </c>
      <c r="AI1162" s="5" t="n">
        <v>0</v>
      </c>
      <c r="AJ1162" s="5" t="n">
        <v>0</v>
      </c>
      <c r="AK1162" s="5" t="n">
        <v>0</v>
      </c>
      <c r="AL1162" s="5" t="n">
        <v>0</v>
      </c>
      <c r="AM1162" s="4" t="s">
        <v>78</v>
      </c>
      <c r="AN1162" s="0" t="n">
        <v>0</v>
      </c>
      <c r="AO1162" s="0" t="n">
        <v>0</v>
      </c>
      <c r="AP1162" s="0" t="n">
        <v>0</v>
      </c>
      <c r="AQ1162" s="0" t="n">
        <v>0</v>
      </c>
      <c r="AR1162" s="0" t="n">
        <v>0</v>
      </c>
      <c r="AS1162" s="0" t="n">
        <v>0</v>
      </c>
      <c r="AT1162" s="0" t="n">
        <v>0</v>
      </c>
      <c r="AU1162" s="0" t="n">
        <v>0</v>
      </c>
      <c r="AV1162" s="0" t="n">
        <v>0</v>
      </c>
      <c r="AW1162" s="0" t="n">
        <v>0</v>
      </c>
      <c r="AX1162" s="0" t="n">
        <v>0</v>
      </c>
      <c r="AY1162" s="0" t="n">
        <v>0</v>
      </c>
      <c r="AZ1162" s="0" t="n">
        <v>0</v>
      </c>
      <c r="BA1162" s="0" t="n">
        <v>0</v>
      </c>
      <c r="BB1162" s="0" t="n">
        <v>0</v>
      </c>
      <c r="BC1162" s="0" t="n">
        <v>0</v>
      </c>
      <c r="BD1162" s="0" t="n">
        <v>0</v>
      </c>
      <c r="BE1162" s="0" t="n">
        <v>0</v>
      </c>
      <c r="BF1162" s="0" t="n">
        <v>0</v>
      </c>
      <c r="BG1162" s="0" t="n">
        <v>0</v>
      </c>
      <c r="BH1162" s="0" t="n">
        <v>0</v>
      </c>
      <c r="BI1162" s="0" t="n">
        <v>0</v>
      </c>
      <c r="BJ1162" s="0" t="n">
        <v>0</v>
      </c>
      <c r="BK1162" s="0" t="n">
        <v>0</v>
      </c>
      <c r="BM1162" s="6" t="n">
        <f aca="false">IFERROR(VALUE(F1162),"")</f>
        <v>354.96</v>
      </c>
      <c r="BN1162" s="6" t="n">
        <f aca="false">IF(R1162="-","",IFERROR(VALUE(LEFT(Q1162,LEN(Q1162)-2)),""))</f>
        <v>109.97</v>
      </c>
      <c r="BO1162" s="6" t="n">
        <f aca="false">IF(R1162="-","",IFERROR(VALUE(LEFT(R1162,LEN(R1162)-5)),""))</f>
        <v>3.23</v>
      </c>
      <c r="BP1162" s="6" t="n">
        <f aca="false">IF(R1162="-","",IFERROR(VALUE(F1162),""))</f>
        <v>354.96</v>
      </c>
      <c r="BQ1162" s="4" t="n">
        <f aca="false">IF(R1162="-",1,0)</f>
        <v>0</v>
      </c>
    </row>
    <row r="1163" customFormat="false" ht="15" hidden="false" customHeight="false" outlineLevel="0" collapsed="false">
      <c r="A1163" s="0" t="s">
        <v>4517</v>
      </c>
      <c r="B1163" s="0" t="s">
        <v>4518</v>
      </c>
      <c r="C1163" s="0" t="s">
        <v>70</v>
      </c>
      <c r="D1163" s="0" t="s">
        <v>4519</v>
      </c>
      <c r="E1163" s="3" t="n">
        <v>46273</v>
      </c>
      <c r="F1163" s="4" t="s">
        <v>95</v>
      </c>
      <c r="G1163" s="5" t="n">
        <v>0.633125</v>
      </c>
      <c r="H1163" s="5" t="n">
        <v>0.621909722222222</v>
      </c>
      <c r="I1163" s="5" t="n">
        <v>0.03375</v>
      </c>
      <c r="J1163" s="0" t="n">
        <v>0</v>
      </c>
      <c r="K1163" s="0" t="n">
        <v>1</v>
      </c>
      <c r="L1163" s="0" t="n">
        <v>0</v>
      </c>
      <c r="M1163" s="0" t="n">
        <v>0</v>
      </c>
      <c r="N1163" s="0" t="n">
        <v>5</v>
      </c>
      <c r="O1163" s="5" t="n">
        <v>0</v>
      </c>
      <c r="P1163" s="5" t="n">
        <v>0</v>
      </c>
      <c r="Q1163" s="4" t="s">
        <v>4520</v>
      </c>
      <c r="R1163" s="4" t="s">
        <v>454</v>
      </c>
      <c r="S1163" s="5" t="n">
        <v>0.000347222222222222</v>
      </c>
      <c r="T1163" s="5" t="n">
        <v>0.204398148148148</v>
      </c>
      <c r="U1163" s="5" t="n">
        <v>0.176041666666667</v>
      </c>
      <c r="V1163" s="5" t="n">
        <v>0.236574074074074</v>
      </c>
      <c r="W1163" s="5" t="n">
        <v>0.000231481481481482</v>
      </c>
      <c r="X1163" s="5" t="n">
        <v>0</v>
      </c>
      <c r="Y1163" s="5" t="n">
        <v>0</v>
      </c>
      <c r="Z1163" s="0" t="n">
        <v>0</v>
      </c>
      <c r="AA1163" s="0" t="n">
        <v>0</v>
      </c>
      <c r="AB1163" s="0" t="n">
        <v>0</v>
      </c>
      <c r="AC1163" s="4" t="s">
        <v>81</v>
      </c>
      <c r="AD1163" s="4" t="s">
        <v>74</v>
      </c>
      <c r="AE1163" s="4" t="s">
        <v>4521</v>
      </c>
      <c r="AF1163" s="4" t="s">
        <v>4521</v>
      </c>
      <c r="AG1163" s="5" t="n">
        <v>0.554490740740741</v>
      </c>
      <c r="AH1163" s="5" t="n">
        <v>0.125474537037037</v>
      </c>
      <c r="AI1163" s="5" t="n">
        <v>0</v>
      </c>
      <c r="AJ1163" s="5" t="n">
        <v>0</v>
      </c>
      <c r="AK1163" s="5" t="n">
        <v>0</v>
      </c>
      <c r="AL1163" s="5" t="n">
        <v>0</v>
      </c>
      <c r="AM1163" s="4" t="s">
        <v>78</v>
      </c>
      <c r="AN1163" s="0" t="n">
        <v>0</v>
      </c>
      <c r="AO1163" s="0" t="n">
        <v>3</v>
      </c>
      <c r="AP1163" s="0" t="n">
        <v>0</v>
      </c>
      <c r="AQ1163" s="0" t="n">
        <v>0</v>
      </c>
      <c r="AR1163" s="0" t="n">
        <v>0</v>
      </c>
      <c r="AS1163" s="0" t="n">
        <v>0</v>
      </c>
      <c r="AT1163" s="0" t="n">
        <v>0</v>
      </c>
      <c r="AU1163" s="0" t="n">
        <v>12</v>
      </c>
      <c r="AV1163" s="0" t="n">
        <v>0</v>
      </c>
      <c r="AW1163" s="0" t="n">
        <v>0</v>
      </c>
      <c r="AX1163" s="0" t="n">
        <v>0</v>
      </c>
      <c r="AY1163" s="0" t="n">
        <v>0</v>
      </c>
      <c r="AZ1163" s="0" t="n">
        <v>0</v>
      </c>
      <c r="BA1163" s="0" t="n">
        <v>0</v>
      </c>
      <c r="BB1163" s="0" t="n">
        <v>0</v>
      </c>
      <c r="BC1163" s="0" t="n">
        <v>0</v>
      </c>
      <c r="BD1163" s="0" t="n">
        <v>0</v>
      </c>
      <c r="BE1163" s="0" t="n">
        <v>0</v>
      </c>
      <c r="BF1163" s="0" t="n">
        <v>0</v>
      </c>
      <c r="BG1163" s="0" t="n">
        <v>0</v>
      </c>
      <c r="BH1163" s="0" t="n">
        <v>0</v>
      </c>
      <c r="BI1163" s="0" t="n">
        <v>0</v>
      </c>
      <c r="BJ1163" s="0" t="n">
        <v>0</v>
      </c>
      <c r="BK1163" s="0" t="n">
        <v>0</v>
      </c>
      <c r="BM1163" s="6" t="n">
        <f aca="false">IFERROR(VALUE(F1163),"")</f>
        <v>0</v>
      </c>
      <c r="BN1163" s="6" t="n">
        <f aca="false">IF(R1163="-","",IFERROR(VALUE(LEFT(Q1163,LEN(Q1163)-2)),""))</f>
        <v>144.34</v>
      </c>
      <c r="BO1163" s="6" t="n">
        <f aca="false">IF(R1163="-","",IFERROR(VALUE(LEFT(R1163,LEN(R1163)-5)),""))</f>
        <v>0</v>
      </c>
      <c r="BP1163" s="6" t="n">
        <f aca="false">IF(R1163="-","",IFERROR(VALUE(F1163),""))</f>
        <v>0</v>
      </c>
      <c r="BQ1163" s="4" t="n">
        <f aca="false">IF(R1163="-",1,0)</f>
        <v>0</v>
      </c>
    </row>
    <row r="1164" customFormat="false" ht="15" hidden="false" customHeight="false" outlineLevel="0" collapsed="false">
      <c r="A1164" s="0" t="s">
        <v>4517</v>
      </c>
      <c r="B1164" s="0" t="s">
        <v>4518</v>
      </c>
      <c r="C1164" s="0" t="s">
        <v>70</v>
      </c>
      <c r="D1164" s="0" t="s">
        <v>4522</v>
      </c>
      <c r="E1164" s="3" t="n">
        <v>46274</v>
      </c>
      <c r="F1164" s="4" t="s">
        <v>95</v>
      </c>
      <c r="G1164" s="5" t="n">
        <v>0.495104166666667</v>
      </c>
      <c r="H1164" s="5" t="n">
        <v>0.434837962962963</v>
      </c>
      <c r="I1164" s="5" t="n">
        <v>0.0130208333333333</v>
      </c>
      <c r="J1164" s="0" t="n">
        <v>0</v>
      </c>
      <c r="K1164" s="0" t="n">
        <v>1</v>
      </c>
      <c r="L1164" s="0" t="n">
        <v>0</v>
      </c>
      <c r="M1164" s="0" t="n">
        <v>0</v>
      </c>
      <c r="N1164" s="0" t="n">
        <v>1</v>
      </c>
      <c r="O1164" s="5" t="n">
        <v>0</v>
      </c>
      <c r="P1164" s="5" t="n">
        <v>0.026875</v>
      </c>
      <c r="Q1164" s="4" t="s">
        <v>4523</v>
      </c>
      <c r="R1164" s="4" t="s">
        <v>454</v>
      </c>
      <c r="S1164" s="5" t="n">
        <v>0.000462962962962963</v>
      </c>
      <c r="T1164" s="5" t="n">
        <v>0.17662037037037</v>
      </c>
      <c r="U1164" s="5" t="n">
        <v>0.148148148148148</v>
      </c>
      <c r="V1164" s="5" t="n">
        <v>0.142013888888889</v>
      </c>
      <c r="W1164" s="5" t="n">
        <v>0</v>
      </c>
      <c r="X1164" s="5" t="n">
        <v>0</v>
      </c>
      <c r="Y1164" s="5" t="n">
        <v>0</v>
      </c>
      <c r="Z1164" s="0" t="n">
        <v>0</v>
      </c>
      <c r="AA1164" s="0" t="n">
        <v>0</v>
      </c>
      <c r="AB1164" s="0" t="n">
        <v>0</v>
      </c>
      <c r="AC1164" s="4" t="s">
        <v>81</v>
      </c>
      <c r="AD1164" s="4" t="s">
        <v>74</v>
      </c>
      <c r="AE1164" s="4" t="s">
        <v>4521</v>
      </c>
      <c r="AF1164" s="4" t="s">
        <v>4521</v>
      </c>
      <c r="AG1164" s="5" t="n">
        <v>0.391435185185185</v>
      </c>
      <c r="AH1164" s="5" t="n">
        <v>0.17599537037037</v>
      </c>
      <c r="AI1164" s="5" t="n">
        <v>0</v>
      </c>
      <c r="AJ1164" s="5" t="n">
        <v>0</v>
      </c>
      <c r="AK1164" s="5" t="n">
        <v>0</v>
      </c>
      <c r="AL1164" s="5" t="n">
        <v>0</v>
      </c>
      <c r="AM1164" s="4" t="s">
        <v>78</v>
      </c>
      <c r="AN1164" s="0" t="n">
        <v>0</v>
      </c>
      <c r="AO1164" s="0" t="n">
        <v>0</v>
      </c>
      <c r="AP1164" s="0" t="n">
        <v>0</v>
      </c>
      <c r="AQ1164" s="0" t="n">
        <v>0</v>
      </c>
      <c r="AR1164" s="0" t="n">
        <v>0</v>
      </c>
      <c r="AS1164" s="0" t="n">
        <v>0</v>
      </c>
      <c r="AT1164" s="0" t="n">
        <v>0</v>
      </c>
      <c r="AU1164" s="0" t="n">
        <v>10</v>
      </c>
      <c r="AV1164" s="0" t="n">
        <v>0</v>
      </c>
      <c r="AW1164" s="0" t="n">
        <v>0</v>
      </c>
      <c r="AX1164" s="0" t="n">
        <v>0</v>
      </c>
      <c r="AY1164" s="0" t="n">
        <v>0</v>
      </c>
      <c r="AZ1164" s="0" t="n">
        <v>0</v>
      </c>
      <c r="BA1164" s="0" t="n">
        <v>0</v>
      </c>
      <c r="BB1164" s="0" t="n">
        <v>0</v>
      </c>
      <c r="BC1164" s="0" t="n">
        <v>0</v>
      </c>
      <c r="BD1164" s="0" t="n">
        <v>0</v>
      </c>
      <c r="BE1164" s="0" t="n">
        <v>0</v>
      </c>
      <c r="BF1164" s="0" t="n">
        <v>0</v>
      </c>
      <c r="BG1164" s="0" t="n">
        <v>0</v>
      </c>
      <c r="BH1164" s="0" t="n">
        <v>0</v>
      </c>
      <c r="BI1164" s="0" t="n">
        <v>0</v>
      </c>
      <c r="BJ1164" s="0" t="n">
        <v>0</v>
      </c>
      <c r="BK1164" s="0" t="n">
        <v>0</v>
      </c>
      <c r="BM1164" s="6" t="n">
        <f aca="false">IFERROR(VALUE(F1164),"")</f>
        <v>0</v>
      </c>
      <c r="BN1164" s="6" t="n">
        <f aca="false">IF(R1164="-","",IFERROR(VALUE(LEFT(Q1164,LEN(Q1164)-2)),""))</f>
        <v>94.18</v>
      </c>
      <c r="BO1164" s="6" t="n">
        <f aca="false">IF(R1164="-","",IFERROR(VALUE(LEFT(R1164,LEN(R1164)-5)),""))</f>
        <v>0</v>
      </c>
      <c r="BP1164" s="6" t="n">
        <f aca="false">IF(R1164="-","",IFERROR(VALUE(F1164),""))</f>
        <v>0</v>
      </c>
      <c r="BQ1164" s="4" t="n">
        <f aca="false">IF(R1164="-",1,0)</f>
        <v>0</v>
      </c>
    </row>
    <row r="1165" customFormat="false" ht="15" hidden="false" customHeight="false" outlineLevel="0" collapsed="false">
      <c r="A1165" s="0" t="s">
        <v>4517</v>
      </c>
      <c r="B1165" s="0" t="s">
        <v>4518</v>
      </c>
      <c r="C1165" s="0" t="s">
        <v>70</v>
      </c>
      <c r="D1165" s="0" t="s">
        <v>4524</v>
      </c>
      <c r="E1165" s="3" t="n">
        <v>46275</v>
      </c>
      <c r="F1165" s="4" t="s">
        <v>95</v>
      </c>
      <c r="G1165" s="5" t="n">
        <v>0.640925925925926</v>
      </c>
      <c r="H1165" s="5" t="n">
        <v>0.630300925925926</v>
      </c>
      <c r="I1165" s="5" t="n">
        <v>0.0279976851851852</v>
      </c>
      <c r="J1165" s="0" t="n">
        <v>0</v>
      </c>
      <c r="K1165" s="0" t="n">
        <v>1</v>
      </c>
      <c r="L1165" s="0" t="n">
        <v>0</v>
      </c>
      <c r="M1165" s="0" t="n">
        <v>0</v>
      </c>
      <c r="N1165" s="0" t="n">
        <v>8</v>
      </c>
      <c r="O1165" s="5" t="n">
        <v>0</v>
      </c>
      <c r="P1165" s="5" t="n">
        <v>0</v>
      </c>
      <c r="Q1165" s="4" t="s">
        <v>4525</v>
      </c>
      <c r="R1165" s="4" t="s">
        <v>454</v>
      </c>
      <c r="S1165" s="5" t="n">
        <v>0.000810185185185185</v>
      </c>
      <c r="T1165" s="5" t="n">
        <v>0.204976851851852</v>
      </c>
      <c r="U1165" s="5" t="n">
        <v>0.17962962962963</v>
      </c>
      <c r="V1165" s="5" t="n">
        <v>0.232685185185185</v>
      </c>
      <c r="W1165" s="5" t="n">
        <v>0.000173611111111111</v>
      </c>
      <c r="X1165" s="5" t="n">
        <v>0</v>
      </c>
      <c r="Y1165" s="5" t="n">
        <v>5.78703703703704E-005</v>
      </c>
      <c r="Z1165" s="0" t="n">
        <v>0</v>
      </c>
      <c r="AA1165" s="0" t="n">
        <v>0</v>
      </c>
      <c r="AB1165" s="0" t="n">
        <v>0</v>
      </c>
      <c r="AC1165" s="4" t="s">
        <v>81</v>
      </c>
      <c r="AD1165" s="4" t="s">
        <v>75</v>
      </c>
      <c r="AE1165" s="4" t="s">
        <v>4521</v>
      </c>
      <c r="AF1165" s="4" t="s">
        <v>4521</v>
      </c>
      <c r="AG1165" s="5" t="n">
        <v>0.537337962962963</v>
      </c>
      <c r="AH1165" s="5" t="n">
        <v>0.168460648148148</v>
      </c>
      <c r="AI1165" s="5" t="n">
        <v>0</v>
      </c>
      <c r="AJ1165" s="5" t="n">
        <v>0</v>
      </c>
      <c r="AK1165" s="5" t="n">
        <v>0</v>
      </c>
      <c r="AL1165" s="5" t="n">
        <v>0</v>
      </c>
      <c r="AM1165" s="4" t="s">
        <v>78</v>
      </c>
      <c r="AN1165" s="0" t="n">
        <v>0</v>
      </c>
      <c r="AO1165" s="0" t="n">
        <v>1</v>
      </c>
      <c r="AP1165" s="0" t="n">
        <v>0</v>
      </c>
      <c r="AQ1165" s="0" t="n">
        <v>0</v>
      </c>
      <c r="AR1165" s="0" t="n">
        <v>0</v>
      </c>
      <c r="AS1165" s="0" t="n">
        <v>0</v>
      </c>
      <c r="AT1165" s="0" t="n">
        <v>0</v>
      </c>
      <c r="AU1165" s="0" t="n">
        <v>11</v>
      </c>
      <c r="AV1165" s="0" t="n">
        <v>0</v>
      </c>
      <c r="AW1165" s="0" t="n">
        <v>0</v>
      </c>
      <c r="AX1165" s="0" t="n">
        <v>0</v>
      </c>
      <c r="AY1165" s="0" t="n">
        <v>0</v>
      </c>
      <c r="AZ1165" s="0" t="n">
        <v>0</v>
      </c>
      <c r="BA1165" s="0" t="n">
        <v>0</v>
      </c>
      <c r="BB1165" s="0" t="n">
        <v>0</v>
      </c>
      <c r="BC1165" s="0" t="n">
        <v>0</v>
      </c>
      <c r="BD1165" s="0" t="n">
        <v>0</v>
      </c>
      <c r="BE1165" s="0" t="n">
        <v>0</v>
      </c>
      <c r="BF1165" s="0" t="n">
        <v>0</v>
      </c>
      <c r="BG1165" s="0" t="n">
        <v>0</v>
      </c>
      <c r="BH1165" s="0" t="n">
        <v>0</v>
      </c>
      <c r="BI1165" s="0" t="n">
        <v>0</v>
      </c>
      <c r="BJ1165" s="0" t="n">
        <v>0</v>
      </c>
      <c r="BK1165" s="0" t="n">
        <v>0</v>
      </c>
      <c r="BM1165" s="6" t="n">
        <f aca="false">IFERROR(VALUE(F1165),"")</f>
        <v>0</v>
      </c>
      <c r="BN1165" s="6" t="n">
        <f aca="false">IF(R1165="-","",IFERROR(VALUE(LEFT(Q1165,LEN(Q1165)-2)),""))</f>
        <v>144.32</v>
      </c>
      <c r="BO1165" s="6" t="n">
        <f aca="false">IF(R1165="-","",IFERROR(VALUE(LEFT(R1165,LEN(R1165)-5)),""))</f>
        <v>0</v>
      </c>
      <c r="BP1165" s="6" t="n">
        <f aca="false">IF(R1165="-","",IFERROR(VALUE(F1165),""))</f>
        <v>0</v>
      </c>
      <c r="BQ1165" s="4" t="n">
        <f aca="false">IF(R1165="-",1,0)</f>
        <v>0</v>
      </c>
    </row>
    <row r="1166" customFormat="false" ht="15" hidden="false" customHeight="false" outlineLevel="0" collapsed="false">
      <c r="A1166" s="0" t="s">
        <v>4517</v>
      </c>
      <c r="B1166" s="0" t="s">
        <v>4518</v>
      </c>
      <c r="C1166" s="0" t="s">
        <v>70</v>
      </c>
      <c r="D1166" s="0" t="s">
        <v>4524</v>
      </c>
      <c r="E1166" s="3" t="n">
        <v>46276</v>
      </c>
      <c r="F1166" s="4" t="s">
        <v>95</v>
      </c>
      <c r="G1166" s="5" t="n">
        <v>0.659618055555556</v>
      </c>
      <c r="H1166" s="5" t="n">
        <v>0.639548611111111</v>
      </c>
      <c r="I1166" s="5" t="n">
        <v>0.0357407407407407</v>
      </c>
      <c r="J1166" s="0" t="n">
        <v>0</v>
      </c>
      <c r="K1166" s="0" t="n">
        <v>2</v>
      </c>
      <c r="L1166" s="0" t="n">
        <v>0</v>
      </c>
      <c r="M1166" s="0" t="n">
        <v>0</v>
      </c>
      <c r="N1166" s="0" t="n">
        <v>5</v>
      </c>
      <c r="O1166" s="5" t="n">
        <v>0</v>
      </c>
      <c r="P1166" s="5" t="n">
        <v>0</v>
      </c>
      <c r="Q1166" s="4" t="s">
        <v>4526</v>
      </c>
      <c r="R1166" s="4" t="s">
        <v>454</v>
      </c>
      <c r="S1166" s="5" t="n">
        <v>0.000810185185185185</v>
      </c>
      <c r="T1166" s="5" t="n">
        <v>0.216435185185185</v>
      </c>
      <c r="U1166" s="5" t="n">
        <v>0.168287037037037</v>
      </c>
      <c r="V1166" s="5" t="n">
        <v>0.228009259259259</v>
      </c>
      <c r="W1166" s="5" t="n">
        <v>0.000231481481481482</v>
      </c>
      <c r="X1166" s="5" t="n">
        <v>0</v>
      </c>
      <c r="Y1166" s="5" t="n">
        <v>0</v>
      </c>
      <c r="Z1166" s="0" t="n">
        <v>0</v>
      </c>
      <c r="AA1166" s="0" t="n">
        <v>0</v>
      </c>
      <c r="AB1166" s="0" t="n">
        <v>0</v>
      </c>
      <c r="AC1166" s="4" t="s">
        <v>75</v>
      </c>
      <c r="AD1166" s="4" t="s">
        <v>74</v>
      </c>
      <c r="AE1166" s="4" t="s">
        <v>4521</v>
      </c>
      <c r="AF1166" s="4" t="s">
        <v>4521</v>
      </c>
      <c r="AG1166" s="5" t="n">
        <v>0.524988425925926</v>
      </c>
      <c r="AH1166" s="5" t="n">
        <v>0.20962962962963</v>
      </c>
      <c r="AI1166" s="5" t="n">
        <v>0</v>
      </c>
      <c r="AJ1166" s="5" t="n">
        <v>0</v>
      </c>
      <c r="AK1166" s="5" t="n">
        <v>0</v>
      </c>
      <c r="AL1166" s="5" t="n">
        <v>0</v>
      </c>
      <c r="AM1166" s="4" t="s">
        <v>78</v>
      </c>
      <c r="AN1166" s="0" t="n">
        <v>0</v>
      </c>
      <c r="AO1166" s="0" t="n">
        <v>0</v>
      </c>
      <c r="AP1166" s="0" t="n">
        <v>0</v>
      </c>
      <c r="AQ1166" s="0" t="n">
        <v>0</v>
      </c>
      <c r="AR1166" s="0" t="n">
        <v>0</v>
      </c>
      <c r="AS1166" s="0" t="n">
        <v>0</v>
      </c>
      <c r="AT1166" s="0" t="n">
        <v>0</v>
      </c>
      <c r="AU1166" s="0" t="n">
        <v>7</v>
      </c>
      <c r="AV1166" s="0" t="n">
        <v>0</v>
      </c>
      <c r="AW1166" s="0" t="n">
        <v>0</v>
      </c>
      <c r="AX1166" s="0" t="n">
        <v>0</v>
      </c>
      <c r="AY1166" s="0" t="n">
        <v>0</v>
      </c>
      <c r="AZ1166" s="0" t="n">
        <v>0</v>
      </c>
      <c r="BA1166" s="0" t="n">
        <v>0</v>
      </c>
      <c r="BB1166" s="0" t="n">
        <v>0</v>
      </c>
      <c r="BC1166" s="0" t="n">
        <v>0</v>
      </c>
      <c r="BD1166" s="0" t="n">
        <v>0</v>
      </c>
      <c r="BE1166" s="0" t="n">
        <v>0</v>
      </c>
      <c r="BF1166" s="0" t="n">
        <v>0</v>
      </c>
      <c r="BG1166" s="0" t="n">
        <v>0</v>
      </c>
      <c r="BH1166" s="0" t="n">
        <v>0</v>
      </c>
      <c r="BI1166" s="0" t="n">
        <v>0</v>
      </c>
      <c r="BJ1166" s="0" t="n">
        <v>0</v>
      </c>
      <c r="BK1166" s="0" t="n">
        <v>0</v>
      </c>
      <c r="BM1166" s="6" t="n">
        <f aca="false">IFERROR(VALUE(F1166),"")</f>
        <v>0</v>
      </c>
      <c r="BN1166" s="6" t="n">
        <f aca="false">IF(R1166="-","",IFERROR(VALUE(LEFT(Q1166,LEN(Q1166)-2)),""))</f>
        <v>143.57</v>
      </c>
      <c r="BO1166" s="6" t="n">
        <f aca="false">IF(R1166="-","",IFERROR(VALUE(LEFT(R1166,LEN(R1166)-5)),""))</f>
        <v>0</v>
      </c>
      <c r="BP1166" s="6" t="n">
        <f aca="false">IF(R1166="-","",IFERROR(VALUE(F1166),""))</f>
        <v>0</v>
      </c>
      <c r="BQ1166" s="4" t="n">
        <f aca="false">IF(R1166="-",1,0)</f>
        <v>0</v>
      </c>
    </row>
    <row r="1167" customFormat="false" ht="15" hidden="false" customHeight="false" outlineLevel="0" collapsed="false">
      <c r="A1167" s="0" t="s">
        <v>4517</v>
      </c>
      <c r="B1167" s="0" t="s">
        <v>4518</v>
      </c>
      <c r="C1167" s="0" t="s">
        <v>70</v>
      </c>
      <c r="D1167" s="0" t="s">
        <v>3419</v>
      </c>
      <c r="E1167" s="3" t="n">
        <v>46277</v>
      </c>
      <c r="F1167" s="4" t="s">
        <v>95</v>
      </c>
      <c r="G1167" s="5" t="n">
        <v>0.103530092592593</v>
      </c>
      <c r="H1167" s="5" t="n">
        <v>0.0950462962962963</v>
      </c>
      <c r="I1167" s="5" t="n">
        <v>0.000208333333333333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5" t="n">
        <v>0</v>
      </c>
      <c r="P1167" s="5" t="n">
        <v>0</v>
      </c>
      <c r="Q1167" s="4" t="s">
        <v>4527</v>
      </c>
      <c r="R1167" s="4" t="s">
        <v>454</v>
      </c>
      <c r="S1167" s="5" t="n">
        <v>0.000115740740740741</v>
      </c>
      <c r="T1167" s="5" t="n">
        <v>0.0599537037037037</v>
      </c>
      <c r="U1167" s="5" t="n">
        <v>0.0162037037037037</v>
      </c>
      <c r="V1167" s="5" t="n">
        <v>0.0217592592592593</v>
      </c>
      <c r="W1167" s="5" t="n">
        <v>0.000115740740740741</v>
      </c>
      <c r="X1167" s="5" t="n">
        <v>0</v>
      </c>
      <c r="Y1167" s="5" t="n">
        <v>0</v>
      </c>
      <c r="Z1167" s="0" t="n">
        <v>0</v>
      </c>
      <c r="AA1167" s="0" t="n">
        <v>0</v>
      </c>
      <c r="AB1167" s="0" t="n">
        <v>0</v>
      </c>
      <c r="AC1167" s="4" t="s">
        <v>74</v>
      </c>
      <c r="AD1167" s="4" t="s">
        <v>75</v>
      </c>
      <c r="AE1167" s="4" t="s">
        <v>4521</v>
      </c>
      <c r="AF1167" s="4" t="s">
        <v>4521</v>
      </c>
      <c r="AG1167" s="5" t="n">
        <v>0.0644907407407407</v>
      </c>
      <c r="AH1167" s="5" t="n">
        <v>0.0777777777777778</v>
      </c>
      <c r="AI1167" s="5" t="n">
        <v>0</v>
      </c>
      <c r="AJ1167" s="5" t="n">
        <v>0</v>
      </c>
      <c r="AK1167" s="5" t="n">
        <v>0</v>
      </c>
      <c r="AL1167" s="5" t="n">
        <v>0</v>
      </c>
      <c r="AM1167" s="4" t="s">
        <v>78</v>
      </c>
      <c r="AN1167" s="0" t="n">
        <v>0</v>
      </c>
      <c r="AO1167" s="0" t="n">
        <v>0</v>
      </c>
      <c r="AP1167" s="0" t="n">
        <v>0</v>
      </c>
      <c r="AQ1167" s="0" t="n">
        <v>0</v>
      </c>
      <c r="AR1167" s="0" t="n">
        <v>0</v>
      </c>
      <c r="AS1167" s="0" t="n">
        <v>1</v>
      </c>
      <c r="AT1167" s="0" t="n">
        <v>0</v>
      </c>
      <c r="AU1167" s="0" t="n">
        <v>1</v>
      </c>
      <c r="AV1167" s="0" t="n">
        <v>0</v>
      </c>
      <c r="AW1167" s="0" t="n">
        <v>0</v>
      </c>
      <c r="AX1167" s="0" t="n">
        <v>0</v>
      </c>
      <c r="AY1167" s="0" t="n">
        <v>0</v>
      </c>
      <c r="AZ1167" s="0" t="n">
        <v>0</v>
      </c>
      <c r="BA1167" s="0" t="n">
        <v>0</v>
      </c>
      <c r="BB1167" s="0" t="n">
        <v>0</v>
      </c>
      <c r="BC1167" s="0" t="n">
        <v>0</v>
      </c>
      <c r="BD1167" s="0" t="n">
        <v>0</v>
      </c>
      <c r="BE1167" s="0" t="n">
        <v>0</v>
      </c>
      <c r="BF1167" s="0" t="n">
        <v>0</v>
      </c>
      <c r="BG1167" s="0" t="n">
        <v>0</v>
      </c>
      <c r="BH1167" s="0" t="n">
        <v>0</v>
      </c>
      <c r="BI1167" s="0" t="n">
        <v>0</v>
      </c>
      <c r="BJ1167" s="0" t="n">
        <v>0</v>
      </c>
      <c r="BK1167" s="0" t="n">
        <v>0</v>
      </c>
      <c r="BM1167" s="6" t="n">
        <f aca="false">IFERROR(VALUE(F1167),"")</f>
        <v>0</v>
      </c>
      <c r="BN1167" s="6" t="n">
        <f aca="false">IF(R1167="-","",IFERROR(VALUE(LEFT(Q1167,LEN(Q1167)-2)),""))</f>
        <v>15.85</v>
      </c>
      <c r="BO1167" s="6" t="n">
        <f aca="false">IF(R1167="-","",IFERROR(VALUE(LEFT(R1167,LEN(R1167)-5)),""))</f>
        <v>0</v>
      </c>
      <c r="BP1167" s="6" t="n">
        <f aca="false">IF(R1167="-","",IFERROR(VALUE(F1167),""))</f>
        <v>0</v>
      </c>
      <c r="BQ1167" s="4" t="n">
        <f aca="false">IF(R1167="-",1,0)</f>
        <v>0</v>
      </c>
    </row>
    <row r="1168" customFormat="false" ht="15" hidden="false" customHeight="false" outlineLevel="0" collapsed="false">
      <c r="A1168" s="0" t="s">
        <v>4517</v>
      </c>
      <c r="B1168" s="0" t="s">
        <v>4518</v>
      </c>
      <c r="C1168" s="0" t="s">
        <v>70</v>
      </c>
      <c r="D1168" s="0" t="s">
        <v>4528</v>
      </c>
      <c r="E1168" s="3" t="n">
        <v>46278</v>
      </c>
      <c r="F1168" s="4" t="s">
        <v>95</v>
      </c>
      <c r="G1168" s="5" t="n">
        <v>0.539918981481481</v>
      </c>
      <c r="H1168" s="5" t="n">
        <v>0.534768518518519</v>
      </c>
      <c r="I1168" s="5" t="n">
        <v>0.000821759259259259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6</v>
      </c>
      <c r="O1168" s="5" t="n">
        <v>0</v>
      </c>
      <c r="P1168" s="5" t="n">
        <v>0.0103009259259259</v>
      </c>
      <c r="Q1168" s="4" t="s">
        <v>4529</v>
      </c>
      <c r="R1168" s="4" t="s">
        <v>454</v>
      </c>
      <c r="S1168" s="5" t="n">
        <v>0.000925925925925926</v>
      </c>
      <c r="T1168" s="5" t="n">
        <v>0.18587962962963</v>
      </c>
      <c r="U1168" s="5" t="n">
        <v>0.169791666666667</v>
      </c>
      <c r="V1168" s="5" t="n">
        <v>0.173842592592593</v>
      </c>
      <c r="W1168" s="5" t="n">
        <v>0</v>
      </c>
      <c r="X1168" s="5" t="n">
        <v>0</v>
      </c>
      <c r="Y1168" s="5" t="n">
        <v>0</v>
      </c>
      <c r="Z1168" s="0" t="n">
        <v>0</v>
      </c>
      <c r="AA1168" s="0" t="n">
        <v>0</v>
      </c>
      <c r="AB1168" s="0" t="n">
        <v>0</v>
      </c>
      <c r="AC1168" s="4" t="s">
        <v>75</v>
      </c>
      <c r="AD1168" s="4" t="s">
        <v>75</v>
      </c>
      <c r="AE1168" s="4" t="s">
        <v>4521</v>
      </c>
      <c r="AF1168" s="4" t="s">
        <v>4521</v>
      </c>
      <c r="AG1168" s="5" t="n">
        <v>0.460868055555556</v>
      </c>
      <c r="AH1168" s="5" t="n">
        <v>0.217858796296296</v>
      </c>
      <c r="AI1168" s="5" t="n">
        <v>0</v>
      </c>
      <c r="AJ1168" s="5" t="n">
        <v>0</v>
      </c>
      <c r="AK1168" s="5" t="n">
        <v>0</v>
      </c>
      <c r="AL1168" s="5" t="n">
        <v>0</v>
      </c>
      <c r="AM1168" s="4" t="s">
        <v>78</v>
      </c>
      <c r="AN1168" s="0" t="n">
        <v>0</v>
      </c>
      <c r="AO1168" s="0" t="n">
        <v>0</v>
      </c>
      <c r="AP1168" s="0" t="n">
        <v>0</v>
      </c>
      <c r="AQ1168" s="0" t="n">
        <v>0</v>
      </c>
      <c r="AR1168" s="0" t="n">
        <v>4</v>
      </c>
      <c r="AS1168" s="0" t="n">
        <v>0</v>
      </c>
      <c r="AT1168" s="0" t="n">
        <v>0</v>
      </c>
      <c r="AU1168" s="0" t="n">
        <v>5</v>
      </c>
      <c r="AV1168" s="0" t="n">
        <v>0</v>
      </c>
      <c r="AW1168" s="0" t="n">
        <v>0</v>
      </c>
      <c r="AX1168" s="0" t="n">
        <v>0</v>
      </c>
      <c r="AY1168" s="0" t="n">
        <v>0</v>
      </c>
      <c r="AZ1168" s="0" t="n">
        <v>0</v>
      </c>
      <c r="BA1168" s="0" t="n">
        <v>0</v>
      </c>
      <c r="BB1168" s="0" t="n">
        <v>0</v>
      </c>
      <c r="BC1168" s="0" t="n">
        <v>0</v>
      </c>
      <c r="BD1168" s="0" t="n">
        <v>0</v>
      </c>
      <c r="BE1168" s="0" t="n">
        <v>0</v>
      </c>
      <c r="BF1168" s="0" t="n">
        <v>0</v>
      </c>
      <c r="BG1168" s="0" t="n">
        <v>0</v>
      </c>
      <c r="BH1168" s="0" t="n">
        <v>0</v>
      </c>
      <c r="BI1168" s="0" t="n">
        <v>0</v>
      </c>
      <c r="BJ1168" s="0" t="n">
        <v>0</v>
      </c>
      <c r="BK1168" s="0" t="n">
        <v>0</v>
      </c>
      <c r="BM1168" s="6" t="n">
        <f aca="false">IFERROR(VALUE(F1168),"")</f>
        <v>0</v>
      </c>
      <c r="BN1168" s="6" t="n">
        <f aca="false">IF(R1168="-","",IFERROR(VALUE(LEFT(Q1168,LEN(Q1168)-2)),""))</f>
        <v>113.9</v>
      </c>
      <c r="BO1168" s="6" t="n">
        <f aca="false">IF(R1168="-","",IFERROR(VALUE(LEFT(R1168,LEN(R1168)-5)),""))</f>
        <v>0</v>
      </c>
      <c r="BP1168" s="6" t="n">
        <f aca="false">IF(R1168="-","",IFERROR(VALUE(F1168),""))</f>
        <v>0</v>
      </c>
      <c r="BQ1168" s="4" t="n">
        <f aca="false">IF(R1168="-",1,0)</f>
        <v>0</v>
      </c>
    </row>
    <row r="1169" customFormat="false" ht="15" hidden="false" customHeight="false" outlineLevel="0" collapsed="false">
      <c r="A1169" s="0" t="s">
        <v>4517</v>
      </c>
      <c r="B1169" s="0" t="s">
        <v>4518</v>
      </c>
      <c r="C1169" s="0" t="s">
        <v>70</v>
      </c>
      <c r="D1169" s="0" t="s">
        <v>4519</v>
      </c>
      <c r="E1169" s="3" t="n">
        <v>46279</v>
      </c>
      <c r="F1169" s="4" t="s">
        <v>95</v>
      </c>
      <c r="G1169" s="5" t="n">
        <v>0.651030092592593</v>
      </c>
      <c r="H1169" s="5" t="n">
        <v>0.648576388888889</v>
      </c>
      <c r="I1169" s="5" t="n">
        <v>0.0183101851851852</v>
      </c>
      <c r="J1169" s="0" t="n">
        <v>0</v>
      </c>
      <c r="K1169" s="0" t="n">
        <v>1</v>
      </c>
      <c r="L1169" s="0" t="n">
        <v>0</v>
      </c>
      <c r="M1169" s="0" t="n">
        <v>0</v>
      </c>
      <c r="N1169" s="0" t="n">
        <v>6</v>
      </c>
      <c r="O1169" s="5" t="n">
        <v>0</v>
      </c>
      <c r="P1169" s="5" t="n">
        <v>0</v>
      </c>
      <c r="Q1169" s="4" t="s">
        <v>4530</v>
      </c>
      <c r="R1169" s="4" t="s">
        <v>454</v>
      </c>
      <c r="S1169" s="5" t="n">
        <v>0.000231481481481482</v>
      </c>
      <c r="T1169" s="5" t="n">
        <v>0.221064814814815</v>
      </c>
      <c r="U1169" s="5" t="n">
        <v>0.164814814814815</v>
      </c>
      <c r="V1169" s="5" t="n">
        <v>0.230787037037037</v>
      </c>
      <c r="W1169" s="5" t="n">
        <v>0.000115740740740741</v>
      </c>
      <c r="X1169" s="5" t="n">
        <v>0</v>
      </c>
      <c r="Y1169" s="5" t="n">
        <v>0</v>
      </c>
      <c r="Z1169" s="0" t="n">
        <v>0</v>
      </c>
      <c r="AA1169" s="0" t="n">
        <v>0</v>
      </c>
      <c r="AB1169" s="0" t="n">
        <v>0</v>
      </c>
      <c r="AC1169" s="4" t="s">
        <v>81</v>
      </c>
      <c r="AD1169" s="4" t="s">
        <v>228</v>
      </c>
      <c r="AE1169" s="4" t="s">
        <v>4521</v>
      </c>
      <c r="AF1169" s="4" t="s">
        <v>4521</v>
      </c>
      <c r="AG1169" s="5" t="n">
        <v>0.53005787037037</v>
      </c>
      <c r="AH1169" s="5" t="n">
        <v>0.162928240740741</v>
      </c>
      <c r="AI1169" s="5" t="n">
        <v>0</v>
      </c>
      <c r="AJ1169" s="5" t="n">
        <v>0</v>
      </c>
      <c r="AK1169" s="5" t="n">
        <v>0</v>
      </c>
      <c r="AL1169" s="5" t="n">
        <v>0</v>
      </c>
      <c r="AM1169" s="4" t="s">
        <v>78</v>
      </c>
      <c r="AN1169" s="0" t="n">
        <v>0</v>
      </c>
      <c r="AO1169" s="0" t="n">
        <v>0</v>
      </c>
      <c r="AP1169" s="0" t="n">
        <v>0</v>
      </c>
      <c r="AQ1169" s="0" t="n">
        <v>0</v>
      </c>
      <c r="AR1169" s="0" t="n">
        <v>0</v>
      </c>
      <c r="AS1169" s="0" t="n">
        <v>0</v>
      </c>
      <c r="AT1169" s="0" t="n">
        <v>0</v>
      </c>
      <c r="AU1169" s="0" t="n">
        <v>11</v>
      </c>
      <c r="AV1169" s="0" t="n">
        <v>0</v>
      </c>
      <c r="AW1169" s="0" t="n">
        <v>0</v>
      </c>
      <c r="AX1169" s="0" t="n">
        <v>0</v>
      </c>
      <c r="AY1169" s="0" t="n">
        <v>0</v>
      </c>
      <c r="AZ1169" s="0" t="n">
        <v>0</v>
      </c>
      <c r="BA1169" s="0" t="n">
        <v>0</v>
      </c>
      <c r="BB1169" s="0" t="n">
        <v>0</v>
      </c>
      <c r="BC1169" s="0" t="n">
        <v>0</v>
      </c>
      <c r="BD1169" s="0" t="n">
        <v>0</v>
      </c>
      <c r="BE1169" s="0" t="n">
        <v>0</v>
      </c>
      <c r="BF1169" s="0" t="n">
        <v>0</v>
      </c>
      <c r="BG1169" s="0" t="n">
        <v>0</v>
      </c>
      <c r="BH1169" s="0" t="n">
        <v>0</v>
      </c>
      <c r="BI1169" s="0" t="n">
        <v>0</v>
      </c>
      <c r="BJ1169" s="0" t="n">
        <v>0</v>
      </c>
      <c r="BK1169" s="0" t="n">
        <v>0</v>
      </c>
      <c r="BM1169" s="6" t="n">
        <f aca="false">IFERROR(VALUE(F1169),"")</f>
        <v>0</v>
      </c>
      <c r="BN1169" s="6" t="n">
        <f aca="false">IF(R1169="-","",IFERROR(VALUE(LEFT(Q1169,LEN(Q1169)-2)),""))</f>
        <v>140.8</v>
      </c>
      <c r="BO1169" s="6" t="n">
        <f aca="false">IF(R1169="-","",IFERROR(VALUE(LEFT(R1169,LEN(R1169)-5)),""))</f>
        <v>0</v>
      </c>
      <c r="BP1169" s="6" t="n">
        <f aca="false">IF(R1169="-","",IFERROR(VALUE(F1169),""))</f>
        <v>0</v>
      </c>
      <c r="BQ1169" s="4" t="n">
        <f aca="false">IF(R1169="-",1,0)</f>
        <v>0</v>
      </c>
    </row>
    <row r="1170" customFormat="false" ht="15" hidden="false" customHeight="false" outlineLevel="0" collapsed="false">
      <c r="A1170" s="0" t="s">
        <v>4531</v>
      </c>
      <c r="B1170" s="0" t="s">
        <v>4532</v>
      </c>
      <c r="C1170" s="0" t="s">
        <v>70</v>
      </c>
      <c r="E1170" s="3" t="n">
        <v>46273</v>
      </c>
      <c r="F1170" s="4" t="s">
        <v>95</v>
      </c>
      <c r="G1170" s="5" t="n">
        <v>0.285729166666667</v>
      </c>
      <c r="H1170" s="5" t="n">
        <v>0</v>
      </c>
      <c r="I1170" s="5" t="n">
        <v>0.000289351851851852</v>
      </c>
      <c r="J1170" s="0" t="n">
        <v>0</v>
      </c>
      <c r="K1170" s="0" t="n">
        <v>1</v>
      </c>
      <c r="L1170" s="0" t="n">
        <v>0</v>
      </c>
      <c r="M1170" s="0" t="n">
        <v>0</v>
      </c>
      <c r="N1170" s="0" t="n">
        <v>1</v>
      </c>
      <c r="O1170" s="5" t="n">
        <v>0</v>
      </c>
      <c r="P1170" s="5" t="n">
        <v>0.016724537037037</v>
      </c>
      <c r="Q1170" s="4" t="s">
        <v>4533</v>
      </c>
      <c r="R1170" s="4" t="s">
        <v>454</v>
      </c>
      <c r="S1170" s="5" t="n">
        <v>0.000115740740740741</v>
      </c>
      <c r="T1170" s="5" t="n">
        <v>0.0712962962962963</v>
      </c>
      <c r="U1170" s="5" t="n">
        <v>0.0525462962962963</v>
      </c>
      <c r="V1170" s="5" t="n">
        <v>0.0789351851851852</v>
      </c>
      <c r="W1170" s="5" t="n">
        <v>0.000231481481481482</v>
      </c>
      <c r="X1170" s="5" t="n">
        <v>0</v>
      </c>
      <c r="Y1170" s="5" t="n">
        <v>0</v>
      </c>
      <c r="Z1170" s="0" t="n">
        <v>0</v>
      </c>
      <c r="AA1170" s="0" t="n">
        <v>0</v>
      </c>
      <c r="AB1170" s="0" t="n">
        <v>0</v>
      </c>
      <c r="AC1170" s="4" t="s">
        <v>81</v>
      </c>
      <c r="AD1170" s="4" t="s">
        <v>81</v>
      </c>
      <c r="AE1170" s="4" t="s">
        <v>4534</v>
      </c>
      <c r="AF1170" s="4" t="s">
        <v>4534</v>
      </c>
      <c r="AG1170" s="5" t="n">
        <v>0.169050925925926</v>
      </c>
      <c r="AH1170" s="5" t="n">
        <v>0.122835648148148</v>
      </c>
      <c r="AI1170" s="5" t="n">
        <v>0</v>
      </c>
      <c r="AJ1170" s="5" t="n">
        <v>0</v>
      </c>
      <c r="AK1170" s="5" t="n">
        <v>0</v>
      </c>
      <c r="AL1170" s="5" t="n">
        <v>0</v>
      </c>
      <c r="AM1170" s="4" t="s">
        <v>78</v>
      </c>
      <c r="AN1170" s="0" t="n">
        <v>0</v>
      </c>
      <c r="AO1170" s="0" t="n">
        <v>0</v>
      </c>
      <c r="AP1170" s="0" t="n">
        <v>0</v>
      </c>
      <c r="AQ1170" s="0" t="n">
        <v>0</v>
      </c>
      <c r="AR1170" s="0" t="n">
        <v>0</v>
      </c>
      <c r="AS1170" s="0" t="n">
        <v>0</v>
      </c>
      <c r="AT1170" s="0" t="n">
        <v>0</v>
      </c>
      <c r="AU1170" s="0" t="n">
        <v>0</v>
      </c>
      <c r="AV1170" s="0" t="n">
        <v>0</v>
      </c>
      <c r="AW1170" s="0" t="n">
        <v>0</v>
      </c>
      <c r="AX1170" s="0" t="n">
        <v>0</v>
      </c>
      <c r="AY1170" s="0" t="n">
        <v>0</v>
      </c>
      <c r="AZ1170" s="0" t="n">
        <v>0</v>
      </c>
      <c r="BA1170" s="0" t="n">
        <v>0</v>
      </c>
      <c r="BB1170" s="0" t="n">
        <v>0</v>
      </c>
      <c r="BC1170" s="0" t="n">
        <v>0</v>
      </c>
      <c r="BD1170" s="0" t="n">
        <v>0</v>
      </c>
      <c r="BE1170" s="0" t="n">
        <v>0</v>
      </c>
      <c r="BF1170" s="0" t="n">
        <v>0</v>
      </c>
      <c r="BG1170" s="0" t="n">
        <v>0</v>
      </c>
      <c r="BH1170" s="0" t="n">
        <v>0</v>
      </c>
      <c r="BI1170" s="0" t="n">
        <v>0</v>
      </c>
      <c r="BJ1170" s="0" t="n">
        <v>0</v>
      </c>
      <c r="BK1170" s="0" t="n">
        <v>0</v>
      </c>
      <c r="BM1170" s="6" t="n">
        <f aca="false">IFERROR(VALUE(F1170),"")</f>
        <v>0</v>
      </c>
      <c r="BN1170" s="6" t="n">
        <f aca="false">IF(R1170="-","",IFERROR(VALUE(LEFT(Q1170,LEN(Q1170)-2)),""))</f>
        <v>43.06</v>
      </c>
      <c r="BO1170" s="6" t="n">
        <f aca="false">IF(R1170="-","",IFERROR(VALUE(LEFT(R1170,LEN(R1170)-5)),""))</f>
        <v>0</v>
      </c>
      <c r="BP1170" s="6" t="n">
        <f aca="false">IF(R1170="-","",IFERROR(VALUE(F1170),""))</f>
        <v>0</v>
      </c>
      <c r="BQ1170" s="4" t="n">
        <f aca="false">IF(R1170="-",1,0)</f>
        <v>0</v>
      </c>
    </row>
    <row r="1171" customFormat="false" ht="15" hidden="false" customHeight="false" outlineLevel="0" collapsed="false">
      <c r="A1171" s="0" t="s">
        <v>4531</v>
      </c>
      <c r="B1171" s="0" t="s">
        <v>4532</v>
      </c>
      <c r="C1171" s="0" t="s">
        <v>70</v>
      </c>
      <c r="E1171" s="3" t="n">
        <v>46274</v>
      </c>
      <c r="F1171" s="4" t="s">
        <v>95</v>
      </c>
      <c r="G1171" s="5" t="n">
        <v>0.0384953703703704</v>
      </c>
      <c r="H1171" s="5" t="n">
        <v>0</v>
      </c>
      <c r="I1171" s="5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5" t="n">
        <v>0</v>
      </c>
      <c r="P1171" s="5" t="n">
        <v>0.0169791666666667</v>
      </c>
      <c r="Q1171" s="4" t="s">
        <v>4535</v>
      </c>
      <c r="R1171" s="4" t="s">
        <v>454</v>
      </c>
      <c r="S1171" s="5" t="n">
        <v>0.000115740740740741</v>
      </c>
      <c r="T1171" s="5" t="n">
        <v>0.0170138888888889</v>
      </c>
      <c r="U1171" s="5" t="n">
        <v>0.00289351851851852</v>
      </c>
      <c r="V1171" s="5" t="n">
        <v>0.00578703703703704</v>
      </c>
      <c r="W1171" s="5" t="n">
        <v>0</v>
      </c>
      <c r="X1171" s="5" t="n">
        <v>0</v>
      </c>
      <c r="Y1171" s="5" t="n">
        <v>0</v>
      </c>
      <c r="Z1171" s="0" t="n">
        <v>0</v>
      </c>
      <c r="AA1171" s="0" t="n">
        <v>0</v>
      </c>
      <c r="AB1171" s="0" t="n">
        <v>0</v>
      </c>
      <c r="AC1171" s="4" t="s">
        <v>81</v>
      </c>
      <c r="AD1171" s="4" t="s">
        <v>81</v>
      </c>
      <c r="AE1171" s="4" t="s">
        <v>4534</v>
      </c>
      <c r="AF1171" s="4" t="s">
        <v>4534</v>
      </c>
      <c r="AG1171" s="5" t="n">
        <v>0.00407407407407407</v>
      </c>
      <c r="AH1171" s="5" t="n">
        <v>0.0592592592592593</v>
      </c>
      <c r="AI1171" s="5" t="n">
        <v>0</v>
      </c>
      <c r="AJ1171" s="5" t="n">
        <v>0</v>
      </c>
      <c r="AK1171" s="5" t="n">
        <v>0</v>
      </c>
      <c r="AL1171" s="5" t="n">
        <v>0</v>
      </c>
      <c r="AM1171" s="4" t="s">
        <v>78</v>
      </c>
      <c r="AN1171" s="0" t="n">
        <v>0</v>
      </c>
      <c r="AO1171" s="0" t="n">
        <v>0</v>
      </c>
      <c r="AP1171" s="0" t="n">
        <v>0</v>
      </c>
      <c r="AQ1171" s="0" t="n">
        <v>0</v>
      </c>
      <c r="AR1171" s="0" t="n">
        <v>0</v>
      </c>
      <c r="AS1171" s="0" t="n">
        <v>0</v>
      </c>
      <c r="AT1171" s="0" t="n">
        <v>0</v>
      </c>
      <c r="AU1171" s="0" t="n">
        <v>0</v>
      </c>
      <c r="AV1171" s="0" t="n">
        <v>0</v>
      </c>
      <c r="AW1171" s="0" t="n">
        <v>0</v>
      </c>
      <c r="AX1171" s="0" t="n">
        <v>0</v>
      </c>
      <c r="AY1171" s="0" t="n">
        <v>0</v>
      </c>
      <c r="AZ1171" s="0" t="n">
        <v>0</v>
      </c>
      <c r="BA1171" s="0" t="n">
        <v>0</v>
      </c>
      <c r="BB1171" s="0" t="n">
        <v>0</v>
      </c>
      <c r="BC1171" s="0" t="n">
        <v>0</v>
      </c>
      <c r="BD1171" s="0" t="n">
        <v>0</v>
      </c>
      <c r="BE1171" s="0" t="n">
        <v>0</v>
      </c>
      <c r="BF1171" s="0" t="n">
        <v>0</v>
      </c>
      <c r="BG1171" s="0" t="n">
        <v>0</v>
      </c>
      <c r="BH1171" s="0" t="n">
        <v>0</v>
      </c>
      <c r="BI1171" s="0" t="n">
        <v>0</v>
      </c>
      <c r="BJ1171" s="0" t="n">
        <v>0</v>
      </c>
      <c r="BK1171" s="0" t="n">
        <v>0</v>
      </c>
      <c r="BM1171" s="6" t="n">
        <f aca="false">IFERROR(VALUE(F1171),"")</f>
        <v>0</v>
      </c>
      <c r="BN1171" s="6" t="n">
        <f aca="false">IF(R1171="-","",IFERROR(VALUE(LEFT(Q1171,LEN(Q1171)-2)),""))</f>
        <v>3.07</v>
      </c>
      <c r="BO1171" s="6" t="n">
        <f aca="false">IF(R1171="-","",IFERROR(VALUE(LEFT(R1171,LEN(R1171)-5)),""))</f>
        <v>0</v>
      </c>
      <c r="BP1171" s="6" t="n">
        <f aca="false">IF(R1171="-","",IFERROR(VALUE(F1171),""))</f>
        <v>0</v>
      </c>
      <c r="BQ1171" s="4" t="n">
        <f aca="false">IF(R1171="-",1,0)</f>
        <v>0</v>
      </c>
    </row>
    <row r="1172" customFormat="false" ht="15" hidden="false" customHeight="false" outlineLevel="0" collapsed="false">
      <c r="A1172" s="0" t="s">
        <v>4531</v>
      </c>
      <c r="B1172" s="0" t="s">
        <v>4532</v>
      </c>
      <c r="C1172" s="0" t="s">
        <v>70</v>
      </c>
      <c r="E1172" s="3" t="n">
        <v>46275</v>
      </c>
      <c r="F1172" s="4" t="s">
        <v>95</v>
      </c>
      <c r="G1172" s="5" t="n">
        <v>0.722372685185185</v>
      </c>
      <c r="H1172" s="5" t="n">
        <v>0</v>
      </c>
      <c r="I1172" s="5" t="n">
        <v>0.000740740740740741</v>
      </c>
      <c r="J1172" s="0" t="n">
        <v>0</v>
      </c>
      <c r="K1172" s="0" t="n">
        <v>1</v>
      </c>
      <c r="L1172" s="0" t="n">
        <v>0</v>
      </c>
      <c r="M1172" s="0" t="n">
        <v>0</v>
      </c>
      <c r="N1172" s="0" t="n">
        <v>0</v>
      </c>
      <c r="O1172" s="5" t="n">
        <v>0</v>
      </c>
      <c r="P1172" s="5" t="n">
        <v>0.00711805555555556</v>
      </c>
      <c r="Q1172" s="4" t="s">
        <v>4536</v>
      </c>
      <c r="R1172" s="4" t="s">
        <v>454</v>
      </c>
      <c r="S1172" s="5" t="n">
        <v>0.000347222222222222</v>
      </c>
      <c r="T1172" s="5" t="n">
        <v>0.225925925925926</v>
      </c>
      <c r="U1172" s="5" t="n">
        <v>0.178009259259259</v>
      </c>
      <c r="V1172" s="5" t="n">
        <v>0.268865740740741</v>
      </c>
      <c r="W1172" s="5" t="n">
        <v>0.000115740740740741</v>
      </c>
      <c r="X1172" s="5" t="n">
        <v>0</v>
      </c>
      <c r="Y1172" s="5" t="n">
        <v>0</v>
      </c>
      <c r="Z1172" s="0" t="n">
        <v>0</v>
      </c>
      <c r="AA1172" s="0" t="n">
        <v>0</v>
      </c>
      <c r="AB1172" s="0" t="n">
        <v>0</v>
      </c>
      <c r="AC1172" s="4" t="s">
        <v>4537</v>
      </c>
      <c r="AD1172" s="4" t="s">
        <v>75</v>
      </c>
      <c r="AE1172" s="4" t="s">
        <v>4534</v>
      </c>
      <c r="AF1172" s="4" t="s">
        <v>4534</v>
      </c>
      <c r="AG1172" s="5" t="n">
        <v>0.582175925925926</v>
      </c>
      <c r="AH1172" s="5" t="n">
        <v>0.211400462962963</v>
      </c>
      <c r="AI1172" s="5" t="n">
        <v>0</v>
      </c>
      <c r="AJ1172" s="5" t="n">
        <v>0</v>
      </c>
      <c r="AK1172" s="5" t="n">
        <v>0</v>
      </c>
      <c r="AL1172" s="5" t="n">
        <v>0</v>
      </c>
      <c r="AM1172" s="4" t="s">
        <v>78</v>
      </c>
      <c r="AN1172" s="0" t="n">
        <v>0</v>
      </c>
      <c r="AO1172" s="0" t="n">
        <v>0</v>
      </c>
      <c r="AP1172" s="0" t="n">
        <v>0</v>
      </c>
      <c r="AQ1172" s="0" t="n">
        <v>0</v>
      </c>
      <c r="AR1172" s="0" t="n">
        <v>0</v>
      </c>
      <c r="AS1172" s="0" t="n">
        <v>0</v>
      </c>
      <c r="AT1172" s="0" t="n">
        <v>0</v>
      </c>
      <c r="AU1172" s="0" t="n">
        <v>0</v>
      </c>
      <c r="AV1172" s="0" t="n">
        <v>0</v>
      </c>
      <c r="AW1172" s="0" t="n">
        <v>0</v>
      </c>
      <c r="AX1172" s="0" t="n">
        <v>0</v>
      </c>
      <c r="AY1172" s="0" t="n">
        <v>0</v>
      </c>
      <c r="AZ1172" s="0" t="n">
        <v>0</v>
      </c>
      <c r="BA1172" s="0" t="n">
        <v>0</v>
      </c>
      <c r="BB1172" s="0" t="n">
        <v>0</v>
      </c>
      <c r="BC1172" s="0" t="n">
        <v>0</v>
      </c>
      <c r="BD1172" s="0" t="n">
        <v>0</v>
      </c>
      <c r="BE1172" s="0" t="n">
        <v>0</v>
      </c>
      <c r="BF1172" s="0" t="n">
        <v>0</v>
      </c>
      <c r="BG1172" s="0" t="n">
        <v>0</v>
      </c>
      <c r="BH1172" s="0" t="n">
        <v>0</v>
      </c>
      <c r="BI1172" s="0" t="n">
        <v>0</v>
      </c>
      <c r="BJ1172" s="0" t="n">
        <v>0</v>
      </c>
      <c r="BK1172" s="0" t="n">
        <v>0</v>
      </c>
      <c r="BM1172" s="6" t="n">
        <f aca="false">IFERROR(VALUE(F1172),"")</f>
        <v>0</v>
      </c>
      <c r="BN1172" s="6" t="n">
        <f aca="false">IF(R1172="-","",IFERROR(VALUE(LEFT(Q1172,LEN(Q1172)-2)),""))</f>
        <v>162.62</v>
      </c>
      <c r="BO1172" s="6" t="n">
        <f aca="false">IF(R1172="-","",IFERROR(VALUE(LEFT(R1172,LEN(R1172)-5)),""))</f>
        <v>0</v>
      </c>
      <c r="BP1172" s="6" t="n">
        <f aca="false">IF(R1172="-","",IFERROR(VALUE(F1172),""))</f>
        <v>0</v>
      </c>
      <c r="BQ1172" s="4" t="n">
        <f aca="false">IF(R1172="-",1,0)</f>
        <v>0</v>
      </c>
    </row>
    <row r="1173" customFormat="false" ht="15" hidden="false" customHeight="false" outlineLevel="0" collapsed="false">
      <c r="A1173" s="0" t="s">
        <v>4531</v>
      </c>
      <c r="B1173" s="0" t="s">
        <v>4532</v>
      </c>
      <c r="C1173" s="0" t="s">
        <v>70</v>
      </c>
      <c r="E1173" s="3" t="n">
        <v>46276</v>
      </c>
      <c r="F1173" s="4" t="s">
        <v>95</v>
      </c>
      <c r="G1173" s="5" t="n">
        <v>0.720219907407407</v>
      </c>
      <c r="H1173" s="5" t="n">
        <v>0</v>
      </c>
      <c r="I1173" s="5" t="n">
        <v>0.000578703703703704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1</v>
      </c>
      <c r="O1173" s="5" t="n">
        <v>0</v>
      </c>
      <c r="P1173" s="5" t="n">
        <v>0</v>
      </c>
      <c r="Q1173" s="4" t="s">
        <v>4538</v>
      </c>
      <c r="R1173" s="4" t="s">
        <v>454</v>
      </c>
      <c r="S1173" s="5" t="n">
        <v>0.000810185185185185</v>
      </c>
      <c r="T1173" s="5" t="n">
        <v>0.235416666666667</v>
      </c>
      <c r="U1173" s="5" t="n">
        <v>0.171990740740741</v>
      </c>
      <c r="V1173" s="5" t="n">
        <v>0.255208333333333</v>
      </c>
      <c r="W1173" s="5" t="n">
        <v>0.000115740740740741</v>
      </c>
      <c r="X1173" s="5" t="n">
        <v>0</v>
      </c>
      <c r="Y1173" s="5" t="n">
        <v>0</v>
      </c>
      <c r="Z1173" s="0" t="n">
        <v>0</v>
      </c>
      <c r="AA1173" s="0" t="n">
        <v>0</v>
      </c>
      <c r="AB1173" s="0" t="n">
        <v>0</v>
      </c>
      <c r="AC1173" s="4" t="s">
        <v>81</v>
      </c>
      <c r="AD1173" s="4" t="s">
        <v>74</v>
      </c>
      <c r="AE1173" s="4" t="s">
        <v>4534</v>
      </c>
      <c r="AF1173" s="4" t="s">
        <v>4534</v>
      </c>
      <c r="AG1173" s="5" t="n">
        <v>0.559479166666667</v>
      </c>
      <c r="AH1173" s="5" t="n">
        <v>0.203703703703704</v>
      </c>
      <c r="AI1173" s="5" t="n">
        <v>0</v>
      </c>
      <c r="AJ1173" s="5" t="n">
        <v>0</v>
      </c>
      <c r="AK1173" s="5" t="n">
        <v>0</v>
      </c>
      <c r="AL1173" s="5" t="n">
        <v>0</v>
      </c>
      <c r="AM1173" s="4" t="s">
        <v>78</v>
      </c>
      <c r="AN1173" s="0" t="n">
        <v>0</v>
      </c>
      <c r="AO1173" s="0" t="n">
        <v>0</v>
      </c>
      <c r="AP1173" s="0" t="n">
        <v>0</v>
      </c>
      <c r="AQ1173" s="0" t="n">
        <v>0</v>
      </c>
      <c r="AR1173" s="0" t="n">
        <v>0</v>
      </c>
      <c r="AS1173" s="0" t="n">
        <v>0</v>
      </c>
      <c r="AT1173" s="0" t="n">
        <v>0</v>
      </c>
      <c r="AU1173" s="0" t="n">
        <v>0</v>
      </c>
      <c r="AV1173" s="0" t="n">
        <v>0</v>
      </c>
      <c r="AW1173" s="0" t="n">
        <v>0</v>
      </c>
      <c r="AX1173" s="0" t="n">
        <v>0</v>
      </c>
      <c r="AY1173" s="0" t="n">
        <v>0</v>
      </c>
      <c r="AZ1173" s="0" t="n">
        <v>0</v>
      </c>
      <c r="BA1173" s="0" t="n">
        <v>0</v>
      </c>
      <c r="BB1173" s="0" t="n">
        <v>0</v>
      </c>
      <c r="BC1173" s="0" t="n">
        <v>0</v>
      </c>
      <c r="BD1173" s="0" t="n">
        <v>0</v>
      </c>
      <c r="BE1173" s="0" t="n">
        <v>0</v>
      </c>
      <c r="BF1173" s="0" t="n">
        <v>0</v>
      </c>
      <c r="BG1173" s="0" t="n">
        <v>0</v>
      </c>
      <c r="BH1173" s="0" t="n">
        <v>0</v>
      </c>
      <c r="BI1173" s="0" t="n">
        <v>0</v>
      </c>
      <c r="BJ1173" s="0" t="n">
        <v>0</v>
      </c>
      <c r="BK1173" s="0" t="n">
        <v>0</v>
      </c>
      <c r="BM1173" s="6" t="n">
        <f aca="false">IFERROR(VALUE(F1173),"")</f>
        <v>0</v>
      </c>
      <c r="BN1173" s="6" t="n">
        <f aca="false">IF(R1173="-","",IFERROR(VALUE(LEFT(Q1173,LEN(Q1173)-2)),""))</f>
        <v>155.61</v>
      </c>
      <c r="BO1173" s="6" t="n">
        <f aca="false">IF(R1173="-","",IFERROR(VALUE(LEFT(R1173,LEN(R1173)-5)),""))</f>
        <v>0</v>
      </c>
      <c r="BP1173" s="6" t="n">
        <f aca="false">IF(R1173="-","",IFERROR(VALUE(F1173),""))</f>
        <v>0</v>
      </c>
      <c r="BQ1173" s="4" t="n">
        <f aca="false">IF(R1173="-",1,0)</f>
        <v>0</v>
      </c>
    </row>
    <row r="1174" customFormat="false" ht="15" hidden="false" customHeight="false" outlineLevel="0" collapsed="false">
      <c r="A1174" s="0" t="s">
        <v>4531</v>
      </c>
      <c r="B1174" s="0" t="s">
        <v>4532</v>
      </c>
      <c r="C1174" s="0" t="s">
        <v>70</v>
      </c>
      <c r="E1174" s="3" t="n">
        <v>46277</v>
      </c>
      <c r="F1174" s="4" t="s">
        <v>95</v>
      </c>
      <c r="G1174" s="5" t="n">
        <v>0.374363425925926</v>
      </c>
      <c r="H1174" s="5" t="n">
        <v>0</v>
      </c>
      <c r="I1174" s="5" t="n">
        <v>0.000405092592592593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5" t="n">
        <v>0</v>
      </c>
      <c r="P1174" s="5" t="n">
        <v>0</v>
      </c>
      <c r="Q1174" s="4" t="s">
        <v>4539</v>
      </c>
      <c r="R1174" s="4" t="s">
        <v>454</v>
      </c>
      <c r="S1174" s="5" t="n">
        <v>0.000578703703703704</v>
      </c>
      <c r="T1174" s="5" t="n">
        <v>0.115625</v>
      </c>
      <c r="U1174" s="5" t="n">
        <v>0.0998842592592593</v>
      </c>
      <c r="V1174" s="5" t="n">
        <v>0.135416666666667</v>
      </c>
      <c r="W1174" s="5" t="n">
        <v>0</v>
      </c>
      <c r="X1174" s="5" t="n">
        <v>0</v>
      </c>
      <c r="Y1174" s="5" t="n">
        <v>0</v>
      </c>
      <c r="Z1174" s="0" t="n">
        <v>0</v>
      </c>
      <c r="AA1174" s="0" t="n">
        <v>0</v>
      </c>
      <c r="AB1174" s="0" t="n">
        <v>0</v>
      </c>
      <c r="AC1174" s="4" t="s">
        <v>81</v>
      </c>
      <c r="AD1174" s="4" t="s">
        <v>74</v>
      </c>
      <c r="AE1174" s="4" t="s">
        <v>4534</v>
      </c>
      <c r="AF1174" s="4" t="s">
        <v>4534</v>
      </c>
      <c r="AG1174" s="5" t="n">
        <v>0.307048611111111</v>
      </c>
      <c r="AH1174" s="5" t="n">
        <v>0.116388888888889</v>
      </c>
      <c r="AI1174" s="5" t="n">
        <v>0</v>
      </c>
      <c r="AJ1174" s="5" t="n">
        <v>0</v>
      </c>
      <c r="AK1174" s="5" t="n">
        <v>0</v>
      </c>
      <c r="AL1174" s="5" t="n">
        <v>0</v>
      </c>
      <c r="AM1174" s="4" t="s">
        <v>78</v>
      </c>
      <c r="AN1174" s="0" t="n">
        <v>0</v>
      </c>
      <c r="AO1174" s="0" t="n">
        <v>0</v>
      </c>
      <c r="AP1174" s="0" t="n">
        <v>0</v>
      </c>
      <c r="AQ1174" s="0" t="n">
        <v>0</v>
      </c>
      <c r="AR1174" s="0" t="n">
        <v>0</v>
      </c>
      <c r="AS1174" s="0" t="n">
        <v>0</v>
      </c>
      <c r="AT1174" s="0" t="n">
        <v>0</v>
      </c>
      <c r="AU1174" s="0" t="n">
        <v>0</v>
      </c>
      <c r="AV1174" s="0" t="n">
        <v>0</v>
      </c>
      <c r="AW1174" s="0" t="n">
        <v>0</v>
      </c>
      <c r="AX1174" s="0" t="n">
        <v>0</v>
      </c>
      <c r="AY1174" s="0" t="n">
        <v>0</v>
      </c>
      <c r="AZ1174" s="0" t="n">
        <v>0</v>
      </c>
      <c r="BA1174" s="0" t="n">
        <v>0</v>
      </c>
      <c r="BB1174" s="0" t="n">
        <v>0</v>
      </c>
      <c r="BC1174" s="0" t="n">
        <v>0</v>
      </c>
      <c r="BD1174" s="0" t="n">
        <v>0</v>
      </c>
      <c r="BE1174" s="0" t="n">
        <v>0</v>
      </c>
      <c r="BF1174" s="0" t="n">
        <v>0</v>
      </c>
      <c r="BG1174" s="0" t="n">
        <v>0</v>
      </c>
      <c r="BH1174" s="0" t="n">
        <v>0</v>
      </c>
      <c r="BI1174" s="0" t="n">
        <v>0</v>
      </c>
      <c r="BJ1174" s="0" t="n">
        <v>0</v>
      </c>
      <c r="BK1174" s="0" t="n">
        <v>0</v>
      </c>
      <c r="BM1174" s="6" t="n">
        <f aca="false">IFERROR(VALUE(F1174),"")</f>
        <v>0</v>
      </c>
      <c r="BN1174" s="6" t="n">
        <f aca="false">IF(R1174="-","",IFERROR(VALUE(LEFT(Q1174,LEN(Q1174)-2)),""))</f>
        <v>87.05</v>
      </c>
      <c r="BO1174" s="6" t="n">
        <f aca="false">IF(R1174="-","",IFERROR(VALUE(LEFT(R1174,LEN(R1174)-5)),""))</f>
        <v>0</v>
      </c>
      <c r="BP1174" s="6" t="n">
        <f aca="false">IF(R1174="-","",IFERROR(VALUE(F1174),""))</f>
        <v>0</v>
      </c>
      <c r="BQ1174" s="4" t="n">
        <f aca="false">IF(R1174="-",1,0)</f>
        <v>0</v>
      </c>
    </row>
    <row r="1175" customFormat="false" ht="15" hidden="false" customHeight="false" outlineLevel="0" collapsed="false">
      <c r="A1175" s="0" t="s">
        <v>4531</v>
      </c>
      <c r="B1175" s="0" t="s">
        <v>4532</v>
      </c>
      <c r="C1175" s="0" t="s">
        <v>70</v>
      </c>
      <c r="E1175" s="3" t="n">
        <v>46278</v>
      </c>
      <c r="F1175" s="4" t="s">
        <v>95</v>
      </c>
      <c r="G1175" s="5" t="n">
        <v>0.754386574074074</v>
      </c>
      <c r="H1175" s="5" t="n">
        <v>0</v>
      </c>
      <c r="I1175" s="5" t="n">
        <v>0.0337037037037037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15</v>
      </c>
      <c r="O1175" s="5" t="n">
        <v>0</v>
      </c>
      <c r="P1175" s="5" t="n">
        <v>0.00844907407407407</v>
      </c>
      <c r="Q1175" s="4" t="s">
        <v>4540</v>
      </c>
      <c r="R1175" s="4" t="s">
        <v>454</v>
      </c>
      <c r="S1175" s="5" t="n">
        <v>0.000231481481481482</v>
      </c>
      <c r="T1175" s="5" t="n">
        <v>0.232291666666667</v>
      </c>
      <c r="U1175" s="5" t="n">
        <v>0.200115740740741</v>
      </c>
      <c r="V1175" s="5" t="n">
        <v>0.281828703703704</v>
      </c>
      <c r="W1175" s="5" t="n">
        <v>0</v>
      </c>
      <c r="X1175" s="5" t="n">
        <v>0</v>
      </c>
      <c r="Y1175" s="5" t="n">
        <v>0</v>
      </c>
      <c r="Z1175" s="0" t="n">
        <v>0</v>
      </c>
      <c r="AA1175" s="0" t="n">
        <v>0</v>
      </c>
      <c r="AB1175" s="0" t="n">
        <v>0</v>
      </c>
      <c r="AC1175" s="4" t="s">
        <v>81</v>
      </c>
      <c r="AD1175" s="4" t="s">
        <v>74</v>
      </c>
      <c r="AE1175" s="4" t="s">
        <v>4534</v>
      </c>
      <c r="AF1175" s="4" t="s">
        <v>4534</v>
      </c>
      <c r="AG1175" s="5" t="n">
        <v>0.62994212962963</v>
      </c>
      <c r="AH1175" s="5" t="n">
        <v>0.149791666666667</v>
      </c>
      <c r="AI1175" s="5" t="n">
        <v>0</v>
      </c>
      <c r="AJ1175" s="5" t="n">
        <v>0</v>
      </c>
      <c r="AK1175" s="5" t="n">
        <v>0</v>
      </c>
      <c r="AL1175" s="5" t="n">
        <v>0</v>
      </c>
      <c r="AM1175" s="4" t="s">
        <v>78</v>
      </c>
      <c r="AN1175" s="0" t="n">
        <v>0</v>
      </c>
      <c r="AO1175" s="0" t="n">
        <v>0</v>
      </c>
      <c r="AP1175" s="0" t="n">
        <v>0</v>
      </c>
      <c r="AQ1175" s="0" t="n">
        <v>0</v>
      </c>
      <c r="AR1175" s="0" t="n">
        <v>0</v>
      </c>
      <c r="AS1175" s="0" t="n">
        <v>0</v>
      </c>
      <c r="AT1175" s="0" t="n">
        <v>0</v>
      </c>
      <c r="AU1175" s="0" t="n">
        <v>0</v>
      </c>
      <c r="AV1175" s="0" t="n">
        <v>0</v>
      </c>
      <c r="AW1175" s="0" t="n">
        <v>0</v>
      </c>
      <c r="AX1175" s="0" t="n">
        <v>0</v>
      </c>
      <c r="AY1175" s="0" t="n">
        <v>0</v>
      </c>
      <c r="AZ1175" s="0" t="n">
        <v>0</v>
      </c>
      <c r="BA1175" s="0" t="n">
        <v>0</v>
      </c>
      <c r="BB1175" s="0" t="n">
        <v>0</v>
      </c>
      <c r="BC1175" s="0" t="n">
        <v>0</v>
      </c>
      <c r="BD1175" s="0" t="n">
        <v>0</v>
      </c>
      <c r="BE1175" s="0" t="n">
        <v>0</v>
      </c>
      <c r="BF1175" s="0" t="n">
        <v>0</v>
      </c>
      <c r="BG1175" s="0" t="n">
        <v>0</v>
      </c>
      <c r="BH1175" s="0" t="n">
        <v>0</v>
      </c>
      <c r="BI1175" s="0" t="n">
        <v>0</v>
      </c>
      <c r="BJ1175" s="0" t="n">
        <v>0</v>
      </c>
      <c r="BK1175" s="0" t="n">
        <v>0</v>
      </c>
      <c r="BM1175" s="6" t="n">
        <f aca="false">IFERROR(VALUE(F1175),"")</f>
        <v>0</v>
      </c>
      <c r="BN1175" s="6" t="n">
        <f aca="false">IF(R1175="-","",IFERROR(VALUE(LEFT(Q1175,LEN(Q1175)-2)),""))</f>
        <v>182.51</v>
      </c>
      <c r="BO1175" s="6" t="n">
        <f aca="false">IF(R1175="-","",IFERROR(VALUE(LEFT(R1175,LEN(R1175)-5)),""))</f>
        <v>0</v>
      </c>
      <c r="BP1175" s="6" t="n">
        <f aca="false">IF(R1175="-","",IFERROR(VALUE(F1175),""))</f>
        <v>0</v>
      </c>
      <c r="BQ1175" s="4" t="n">
        <f aca="false">IF(R1175="-",1,0)</f>
        <v>0</v>
      </c>
    </row>
    <row r="1176" customFormat="false" ht="15" hidden="false" customHeight="false" outlineLevel="0" collapsed="false">
      <c r="A1176" s="0" t="s">
        <v>4531</v>
      </c>
      <c r="B1176" s="0" t="s">
        <v>4532</v>
      </c>
      <c r="C1176" s="0" t="s">
        <v>70</v>
      </c>
      <c r="E1176" s="3" t="n">
        <v>46279</v>
      </c>
      <c r="F1176" s="4" t="s">
        <v>95</v>
      </c>
      <c r="G1176" s="5" t="n">
        <v>0.478275462962963</v>
      </c>
      <c r="H1176" s="5" t="n">
        <v>0</v>
      </c>
      <c r="I1176" s="5" t="n">
        <v>0.000763888888888889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1</v>
      </c>
      <c r="O1176" s="5" t="n">
        <v>0</v>
      </c>
      <c r="P1176" s="5" t="n">
        <v>0</v>
      </c>
      <c r="Q1176" s="4" t="s">
        <v>4541</v>
      </c>
      <c r="R1176" s="4" t="s">
        <v>454</v>
      </c>
      <c r="S1176" s="5" t="n">
        <v>0.000694444444444445</v>
      </c>
      <c r="T1176" s="5" t="n">
        <v>0.156365740740741</v>
      </c>
      <c r="U1176" s="5" t="n">
        <v>0.133217592592593</v>
      </c>
      <c r="V1176" s="5" t="n">
        <v>0.160763888888889</v>
      </c>
      <c r="W1176" s="5" t="n">
        <v>0.000115740740740741</v>
      </c>
      <c r="X1176" s="5" t="n">
        <v>0</v>
      </c>
      <c r="Y1176" s="5" t="n">
        <v>0</v>
      </c>
      <c r="Z1176" s="0" t="n">
        <v>0</v>
      </c>
      <c r="AA1176" s="0" t="n">
        <v>0</v>
      </c>
      <c r="AB1176" s="0" t="n">
        <v>0</v>
      </c>
      <c r="AC1176" s="4" t="s">
        <v>81</v>
      </c>
      <c r="AD1176" s="4" t="s">
        <v>75</v>
      </c>
      <c r="AE1176" s="4" t="s">
        <v>4534</v>
      </c>
      <c r="AF1176" s="4" t="s">
        <v>4534</v>
      </c>
      <c r="AG1176" s="5" t="n">
        <v>0.384097222222222</v>
      </c>
      <c r="AH1176" s="5" t="n">
        <v>0.131886574074074</v>
      </c>
      <c r="AI1176" s="5" t="n">
        <v>0</v>
      </c>
      <c r="AJ1176" s="5" t="n">
        <v>0</v>
      </c>
      <c r="AK1176" s="5" t="n">
        <v>0</v>
      </c>
      <c r="AL1176" s="5" t="n">
        <v>0</v>
      </c>
      <c r="AM1176" s="4" t="s">
        <v>78</v>
      </c>
      <c r="AN1176" s="0" t="n">
        <v>0</v>
      </c>
      <c r="AO1176" s="0" t="n">
        <v>0</v>
      </c>
      <c r="AP1176" s="0" t="n">
        <v>0</v>
      </c>
      <c r="AQ1176" s="0" t="n">
        <v>0</v>
      </c>
      <c r="AR1176" s="0" t="n">
        <v>0</v>
      </c>
      <c r="AS1176" s="0" t="n">
        <v>0</v>
      </c>
      <c r="AT1176" s="0" t="n">
        <v>0</v>
      </c>
      <c r="AU1176" s="0" t="n">
        <v>0</v>
      </c>
      <c r="AV1176" s="0" t="n">
        <v>0</v>
      </c>
      <c r="AW1176" s="0" t="n">
        <v>0</v>
      </c>
      <c r="AX1176" s="0" t="n">
        <v>0</v>
      </c>
      <c r="AY1176" s="0" t="n">
        <v>0</v>
      </c>
      <c r="AZ1176" s="0" t="n">
        <v>0</v>
      </c>
      <c r="BA1176" s="0" t="n">
        <v>0</v>
      </c>
      <c r="BB1176" s="0" t="n">
        <v>0</v>
      </c>
      <c r="BC1176" s="0" t="n">
        <v>0</v>
      </c>
      <c r="BD1176" s="0" t="n">
        <v>0</v>
      </c>
      <c r="BE1176" s="0" t="n">
        <v>0</v>
      </c>
      <c r="BF1176" s="0" t="n">
        <v>0</v>
      </c>
      <c r="BG1176" s="0" t="n">
        <v>0</v>
      </c>
      <c r="BH1176" s="0" t="n">
        <v>0</v>
      </c>
      <c r="BI1176" s="0" t="n">
        <v>0</v>
      </c>
      <c r="BJ1176" s="0" t="n">
        <v>0</v>
      </c>
      <c r="BK1176" s="0" t="n">
        <v>0</v>
      </c>
      <c r="BM1176" s="6" t="n">
        <f aca="false">IFERROR(VALUE(F1176),"")</f>
        <v>0</v>
      </c>
      <c r="BN1176" s="6" t="n">
        <f aca="false">IF(R1176="-","",IFERROR(VALUE(LEFT(Q1176,LEN(Q1176)-2)),""))</f>
        <v>103.62</v>
      </c>
      <c r="BO1176" s="6" t="n">
        <f aca="false">IF(R1176="-","",IFERROR(VALUE(LEFT(R1176,LEN(R1176)-5)),""))</f>
        <v>0</v>
      </c>
      <c r="BP1176" s="6" t="n">
        <f aca="false">IF(R1176="-","",IFERROR(VALUE(F1176),""))</f>
        <v>0</v>
      </c>
      <c r="BQ1176" s="4" t="n">
        <f aca="false">IF(R1176="-",1,0)</f>
        <v>0</v>
      </c>
    </row>
    <row r="1177" customFormat="false" ht="15" hidden="false" customHeight="false" outlineLevel="0" collapsed="false">
      <c r="A1177" s="0" t="s">
        <v>4542</v>
      </c>
      <c r="B1177" s="0" t="s">
        <v>4543</v>
      </c>
      <c r="C1177" s="0" t="s">
        <v>70</v>
      </c>
      <c r="E1177" s="3" t="n">
        <v>46273</v>
      </c>
      <c r="F1177" s="4" t="s">
        <v>95</v>
      </c>
      <c r="G1177" s="5" t="n">
        <v>0.637280092592593</v>
      </c>
      <c r="H1177" s="5" t="n">
        <v>0</v>
      </c>
      <c r="I1177" s="5" t="n">
        <v>0.00131944444444444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3</v>
      </c>
      <c r="O1177" s="5" t="n">
        <v>0</v>
      </c>
      <c r="P1177" s="5" t="n">
        <v>0</v>
      </c>
      <c r="Q1177" s="4" t="s">
        <v>4544</v>
      </c>
      <c r="R1177" s="4" t="s">
        <v>454</v>
      </c>
      <c r="S1177" s="5" t="n">
        <v>0.000925925925925926</v>
      </c>
      <c r="T1177" s="5" t="n">
        <v>0.188194444444444</v>
      </c>
      <c r="U1177" s="5" t="n">
        <v>0.184490740740741</v>
      </c>
      <c r="V1177" s="5" t="n">
        <v>0.236921296296296</v>
      </c>
      <c r="W1177" s="5" t="n">
        <v>0.000115740740740741</v>
      </c>
      <c r="X1177" s="5" t="n">
        <v>0</v>
      </c>
      <c r="Y1177" s="5" t="n">
        <v>0</v>
      </c>
      <c r="Z1177" s="0" t="n">
        <v>0</v>
      </c>
      <c r="AA1177" s="0" t="n">
        <v>0</v>
      </c>
      <c r="AB1177" s="0" t="n">
        <v>0</v>
      </c>
      <c r="AC1177" s="4" t="s">
        <v>228</v>
      </c>
      <c r="AD1177" s="4" t="s">
        <v>74</v>
      </c>
      <c r="AE1177" s="4" t="s">
        <v>4545</v>
      </c>
      <c r="AF1177" s="4" t="s">
        <v>4545</v>
      </c>
      <c r="AG1177" s="5" t="n">
        <v>0.563923611111111</v>
      </c>
      <c r="AH1177" s="5" t="n">
        <v>0.173043981481482</v>
      </c>
      <c r="AI1177" s="5" t="n">
        <v>0</v>
      </c>
      <c r="AJ1177" s="5" t="n">
        <v>0</v>
      </c>
      <c r="AK1177" s="5" t="n">
        <v>0</v>
      </c>
      <c r="AL1177" s="5" t="n">
        <v>0</v>
      </c>
      <c r="AM1177" s="4" t="s">
        <v>78</v>
      </c>
      <c r="AN1177" s="0" t="n">
        <v>0</v>
      </c>
      <c r="AO1177" s="0" t="n">
        <v>0</v>
      </c>
      <c r="AP1177" s="0" t="n">
        <v>0</v>
      </c>
      <c r="AQ1177" s="0" t="n">
        <v>0</v>
      </c>
      <c r="AR1177" s="0" t="n">
        <v>0</v>
      </c>
      <c r="AS1177" s="0" t="n">
        <v>0</v>
      </c>
      <c r="AT1177" s="0" t="n">
        <v>0</v>
      </c>
      <c r="AU1177" s="0" t="n">
        <v>0</v>
      </c>
      <c r="AV1177" s="0" t="n">
        <v>0</v>
      </c>
      <c r="AW1177" s="0" t="n">
        <v>0</v>
      </c>
      <c r="AX1177" s="0" t="n">
        <v>0</v>
      </c>
      <c r="AY1177" s="0" t="n">
        <v>0</v>
      </c>
      <c r="AZ1177" s="0" t="n">
        <v>0</v>
      </c>
      <c r="BA1177" s="0" t="n">
        <v>0</v>
      </c>
      <c r="BB1177" s="0" t="n">
        <v>0</v>
      </c>
      <c r="BC1177" s="0" t="n">
        <v>0</v>
      </c>
      <c r="BD1177" s="0" t="n">
        <v>0</v>
      </c>
      <c r="BE1177" s="0" t="n">
        <v>0</v>
      </c>
      <c r="BF1177" s="0" t="n">
        <v>0</v>
      </c>
      <c r="BG1177" s="0" t="n">
        <v>0</v>
      </c>
      <c r="BH1177" s="0" t="n">
        <v>0</v>
      </c>
      <c r="BI1177" s="0" t="n">
        <v>0</v>
      </c>
      <c r="BJ1177" s="0" t="n">
        <v>0</v>
      </c>
      <c r="BK1177" s="0" t="n">
        <v>0</v>
      </c>
      <c r="BM1177" s="6" t="n">
        <f aca="false">IFERROR(VALUE(F1177),"")</f>
        <v>0</v>
      </c>
      <c r="BN1177" s="6" t="n">
        <f aca="false">IF(R1177="-","",IFERROR(VALUE(LEFT(Q1177,LEN(Q1177)-2)),""))</f>
        <v>145.1</v>
      </c>
      <c r="BO1177" s="6" t="n">
        <f aca="false">IF(R1177="-","",IFERROR(VALUE(LEFT(R1177,LEN(R1177)-5)),""))</f>
        <v>0</v>
      </c>
      <c r="BP1177" s="6" t="n">
        <f aca="false">IF(R1177="-","",IFERROR(VALUE(F1177),""))</f>
        <v>0</v>
      </c>
      <c r="BQ1177" s="4" t="n">
        <f aca="false">IF(R1177="-",1,0)</f>
        <v>0</v>
      </c>
    </row>
    <row r="1178" customFormat="false" ht="15" hidden="false" customHeight="false" outlineLevel="0" collapsed="false">
      <c r="A1178" s="0" t="s">
        <v>4542</v>
      </c>
      <c r="B1178" s="0" t="s">
        <v>4543</v>
      </c>
      <c r="C1178" s="0" t="s">
        <v>70</v>
      </c>
      <c r="E1178" s="3" t="n">
        <v>46274</v>
      </c>
      <c r="F1178" s="4" t="s">
        <v>95</v>
      </c>
      <c r="G1178" s="5" t="n">
        <v>0.643958333333333</v>
      </c>
      <c r="H1178" s="5" t="n">
        <v>0</v>
      </c>
      <c r="I1178" s="5" t="n">
        <v>0.00548611111111111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7</v>
      </c>
      <c r="O1178" s="5" t="n">
        <v>0</v>
      </c>
      <c r="P1178" s="5" t="n">
        <v>0</v>
      </c>
      <c r="Q1178" s="4" t="s">
        <v>4546</v>
      </c>
      <c r="R1178" s="4" t="s">
        <v>454</v>
      </c>
      <c r="S1178" s="5" t="n">
        <v>0.000231481481481482</v>
      </c>
      <c r="T1178" s="5" t="n">
        <v>0.192824074074074</v>
      </c>
      <c r="U1178" s="5" t="n">
        <v>0.189930555555556</v>
      </c>
      <c r="V1178" s="5" t="n">
        <v>0.240625</v>
      </c>
      <c r="W1178" s="5" t="n">
        <v>0.000231481481481482</v>
      </c>
      <c r="X1178" s="5" t="n">
        <v>0</v>
      </c>
      <c r="Y1178" s="5" t="n">
        <v>0</v>
      </c>
      <c r="Z1178" s="0" t="n">
        <v>0</v>
      </c>
      <c r="AA1178" s="0" t="n">
        <v>0</v>
      </c>
      <c r="AB1178" s="0" t="n">
        <v>0</v>
      </c>
      <c r="AC1178" s="4" t="s">
        <v>81</v>
      </c>
      <c r="AD1178" s="4" t="s">
        <v>74</v>
      </c>
      <c r="AE1178" s="4" t="s">
        <v>4545</v>
      </c>
      <c r="AF1178" s="4" t="s">
        <v>4545</v>
      </c>
      <c r="AG1178" s="5" t="n">
        <v>0.572418981481482</v>
      </c>
      <c r="AH1178" s="5" t="n">
        <v>0.158298611111111</v>
      </c>
      <c r="AI1178" s="5" t="n">
        <v>0</v>
      </c>
      <c r="AJ1178" s="5" t="n">
        <v>0</v>
      </c>
      <c r="AK1178" s="5" t="n">
        <v>0</v>
      </c>
      <c r="AL1178" s="5" t="n">
        <v>0</v>
      </c>
      <c r="AM1178" s="4" t="s">
        <v>78</v>
      </c>
      <c r="AN1178" s="0" t="n">
        <v>0</v>
      </c>
      <c r="AO1178" s="0" t="n">
        <v>0</v>
      </c>
      <c r="AP1178" s="0" t="n">
        <v>0</v>
      </c>
      <c r="AQ1178" s="0" t="n">
        <v>0</v>
      </c>
      <c r="AR1178" s="0" t="n">
        <v>0</v>
      </c>
      <c r="AS1178" s="0" t="n">
        <v>0</v>
      </c>
      <c r="AT1178" s="0" t="n">
        <v>0</v>
      </c>
      <c r="AU1178" s="0" t="n">
        <v>0</v>
      </c>
      <c r="AV1178" s="0" t="n">
        <v>0</v>
      </c>
      <c r="AW1178" s="0" t="n">
        <v>0</v>
      </c>
      <c r="AX1178" s="0" t="n">
        <v>0</v>
      </c>
      <c r="AY1178" s="0" t="n">
        <v>0</v>
      </c>
      <c r="AZ1178" s="0" t="n">
        <v>0</v>
      </c>
      <c r="BA1178" s="0" t="n">
        <v>0</v>
      </c>
      <c r="BB1178" s="0" t="n">
        <v>0</v>
      </c>
      <c r="BC1178" s="0" t="n">
        <v>0</v>
      </c>
      <c r="BD1178" s="0" t="n">
        <v>0</v>
      </c>
      <c r="BE1178" s="0" t="n">
        <v>0</v>
      </c>
      <c r="BF1178" s="0" t="n">
        <v>0</v>
      </c>
      <c r="BG1178" s="0" t="n">
        <v>0</v>
      </c>
      <c r="BH1178" s="0" t="n">
        <v>0</v>
      </c>
      <c r="BI1178" s="0" t="n">
        <v>0</v>
      </c>
      <c r="BJ1178" s="0" t="n">
        <v>0</v>
      </c>
      <c r="BK1178" s="0" t="n">
        <v>0</v>
      </c>
      <c r="BM1178" s="6" t="n">
        <f aca="false">IFERROR(VALUE(F1178),"")</f>
        <v>0</v>
      </c>
      <c r="BN1178" s="6" t="n">
        <f aca="false">IF(R1178="-","",IFERROR(VALUE(LEFT(Q1178,LEN(Q1178)-2)),""))</f>
        <v>144.52</v>
      </c>
      <c r="BO1178" s="6" t="n">
        <f aca="false">IF(R1178="-","",IFERROR(VALUE(LEFT(R1178,LEN(R1178)-5)),""))</f>
        <v>0</v>
      </c>
      <c r="BP1178" s="6" t="n">
        <f aca="false">IF(R1178="-","",IFERROR(VALUE(F1178),""))</f>
        <v>0</v>
      </c>
      <c r="BQ1178" s="4" t="n">
        <f aca="false">IF(R1178="-",1,0)</f>
        <v>0</v>
      </c>
    </row>
    <row r="1179" customFormat="false" ht="15" hidden="false" customHeight="false" outlineLevel="0" collapsed="false">
      <c r="A1179" s="0" t="s">
        <v>4542</v>
      </c>
      <c r="B1179" s="0" t="s">
        <v>4543</v>
      </c>
      <c r="C1179" s="0" t="s">
        <v>70</v>
      </c>
      <c r="E1179" s="3" t="n">
        <v>46275</v>
      </c>
      <c r="F1179" s="4" t="s">
        <v>95</v>
      </c>
      <c r="G1179" s="5" t="n">
        <v>0.626377314814815</v>
      </c>
      <c r="H1179" s="5" t="n">
        <v>0</v>
      </c>
      <c r="I1179" s="5" t="n">
        <v>0.00189814814814815</v>
      </c>
      <c r="J1179" s="0" t="n">
        <v>0</v>
      </c>
      <c r="K1179" s="0" t="n">
        <v>1</v>
      </c>
      <c r="L1179" s="0" t="n">
        <v>0</v>
      </c>
      <c r="M1179" s="0" t="n">
        <v>0</v>
      </c>
      <c r="N1179" s="0" t="n">
        <v>1</v>
      </c>
      <c r="O1179" s="5" t="n">
        <v>0</v>
      </c>
      <c r="P1179" s="5" t="n">
        <v>0</v>
      </c>
      <c r="Q1179" s="4" t="s">
        <v>4547</v>
      </c>
      <c r="R1179" s="4" t="s">
        <v>454</v>
      </c>
      <c r="S1179" s="5" t="n">
        <v>0.000694444444444445</v>
      </c>
      <c r="T1179" s="5" t="n">
        <v>0.178587962962963</v>
      </c>
      <c r="U1179" s="5" t="n">
        <v>0.178125</v>
      </c>
      <c r="V1179" s="5" t="n">
        <v>0.24212962962963</v>
      </c>
      <c r="W1179" s="5" t="n">
        <v>0.000115740740740741</v>
      </c>
      <c r="X1179" s="5" t="n">
        <v>0</v>
      </c>
      <c r="Y1179" s="5" t="n">
        <v>0</v>
      </c>
      <c r="Z1179" s="0" t="n">
        <v>0</v>
      </c>
      <c r="AA1179" s="0" t="n">
        <v>0</v>
      </c>
      <c r="AB1179" s="0" t="n">
        <v>0</v>
      </c>
      <c r="AC1179" s="4" t="s">
        <v>81</v>
      </c>
      <c r="AD1179" s="4" t="s">
        <v>75</v>
      </c>
      <c r="AE1179" s="4" t="s">
        <v>4545</v>
      </c>
      <c r="AF1179" s="4" t="s">
        <v>4545</v>
      </c>
      <c r="AG1179" s="5" t="n">
        <v>0.553171296296296</v>
      </c>
      <c r="AH1179" s="5" t="n">
        <v>0.176261574074074</v>
      </c>
      <c r="AI1179" s="5" t="n">
        <v>0</v>
      </c>
      <c r="AJ1179" s="5" t="n">
        <v>0</v>
      </c>
      <c r="AK1179" s="5" t="n">
        <v>0</v>
      </c>
      <c r="AL1179" s="5" t="n">
        <v>0</v>
      </c>
      <c r="AM1179" s="4" t="s">
        <v>78</v>
      </c>
      <c r="AN1179" s="0" t="n">
        <v>0</v>
      </c>
      <c r="AO1179" s="0" t="n">
        <v>0</v>
      </c>
      <c r="AP1179" s="0" t="n">
        <v>0</v>
      </c>
      <c r="AQ1179" s="0" t="n">
        <v>0</v>
      </c>
      <c r="AR1179" s="0" t="n">
        <v>0</v>
      </c>
      <c r="AS1179" s="0" t="n">
        <v>0</v>
      </c>
      <c r="AT1179" s="0" t="n">
        <v>0</v>
      </c>
      <c r="AU1179" s="0" t="n">
        <v>0</v>
      </c>
      <c r="AV1179" s="0" t="n">
        <v>0</v>
      </c>
      <c r="AW1179" s="0" t="n">
        <v>0</v>
      </c>
      <c r="AX1179" s="0" t="n">
        <v>0</v>
      </c>
      <c r="AY1179" s="0" t="n">
        <v>0</v>
      </c>
      <c r="AZ1179" s="0" t="n">
        <v>0</v>
      </c>
      <c r="BA1179" s="0" t="n">
        <v>0</v>
      </c>
      <c r="BB1179" s="0" t="n">
        <v>0</v>
      </c>
      <c r="BC1179" s="0" t="n">
        <v>0</v>
      </c>
      <c r="BD1179" s="0" t="n">
        <v>0</v>
      </c>
      <c r="BE1179" s="0" t="n">
        <v>0</v>
      </c>
      <c r="BF1179" s="0" t="n">
        <v>0</v>
      </c>
      <c r="BG1179" s="0" t="n">
        <v>0</v>
      </c>
      <c r="BH1179" s="0" t="n">
        <v>0</v>
      </c>
      <c r="BI1179" s="0" t="n">
        <v>0</v>
      </c>
      <c r="BJ1179" s="0" t="n">
        <v>0</v>
      </c>
      <c r="BK1179" s="0" t="n">
        <v>0</v>
      </c>
      <c r="BM1179" s="6" t="n">
        <f aca="false">IFERROR(VALUE(F1179),"")</f>
        <v>0</v>
      </c>
      <c r="BN1179" s="6" t="n">
        <f aca="false">IF(R1179="-","",IFERROR(VALUE(LEFT(Q1179,LEN(Q1179)-2)),""))</f>
        <v>144.63</v>
      </c>
      <c r="BO1179" s="6" t="n">
        <f aca="false">IF(R1179="-","",IFERROR(VALUE(LEFT(R1179,LEN(R1179)-5)),""))</f>
        <v>0</v>
      </c>
      <c r="BP1179" s="6" t="n">
        <f aca="false">IF(R1179="-","",IFERROR(VALUE(F1179),""))</f>
        <v>0</v>
      </c>
      <c r="BQ1179" s="4" t="n">
        <f aca="false">IF(R1179="-",1,0)</f>
        <v>0</v>
      </c>
    </row>
    <row r="1180" customFormat="false" ht="15" hidden="false" customHeight="false" outlineLevel="0" collapsed="false">
      <c r="A1180" s="0" t="s">
        <v>4542</v>
      </c>
      <c r="B1180" s="0" t="s">
        <v>4543</v>
      </c>
      <c r="C1180" s="0" t="s">
        <v>70</v>
      </c>
      <c r="E1180" s="3" t="n">
        <v>46276</v>
      </c>
      <c r="F1180" s="4" t="s">
        <v>95</v>
      </c>
      <c r="G1180" s="5" t="n">
        <v>0.575127314814815</v>
      </c>
      <c r="H1180" s="5" t="n">
        <v>0</v>
      </c>
      <c r="I1180" s="5" t="n">
        <v>0.0015625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5</v>
      </c>
      <c r="O1180" s="5" t="n">
        <v>0</v>
      </c>
      <c r="P1180" s="5" t="n">
        <v>0</v>
      </c>
      <c r="Q1180" s="4" t="s">
        <v>4548</v>
      </c>
      <c r="R1180" s="4" t="s">
        <v>454</v>
      </c>
      <c r="S1180" s="5" t="n">
        <v>0.000578703703703704</v>
      </c>
      <c r="T1180" s="5" t="n">
        <v>0.189814814814815</v>
      </c>
      <c r="U1180" s="5" t="n">
        <v>0.158333333333333</v>
      </c>
      <c r="V1180" s="5" t="n">
        <v>0.215740740740741</v>
      </c>
      <c r="W1180" s="5" t="n">
        <v>0.000115740740740741</v>
      </c>
      <c r="X1180" s="5" t="n">
        <v>0</v>
      </c>
      <c r="Y1180" s="5" t="n">
        <v>0</v>
      </c>
      <c r="Z1180" s="0" t="n">
        <v>0</v>
      </c>
      <c r="AA1180" s="0" t="n">
        <v>0</v>
      </c>
      <c r="AB1180" s="0" t="n">
        <v>0</v>
      </c>
      <c r="AC1180" s="4" t="s">
        <v>75</v>
      </c>
      <c r="AD1180" s="4" t="s">
        <v>74</v>
      </c>
      <c r="AE1180" s="4" t="s">
        <v>4545</v>
      </c>
      <c r="AF1180" s="4" t="s">
        <v>4545</v>
      </c>
      <c r="AG1180" s="5" t="n">
        <v>0.495115740740741</v>
      </c>
      <c r="AH1180" s="5" t="n">
        <v>0.181041666666667</v>
      </c>
      <c r="AI1180" s="5" t="n">
        <v>0</v>
      </c>
      <c r="AJ1180" s="5" t="n">
        <v>0</v>
      </c>
      <c r="AK1180" s="5" t="n">
        <v>0</v>
      </c>
      <c r="AL1180" s="5" t="n">
        <v>0</v>
      </c>
      <c r="AM1180" s="4" t="s">
        <v>78</v>
      </c>
      <c r="AN1180" s="0" t="n">
        <v>0</v>
      </c>
      <c r="AO1180" s="0" t="n">
        <v>0</v>
      </c>
      <c r="AP1180" s="0" t="n">
        <v>0</v>
      </c>
      <c r="AQ1180" s="0" t="n">
        <v>0</v>
      </c>
      <c r="AR1180" s="0" t="n">
        <v>0</v>
      </c>
      <c r="AS1180" s="0" t="n">
        <v>0</v>
      </c>
      <c r="AT1180" s="0" t="n">
        <v>0</v>
      </c>
      <c r="AU1180" s="0" t="n">
        <v>0</v>
      </c>
      <c r="AV1180" s="0" t="n">
        <v>0</v>
      </c>
      <c r="AW1180" s="0" t="n">
        <v>0</v>
      </c>
      <c r="AX1180" s="0" t="n">
        <v>0</v>
      </c>
      <c r="AY1180" s="0" t="n">
        <v>0</v>
      </c>
      <c r="AZ1180" s="0" t="n">
        <v>0</v>
      </c>
      <c r="BA1180" s="0" t="n">
        <v>0</v>
      </c>
      <c r="BB1180" s="0" t="n">
        <v>0</v>
      </c>
      <c r="BC1180" s="0" t="n">
        <v>0</v>
      </c>
      <c r="BD1180" s="0" t="n">
        <v>0</v>
      </c>
      <c r="BE1180" s="0" t="n">
        <v>0</v>
      </c>
      <c r="BF1180" s="0" t="n">
        <v>0</v>
      </c>
      <c r="BG1180" s="0" t="n">
        <v>0</v>
      </c>
      <c r="BH1180" s="0" t="n">
        <v>0</v>
      </c>
      <c r="BI1180" s="0" t="n">
        <v>0</v>
      </c>
      <c r="BJ1180" s="0" t="n">
        <v>0</v>
      </c>
      <c r="BK1180" s="0" t="n">
        <v>0</v>
      </c>
      <c r="BM1180" s="6" t="n">
        <f aca="false">IFERROR(VALUE(F1180),"")</f>
        <v>0</v>
      </c>
      <c r="BN1180" s="6" t="n">
        <f aca="false">IF(R1180="-","",IFERROR(VALUE(LEFT(Q1180,LEN(Q1180)-2)),""))</f>
        <v>127.25</v>
      </c>
      <c r="BO1180" s="6" t="n">
        <f aca="false">IF(R1180="-","",IFERROR(VALUE(LEFT(R1180,LEN(R1180)-5)),""))</f>
        <v>0</v>
      </c>
      <c r="BP1180" s="6" t="n">
        <f aca="false">IF(R1180="-","",IFERROR(VALUE(F1180),""))</f>
        <v>0</v>
      </c>
      <c r="BQ1180" s="4" t="n">
        <f aca="false">IF(R1180="-",1,0)</f>
        <v>0</v>
      </c>
    </row>
    <row r="1181" customFormat="false" ht="15" hidden="false" customHeight="false" outlineLevel="0" collapsed="false">
      <c r="A1181" s="0" t="s">
        <v>4542</v>
      </c>
      <c r="B1181" s="0" t="s">
        <v>4543</v>
      </c>
      <c r="C1181" s="0" t="s">
        <v>70</v>
      </c>
      <c r="E1181" s="3" t="n">
        <v>46277</v>
      </c>
      <c r="F1181" s="4" t="s">
        <v>95</v>
      </c>
      <c r="G1181" s="5" t="n">
        <v>0.709965277777778</v>
      </c>
      <c r="H1181" s="5" t="n">
        <v>0</v>
      </c>
      <c r="I1181" s="5" t="n">
        <v>0.00342592592592593</v>
      </c>
      <c r="J1181" s="0" t="n">
        <v>0</v>
      </c>
      <c r="K1181" s="0" t="n">
        <v>1</v>
      </c>
      <c r="L1181" s="0" t="n">
        <v>0</v>
      </c>
      <c r="M1181" s="0" t="n">
        <v>0</v>
      </c>
      <c r="N1181" s="0" t="n">
        <v>10</v>
      </c>
      <c r="O1181" s="5" t="n">
        <v>0</v>
      </c>
      <c r="P1181" s="5" t="n">
        <v>0.00763888888888889</v>
      </c>
      <c r="Q1181" s="4" t="s">
        <v>4549</v>
      </c>
      <c r="R1181" s="4" t="s">
        <v>454</v>
      </c>
      <c r="S1181" s="5" t="n">
        <v>0.000115740740740741</v>
      </c>
      <c r="T1181" s="5" t="n">
        <v>0.225810185185185</v>
      </c>
      <c r="U1181" s="5" t="n">
        <v>0.184143518518519</v>
      </c>
      <c r="V1181" s="5" t="n">
        <v>0.258912037037037</v>
      </c>
      <c r="W1181" s="5" t="n">
        <v>0.000347222222222222</v>
      </c>
      <c r="X1181" s="5" t="n">
        <v>0</v>
      </c>
      <c r="Y1181" s="5" t="n">
        <v>0</v>
      </c>
      <c r="Z1181" s="0" t="n">
        <v>0</v>
      </c>
      <c r="AA1181" s="0" t="n">
        <v>0</v>
      </c>
      <c r="AB1181" s="0" t="n">
        <v>0</v>
      </c>
      <c r="AC1181" s="4" t="s">
        <v>74</v>
      </c>
      <c r="AD1181" s="4" t="s">
        <v>75</v>
      </c>
      <c r="AE1181" s="4" t="s">
        <v>4545</v>
      </c>
      <c r="AF1181" s="4" t="s">
        <v>4545</v>
      </c>
      <c r="AG1181" s="5" t="n">
        <v>0.577835648148148</v>
      </c>
      <c r="AH1181" s="5" t="n">
        <v>0.242210648148148</v>
      </c>
      <c r="AI1181" s="5" t="n">
        <v>0</v>
      </c>
      <c r="AJ1181" s="5" t="n">
        <v>0</v>
      </c>
      <c r="AK1181" s="5" t="n">
        <v>0</v>
      </c>
      <c r="AL1181" s="5" t="n">
        <v>0</v>
      </c>
      <c r="AM1181" s="4" t="s">
        <v>78</v>
      </c>
      <c r="AN1181" s="0" t="n">
        <v>0</v>
      </c>
      <c r="AO1181" s="0" t="n">
        <v>0</v>
      </c>
      <c r="AP1181" s="0" t="n">
        <v>0</v>
      </c>
      <c r="AQ1181" s="0" t="n">
        <v>0</v>
      </c>
      <c r="AR1181" s="0" t="n">
        <v>0</v>
      </c>
      <c r="AS1181" s="0" t="n">
        <v>0</v>
      </c>
      <c r="AT1181" s="0" t="n">
        <v>0</v>
      </c>
      <c r="AU1181" s="0" t="n">
        <v>0</v>
      </c>
      <c r="AV1181" s="0" t="n">
        <v>0</v>
      </c>
      <c r="AW1181" s="0" t="n">
        <v>0</v>
      </c>
      <c r="AX1181" s="0" t="n">
        <v>0</v>
      </c>
      <c r="AY1181" s="0" t="n">
        <v>0</v>
      </c>
      <c r="AZ1181" s="0" t="n">
        <v>0</v>
      </c>
      <c r="BA1181" s="0" t="n">
        <v>0</v>
      </c>
      <c r="BB1181" s="0" t="n">
        <v>0</v>
      </c>
      <c r="BC1181" s="0" t="n">
        <v>0</v>
      </c>
      <c r="BD1181" s="0" t="n">
        <v>0</v>
      </c>
      <c r="BE1181" s="0" t="n">
        <v>0</v>
      </c>
      <c r="BF1181" s="0" t="n">
        <v>0</v>
      </c>
      <c r="BG1181" s="0" t="n">
        <v>0</v>
      </c>
      <c r="BH1181" s="0" t="n">
        <v>0</v>
      </c>
      <c r="BI1181" s="0" t="n">
        <v>0</v>
      </c>
      <c r="BJ1181" s="0" t="n">
        <v>0</v>
      </c>
      <c r="BK1181" s="0" t="n">
        <v>0</v>
      </c>
      <c r="BM1181" s="6" t="n">
        <f aca="false">IFERROR(VALUE(F1181),"")</f>
        <v>0</v>
      </c>
      <c r="BN1181" s="6" t="n">
        <f aca="false">IF(R1181="-","",IFERROR(VALUE(LEFT(Q1181,LEN(Q1181)-2)),""))</f>
        <v>157.84</v>
      </c>
      <c r="BO1181" s="6" t="n">
        <f aca="false">IF(R1181="-","",IFERROR(VALUE(LEFT(R1181,LEN(R1181)-5)),""))</f>
        <v>0</v>
      </c>
      <c r="BP1181" s="6" t="n">
        <f aca="false">IF(R1181="-","",IFERROR(VALUE(F1181),""))</f>
        <v>0</v>
      </c>
      <c r="BQ1181" s="4" t="n">
        <f aca="false">IF(R1181="-",1,0)</f>
        <v>0</v>
      </c>
    </row>
    <row r="1182" customFormat="false" ht="15" hidden="false" customHeight="false" outlineLevel="0" collapsed="false">
      <c r="A1182" s="0" t="s">
        <v>4542</v>
      </c>
      <c r="B1182" s="0" t="s">
        <v>4543</v>
      </c>
      <c r="C1182" s="0" t="s">
        <v>70</v>
      </c>
      <c r="E1182" s="3" t="n">
        <v>46278</v>
      </c>
      <c r="F1182" s="4" t="s">
        <v>95</v>
      </c>
      <c r="G1182" s="5" t="n">
        <v>0.115532407407407</v>
      </c>
      <c r="H1182" s="5" t="n">
        <v>0</v>
      </c>
      <c r="I1182" s="5" t="n">
        <v>0.000428240740740741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2</v>
      </c>
      <c r="O1182" s="5" t="n">
        <v>0</v>
      </c>
      <c r="P1182" s="5" t="n">
        <v>0</v>
      </c>
      <c r="Q1182" s="4" t="s">
        <v>4550</v>
      </c>
      <c r="R1182" s="4" t="s">
        <v>454</v>
      </c>
      <c r="S1182" s="5" t="n">
        <v>0.000115740740740741</v>
      </c>
      <c r="T1182" s="5" t="n">
        <v>0.0373842592592593</v>
      </c>
      <c r="U1182" s="5" t="n">
        <v>0.0459490740740741</v>
      </c>
      <c r="V1182" s="5" t="n">
        <v>0.0300925925925926</v>
      </c>
      <c r="W1182" s="5" t="n">
        <v>0</v>
      </c>
      <c r="X1182" s="5" t="n">
        <v>0</v>
      </c>
      <c r="Y1182" s="5" t="n">
        <v>0</v>
      </c>
      <c r="Z1182" s="0" t="n">
        <v>0</v>
      </c>
      <c r="AA1182" s="0" t="n">
        <v>0</v>
      </c>
      <c r="AB1182" s="0" t="n">
        <v>0</v>
      </c>
      <c r="AC1182" s="4" t="s">
        <v>75</v>
      </c>
      <c r="AD1182" s="4" t="s">
        <v>208</v>
      </c>
      <c r="AE1182" s="4" t="s">
        <v>4545</v>
      </c>
      <c r="AF1182" s="4" t="s">
        <v>4545</v>
      </c>
      <c r="AG1182" s="5" t="n">
        <v>0.0992708333333333</v>
      </c>
      <c r="AH1182" s="5" t="n">
        <v>0.0531134259259259</v>
      </c>
      <c r="AI1182" s="5" t="n">
        <v>0</v>
      </c>
      <c r="AJ1182" s="5" t="n">
        <v>0</v>
      </c>
      <c r="AK1182" s="5" t="n">
        <v>0</v>
      </c>
      <c r="AL1182" s="5" t="n">
        <v>0</v>
      </c>
      <c r="AM1182" s="4" t="s">
        <v>78</v>
      </c>
      <c r="AN1182" s="0" t="n">
        <v>0</v>
      </c>
      <c r="AO1182" s="0" t="n">
        <v>0</v>
      </c>
      <c r="AP1182" s="0" t="n">
        <v>0</v>
      </c>
      <c r="AQ1182" s="0" t="n">
        <v>0</v>
      </c>
      <c r="AR1182" s="0" t="n">
        <v>0</v>
      </c>
      <c r="AS1182" s="0" t="n">
        <v>0</v>
      </c>
      <c r="AT1182" s="0" t="n">
        <v>0</v>
      </c>
      <c r="AU1182" s="0" t="n">
        <v>0</v>
      </c>
      <c r="AV1182" s="0" t="n">
        <v>0</v>
      </c>
      <c r="AW1182" s="0" t="n">
        <v>0</v>
      </c>
      <c r="AX1182" s="0" t="n">
        <v>0</v>
      </c>
      <c r="AY1182" s="0" t="n">
        <v>0</v>
      </c>
      <c r="AZ1182" s="0" t="n">
        <v>0</v>
      </c>
      <c r="BA1182" s="0" t="n">
        <v>0</v>
      </c>
      <c r="BB1182" s="0" t="n">
        <v>0</v>
      </c>
      <c r="BC1182" s="0" t="n">
        <v>0</v>
      </c>
      <c r="BD1182" s="0" t="n">
        <v>0</v>
      </c>
      <c r="BE1182" s="0" t="n">
        <v>0</v>
      </c>
      <c r="BF1182" s="0" t="n">
        <v>0</v>
      </c>
      <c r="BG1182" s="0" t="n">
        <v>0</v>
      </c>
      <c r="BH1182" s="0" t="n">
        <v>0</v>
      </c>
      <c r="BI1182" s="0" t="n">
        <v>0</v>
      </c>
      <c r="BJ1182" s="0" t="n">
        <v>0</v>
      </c>
      <c r="BK1182" s="0" t="n">
        <v>0</v>
      </c>
      <c r="BM1182" s="6" t="n">
        <f aca="false">IFERROR(VALUE(F1182),"")</f>
        <v>0</v>
      </c>
      <c r="BN1182" s="6" t="n">
        <f aca="false">IF(R1182="-","",IFERROR(VALUE(LEFT(Q1182,LEN(Q1182)-2)),""))</f>
        <v>25.36</v>
      </c>
      <c r="BO1182" s="6" t="n">
        <f aca="false">IF(R1182="-","",IFERROR(VALUE(LEFT(R1182,LEN(R1182)-5)),""))</f>
        <v>0</v>
      </c>
      <c r="BP1182" s="6" t="n">
        <f aca="false">IF(R1182="-","",IFERROR(VALUE(F1182),""))</f>
        <v>0</v>
      </c>
      <c r="BQ1182" s="4" t="n">
        <f aca="false">IF(R1182="-",1,0)</f>
        <v>0</v>
      </c>
    </row>
    <row r="1183" customFormat="false" ht="15" hidden="false" customHeight="false" outlineLevel="0" collapsed="false">
      <c r="A1183" s="0" t="s">
        <v>4542</v>
      </c>
      <c r="B1183" s="0" t="s">
        <v>4543</v>
      </c>
      <c r="C1183" s="0" t="s">
        <v>70</v>
      </c>
      <c r="E1183" s="3" t="n">
        <v>46279</v>
      </c>
      <c r="F1183" s="4" t="s">
        <v>95</v>
      </c>
      <c r="G1183" s="5" t="n">
        <v>0.714849537037037</v>
      </c>
      <c r="H1183" s="5" t="n">
        <v>0</v>
      </c>
      <c r="I1183" s="5" t="n">
        <v>0.00126157407407407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1</v>
      </c>
      <c r="O1183" s="5" t="n">
        <v>0</v>
      </c>
      <c r="P1183" s="5" t="n">
        <v>0</v>
      </c>
      <c r="Q1183" s="4" t="s">
        <v>4551</v>
      </c>
      <c r="R1183" s="4" t="s">
        <v>454</v>
      </c>
      <c r="S1183" s="5" t="n">
        <v>0.000347222222222222</v>
      </c>
      <c r="T1183" s="5" t="n">
        <v>0.263657407407407</v>
      </c>
      <c r="U1183" s="5" t="n">
        <v>0.22337962962963</v>
      </c>
      <c r="V1183" s="5" t="n">
        <v>0.207407407407407</v>
      </c>
      <c r="W1183" s="5" t="n">
        <v>0.000347222222222222</v>
      </c>
      <c r="X1183" s="5" t="n">
        <v>0</v>
      </c>
      <c r="Y1183" s="5" t="n">
        <v>0</v>
      </c>
      <c r="Z1183" s="0" t="n">
        <v>0</v>
      </c>
      <c r="AA1183" s="0" t="n">
        <v>0</v>
      </c>
      <c r="AB1183" s="0" t="n">
        <v>0</v>
      </c>
      <c r="AC1183" s="4" t="s">
        <v>208</v>
      </c>
      <c r="AD1183" s="4" t="s">
        <v>208</v>
      </c>
      <c r="AE1183" s="4" t="s">
        <v>4545</v>
      </c>
      <c r="AF1183" s="4" t="s">
        <v>4545</v>
      </c>
      <c r="AG1183" s="5" t="n">
        <v>0.607881944444444</v>
      </c>
      <c r="AH1183" s="5" t="n">
        <v>0.159837962962963</v>
      </c>
      <c r="AI1183" s="5" t="n">
        <v>0</v>
      </c>
      <c r="AJ1183" s="5" t="n">
        <v>0</v>
      </c>
      <c r="AK1183" s="5" t="n">
        <v>0</v>
      </c>
      <c r="AL1183" s="5" t="n">
        <v>0</v>
      </c>
      <c r="AM1183" s="4" t="s">
        <v>78</v>
      </c>
      <c r="AN1183" s="0" t="n">
        <v>0</v>
      </c>
      <c r="AO1183" s="0" t="n">
        <v>0</v>
      </c>
      <c r="AP1183" s="0" t="n">
        <v>0</v>
      </c>
      <c r="AQ1183" s="0" t="n">
        <v>0</v>
      </c>
      <c r="AR1183" s="0" t="n">
        <v>0</v>
      </c>
      <c r="AS1183" s="0" t="n">
        <v>0</v>
      </c>
      <c r="AT1183" s="0" t="n">
        <v>0</v>
      </c>
      <c r="AU1183" s="0" t="n">
        <v>0</v>
      </c>
      <c r="AV1183" s="0" t="n">
        <v>0</v>
      </c>
      <c r="AW1183" s="0" t="n">
        <v>0</v>
      </c>
      <c r="AX1183" s="0" t="n">
        <v>0</v>
      </c>
      <c r="AY1183" s="0" t="n">
        <v>0</v>
      </c>
      <c r="AZ1183" s="0" t="n">
        <v>0</v>
      </c>
      <c r="BA1183" s="0" t="n">
        <v>0</v>
      </c>
      <c r="BB1183" s="0" t="n">
        <v>0</v>
      </c>
      <c r="BC1183" s="0" t="n">
        <v>0</v>
      </c>
      <c r="BD1183" s="0" t="n">
        <v>0</v>
      </c>
      <c r="BE1183" s="0" t="n">
        <v>0</v>
      </c>
      <c r="BF1183" s="0" t="n">
        <v>0</v>
      </c>
      <c r="BG1183" s="0" t="n">
        <v>0</v>
      </c>
      <c r="BH1183" s="0" t="n">
        <v>0</v>
      </c>
      <c r="BI1183" s="0" t="n">
        <v>0</v>
      </c>
      <c r="BJ1183" s="0" t="n">
        <v>0</v>
      </c>
      <c r="BK1183" s="0" t="n">
        <v>0</v>
      </c>
      <c r="BM1183" s="6" t="n">
        <f aca="false">IFERROR(VALUE(F1183),"")</f>
        <v>0</v>
      </c>
      <c r="BN1183" s="6" t="n">
        <f aca="false">IF(R1183="-","",IFERROR(VALUE(LEFT(Q1183,LEN(Q1183)-2)),""))</f>
        <v>144.44</v>
      </c>
      <c r="BO1183" s="6" t="n">
        <f aca="false">IF(R1183="-","",IFERROR(VALUE(LEFT(R1183,LEN(R1183)-5)),""))</f>
        <v>0</v>
      </c>
      <c r="BP1183" s="6" t="n">
        <f aca="false">IF(R1183="-","",IFERROR(VALUE(F1183),""))</f>
        <v>0</v>
      </c>
      <c r="BQ1183" s="4" t="n">
        <f aca="false">IF(R1183="-",1,0)</f>
        <v>0</v>
      </c>
    </row>
    <row r="1184" customFormat="false" ht="15" hidden="false" customHeight="false" outlineLevel="0" collapsed="false">
      <c r="A1184" s="0" t="s">
        <v>4552</v>
      </c>
      <c r="B1184" s="0" t="s">
        <v>4553</v>
      </c>
      <c r="C1184" s="0" t="s">
        <v>70</v>
      </c>
      <c r="E1184" s="3" t="n">
        <v>46273</v>
      </c>
      <c r="F1184" s="4" t="s">
        <v>95</v>
      </c>
      <c r="G1184" s="5" t="n">
        <v>0.110405092592593</v>
      </c>
      <c r="H1184" s="5" t="n">
        <v>0</v>
      </c>
      <c r="I1184" s="5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5" t="n">
        <v>0</v>
      </c>
      <c r="P1184" s="5" t="n">
        <v>0.0918055555555556</v>
      </c>
      <c r="Q1184" s="4" t="s">
        <v>4554</v>
      </c>
      <c r="R1184" s="4" t="s">
        <v>454</v>
      </c>
      <c r="S1184" s="5" t="n">
        <v>0</v>
      </c>
      <c r="T1184" s="5" t="n">
        <v>0.102083333333333</v>
      </c>
      <c r="U1184" s="5" t="n">
        <v>0.000231481481481482</v>
      </c>
      <c r="V1184" s="5" t="n">
        <v>0.000347222222222222</v>
      </c>
      <c r="W1184" s="5" t="n">
        <v>0</v>
      </c>
      <c r="X1184" s="5" t="n">
        <v>0</v>
      </c>
      <c r="Y1184" s="5" t="n">
        <v>0</v>
      </c>
      <c r="Z1184" s="0" t="n">
        <v>0</v>
      </c>
      <c r="AA1184" s="0" t="n">
        <v>0</v>
      </c>
      <c r="AB1184" s="0" t="n">
        <v>0</v>
      </c>
      <c r="AC1184" s="4" t="s">
        <v>74</v>
      </c>
      <c r="AD1184" s="4" t="s">
        <v>74</v>
      </c>
      <c r="AE1184" s="4" t="s">
        <v>4555</v>
      </c>
      <c r="AF1184" s="4" t="s">
        <v>4555</v>
      </c>
      <c r="AG1184" s="5" t="n">
        <v>0.00386574074074074</v>
      </c>
      <c r="AH1184" s="5" t="n">
        <v>0.112106481481482</v>
      </c>
      <c r="AI1184" s="5" t="n">
        <v>0</v>
      </c>
      <c r="AJ1184" s="5" t="n">
        <v>0</v>
      </c>
      <c r="AK1184" s="5" t="n">
        <v>0</v>
      </c>
      <c r="AL1184" s="5" t="n">
        <v>0</v>
      </c>
      <c r="AM1184" s="4" t="s">
        <v>78</v>
      </c>
      <c r="AN1184" s="0" t="n">
        <v>0</v>
      </c>
      <c r="AO1184" s="0" t="n">
        <v>0</v>
      </c>
      <c r="AP1184" s="0" t="n">
        <v>0</v>
      </c>
      <c r="AQ1184" s="0" t="n">
        <v>0</v>
      </c>
      <c r="AR1184" s="0" t="n">
        <v>0</v>
      </c>
      <c r="AS1184" s="0" t="n">
        <v>0</v>
      </c>
      <c r="AT1184" s="0" t="n">
        <v>0</v>
      </c>
      <c r="AU1184" s="0" t="n">
        <v>0</v>
      </c>
      <c r="AV1184" s="0" t="n">
        <v>0</v>
      </c>
      <c r="AW1184" s="0" t="n">
        <v>0</v>
      </c>
      <c r="AX1184" s="0" t="n">
        <v>0</v>
      </c>
      <c r="AY1184" s="0" t="n">
        <v>0</v>
      </c>
      <c r="AZ1184" s="0" t="n">
        <v>0</v>
      </c>
      <c r="BA1184" s="0" t="n">
        <v>0</v>
      </c>
      <c r="BB1184" s="0" t="n">
        <v>0</v>
      </c>
      <c r="BC1184" s="0" t="n">
        <v>0</v>
      </c>
      <c r="BD1184" s="0" t="n">
        <v>0</v>
      </c>
      <c r="BE1184" s="0" t="n">
        <v>0</v>
      </c>
      <c r="BF1184" s="0" t="n">
        <v>0</v>
      </c>
      <c r="BG1184" s="0" t="n">
        <v>0</v>
      </c>
      <c r="BH1184" s="0" t="n">
        <v>0</v>
      </c>
      <c r="BI1184" s="0" t="n">
        <v>0</v>
      </c>
      <c r="BJ1184" s="0" t="n">
        <v>0</v>
      </c>
      <c r="BK1184" s="0" t="n">
        <v>0</v>
      </c>
      <c r="BM1184" s="6" t="n">
        <f aca="false">IFERROR(VALUE(F1184),"")</f>
        <v>0</v>
      </c>
      <c r="BN1184" s="6" t="n">
        <f aca="false">IF(R1184="-","",IFERROR(VALUE(LEFT(Q1184,LEN(Q1184)-2)),""))</f>
        <v>4.9</v>
      </c>
      <c r="BO1184" s="6" t="n">
        <f aca="false">IF(R1184="-","",IFERROR(VALUE(LEFT(R1184,LEN(R1184)-5)),""))</f>
        <v>0</v>
      </c>
      <c r="BP1184" s="6" t="n">
        <f aca="false">IF(R1184="-","",IFERROR(VALUE(F1184),""))</f>
        <v>0</v>
      </c>
      <c r="BQ1184" s="4" t="n">
        <f aca="false">IF(R1184="-",1,0)</f>
        <v>0</v>
      </c>
    </row>
    <row r="1185" customFormat="false" ht="15" hidden="false" customHeight="false" outlineLevel="0" collapsed="false">
      <c r="A1185" s="0" t="s">
        <v>4552</v>
      </c>
      <c r="B1185" s="0" t="s">
        <v>4553</v>
      </c>
      <c r="C1185" s="0" t="s">
        <v>70</v>
      </c>
      <c r="E1185" s="3" t="n">
        <v>46274</v>
      </c>
      <c r="F1185" s="4" t="s">
        <v>95</v>
      </c>
      <c r="G1185" s="5" t="n">
        <v>0.0132523148148148</v>
      </c>
      <c r="H1185" s="5" t="n">
        <v>0</v>
      </c>
      <c r="I1185" s="5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5" t="n">
        <v>0</v>
      </c>
      <c r="P1185" s="5" t="n">
        <v>0</v>
      </c>
      <c r="Q1185" s="4" t="s">
        <v>4556</v>
      </c>
      <c r="R1185" s="4" t="s">
        <v>454</v>
      </c>
      <c r="S1185" s="5" t="n">
        <v>0.000115740740740741</v>
      </c>
      <c r="T1185" s="5" t="n">
        <v>0.0113657407407407</v>
      </c>
      <c r="U1185" s="5" t="n">
        <v>0.000925925925925926</v>
      </c>
      <c r="V1185" s="5" t="n">
        <v>0.000497685185185185</v>
      </c>
      <c r="W1185" s="5" t="n">
        <v>0.000104166666666667</v>
      </c>
      <c r="X1185" s="5" t="n">
        <v>0</v>
      </c>
      <c r="Y1185" s="5" t="n">
        <v>0.000115740740740741</v>
      </c>
      <c r="Z1185" s="0" t="n">
        <v>0</v>
      </c>
      <c r="AA1185" s="0" t="n">
        <v>0</v>
      </c>
      <c r="AB1185" s="0" t="n">
        <v>0</v>
      </c>
      <c r="AC1185" s="4" t="s">
        <v>74</v>
      </c>
      <c r="AD1185" s="4" t="s">
        <v>74</v>
      </c>
      <c r="AE1185" s="4" t="s">
        <v>4555</v>
      </c>
      <c r="AF1185" s="4" t="s">
        <v>4555</v>
      </c>
      <c r="AG1185" s="5" t="n">
        <v>0.00576388888888889</v>
      </c>
      <c r="AH1185" s="5" t="n">
        <v>0.00840277777777778</v>
      </c>
      <c r="AI1185" s="5" t="n">
        <v>0</v>
      </c>
      <c r="AJ1185" s="5" t="n">
        <v>0</v>
      </c>
      <c r="AK1185" s="5" t="n">
        <v>0</v>
      </c>
      <c r="AL1185" s="5" t="n">
        <v>0</v>
      </c>
      <c r="AM1185" s="4" t="s">
        <v>78</v>
      </c>
      <c r="AN1185" s="0" t="n">
        <v>0</v>
      </c>
      <c r="AO1185" s="0" t="n">
        <v>0</v>
      </c>
      <c r="AP1185" s="0" t="n">
        <v>0</v>
      </c>
      <c r="AQ1185" s="0" t="n">
        <v>0</v>
      </c>
      <c r="AR1185" s="0" t="n">
        <v>0</v>
      </c>
      <c r="AS1185" s="0" t="n">
        <v>0</v>
      </c>
      <c r="AT1185" s="0" t="n">
        <v>0</v>
      </c>
      <c r="AU1185" s="0" t="n">
        <v>0</v>
      </c>
      <c r="AV1185" s="0" t="n">
        <v>0</v>
      </c>
      <c r="AW1185" s="0" t="n">
        <v>0</v>
      </c>
      <c r="AX1185" s="0" t="n">
        <v>0</v>
      </c>
      <c r="AY1185" s="0" t="n">
        <v>0</v>
      </c>
      <c r="AZ1185" s="0" t="n">
        <v>0</v>
      </c>
      <c r="BA1185" s="0" t="n">
        <v>0</v>
      </c>
      <c r="BB1185" s="0" t="n">
        <v>0</v>
      </c>
      <c r="BC1185" s="0" t="n">
        <v>0</v>
      </c>
      <c r="BD1185" s="0" t="n">
        <v>0</v>
      </c>
      <c r="BE1185" s="0" t="n">
        <v>0</v>
      </c>
      <c r="BF1185" s="0" t="n">
        <v>0</v>
      </c>
      <c r="BG1185" s="0" t="n">
        <v>0</v>
      </c>
      <c r="BH1185" s="0" t="n">
        <v>0</v>
      </c>
      <c r="BI1185" s="0" t="n">
        <v>0</v>
      </c>
      <c r="BJ1185" s="0" t="n">
        <v>0</v>
      </c>
      <c r="BK1185" s="0" t="n">
        <v>0</v>
      </c>
      <c r="BM1185" s="6" t="n">
        <f aca="false">IFERROR(VALUE(F1185),"")</f>
        <v>0</v>
      </c>
      <c r="BN1185" s="6" t="n">
        <f aca="false">IF(R1185="-","",IFERROR(VALUE(LEFT(Q1185,LEN(Q1185)-2)),""))</f>
        <v>0.76</v>
      </c>
      <c r="BO1185" s="6" t="n">
        <f aca="false">IF(R1185="-","",IFERROR(VALUE(LEFT(R1185,LEN(R1185)-5)),""))</f>
        <v>0</v>
      </c>
      <c r="BP1185" s="6" t="n">
        <f aca="false">IF(R1185="-","",IFERROR(VALUE(F1185),""))</f>
        <v>0</v>
      </c>
      <c r="BQ1185" s="4" t="n">
        <f aca="false">IF(R1185="-",1,0)</f>
        <v>0</v>
      </c>
    </row>
    <row r="1186" customFormat="false" ht="15" hidden="false" customHeight="false" outlineLevel="0" collapsed="false">
      <c r="A1186" s="0" t="s">
        <v>4552</v>
      </c>
      <c r="B1186" s="0" t="s">
        <v>4553</v>
      </c>
      <c r="C1186" s="0" t="s">
        <v>70</v>
      </c>
      <c r="E1186" s="3" t="n">
        <v>46275</v>
      </c>
      <c r="F1186" s="4" t="s">
        <v>95</v>
      </c>
      <c r="G1186" s="5" t="n">
        <v>0.00256944444444445</v>
      </c>
      <c r="H1186" s="5" t="n">
        <v>0</v>
      </c>
      <c r="I1186" s="5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5" t="n">
        <v>0</v>
      </c>
      <c r="P1186" s="5" t="n">
        <v>0</v>
      </c>
      <c r="Q1186" s="4" t="s">
        <v>4557</v>
      </c>
      <c r="R1186" s="4" t="s">
        <v>454</v>
      </c>
      <c r="S1186" s="5" t="n">
        <v>0</v>
      </c>
      <c r="T1186" s="5" t="n">
        <v>0.00208333333333333</v>
      </c>
      <c r="U1186" s="5" t="n">
        <v>0.000115740740740741</v>
      </c>
      <c r="V1186" s="5" t="n">
        <v>0.000231481481481482</v>
      </c>
      <c r="W1186" s="5" t="n">
        <v>0</v>
      </c>
      <c r="X1186" s="5" t="n">
        <v>0</v>
      </c>
      <c r="Y1186" s="5" t="n">
        <v>0</v>
      </c>
      <c r="Z1186" s="0" t="n">
        <v>0</v>
      </c>
      <c r="AA1186" s="0" t="n">
        <v>0</v>
      </c>
      <c r="AB1186" s="0" t="n">
        <v>0</v>
      </c>
      <c r="AC1186" s="4" t="s">
        <v>74</v>
      </c>
      <c r="AD1186" s="4" t="s">
        <v>74</v>
      </c>
      <c r="AE1186" s="4" t="s">
        <v>4555</v>
      </c>
      <c r="AF1186" s="4" t="s">
        <v>4555</v>
      </c>
      <c r="AG1186" s="5" t="n">
        <v>0.00105324074074074</v>
      </c>
      <c r="AH1186" s="5" t="n">
        <v>0.00196759259259259</v>
      </c>
      <c r="AI1186" s="5" t="n">
        <v>0</v>
      </c>
      <c r="AJ1186" s="5" t="n">
        <v>0</v>
      </c>
      <c r="AK1186" s="5" t="n">
        <v>0</v>
      </c>
      <c r="AL1186" s="5" t="n">
        <v>0</v>
      </c>
      <c r="AM1186" s="4" t="s">
        <v>78</v>
      </c>
      <c r="AN1186" s="0" t="n">
        <v>0</v>
      </c>
      <c r="AO1186" s="0" t="n">
        <v>0</v>
      </c>
      <c r="AP1186" s="0" t="n">
        <v>0</v>
      </c>
      <c r="AQ1186" s="0" t="n">
        <v>0</v>
      </c>
      <c r="AR1186" s="0" t="n">
        <v>0</v>
      </c>
      <c r="AS1186" s="0" t="n">
        <v>0</v>
      </c>
      <c r="AT1186" s="0" t="n">
        <v>0</v>
      </c>
      <c r="AU1186" s="0" t="n">
        <v>0</v>
      </c>
      <c r="AV1186" s="0" t="n">
        <v>0</v>
      </c>
      <c r="AW1186" s="0" t="n">
        <v>0</v>
      </c>
      <c r="AX1186" s="0" t="n">
        <v>0</v>
      </c>
      <c r="AY1186" s="0" t="n">
        <v>0</v>
      </c>
      <c r="AZ1186" s="0" t="n">
        <v>0</v>
      </c>
      <c r="BA1186" s="0" t="n">
        <v>0</v>
      </c>
      <c r="BB1186" s="0" t="n">
        <v>0</v>
      </c>
      <c r="BC1186" s="0" t="n">
        <v>0</v>
      </c>
      <c r="BD1186" s="0" t="n">
        <v>0</v>
      </c>
      <c r="BE1186" s="0" t="n">
        <v>0</v>
      </c>
      <c r="BF1186" s="0" t="n">
        <v>0</v>
      </c>
      <c r="BG1186" s="0" t="n">
        <v>0</v>
      </c>
      <c r="BH1186" s="0" t="n">
        <v>0</v>
      </c>
      <c r="BI1186" s="0" t="n">
        <v>0</v>
      </c>
      <c r="BJ1186" s="0" t="n">
        <v>0</v>
      </c>
      <c r="BK1186" s="0" t="n">
        <v>0</v>
      </c>
      <c r="BM1186" s="6" t="n">
        <f aca="false">IFERROR(VALUE(F1186),"")</f>
        <v>0</v>
      </c>
      <c r="BN1186" s="6" t="n">
        <f aca="false">IF(R1186="-","",IFERROR(VALUE(LEFT(Q1186,LEN(Q1186)-2)),""))</f>
        <v>0.15</v>
      </c>
      <c r="BO1186" s="6" t="n">
        <f aca="false">IF(R1186="-","",IFERROR(VALUE(LEFT(R1186,LEN(R1186)-5)),""))</f>
        <v>0</v>
      </c>
      <c r="BP1186" s="6" t="n">
        <f aca="false">IF(R1186="-","",IFERROR(VALUE(F1186),""))</f>
        <v>0</v>
      </c>
      <c r="BQ1186" s="4" t="n">
        <f aca="false">IF(R1186="-",1,0)</f>
        <v>0</v>
      </c>
    </row>
    <row r="1187" customFormat="false" ht="15" hidden="false" customHeight="false" outlineLevel="0" collapsed="false">
      <c r="A1187" s="0" t="s">
        <v>4552</v>
      </c>
      <c r="B1187" s="0" t="s">
        <v>4553</v>
      </c>
      <c r="C1187" s="0" t="s">
        <v>70</v>
      </c>
      <c r="E1187" s="3" t="n">
        <v>46279</v>
      </c>
      <c r="F1187" s="4" t="s">
        <v>95</v>
      </c>
      <c r="G1187" s="5" t="n">
        <v>0.0025462962962963</v>
      </c>
      <c r="H1187" s="5" t="n">
        <v>0</v>
      </c>
      <c r="I1187" s="5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5" t="n">
        <v>0</v>
      </c>
      <c r="P1187" s="5" t="n">
        <v>0</v>
      </c>
      <c r="Q1187" s="4" t="s">
        <v>2523</v>
      </c>
      <c r="R1187" s="4" t="s">
        <v>454</v>
      </c>
      <c r="S1187" s="5" t="n">
        <v>0</v>
      </c>
      <c r="T1187" s="5" t="n">
        <v>0.00163194444444445</v>
      </c>
      <c r="U1187" s="5" t="n">
        <v>0.00025462962962963</v>
      </c>
      <c r="V1187" s="5" t="n">
        <v>0.000185185185185185</v>
      </c>
      <c r="W1187" s="5" t="n">
        <v>0.0003125</v>
      </c>
      <c r="X1187" s="5" t="n">
        <v>5.78703703703704E-005</v>
      </c>
      <c r="Y1187" s="5" t="n">
        <v>8.10185185185185E-005</v>
      </c>
      <c r="Z1187" s="0" t="n">
        <v>0</v>
      </c>
      <c r="AA1187" s="0" t="n">
        <v>0</v>
      </c>
      <c r="AB1187" s="0" t="n">
        <v>0</v>
      </c>
      <c r="AC1187" s="4" t="s">
        <v>74</v>
      </c>
      <c r="AD1187" s="4" t="s">
        <v>74</v>
      </c>
      <c r="AE1187" s="4" t="s">
        <v>4555</v>
      </c>
      <c r="AF1187" s="4" t="s">
        <v>4555</v>
      </c>
      <c r="AG1187" s="5" t="n">
        <v>0.00130787037037037</v>
      </c>
      <c r="AH1187" s="5" t="n">
        <v>0.0195138888888889</v>
      </c>
      <c r="AI1187" s="5" t="n">
        <v>0</v>
      </c>
      <c r="AJ1187" s="5" t="n">
        <v>0</v>
      </c>
      <c r="AK1187" s="5" t="n">
        <v>0</v>
      </c>
      <c r="AL1187" s="5" t="n">
        <v>0</v>
      </c>
      <c r="AM1187" s="4" t="s">
        <v>78</v>
      </c>
      <c r="AN1187" s="0" t="n">
        <v>0</v>
      </c>
      <c r="AO1187" s="0" t="n">
        <v>0</v>
      </c>
      <c r="AP1187" s="0" t="n">
        <v>0</v>
      </c>
      <c r="AQ1187" s="0" t="n">
        <v>0</v>
      </c>
      <c r="AR1187" s="0" t="n">
        <v>0</v>
      </c>
      <c r="AS1187" s="0" t="n">
        <v>0</v>
      </c>
      <c r="AT1187" s="0" t="n">
        <v>0</v>
      </c>
      <c r="AU1187" s="0" t="n">
        <v>0</v>
      </c>
      <c r="AV1187" s="0" t="n">
        <v>0</v>
      </c>
      <c r="AW1187" s="0" t="n">
        <v>0</v>
      </c>
      <c r="AX1187" s="0" t="n">
        <v>0</v>
      </c>
      <c r="AY1187" s="0" t="n">
        <v>0</v>
      </c>
      <c r="AZ1187" s="0" t="n">
        <v>0</v>
      </c>
      <c r="BA1187" s="0" t="n">
        <v>0</v>
      </c>
      <c r="BB1187" s="0" t="n">
        <v>0</v>
      </c>
      <c r="BC1187" s="0" t="n">
        <v>0</v>
      </c>
      <c r="BD1187" s="0" t="n">
        <v>0</v>
      </c>
      <c r="BE1187" s="0" t="n">
        <v>0</v>
      </c>
      <c r="BF1187" s="0" t="n">
        <v>0</v>
      </c>
      <c r="BG1187" s="0" t="n">
        <v>0</v>
      </c>
      <c r="BH1187" s="0" t="n">
        <v>0</v>
      </c>
      <c r="BI1187" s="0" t="n">
        <v>0</v>
      </c>
      <c r="BJ1187" s="0" t="n">
        <v>0</v>
      </c>
      <c r="BK1187" s="0" t="n">
        <v>0</v>
      </c>
      <c r="BM1187" s="6" t="n">
        <f aca="false">IFERROR(VALUE(F1187),"")</f>
        <v>0</v>
      </c>
      <c r="BN1187" s="6" t="n">
        <f aca="false">IF(R1187="-","",IFERROR(VALUE(LEFT(Q1187,LEN(Q1187)-2)),""))</f>
        <v>0.18</v>
      </c>
      <c r="BO1187" s="6" t="n">
        <f aca="false">IF(R1187="-","",IFERROR(VALUE(LEFT(R1187,LEN(R1187)-5)),""))</f>
        <v>0</v>
      </c>
      <c r="BP1187" s="6" t="n">
        <f aca="false">IF(R1187="-","",IFERROR(VALUE(F1187),""))</f>
        <v>0</v>
      </c>
      <c r="BQ1187" s="4" t="n">
        <f aca="false">IF(R1187="-",1,0)</f>
        <v>0</v>
      </c>
    </row>
    <row r="1188" customFormat="false" ht="15" hidden="false" customHeight="false" outlineLevel="0" collapsed="false">
      <c r="A1188" s="0" t="s">
        <v>4558</v>
      </c>
      <c r="B1188" s="0" t="s">
        <v>4559</v>
      </c>
      <c r="C1188" s="0" t="s">
        <v>70</v>
      </c>
      <c r="D1188" s="0" t="s">
        <v>4560</v>
      </c>
      <c r="E1188" s="3" t="n">
        <v>46273</v>
      </c>
      <c r="F1188" s="4" t="s">
        <v>4561</v>
      </c>
      <c r="G1188" s="5" t="n">
        <v>0.634375</v>
      </c>
      <c r="H1188" s="5" t="n">
        <v>0.555023148148148</v>
      </c>
      <c r="I1188" s="5" t="n">
        <v>0.00158564814814815</v>
      </c>
      <c r="J1188" s="0" t="n">
        <v>0</v>
      </c>
      <c r="K1188" s="0" t="n">
        <v>1</v>
      </c>
      <c r="L1188" s="0" t="n">
        <v>0</v>
      </c>
      <c r="M1188" s="0" t="n">
        <v>0</v>
      </c>
      <c r="N1188" s="0" t="n">
        <v>1</v>
      </c>
      <c r="O1188" s="5" t="n">
        <v>0</v>
      </c>
      <c r="P1188" s="5" t="n">
        <v>0.00711805555555556</v>
      </c>
      <c r="Q1188" s="4" t="s">
        <v>4562</v>
      </c>
      <c r="R1188" s="4" t="s">
        <v>921</v>
      </c>
      <c r="S1188" s="5" t="n">
        <v>0.000694444444444445</v>
      </c>
      <c r="T1188" s="5" t="n">
        <v>0.108460648148148</v>
      </c>
      <c r="U1188" s="5" t="n">
        <v>0.390659722222222</v>
      </c>
      <c r="V1188" s="5" t="n">
        <v>0.0461805555555556</v>
      </c>
      <c r="W1188" s="5" t="n">
        <v>5.78703703703704E-005</v>
      </c>
      <c r="X1188" s="5" t="n">
        <v>0</v>
      </c>
      <c r="Y1188" s="5" t="n">
        <v>5.78703703703704E-005</v>
      </c>
      <c r="Z1188" s="0" t="n">
        <v>0</v>
      </c>
      <c r="AA1188" s="0" t="n">
        <v>0</v>
      </c>
      <c r="AB1188" s="0" t="n">
        <v>0</v>
      </c>
      <c r="AC1188" s="4" t="s">
        <v>2377</v>
      </c>
      <c r="AD1188" s="4" t="s">
        <v>81</v>
      </c>
      <c r="AE1188" s="4" t="s">
        <v>4563</v>
      </c>
      <c r="AF1188" s="4" t="s">
        <v>4564</v>
      </c>
      <c r="AG1188" s="5" t="n">
        <v>0.490162037037037</v>
      </c>
      <c r="AH1188" s="5" t="n">
        <v>0.307152777777778</v>
      </c>
      <c r="AI1188" s="5" t="n">
        <v>0</v>
      </c>
      <c r="AJ1188" s="5" t="n">
        <v>0</v>
      </c>
      <c r="AK1188" s="5" t="n">
        <v>0</v>
      </c>
      <c r="AL1188" s="5" t="n">
        <v>0</v>
      </c>
      <c r="AM1188" s="4" t="s">
        <v>78</v>
      </c>
      <c r="AN1188" s="0" t="n">
        <v>0</v>
      </c>
      <c r="AO1188" s="0" t="n">
        <v>0</v>
      </c>
      <c r="AP1188" s="0" t="n">
        <v>0</v>
      </c>
      <c r="AQ1188" s="0" t="n">
        <v>0</v>
      </c>
      <c r="AR1188" s="0" t="n">
        <v>0</v>
      </c>
      <c r="AS1188" s="0" t="n">
        <v>0</v>
      </c>
      <c r="AT1188" s="0" t="n">
        <v>0</v>
      </c>
      <c r="AU1188" s="0" t="n">
        <v>8</v>
      </c>
      <c r="AV1188" s="0" t="n">
        <v>0</v>
      </c>
      <c r="AW1188" s="0" t="n">
        <v>0</v>
      </c>
      <c r="AX1188" s="0" t="n">
        <v>0</v>
      </c>
      <c r="AY1188" s="0" t="n">
        <v>0</v>
      </c>
      <c r="AZ1188" s="0" t="n">
        <v>0</v>
      </c>
      <c r="BA1188" s="0" t="n">
        <v>0</v>
      </c>
      <c r="BB1188" s="0" t="n">
        <v>0</v>
      </c>
      <c r="BC1188" s="0" t="n">
        <v>0</v>
      </c>
      <c r="BD1188" s="0" t="n">
        <v>0</v>
      </c>
      <c r="BE1188" s="0" t="n">
        <v>0</v>
      </c>
      <c r="BF1188" s="0" t="n">
        <v>0</v>
      </c>
      <c r="BG1188" s="0" t="n">
        <v>0</v>
      </c>
      <c r="BH1188" s="0" t="n">
        <v>0</v>
      </c>
      <c r="BI1188" s="0" t="n">
        <v>0</v>
      </c>
      <c r="BJ1188" s="0" t="n">
        <v>0</v>
      </c>
      <c r="BK1188" s="0" t="n">
        <v>0</v>
      </c>
      <c r="BM1188" s="6" t="n">
        <f aca="false">IFERROR(VALUE(F1188),"")</f>
        <v>705.63</v>
      </c>
      <c r="BN1188" s="6" t="n">
        <f aca="false">IF(R1188="-","",IFERROR(VALUE(LEFT(Q1188,LEN(Q1188)-2)),""))</f>
        <v>230.54</v>
      </c>
      <c r="BO1188" s="6" t="n">
        <f aca="false">IF(R1188="-","",IFERROR(VALUE(LEFT(R1188,LEN(R1188)-5)),""))</f>
        <v>3.06</v>
      </c>
      <c r="BP1188" s="6" t="n">
        <f aca="false">IF(R1188="-","",IFERROR(VALUE(F1188),""))</f>
        <v>705.63</v>
      </c>
      <c r="BQ1188" s="4" t="n">
        <f aca="false">IF(R1188="-",1,0)</f>
        <v>0</v>
      </c>
    </row>
    <row r="1189" customFormat="false" ht="15" hidden="false" customHeight="false" outlineLevel="0" collapsed="false">
      <c r="A1189" s="0" t="s">
        <v>4558</v>
      </c>
      <c r="B1189" s="0" t="s">
        <v>4559</v>
      </c>
      <c r="C1189" s="0" t="s">
        <v>70</v>
      </c>
      <c r="D1189" s="0" t="s">
        <v>4565</v>
      </c>
      <c r="E1189" s="3" t="n">
        <v>46274</v>
      </c>
      <c r="F1189" s="4" t="s">
        <v>4566</v>
      </c>
      <c r="G1189" s="5" t="n">
        <v>0.033125</v>
      </c>
      <c r="H1189" s="5" t="n">
        <v>0.0034375</v>
      </c>
      <c r="I1189" s="5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5" t="n">
        <v>0</v>
      </c>
      <c r="P1189" s="5" t="n">
        <v>0</v>
      </c>
      <c r="Q1189" s="4" t="s">
        <v>4567</v>
      </c>
      <c r="R1189" s="4" t="s">
        <v>2565</v>
      </c>
      <c r="S1189" s="5" t="n">
        <v>0.000231481481481482</v>
      </c>
      <c r="T1189" s="5" t="n">
        <v>0.0208333333333333</v>
      </c>
      <c r="U1189" s="5" t="n">
        <v>0.00358796296296296</v>
      </c>
      <c r="V1189" s="5" t="n">
        <v>0</v>
      </c>
      <c r="W1189" s="5" t="n">
        <v>0</v>
      </c>
      <c r="X1189" s="5" t="n">
        <v>0</v>
      </c>
      <c r="Y1189" s="5" t="n">
        <v>0</v>
      </c>
      <c r="Z1189" s="0" t="n">
        <v>0</v>
      </c>
      <c r="AA1189" s="0" t="n">
        <v>0</v>
      </c>
      <c r="AB1189" s="0" t="n">
        <v>0</v>
      </c>
      <c r="AC1189" s="4" t="s">
        <v>81</v>
      </c>
      <c r="AD1189" s="4" t="s">
        <v>75</v>
      </c>
      <c r="AE1189" s="4" t="s">
        <v>4564</v>
      </c>
      <c r="AF1189" s="4" t="s">
        <v>4568</v>
      </c>
      <c r="AG1189" s="5" t="n">
        <v>0.0147800925925926</v>
      </c>
      <c r="AH1189" s="5" t="n">
        <v>0.0594097222222222</v>
      </c>
      <c r="AI1189" s="5" t="n">
        <v>0</v>
      </c>
      <c r="AJ1189" s="5" t="n">
        <v>0</v>
      </c>
      <c r="AK1189" s="5" t="n">
        <v>0</v>
      </c>
      <c r="AL1189" s="5" t="n">
        <v>0</v>
      </c>
      <c r="AM1189" s="4" t="s">
        <v>78</v>
      </c>
      <c r="AN1189" s="0" t="n">
        <v>0</v>
      </c>
      <c r="AO1189" s="0" t="n">
        <v>0</v>
      </c>
      <c r="AP1189" s="0" t="n">
        <v>0</v>
      </c>
      <c r="AQ1189" s="0" t="n">
        <v>0</v>
      </c>
      <c r="AR1189" s="0" t="n">
        <v>0</v>
      </c>
      <c r="AS1189" s="0" t="n">
        <v>0</v>
      </c>
      <c r="AT1189" s="0" t="n">
        <v>0</v>
      </c>
      <c r="AU1189" s="0" t="n">
        <v>0</v>
      </c>
      <c r="AV1189" s="0" t="n">
        <v>0</v>
      </c>
      <c r="AW1189" s="0" t="n">
        <v>0</v>
      </c>
      <c r="AX1189" s="0" t="n">
        <v>0</v>
      </c>
      <c r="AY1189" s="0" t="n">
        <v>0</v>
      </c>
      <c r="AZ1189" s="0" t="n">
        <v>0</v>
      </c>
      <c r="BA1189" s="0" t="n">
        <v>0</v>
      </c>
      <c r="BB1189" s="0" t="n">
        <v>0</v>
      </c>
      <c r="BC1189" s="0" t="n">
        <v>1</v>
      </c>
      <c r="BD1189" s="0" t="n">
        <v>0</v>
      </c>
      <c r="BE1189" s="0" t="n">
        <v>0</v>
      </c>
      <c r="BF1189" s="0" t="n">
        <v>0</v>
      </c>
      <c r="BG1189" s="0" t="n">
        <v>0</v>
      </c>
      <c r="BH1189" s="0" t="n">
        <v>0</v>
      </c>
      <c r="BI1189" s="0" t="n">
        <v>0</v>
      </c>
      <c r="BJ1189" s="0" t="n">
        <v>0</v>
      </c>
      <c r="BK1189" s="0" t="n">
        <v>0</v>
      </c>
      <c r="BM1189" s="6" t="n">
        <f aca="false">IFERROR(VALUE(F1189),"")</f>
        <v>1.12</v>
      </c>
      <c r="BN1189" s="6" t="n">
        <f aca="false">IF(R1189="-","",IFERROR(VALUE(LEFT(Q1189,LEN(Q1189)-2)),""))</f>
        <v>2.52</v>
      </c>
      <c r="BO1189" s="6" t="n">
        <f aca="false">IF(R1189="-","",IFERROR(VALUE(LEFT(R1189,LEN(R1189)-5)),""))</f>
        <v>0.44</v>
      </c>
      <c r="BP1189" s="6" t="n">
        <f aca="false">IF(R1189="-","",IFERROR(VALUE(F1189),""))</f>
        <v>1.12</v>
      </c>
      <c r="BQ1189" s="4" t="n">
        <f aca="false">IF(R1189="-",1,0)</f>
        <v>0</v>
      </c>
    </row>
    <row r="1190" customFormat="false" ht="15" hidden="false" customHeight="false" outlineLevel="0" collapsed="false">
      <c r="A1190" s="0" t="s">
        <v>4558</v>
      </c>
      <c r="B1190" s="0" t="s">
        <v>4559</v>
      </c>
      <c r="C1190" s="0" t="s">
        <v>70</v>
      </c>
      <c r="E1190" s="3" t="n">
        <v>46275</v>
      </c>
      <c r="F1190" s="4" t="s">
        <v>1821</v>
      </c>
      <c r="G1190" s="5" t="n">
        <v>0.0302199074074074</v>
      </c>
      <c r="H1190" s="5" t="n">
        <v>0</v>
      </c>
      <c r="I1190" s="5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5" t="n">
        <v>0</v>
      </c>
      <c r="P1190" s="5" t="n">
        <v>0</v>
      </c>
      <c r="Q1190" s="4" t="s">
        <v>4569</v>
      </c>
      <c r="R1190" s="4" t="s">
        <v>2359</v>
      </c>
      <c r="S1190" s="5" t="n">
        <v>0</v>
      </c>
      <c r="T1190" s="5" t="n">
        <v>0.00972222222222222</v>
      </c>
      <c r="U1190" s="5" t="n">
        <v>0.000115740740740741</v>
      </c>
      <c r="V1190" s="5" t="n">
        <v>0</v>
      </c>
      <c r="W1190" s="5" t="n">
        <v>0</v>
      </c>
      <c r="X1190" s="5" t="n">
        <v>0</v>
      </c>
      <c r="Y1190" s="5" t="n">
        <v>0</v>
      </c>
      <c r="Z1190" s="0" t="n">
        <v>0</v>
      </c>
      <c r="AA1190" s="0" t="n">
        <v>0</v>
      </c>
      <c r="AB1190" s="0" t="n">
        <v>0</v>
      </c>
      <c r="AC1190" s="4" t="s">
        <v>75</v>
      </c>
      <c r="AD1190" s="4" t="s">
        <v>75</v>
      </c>
      <c r="AE1190" s="4" t="s">
        <v>4568</v>
      </c>
      <c r="AF1190" s="4" t="s">
        <v>4570</v>
      </c>
      <c r="AG1190" s="5" t="n">
        <v>0.000694444444444445</v>
      </c>
      <c r="AH1190" s="5" t="n">
        <v>0.0704050925925926</v>
      </c>
      <c r="AI1190" s="5" t="n">
        <v>0</v>
      </c>
      <c r="AJ1190" s="5" t="n">
        <v>0</v>
      </c>
      <c r="AK1190" s="5" t="n">
        <v>0</v>
      </c>
      <c r="AL1190" s="5" t="n">
        <v>0</v>
      </c>
      <c r="AM1190" s="4" t="s">
        <v>78</v>
      </c>
      <c r="AN1190" s="0" t="n">
        <v>0</v>
      </c>
      <c r="AO1190" s="0" t="n">
        <v>0</v>
      </c>
      <c r="AP1190" s="0" t="n">
        <v>0</v>
      </c>
      <c r="AQ1190" s="0" t="n">
        <v>0</v>
      </c>
      <c r="AR1190" s="0" t="n">
        <v>0</v>
      </c>
      <c r="AS1190" s="0" t="n">
        <v>0</v>
      </c>
      <c r="AT1190" s="0" t="n">
        <v>0</v>
      </c>
      <c r="AU1190" s="0" t="n">
        <v>0</v>
      </c>
      <c r="AV1190" s="0" t="n">
        <v>0</v>
      </c>
      <c r="AW1190" s="0" t="n">
        <v>0</v>
      </c>
      <c r="AX1190" s="0" t="n">
        <v>0</v>
      </c>
      <c r="AY1190" s="0" t="n">
        <v>0</v>
      </c>
      <c r="AZ1190" s="0" t="n">
        <v>0</v>
      </c>
      <c r="BA1190" s="0" t="n">
        <v>0</v>
      </c>
      <c r="BB1190" s="0" t="n">
        <v>0</v>
      </c>
      <c r="BC1190" s="0" t="n">
        <v>0</v>
      </c>
      <c r="BD1190" s="0" t="n">
        <v>0</v>
      </c>
      <c r="BE1190" s="0" t="n">
        <v>0</v>
      </c>
      <c r="BF1190" s="0" t="n">
        <v>0</v>
      </c>
      <c r="BG1190" s="0" t="n">
        <v>0</v>
      </c>
      <c r="BH1190" s="0" t="n">
        <v>0</v>
      </c>
      <c r="BI1190" s="0" t="n">
        <v>0</v>
      </c>
      <c r="BJ1190" s="0" t="n">
        <v>0</v>
      </c>
      <c r="BK1190" s="0" t="n">
        <v>0</v>
      </c>
      <c r="BM1190" s="6" t="n">
        <f aca="false">IFERROR(VALUE(F1190),"")</f>
        <v>0.07</v>
      </c>
      <c r="BN1190" s="6" t="n">
        <f aca="false">IF(R1190="-","",IFERROR(VALUE(LEFT(Q1190,LEN(Q1190)-2)),""))</f>
        <v>0.64</v>
      </c>
      <c r="BO1190" s="6" t="n">
        <f aca="false">IF(R1190="-","",IFERROR(VALUE(LEFT(R1190,LEN(R1190)-5)),""))</f>
        <v>0.11</v>
      </c>
      <c r="BP1190" s="6" t="n">
        <f aca="false">IF(R1190="-","",IFERROR(VALUE(F1190),""))</f>
        <v>0.07</v>
      </c>
      <c r="BQ1190" s="4" t="n">
        <f aca="false">IF(R1190="-",1,0)</f>
        <v>0</v>
      </c>
    </row>
    <row r="1191" customFormat="false" ht="15" hidden="false" customHeight="false" outlineLevel="0" collapsed="false">
      <c r="A1191" s="0" t="s">
        <v>4558</v>
      </c>
      <c r="B1191" s="0" t="s">
        <v>4559</v>
      </c>
      <c r="C1191" s="0" t="s">
        <v>70</v>
      </c>
      <c r="E1191" s="3" t="n">
        <v>46276</v>
      </c>
      <c r="F1191" s="4" t="s">
        <v>4325</v>
      </c>
      <c r="G1191" s="5" t="n">
        <v>0.0110300925925926</v>
      </c>
      <c r="H1191" s="5" t="n">
        <v>0</v>
      </c>
      <c r="I1191" s="5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5" t="n">
        <v>0</v>
      </c>
      <c r="P1191" s="5" t="n">
        <v>0</v>
      </c>
      <c r="Q1191" s="4" t="s">
        <v>4571</v>
      </c>
      <c r="R1191" s="4" t="s">
        <v>4572</v>
      </c>
      <c r="S1191" s="5" t="n">
        <v>0</v>
      </c>
      <c r="T1191" s="5" t="n">
        <v>0.009375</v>
      </c>
      <c r="U1191" s="5" t="n">
        <v>0.000578703703703704</v>
      </c>
      <c r="V1191" s="5" t="n">
        <v>0</v>
      </c>
      <c r="W1191" s="5" t="n">
        <v>0</v>
      </c>
      <c r="X1191" s="5" t="n">
        <v>0</v>
      </c>
      <c r="Y1191" s="5" t="n">
        <v>0</v>
      </c>
      <c r="Z1191" s="0" t="n">
        <v>0</v>
      </c>
      <c r="AA1191" s="0" t="n">
        <v>0</v>
      </c>
      <c r="AB1191" s="0" t="n">
        <v>0</v>
      </c>
      <c r="AC1191" s="4" t="s">
        <v>75</v>
      </c>
      <c r="AD1191" s="4" t="s">
        <v>75</v>
      </c>
      <c r="AE1191" s="4" t="s">
        <v>4570</v>
      </c>
      <c r="AF1191" s="4" t="s">
        <v>4573</v>
      </c>
      <c r="AG1191" s="5" t="n">
        <v>0.00331018518518519</v>
      </c>
      <c r="AH1191" s="5" t="n">
        <v>0.00819444444444445</v>
      </c>
      <c r="AI1191" s="5" t="n">
        <v>0</v>
      </c>
      <c r="AJ1191" s="5" t="n">
        <v>0</v>
      </c>
      <c r="AK1191" s="5" t="n">
        <v>0</v>
      </c>
      <c r="AL1191" s="5" t="n">
        <v>0</v>
      </c>
      <c r="AM1191" s="4" t="s">
        <v>78</v>
      </c>
      <c r="AN1191" s="0" t="n">
        <v>0</v>
      </c>
      <c r="AO1191" s="0" t="n">
        <v>0</v>
      </c>
      <c r="AP1191" s="0" t="n">
        <v>0</v>
      </c>
      <c r="AQ1191" s="0" t="n">
        <v>0</v>
      </c>
      <c r="AR1191" s="0" t="n">
        <v>0</v>
      </c>
      <c r="AS1191" s="0" t="n">
        <v>0</v>
      </c>
      <c r="AT1191" s="0" t="n">
        <v>0</v>
      </c>
      <c r="AU1191" s="0" t="n">
        <v>0</v>
      </c>
      <c r="AV1191" s="0" t="n">
        <v>0</v>
      </c>
      <c r="AW1191" s="0" t="n">
        <v>0</v>
      </c>
      <c r="AX1191" s="0" t="n">
        <v>0</v>
      </c>
      <c r="AY1191" s="0" t="n">
        <v>0</v>
      </c>
      <c r="AZ1191" s="0" t="n">
        <v>0</v>
      </c>
      <c r="BA1191" s="0" t="n">
        <v>0</v>
      </c>
      <c r="BB1191" s="0" t="n">
        <v>0</v>
      </c>
      <c r="BC1191" s="0" t="n">
        <v>0</v>
      </c>
      <c r="BD1191" s="0" t="n">
        <v>0</v>
      </c>
      <c r="BE1191" s="0" t="n">
        <v>0</v>
      </c>
      <c r="BF1191" s="0" t="n">
        <v>0</v>
      </c>
      <c r="BG1191" s="0" t="n">
        <v>0</v>
      </c>
      <c r="BH1191" s="0" t="n">
        <v>0</v>
      </c>
      <c r="BI1191" s="0" t="n">
        <v>0</v>
      </c>
      <c r="BJ1191" s="0" t="n">
        <v>0</v>
      </c>
      <c r="BK1191" s="0" t="n">
        <v>0</v>
      </c>
      <c r="BM1191" s="6" t="n">
        <f aca="false">IFERROR(VALUE(F1191),"")</f>
        <v>0.38</v>
      </c>
      <c r="BN1191" s="6" t="n">
        <f aca="false">IF(R1191="-","",IFERROR(VALUE(LEFT(Q1191,LEN(Q1191)-2)),""))</f>
        <v>0.88</v>
      </c>
      <c r="BO1191" s="6" t="n">
        <f aca="false">IF(R1191="-","",IFERROR(VALUE(LEFT(R1191,LEN(R1191)-5)),""))</f>
        <v>0.43</v>
      </c>
      <c r="BP1191" s="6" t="n">
        <f aca="false">IF(R1191="-","",IFERROR(VALUE(F1191),""))</f>
        <v>0.38</v>
      </c>
      <c r="BQ1191" s="4" t="n">
        <f aca="false">IF(R1191="-",1,0)</f>
        <v>0</v>
      </c>
    </row>
    <row r="1192" customFormat="false" ht="15" hidden="false" customHeight="false" outlineLevel="0" collapsed="false">
      <c r="A1192" s="0" t="s">
        <v>4574</v>
      </c>
      <c r="B1192" s="0" t="s">
        <v>4575</v>
      </c>
      <c r="C1192" s="0" t="s">
        <v>70</v>
      </c>
      <c r="D1192" s="0" t="s">
        <v>4576</v>
      </c>
      <c r="E1192" s="3" t="n">
        <v>46273</v>
      </c>
      <c r="F1192" s="4" t="s">
        <v>4577</v>
      </c>
      <c r="G1192" s="5" t="n">
        <v>0.122523148148148</v>
      </c>
      <c r="H1192" s="5" t="n">
        <v>0.0363657407407407</v>
      </c>
      <c r="I1192" s="5" t="n">
        <v>0.000115740740740741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5" t="n">
        <v>0</v>
      </c>
      <c r="P1192" s="5" t="n">
        <v>0</v>
      </c>
      <c r="Q1192" s="4" t="s">
        <v>4578</v>
      </c>
      <c r="R1192" s="4" t="s">
        <v>553</v>
      </c>
      <c r="S1192" s="5" t="n">
        <v>0.000347222222222222</v>
      </c>
      <c r="T1192" s="5" t="n">
        <v>0.0237268518518519</v>
      </c>
      <c r="U1192" s="5" t="n">
        <v>0.0302083333333333</v>
      </c>
      <c r="V1192" s="5" t="n">
        <v>0.00138888888888889</v>
      </c>
      <c r="W1192" s="5" t="n">
        <v>0</v>
      </c>
      <c r="X1192" s="5" t="n">
        <v>0</v>
      </c>
      <c r="Y1192" s="5" t="n">
        <v>0</v>
      </c>
      <c r="Z1192" s="0" t="n">
        <v>0</v>
      </c>
      <c r="AA1192" s="0" t="n">
        <v>0</v>
      </c>
      <c r="AB1192" s="0" t="n">
        <v>0</v>
      </c>
      <c r="AC1192" s="4" t="s">
        <v>208</v>
      </c>
      <c r="AD1192" s="4" t="s">
        <v>228</v>
      </c>
      <c r="AE1192" s="4" t="s">
        <v>4579</v>
      </c>
      <c r="AF1192" s="4" t="s">
        <v>4580</v>
      </c>
      <c r="AG1192" s="5" t="n">
        <v>0.046087962962963</v>
      </c>
      <c r="AH1192" s="5" t="n">
        <v>0.15287037037037</v>
      </c>
      <c r="AI1192" s="5" t="n">
        <v>0</v>
      </c>
      <c r="AJ1192" s="5" t="n">
        <v>0</v>
      </c>
      <c r="AK1192" s="5" t="n">
        <v>0</v>
      </c>
      <c r="AL1192" s="5" t="n">
        <v>0</v>
      </c>
      <c r="AM1192" s="4" t="s">
        <v>78</v>
      </c>
      <c r="AN1192" s="0" t="n">
        <v>0</v>
      </c>
      <c r="AO1192" s="0" t="n">
        <v>0</v>
      </c>
      <c r="AP1192" s="0" t="n">
        <v>0</v>
      </c>
      <c r="AQ1192" s="0" t="n">
        <v>0</v>
      </c>
      <c r="AR1192" s="0" t="n">
        <v>0</v>
      </c>
      <c r="AS1192" s="0" t="n">
        <v>0</v>
      </c>
      <c r="AT1192" s="0" t="n">
        <v>0</v>
      </c>
      <c r="AU1192" s="0" t="n">
        <v>0</v>
      </c>
      <c r="AV1192" s="0" t="n">
        <v>0</v>
      </c>
      <c r="AW1192" s="0" t="n">
        <v>0</v>
      </c>
      <c r="AX1192" s="0" t="n">
        <v>0</v>
      </c>
      <c r="AY1192" s="0" t="n">
        <v>0</v>
      </c>
      <c r="AZ1192" s="0" t="n">
        <v>0</v>
      </c>
      <c r="BA1192" s="0" t="n">
        <v>0</v>
      </c>
      <c r="BB1192" s="0" t="n">
        <v>0</v>
      </c>
      <c r="BC1192" s="0" t="n">
        <v>0</v>
      </c>
      <c r="BD1192" s="0" t="n">
        <v>0</v>
      </c>
      <c r="BE1192" s="0" t="n">
        <v>0</v>
      </c>
      <c r="BF1192" s="0" t="n">
        <v>0</v>
      </c>
      <c r="BG1192" s="0" t="n">
        <v>0</v>
      </c>
      <c r="BH1192" s="0" t="n">
        <v>0</v>
      </c>
      <c r="BI1192" s="0" t="n">
        <v>0</v>
      </c>
      <c r="BJ1192" s="0" t="n">
        <v>0</v>
      </c>
      <c r="BK1192" s="0" t="n">
        <v>0</v>
      </c>
      <c r="BM1192" s="6" t="n">
        <f aca="false">IFERROR(VALUE(F1192),"")</f>
        <v>32.31</v>
      </c>
      <c r="BN1192" s="6" t="n">
        <f aca="false">IF(R1192="-","",IFERROR(VALUE(LEFT(Q1192,LEN(Q1192)-2)),""))</f>
        <v>10.52</v>
      </c>
      <c r="BO1192" s="6" t="n">
        <f aca="false">IF(R1192="-","",IFERROR(VALUE(LEFT(R1192,LEN(R1192)-5)),""))</f>
        <v>3.07</v>
      </c>
      <c r="BP1192" s="6" t="n">
        <f aca="false">IF(R1192="-","",IFERROR(VALUE(F1192),""))</f>
        <v>32.31</v>
      </c>
      <c r="BQ1192" s="4" t="n">
        <f aca="false">IF(R1192="-",1,0)</f>
        <v>0</v>
      </c>
    </row>
    <row r="1193" customFormat="false" ht="15" hidden="false" customHeight="false" outlineLevel="0" collapsed="false">
      <c r="A1193" s="0" t="s">
        <v>4574</v>
      </c>
      <c r="B1193" s="0" t="s">
        <v>4575</v>
      </c>
      <c r="C1193" s="0" t="s">
        <v>70</v>
      </c>
      <c r="E1193" s="3" t="n">
        <v>46274</v>
      </c>
      <c r="F1193" s="4" t="s">
        <v>95</v>
      </c>
      <c r="G1193" s="5" t="n">
        <v>0.00186342592592593</v>
      </c>
      <c r="H1193" s="5" t="n">
        <v>0</v>
      </c>
      <c r="I1193" s="5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5" t="n">
        <v>0</v>
      </c>
      <c r="P1193" s="5" t="n">
        <v>0</v>
      </c>
      <c r="Q1193" s="4" t="s">
        <v>3714</v>
      </c>
      <c r="R1193" s="4" t="s">
        <v>454</v>
      </c>
      <c r="S1193" s="5" t="n">
        <v>0</v>
      </c>
      <c r="T1193" s="5" t="n">
        <v>0.00162037037037037</v>
      </c>
      <c r="U1193" s="5" t="n">
        <v>0</v>
      </c>
      <c r="V1193" s="5" t="n">
        <v>0</v>
      </c>
      <c r="W1193" s="5" t="n">
        <v>0</v>
      </c>
      <c r="X1193" s="5" t="n">
        <v>0</v>
      </c>
      <c r="Y1193" s="5" t="n">
        <v>0</v>
      </c>
      <c r="Z1193" s="0" t="n">
        <v>0</v>
      </c>
      <c r="AA1193" s="0" t="n">
        <v>0</v>
      </c>
      <c r="AB1193" s="0" t="n">
        <v>0</v>
      </c>
      <c r="AC1193" s="4" t="s">
        <v>228</v>
      </c>
      <c r="AD1193" s="4" t="s">
        <v>75</v>
      </c>
      <c r="AE1193" s="4" t="s">
        <v>4580</v>
      </c>
      <c r="AF1193" s="4" t="s">
        <v>4580</v>
      </c>
      <c r="AG1193" s="5" t="n">
        <v>0</v>
      </c>
      <c r="AH1193" s="5" t="n">
        <v>0.0196064814814815</v>
      </c>
      <c r="AI1193" s="5" t="n">
        <v>0</v>
      </c>
      <c r="AJ1193" s="5" t="n">
        <v>0</v>
      </c>
      <c r="AK1193" s="5" t="n">
        <v>0</v>
      </c>
      <c r="AL1193" s="5" t="n">
        <v>0</v>
      </c>
      <c r="AM1193" s="4" t="s">
        <v>78</v>
      </c>
      <c r="AN1193" s="0" t="n">
        <v>0</v>
      </c>
      <c r="AO1193" s="0" t="n">
        <v>0</v>
      </c>
      <c r="AP1193" s="0" t="n">
        <v>0</v>
      </c>
      <c r="AQ1193" s="0" t="n">
        <v>0</v>
      </c>
      <c r="AR1193" s="0" t="n">
        <v>0</v>
      </c>
      <c r="AS1193" s="0" t="n">
        <v>0</v>
      </c>
      <c r="AT1193" s="0" t="n">
        <v>0</v>
      </c>
      <c r="AU1193" s="0" t="n">
        <v>0</v>
      </c>
      <c r="AV1193" s="0" t="n">
        <v>0</v>
      </c>
      <c r="AW1193" s="0" t="n">
        <v>0</v>
      </c>
      <c r="AX1193" s="0" t="n">
        <v>0</v>
      </c>
      <c r="AY1193" s="0" t="n">
        <v>0</v>
      </c>
      <c r="AZ1193" s="0" t="n">
        <v>0</v>
      </c>
      <c r="BA1193" s="0" t="n">
        <v>0</v>
      </c>
      <c r="BB1193" s="0" t="n">
        <v>0</v>
      </c>
      <c r="BC1193" s="0" t="n">
        <v>0</v>
      </c>
      <c r="BD1193" s="0" t="n">
        <v>0</v>
      </c>
      <c r="BE1193" s="0" t="n">
        <v>0</v>
      </c>
      <c r="BF1193" s="0" t="n">
        <v>0</v>
      </c>
      <c r="BG1193" s="0" t="n">
        <v>0</v>
      </c>
      <c r="BH1193" s="0" t="n">
        <v>0</v>
      </c>
      <c r="BI1193" s="0" t="n">
        <v>0</v>
      </c>
      <c r="BJ1193" s="0" t="n">
        <v>0</v>
      </c>
      <c r="BK1193" s="0" t="n">
        <v>0</v>
      </c>
      <c r="BM1193" s="6" t="n">
        <f aca="false">IFERROR(VALUE(F1193),"")</f>
        <v>0</v>
      </c>
      <c r="BN1193" s="6" t="n">
        <f aca="false">IF(R1193="-","",IFERROR(VALUE(LEFT(Q1193,LEN(Q1193)-2)),""))</f>
        <v>0.08</v>
      </c>
      <c r="BO1193" s="6" t="n">
        <f aca="false">IF(R1193="-","",IFERROR(VALUE(LEFT(R1193,LEN(R1193)-5)),""))</f>
        <v>0</v>
      </c>
      <c r="BP1193" s="6" t="n">
        <f aca="false">IF(R1193="-","",IFERROR(VALUE(F1193),""))</f>
        <v>0</v>
      </c>
      <c r="BQ1193" s="4" t="n">
        <f aca="false">IF(R1193="-",1,0)</f>
        <v>0</v>
      </c>
    </row>
    <row r="1194" customFormat="false" ht="15" hidden="false" customHeight="false" outlineLevel="0" collapsed="false">
      <c r="A1194" s="0" t="s">
        <v>4574</v>
      </c>
      <c r="B1194" s="0" t="s">
        <v>4575</v>
      </c>
      <c r="C1194" s="0" t="s">
        <v>70</v>
      </c>
      <c r="E1194" s="3" t="n">
        <v>46275</v>
      </c>
      <c r="F1194" s="4" t="s">
        <v>4581</v>
      </c>
      <c r="G1194" s="5" t="n">
        <v>0.0215046296296296</v>
      </c>
      <c r="H1194" s="5" t="n">
        <v>0</v>
      </c>
      <c r="I1194" s="5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5" t="n">
        <v>0</v>
      </c>
      <c r="P1194" s="5" t="n">
        <v>0</v>
      </c>
      <c r="Q1194" s="4" t="s">
        <v>4582</v>
      </c>
      <c r="R1194" s="4" t="s">
        <v>1442</v>
      </c>
      <c r="S1194" s="5" t="n">
        <v>0.000231481481481482</v>
      </c>
      <c r="T1194" s="5" t="n">
        <v>0.01875</v>
      </c>
      <c r="U1194" s="5" t="n">
        <v>0.00208333333333333</v>
      </c>
      <c r="V1194" s="5" t="n">
        <v>0</v>
      </c>
      <c r="W1194" s="5" t="n">
        <v>0</v>
      </c>
      <c r="X1194" s="5" t="n">
        <v>0</v>
      </c>
      <c r="Y1194" s="5" t="n">
        <v>0</v>
      </c>
      <c r="Z1194" s="0" t="n">
        <v>0</v>
      </c>
      <c r="AA1194" s="0" t="n">
        <v>0</v>
      </c>
      <c r="AB1194" s="0" t="n">
        <v>0</v>
      </c>
      <c r="AC1194" s="4" t="s">
        <v>75</v>
      </c>
      <c r="AD1194" s="4" t="s">
        <v>75</v>
      </c>
      <c r="AE1194" s="4" t="s">
        <v>4580</v>
      </c>
      <c r="AF1194" s="4" t="s">
        <v>4583</v>
      </c>
      <c r="AG1194" s="5" t="n">
        <v>0.0130902777777778</v>
      </c>
      <c r="AH1194" s="5" t="n">
        <v>0.0321875</v>
      </c>
      <c r="AI1194" s="5" t="n">
        <v>0</v>
      </c>
      <c r="AJ1194" s="5" t="n">
        <v>0</v>
      </c>
      <c r="AK1194" s="5" t="n">
        <v>0</v>
      </c>
      <c r="AL1194" s="5" t="n">
        <v>0</v>
      </c>
      <c r="AM1194" s="4" t="s">
        <v>78</v>
      </c>
      <c r="AN1194" s="0" t="n">
        <v>0</v>
      </c>
      <c r="AO1194" s="0" t="n">
        <v>0</v>
      </c>
      <c r="AP1194" s="0" t="n">
        <v>0</v>
      </c>
      <c r="AQ1194" s="0" t="n">
        <v>0</v>
      </c>
      <c r="AR1194" s="0" t="n">
        <v>0</v>
      </c>
      <c r="AS1194" s="0" t="n">
        <v>0</v>
      </c>
      <c r="AT1194" s="0" t="n">
        <v>0</v>
      </c>
      <c r="AU1194" s="0" t="n">
        <v>0</v>
      </c>
      <c r="AV1194" s="0" t="n">
        <v>0</v>
      </c>
      <c r="AW1194" s="0" t="n">
        <v>0</v>
      </c>
      <c r="AX1194" s="0" t="n">
        <v>0</v>
      </c>
      <c r="AY1194" s="0" t="n">
        <v>0</v>
      </c>
      <c r="AZ1194" s="0" t="n">
        <v>0</v>
      </c>
      <c r="BA1194" s="0" t="n">
        <v>0</v>
      </c>
      <c r="BB1194" s="0" t="n">
        <v>0</v>
      </c>
      <c r="BC1194" s="0" t="n">
        <v>0</v>
      </c>
      <c r="BD1194" s="0" t="n">
        <v>0</v>
      </c>
      <c r="BE1194" s="0" t="n">
        <v>0</v>
      </c>
      <c r="BF1194" s="0" t="n">
        <v>0</v>
      </c>
      <c r="BG1194" s="0" t="n">
        <v>0</v>
      </c>
      <c r="BH1194" s="0" t="n">
        <v>0</v>
      </c>
      <c r="BI1194" s="0" t="n">
        <v>0</v>
      </c>
      <c r="BJ1194" s="0" t="n">
        <v>0</v>
      </c>
      <c r="BK1194" s="0" t="n">
        <v>0</v>
      </c>
      <c r="BM1194" s="6" t="n">
        <f aca="false">IFERROR(VALUE(F1194),"")</f>
        <v>0.99</v>
      </c>
      <c r="BN1194" s="6" t="n">
        <f aca="false">IF(R1194="-","",IFERROR(VALUE(LEFT(Q1194,LEN(Q1194)-2)),""))</f>
        <v>1.67</v>
      </c>
      <c r="BO1194" s="6" t="n">
        <f aca="false">IF(R1194="-","",IFERROR(VALUE(LEFT(R1194,LEN(R1194)-5)),""))</f>
        <v>0.59</v>
      </c>
      <c r="BP1194" s="6" t="n">
        <f aca="false">IF(R1194="-","",IFERROR(VALUE(F1194),""))</f>
        <v>0.99</v>
      </c>
      <c r="BQ1194" s="4" t="n">
        <f aca="false">IF(R1194="-",1,0)</f>
        <v>0</v>
      </c>
    </row>
    <row r="1195" customFormat="false" ht="15" hidden="false" customHeight="false" outlineLevel="0" collapsed="false">
      <c r="A1195" s="0" t="s">
        <v>4574</v>
      </c>
      <c r="B1195" s="0" t="s">
        <v>4575</v>
      </c>
      <c r="C1195" s="0" t="s">
        <v>70</v>
      </c>
      <c r="D1195" s="0" t="s">
        <v>4584</v>
      </c>
      <c r="E1195" s="3" t="n">
        <v>46276</v>
      </c>
      <c r="F1195" s="4" t="s">
        <v>4585</v>
      </c>
      <c r="G1195" s="5" t="n">
        <v>0.307789351851852</v>
      </c>
      <c r="H1195" s="5" t="n">
        <v>0.274884259259259</v>
      </c>
      <c r="I1195" s="5" t="n">
        <v>8.10185185185185E-005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5" t="n">
        <v>0</v>
      </c>
      <c r="P1195" s="5" t="n">
        <v>0.00712962962962963</v>
      </c>
      <c r="Q1195" s="4" t="s">
        <v>4586</v>
      </c>
      <c r="R1195" s="4" t="s">
        <v>4587</v>
      </c>
      <c r="S1195" s="5" t="n">
        <v>0.000347222222222222</v>
      </c>
      <c r="T1195" s="5" t="n">
        <v>0.101967592592593</v>
      </c>
      <c r="U1195" s="5" t="n">
        <v>0.162037037037037</v>
      </c>
      <c r="V1195" s="5" t="n">
        <v>0.00787037037037037</v>
      </c>
      <c r="W1195" s="5" t="n">
        <v>0</v>
      </c>
      <c r="X1195" s="5" t="n">
        <v>0</v>
      </c>
      <c r="Y1195" s="5" t="n">
        <v>0</v>
      </c>
      <c r="Z1195" s="0" t="n">
        <v>0</v>
      </c>
      <c r="AA1195" s="0" t="n">
        <v>0</v>
      </c>
      <c r="AB1195" s="0" t="n">
        <v>0</v>
      </c>
      <c r="AC1195" s="4" t="s">
        <v>75</v>
      </c>
      <c r="AD1195" s="4" t="s">
        <v>75</v>
      </c>
      <c r="AE1195" s="4" t="s">
        <v>4583</v>
      </c>
      <c r="AF1195" s="4" t="s">
        <v>4588</v>
      </c>
      <c r="AG1195" s="5" t="n">
        <v>0.210844907407407</v>
      </c>
      <c r="AH1195" s="5" t="n">
        <v>0.173969907407407</v>
      </c>
      <c r="AI1195" s="5" t="n">
        <v>0</v>
      </c>
      <c r="AJ1195" s="5" t="n">
        <v>0</v>
      </c>
      <c r="AK1195" s="5" t="n">
        <v>0</v>
      </c>
      <c r="AL1195" s="5" t="n">
        <v>0</v>
      </c>
      <c r="AM1195" s="4" t="s">
        <v>78</v>
      </c>
      <c r="AN1195" s="0" t="n">
        <v>0</v>
      </c>
      <c r="AO1195" s="0" t="n">
        <v>0</v>
      </c>
      <c r="AP1195" s="0" t="n">
        <v>0</v>
      </c>
      <c r="AQ1195" s="0" t="n">
        <v>0</v>
      </c>
      <c r="AR1195" s="0" t="n">
        <v>2</v>
      </c>
      <c r="AS1195" s="0" t="n">
        <v>0</v>
      </c>
      <c r="AT1195" s="0" t="n">
        <v>0</v>
      </c>
      <c r="AU1195" s="0" t="n">
        <v>0</v>
      </c>
      <c r="AV1195" s="0" t="n">
        <v>0</v>
      </c>
      <c r="AW1195" s="0" t="n">
        <v>0</v>
      </c>
      <c r="AX1195" s="0" t="n">
        <v>0</v>
      </c>
      <c r="AY1195" s="0" t="n">
        <v>0</v>
      </c>
      <c r="AZ1195" s="0" t="n">
        <v>0</v>
      </c>
      <c r="BA1195" s="0" t="n">
        <v>0</v>
      </c>
      <c r="BB1195" s="0" t="n">
        <v>0</v>
      </c>
      <c r="BC1195" s="0" t="n">
        <v>0</v>
      </c>
      <c r="BD1195" s="0" t="n">
        <v>0</v>
      </c>
      <c r="BE1195" s="0" t="n">
        <v>0</v>
      </c>
      <c r="BF1195" s="0" t="n">
        <v>0</v>
      </c>
      <c r="BG1195" s="0" t="n">
        <v>0</v>
      </c>
      <c r="BH1195" s="0" t="n">
        <v>0</v>
      </c>
      <c r="BI1195" s="0" t="n">
        <v>0</v>
      </c>
      <c r="BJ1195" s="0" t="n">
        <v>0</v>
      </c>
      <c r="BK1195" s="0" t="n">
        <v>0</v>
      </c>
      <c r="BM1195" s="6" t="n">
        <f aca="false">IFERROR(VALUE(F1195),"")</f>
        <v>231.43</v>
      </c>
      <c r="BN1195" s="6" t="n">
        <f aca="false">IF(R1195="-","",IFERROR(VALUE(LEFT(Q1195,LEN(Q1195)-2)),""))</f>
        <v>66.67</v>
      </c>
      <c r="BO1195" s="6" t="n">
        <f aca="false">IF(R1195="-","",IFERROR(VALUE(LEFT(R1195,LEN(R1195)-5)),""))</f>
        <v>3.47</v>
      </c>
      <c r="BP1195" s="6" t="n">
        <f aca="false">IF(R1195="-","",IFERROR(VALUE(F1195),""))</f>
        <v>231.43</v>
      </c>
      <c r="BQ1195" s="4" t="n">
        <f aca="false">IF(R1195="-",1,0)</f>
        <v>0</v>
      </c>
    </row>
    <row r="1196" customFormat="false" ht="15" hidden="false" customHeight="false" outlineLevel="0" collapsed="false">
      <c r="A1196" s="0" t="s">
        <v>4574</v>
      </c>
      <c r="B1196" s="0" t="s">
        <v>4575</v>
      </c>
      <c r="C1196" s="0" t="s">
        <v>70</v>
      </c>
      <c r="E1196" s="3" t="n">
        <v>46279</v>
      </c>
      <c r="F1196" s="4" t="s">
        <v>457</v>
      </c>
      <c r="G1196" s="5" t="n">
        <v>0.0142824074074074</v>
      </c>
      <c r="H1196" s="5" t="n">
        <v>0</v>
      </c>
      <c r="I1196" s="5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5" t="n">
        <v>0</v>
      </c>
      <c r="P1196" s="5" t="n">
        <v>0</v>
      </c>
      <c r="Q1196" s="4" t="s">
        <v>73</v>
      </c>
      <c r="R1196" s="4" t="s">
        <v>73</v>
      </c>
      <c r="S1196" s="5" t="n">
        <v>0</v>
      </c>
      <c r="T1196" s="5" t="n">
        <v>0</v>
      </c>
      <c r="U1196" s="5" t="n">
        <v>0</v>
      </c>
      <c r="V1196" s="5" t="n">
        <v>0</v>
      </c>
      <c r="W1196" s="5" t="n">
        <v>0</v>
      </c>
      <c r="X1196" s="5" t="n">
        <v>0</v>
      </c>
      <c r="Y1196" s="5" t="n">
        <v>0</v>
      </c>
      <c r="Z1196" s="0" t="n">
        <v>0</v>
      </c>
      <c r="AA1196" s="0" t="n">
        <v>0</v>
      </c>
      <c r="AB1196" s="0" t="n">
        <v>0</v>
      </c>
      <c r="AC1196" s="4" t="s">
        <v>75</v>
      </c>
      <c r="AD1196" s="4" t="s">
        <v>75</v>
      </c>
      <c r="AE1196" s="4" t="s">
        <v>4588</v>
      </c>
      <c r="AF1196" s="4" t="s">
        <v>4589</v>
      </c>
      <c r="AG1196" s="5" t="n">
        <v>0</v>
      </c>
      <c r="AH1196" s="5" t="n">
        <v>0.0344328703703704</v>
      </c>
      <c r="AI1196" s="5" t="n">
        <v>0</v>
      </c>
      <c r="AJ1196" s="5" t="n">
        <v>0</v>
      </c>
      <c r="AK1196" s="5" t="n">
        <v>0</v>
      </c>
      <c r="AL1196" s="5" t="n">
        <v>0</v>
      </c>
      <c r="AM1196" s="4" t="s">
        <v>78</v>
      </c>
      <c r="AN1196" s="0" t="n">
        <v>0</v>
      </c>
      <c r="AO1196" s="0" t="n">
        <v>0</v>
      </c>
      <c r="AP1196" s="0" t="n">
        <v>0</v>
      </c>
      <c r="AQ1196" s="0" t="n">
        <v>0</v>
      </c>
      <c r="AR1196" s="0" t="n">
        <v>0</v>
      </c>
      <c r="AS1196" s="0" t="n">
        <v>0</v>
      </c>
      <c r="AT1196" s="0" t="n">
        <v>0</v>
      </c>
      <c r="AU1196" s="0" t="n">
        <v>0</v>
      </c>
      <c r="AV1196" s="0" t="n">
        <v>0</v>
      </c>
      <c r="AW1196" s="0" t="n">
        <v>0</v>
      </c>
      <c r="AX1196" s="0" t="n">
        <v>0</v>
      </c>
      <c r="AY1196" s="0" t="n">
        <v>0</v>
      </c>
      <c r="AZ1196" s="0" t="n">
        <v>0</v>
      </c>
      <c r="BA1196" s="0" t="n">
        <v>0</v>
      </c>
      <c r="BB1196" s="0" t="n">
        <v>0</v>
      </c>
      <c r="BC1196" s="0" t="n">
        <v>0</v>
      </c>
      <c r="BD1196" s="0" t="n">
        <v>0</v>
      </c>
      <c r="BE1196" s="0" t="n">
        <v>0</v>
      </c>
      <c r="BF1196" s="0" t="n">
        <v>0</v>
      </c>
      <c r="BG1196" s="0" t="n">
        <v>0</v>
      </c>
      <c r="BH1196" s="0" t="n">
        <v>0</v>
      </c>
      <c r="BI1196" s="0" t="n">
        <v>0</v>
      </c>
      <c r="BJ1196" s="0" t="n">
        <v>0</v>
      </c>
      <c r="BK1196" s="0" t="n">
        <v>0</v>
      </c>
      <c r="BM1196" s="6" t="n">
        <f aca="false">IFERROR(VALUE(F1196),"")</f>
        <v>0.01</v>
      </c>
      <c r="BN1196" s="6" t="str">
        <f aca="false">IF(R1196="-","",IFERROR(VALUE(LEFT(Q1196,LEN(Q1196)-2)),""))</f>
        <v/>
      </c>
      <c r="BO1196" s="6" t="str">
        <f aca="false">IF(R1196="-","",IFERROR(VALUE(LEFT(R1196,LEN(R1196)-5)),""))</f>
        <v/>
      </c>
      <c r="BP1196" s="6" t="str">
        <f aca="false">IF(R1196="-","",IFERROR(VALUE(F1196),""))</f>
        <v/>
      </c>
      <c r="BQ1196" s="4" t="n">
        <f aca="false">IF(R1196="-",1,0)</f>
        <v>1</v>
      </c>
    </row>
    <row r="1197" customFormat="false" ht="15" hidden="false" customHeight="false" outlineLevel="0" collapsed="false">
      <c r="A1197" s="0" t="s">
        <v>4590</v>
      </c>
      <c r="B1197" s="0" t="s">
        <v>4591</v>
      </c>
      <c r="C1197" s="0" t="s">
        <v>70</v>
      </c>
      <c r="D1197" s="0" t="s">
        <v>1022</v>
      </c>
      <c r="E1197" s="3" t="n">
        <v>46273</v>
      </c>
      <c r="F1197" s="4" t="s">
        <v>4592</v>
      </c>
      <c r="G1197" s="5" t="n">
        <v>0.697592592592593</v>
      </c>
      <c r="H1197" s="5" t="n">
        <v>0.240925925925926</v>
      </c>
      <c r="I1197" s="5" t="n">
        <v>3.47222222222222E-005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5" t="n">
        <v>0</v>
      </c>
      <c r="P1197" s="5" t="n">
        <v>0</v>
      </c>
      <c r="Q1197" s="4" t="s">
        <v>4593</v>
      </c>
      <c r="R1197" s="4" t="s">
        <v>578</v>
      </c>
      <c r="S1197" s="5" t="n">
        <v>0.000462962962962963</v>
      </c>
      <c r="T1197" s="5" t="n">
        <v>0.0736111111111111</v>
      </c>
      <c r="U1197" s="5" t="n">
        <v>0.450578703703704</v>
      </c>
      <c r="V1197" s="5" t="n">
        <v>0.0206018518518519</v>
      </c>
      <c r="W1197" s="5" t="n">
        <v>0</v>
      </c>
      <c r="X1197" s="5" t="n">
        <v>0</v>
      </c>
      <c r="Y1197" s="5" t="n">
        <v>0</v>
      </c>
      <c r="Z1197" s="0" t="n">
        <v>0</v>
      </c>
      <c r="AA1197" s="0" t="n">
        <v>0</v>
      </c>
      <c r="AB1197" s="0" t="n">
        <v>0</v>
      </c>
      <c r="AC1197" s="4" t="s">
        <v>4594</v>
      </c>
      <c r="AD1197" s="4" t="s">
        <v>994</v>
      </c>
      <c r="AE1197" s="4" t="s">
        <v>4595</v>
      </c>
      <c r="AF1197" s="4" t="s">
        <v>4596</v>
      </c>
      <c r="AG1197" s="5" t="n">
        <v>0.523483796296296</v>
      </c>
      <c r="AH1197" s="5" t="n">
        <v>0.17650462962963</v>
      </c>
      <c r="AI1197" s="5" t="n">
        <v>0</v>
      </c>
      <c r="AJ1197" s="5" t="n">
        <v>0</v>
      </c>
      <c r="AK1197" s="5" t="n">
        <v>0</v>
      </c>
      <c r="AL1197" s="5" t="n">
        <v>0</v>
      </c>
      <c r="AM1197" s="4" t="s">
        <v>78</v>
      </c>
      <c r="AN1197" s="0" t="n">
        <v>0</v>
      </c>
      <c r="AO1197" s="0" t="n">
        <v>0</v>
      </c>
      <c r="AP1197" s="0" t="n">
        <v>0</v>
      </c>
      <c r="AQ1197" s="0" t="n">
        <v>0</v>
      </c>
      <c r="AR1197" s="0" t="n">
        <v>0</v>
      </c>
      <c r="AS1197" s="0" t="n">
        <v>0</v>
      </c>
      <c r="AT1197" s="0" t="n">
        <v>0</v>
      </c>
      <c r="AU1197" s="0" t="n">
        <v>6</v>
      </c>
      <c r="AV1197" s="0" t="n">
        <v>0</v>
      </c>
      <c r="AW1197" s="0" t="n">
        <v>0</v>
      </c>
      <c r="AX1197" s="0" t="n">
        <v>0</v>
      </c>
      <c r="AY1197" s="0" t="n">
        <v>0</v>
      </c>
      <c r="AZ1197" s="0" t="n">
        <v>0</v>
      </c>
      <c r="BA1197" s="0" t="n">
        <v>0</v>
      </c>
      <c r="BB1197" s="0" t="n">
        <v>0</v>
      </c>
      <c r="BC1197" s="0" t="n">
        <v>0</v>
      </c>
      <c r="BD1197" s="0" t="n">
        <v>0</v>
      </c>
      <c r="BE1197" s="0" t="n">
        <v>0</v>
      </c>
      <c r="BF1197" s="0" t="n">
        <v>0</v>
      </c>
      <c r="BG1197" s="0" t="n">
        <v>0</v>
      </c>
      <c r="BH1197" s="0" t="n">
        <v>0</v>
      </c>
      <c r="BI1197" s="0" t="n">
        <v>0</v>
      </c>
      <c r="BJ1197" s="0" t="n">
        <v>0</v>
      </c>
      <c r="BK1197" s="0" t="n">
        <v>0</v>
      </c>
      <c r="BM1197" s="6" t="n">
        <f aca="false">IFERROR(VALUE(F1197),"")</f>
        <v>824.55</v>
      </c>
      <c r="BN1197" s="6" t="n">
        <f aca="false">IF(R1197="-","",IFERROR(VALUE(LEFT(Q1197,LEN(Q1197)-2)),""))</f>
        <v>219.59</v>
      </c>
      <c r="BO1197" s="6" t="n">
        <f aca="false">IF(R1197="-","",IFERROR(VALUE(LEFT(R1197,LEN(R1197)-5)),""))</f>
        <v>3.75</v>
      </c>
      <c r="BP1197" s="6" t="n">
        <f aca="false">IF(R1197="-","",IFERROR(VALUE(F1197),""))</f>
        <v>824.55</v>
      </c>
      <c r="BQ1197" s="4" t="n">
        <f aca="false">IF(R1197="-",1,0)</f>
        <v>0</v>
      </c>
    </row>
    <row r="1198" customFormat="false" ht="15" hidden="false" customHeight="false" outlineLevel="0" collapsed="false">
      <c r="A1198" s="0" t="s">
        <v>4590</v>
      </c>
      <c r="B1198" s="0" t="s">
        <v>4591</v>
      </c>
      <c r="C1198" s="0" t="s">
        <v>70</v>
      </c>
      <c r="D1198" s="0" t="s">
        <v>4597</v>
      </c>
      <c r="E1198" s="3" t="n">
        <v>46274</v>
      </c>
      <c r="F1198" s="4" t="s">
        <v>4598</v>
      </c>
      <c r="G1198" s="5" t="n">
        <v>0.825763888888889</v>
      </c>
      <c r="H1198" s="5" t="n">
        <v>0.589664351851852</v>
      </c>
      <c r="I1198" s="5" t="n">
        <v>0.00179398148148148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5" t="n">
        <v>0</v>
      </c>
      <c r="P1198" s="5" t="n">
        <v>0.0183564814814815</v>
      </c>
      <c r="Q1198" s="4" t="s">
        <v>4599</v>
      </c>
      <c r="R1198" s="4" t="s">
        <v>1832</v>
      </c>
      <c r="S1198" s="5" t="n">
        <v>0.000347222222222222</v>
      </c>
      <c r="T1198" s="5" t="n">
        <v>0.108912037037037</v>
      </c>
      <c r="U1198" s="5" t="n">
        <v>0.451851851851852</v>
      </c>
      <c r="V1198" s="5" t="n">
        <v>0.0393518518518519</v>
      </c>
      <c r="W1198" s="5" t="n">
        <v>0</v>
      </c>
      <c r="X1198" s="5" t="n">
        <v>0</v>
      </c>
      <c r="Y1198" s="5" t="n">
        <v>0</v>
      </c>
      <c r="Z1198" s="0" t="n">
        <v>0</v>
      </c>
      <c r="AA1198" s="0" t="n">
        <v>0</v>
      </c>
      <c r="AB1198" s="0" t="n">
        <v>0</v>
      </c>
      <c r="AC1198" s="4" t="s">
        <v>994</v>
      </c>
      <c r="AD1198" s="4" t="s">
        <v>994</v>
      </c>
      <c r="AE1198" s="4" t="s">
        <v>4600</v>
      </c>
      <c r="AF1198" s="4" t="s">
        <v>4601</v>
      </c>
      <c r="AG1198" s="5" t="n">
        <v>0.538333333333333</v>
      </c>
      <c r="AH1198" s="5" t="n">
        <v>0.354837962962963</v>
      </c>
      <c r="AI1198" s="5" t="n">
        <v>0</v>
      </c>
      <c r="AJ1198" s="5" t="n">
        <v>0</v>
      </c>
      <c r="AK1198" s="5" t="n">
        <v>0</v>
      </c>
      <c r="AL1198" s="5" t="n">
        <v>0</v>
      </c>
      <c r="AM1198" s="4" t="s">
        <v>78</v>
      </c>
      <c r="AN1198" s="0" t="n">
        <v>0</v>
      </c>
      <c r="AO1198" s="0" t="n">
        <v>1</v>
      </c>
      <c r="AP1198" s="0" t="n">
        <v>0</v>
      </c>
      <c r="AQ1198" s="0" t="n">
        <v>0</v>
      </c>
      <c r="AR1198" s="0" t="n">
        <v>0</v>
      </c>
      <c r="AS1198" s="0" t="n">
        <v>0</v>
      </c>
      <c r="AT1198" s="0" t="n">
        <v>0</v>
      </c>
      <c r="AU1198" s="0" t="n">
        <v>1</v>
      </c>
      <c r="AV1198" s="0" t="n">
        <v>0</v>
      </c>
      <c r="AW1198" s="0" t="n">
        <v>0</v>
      </c>
      <c r="AX1198" s="0" t="n">
        <v>0</v>
      </c>
      <c r="AY1198" s="0" t="n">
        <v>0</v>
      </c>
      <c r="AZ1198" s="0" t="n">
        <v>0</v>
      </c>
      <c r="BA1198" s="0" t="n">
        <v>0</v>
      </c>
      <c r="BB1198" s="0" t="n">
        <v>0</v>
      </c>
      <c r="BC1198" s="0" t="n">
        <v>0</v>
      </c>
      <c r="BD1198" s="0" t="n">
        <v>0</v>
      </c>
      <c r="BE1198" s="0" t="n">
        <v>0</v>
      </c>
      <c r="BF1198" s="0" t="n">
        <v>0</v>
      </c>
      <c r="BG1198" s="0" t="n">
        <v>0</v>
      </c>
      <c r="BH1198" s="0" t="n">
        <v>0</v>
      </c>
      <c r="BI1198" s="0" t="n">
        <v>0</v>
      </c>
      <c r="BJ1198" s="0" t="n">
        <v>0</v>
      </c>
      <c r="BK1198" s="0" t="n">
        <v>0</v>
      </c>
      <c r="BM1198" s="6" t="n">
        <f aca="false">IFERROR(VALUE(F1198),"")</f>
        <v>788.45</v>
      </c>
      <c r="BN1198" s="6" t="n">
        <f aca="false">IF(R1198="-","",IFERROR(VALUE(LEFT(Q1198,LEN(Q1198)-2)),""))</f>
        <v>229.3</v>
      </c>
      <c r="BO1198" s="6" t="n">
        <f aca="false">IF(R1198="-","",IFERROR(VALUE(LEFT(R1198,LEN(R1198)-5)),""))</f>
        <v>3.44</v>
      </c>
      <c r="BP1198" s="6" t="n">
        <f aca="false">IF(R1198="-","",IFERROR(VALUE(F1198),""))</f>
        <v>788.45</v>
      </c>
      <c r="BQ1198" s="4" t="n">
        <f aca="false">IF(R1198="-",1,0)</f>
        <v>0</v>
      </c>
    </row>
    <row r="1199" customFormat="false" ht="15" hidden="false" customHeight="false" outlineLevel="0" collapsed="false">
      <c r="A1199" s="0" t="s">
        <v>4590</v>
      </c>
      <c r="B1199" s="0" t="s">
        <v>4591</v>
      </c>
      <c r="C1199" s="0" t="s">
        <v>70</v>
      </c>
      <c r="D1199" s="0" t="s">
        <v>4602</v>
      </c>
      <c r="E1199" s="3" t="n">
        <v>46275</v>
      </c>
      <c r="F1199" s="4" t="s">
        <v>4603</v>
      </c>
      <c r="G1199" s="5" t="n">
        <v>0.768275462962963</v>
      </c>
      <c r="H1199" s="5" t="n">
        <v>0.306030092592593</v>
      </c>
      <c r="I1199" s="5" t="n">
        <v>0.00101851851851852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5" t="n">
        <v>0</v>
      </c>
      <c r="P1199" s="5" t="n">
        <v>0</v>
      </c>
      <c r="Q1199" s="4" t="s">
        <v>4604</v>
      </c>
      <c r="R1199" s="4" t="s">
        <v>4605</v>
      </c>
      <c r="S1199" s="5" t="n">
        <v>0.000347222222222222</v>
      </c>
      <c r="T1199" s="5" t="n">
        <v>0.0824074074074074</v>
      </c>
      <c r="U1199" s="5" t="n">
        <v>0.578472222222222</v>
      </c>
      <c r="V1199" s="5" t="n">
        <v>0.0219907407407407</v>
      </c>
      <c r="W1199" s="5" t="n">
        <v>0</v>
      </c>
      <c r="X1199" s="5" t="n">
        <v>0</v>
      </c>
      <c r="Y1199" s="5" t="n">
        <v>0</v>
      </c>
      <c r="Z1199" s="0" t="n">
        <v>0</v>
      </c>
      <c r="AA1199" s="0" t="n">
        <v>0</v>
      </c>
      <c r="AB1199" s="0" t="n">
        <v>0</v>
      </c>
      <c r="AC1199" s="4" t="s">
        <v>994</v>
      </c>
      <c r="AD1199" s="0" t="n">
        <v>70124</v>
      </c>
      <c r="AE1199" s="4" t="s">
        <v>4606</v>
      </c>
      <c r="AF1199" s="4" t="s">
        <v>4607</v>
      </c>
      <c r="AG1199" s="5" t="n">
        <v>0.6509375</v>
      </c>
      <c r="AH1199" s="5" t="n">
        <v>0.160844907407407</v>
      </c>
      <c r="AI1199" s="5" t="n">
        <v>0</v>
      </c>
      <c r="AJ1199" s="5" t="n">
        <v>0</v>
      </c>
      <c r="AK1199" s="5" t="n">
        <v>0</v>
      </c>
      <c r="AL1199" s="5" t="n">
        <v>0</v>
      </c>
      <c r="AM1199" s="4" t="s">
        <v>78</v>
      </c>
      <c r="AN1199" s="0" t="n">
        <v>0</v>
      </c>
      <c r="AO1199" s="0" t="n">
        <v>0</v>
      </c>
      <c r="AP1199" s="0" t="n">
        <v>0</v>
      </c>
      <c r="AQ1199" s="0" t="n">
        <v>0</v>
      </c>
      <c r="AR1199" s="0" t="n">
        <v>0</v>
      </c>
      <c r="AS1199" s="0" t="n">
        <v>0</v>
      </c>
      <c r="AT1199" s="0" t="n">
        <v>0</v>
      </c>
      <c r="AU1199" s="0" t="n">
        <v>5</v>
      </c>
      <c r="AV1199" s="0" t="n">
        <v>0</v>
      </c>
      <c r="AW1199" s="0" t="n">
        <v>0</v>
      </c>
      <c r="AX1199" s="0" t="n">
        <v>0</v>
      </c>
      <c r="AY1199" s="0" t="n">
        <v>0</v>
      </c>
      <c r="AZ1199" s="0" t="n">
        <v>0</v>
      </c>
      <c r="BA1199" s="0" t="n">
        <v>0</v>
      </c>
      <c r="BB1199" s="0" t="n">
        <v>0</v>
      </c>
      <c r="BC1199" s="0" t="n">
        <v>0</v>
      </c>
      <c r="BD1199" s="0" t="n">
        <v>0</v>
      </c>
      <c r="BE1199" s="0" t="n">
        <v>0</v>
      </c>
      <c r="BF1199" s="0" t="n">
        <v>0</v>
      </c>
      <c r="BG1199" s="0" t="n">
        <v>0</v>
      </c>
      <c r="BH1199" s="0" t="n">
        <v>0</v>
      </c>
      <c r="BI1199" s="0" t="n">
        <v>0</v>
      </c>
      <c r="BJ1199" s="0" t="n">
        <v>0</v>
      </c>
      <c r="BK1199" s="0" t="n">
        <v>0</v>
      </c>
      <c r="BM1199" s="6" t="n">
        <f aca="false">IFERROR(VALUE(F1199),"")</f>
        <v>1028.11</v>
      </c>
      <c r="BN1199" s="6" t="n">
        <f aca="false">IF(R1199="-","",IFERROR(VALUE(LEFT(Q1199,LEN(Q1199)-2)),""))</f>
        <v>273.09</v>
      </c>
      <c r="BO1199" s="6" t="n">
        <f aca="false">IF(R1199="-","",IFERROR(VALUE(LEFT(R1199,LEN(R1199)-5)),""))</f>
        <v>3.76</v>
      </c>
      <c r="BP1199" s="6" t="n">
        <f aca="false">IF(R1199="-","",IFERROR(VALUE(F1199),""))</f>
        <v>1028.11</v>
      </c>
      <c r="BQ1199" s="4" t="n">
        <f aca="false">IF(R1199="-",1,0)</f>
        <v>0</v>
      </c>
    </row>
    <row r="1200" customFormat="false" ht="15" hidden="false" customHeight="false" outlineLevel="0" collapsed="false">
      <c r="A1200" s="0" t="s">
        <v>4590</v>
      </c>
      <c r="B1200" s="0" t="s">
        <v>4591</v>
      </c>
      <c r="C1200" s="0" t="s">
        <v>70</v>
      </c>
      <c r="D1200" s="0" t="s">
        <v>4608</v>
      </c>
      <c r="E1200" s="3" t="n">
        <v>46276</v>
      </c>
      <c r="F1200" s="4" t="s">
        <v>4609</v>
      </c>
      <c r="G1200" s="5" t="n">
        <v>0.687708333333333</v>
      </c>
      <c r="H1200" s="5" t="n">
        <v>0.234803240740741</v>
      </c>
      <c r="I1200" s="5" t="n">
        <v>3.47222222222222E-005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5" t="n">
        <v>0</v>
      </c>
      <c r="P1200" s="5" t="n">
        <v>0</v>
      </c>
      <c r="Q1200" s="4" t="s">
        <v>4610</v>
      </c>
      <c r="R1200" s="4" t="s">
        <v>4611</v>
      </c>
      <c r="S1200" s="5" t="n">
        <v>0.000347222222222222</v>
      </c>
      <c r="T1200" s="5" t="n">
        <v>0.0724537037037037</v>
      </c>
      <c r="U1200" s="5" t="n">
        <v>0.46099537037037</v>
      </c>
      <c r="V1200" s="5" t="n">
        <v>0.0157407407407407</v>
      </c>
      <c r="W1200" s="5" t="n">
        <v>0</v>
      </c>
      <c r="X1200" s="5" t="n">
        <v>0</v>
      </c>
      <c r="Y1200" s="5" t="n">
        <v>0</v>
      </c>
      <c r="Z1200" s="0" t="n">
        <v>0</v>
      </c>
      <c r="AA1200" s="0" t="n">
        <v>0</v>
      </c>
      <c r="AB1200" s="0" t="n">
        <v>0</v>
      </c>
      <c r="AC1200" s="0" t="n">
        <v>70124</v>
      </c>
      <c r="AD1200" s="4" t="s">
        <v>994</v>
      </c>
      <c r="AE1200" s="4" t="s">
        <v>4607</v>
      </c>
      <c r="AF1200" s="4" t="s">
        <v>4612</v>
      </c>
      <c r="AG1200" s="5" t="n">
        <v>0.529456018518519</v>
      </c>
      <c r="AH1200" s="5" t="n">
        <v>0.167986111111111</v>
      </c>
      <c r="AI1200" s="5" t="n">
        <v>0</v>
      </c>
      <c r="AJ1200" s="5" t="n">
        <v>0</v>
      </c>
      <c r="AK1200" s="5" t="n">
        <v>0</v>
      </c>
      <c r="AL1200" s="5" t="n">
        <v>0</v>
      </c>
      <c r="AM1200" s="4" t="s">
        <v>78</v>
      </c>
      <c r="AN1200" s="0" t="n">
        <v>0</v>
      </c>
      <c r="AO1200" s="0" t="n">
        <v>0</v>
      </c>
      <c r="AP1200" s="0" t="n">
        <v>0</v>
      </c>
      <c r="AQ1200" s="0" t="n">
        <v>0</v>
      </c>
      <c r="AR1200" s="0" t="n">
        <v>0</v>
      </c>
      <c r="AS1200" s="0" t="n">
        <v>0</v>
      </c>
      <c r="AT1200" s="0" t="n">
        <v>0</v>
      </c>
      <c r="AU1200" s="0" t="n">
        <v>7</v>
      </c>
      <c r="AV1200" s="0" t="n">
        <v>0</v>
      </c>
      <c r="AW1200" s="0" t="n">
        <v>1</v>
      </c>
      <c r="AX1200" s="0" t="n">
        <v>0</v>
      </c>
      <c r="AY1200" s="0" t="n">
        <v>0</v>
      </c>
      <c r="AZ1200" s="0" t="n">
        <v>0</v>
      </c>
      <c r="BA1200" s="0" t="n">
        <v>0</v>
      </c>
      <c r="BB1200" s="0" t="n">
        <v>0</v>
      </c>
      <c r="BC1200" s="0" t="n">
        <v>0</v>
      </c>
      <c r="BD1200" s="0" t="n">
        <v>0</v>
      </c>
      <c r="BE1200" s="0" t="n">
        <v>0</v>
      </c>
      <c r="BF1200" s="0" t="n">
        <v>0</v>
      </c>
      <c r="BG1200" s="0" t="n">
        <v>0</v>
      </c>
      <c r="BH1200" s="0" t="n">
        <v>0</v>
      </c>
      <c r="BI1200" s="0" t="n">
        <v>0</v>
      </c>
      <c r="BJ1200" s="0" t="n">
        <v>0</v>
      </c>
      <c r="BK1200" s="0" t="n">
        <v>0</v>
      </c>
      <c r="BM1200" s="6" t="n">
        <f aca="false">IFERROR(VALUE(F1200),"")</f>
        <v>833.21</v>
      </c>
      <c r="BN1200" s="6" t="n">
        <f aca="false">IF(R1200="-","",IFERROR(VALUE(LEFT(Q1200,LEN(Q1200)-2)),""))</f>
        <v>213.39</v>
      </c>
      <c r="BO1200" s="6" t="n">
        <f aca="false">IF(R1200="-","",IFERROR(VALUE(LEFT(R1200,LEN(R1200)-5)),""))</f>
        <v>3.9</v>
      </c>
      <c r="BP1200" s="6" t="n">
        <f aca="false">IF(R1200="-","",IFERROR(VALUE(F1200),""))</f>
        <v>833.21</v>
      </c>
      <c r="BQ1200" s="4" t="n">
        <f aca="false">IF(R1200="-",1,0)</f>
        <v>0</v>
      </c>
    </row>
    <row r="1201" customFormat="false" ht="15" hidden="false" customHeight="false" outlineLevel="0" collapsed="false">
      <c r="A1201" s="0" t="s">
        <v>4590</v>
      </c>
      <c r="B1201" s="0" t="s">
        <v>4591</v>
      </c>
      <c r="C1201" s="0" t="s">
        <v>70</v>
      </c>
      <c r="D1201" s="0" t="s">
        <v>4613</v>
      </c>
      <c r="E1201" s="3" t="n">
        <v>46277</v>
      </c>
      <c r="F1201" s="4" t="s">
        <v>4614</v>
      </c>
      <c r="G1201" s="5" t="n">
        <v>0.655104166666667</v>
      </c>
      <c r="H1201" s="5" t="n">
        <v>0.536203703703704</v>
      </c>
      <c r="I1201" s="5" t="n">
        <v>0.00037037037037037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5" t="n">
        <v>0</v>
      </c>
      <c r="P1201" s="5" t="n">
        <v>0</v>
      </c>
      <c r="Q1201" s="4" t="s">
        <v>4615</v>
      </c>
      <c r="R1201" s="4" t="s">
        <v>1489</v>
      </c>
      <c r="S1201" s="5" t="n">
        <v>0.000578703703703704</v>
      </c>
      <c r="T1201" s="5" t="n">
        <v>0.10462962962963</v>
      </c>
      <c r="U1201" s="5" t="n">
        <v>0.401041666666667</v>
      </c>
      <c r="V1201" s="5" t="n">
        <v>0.0278935185185185</v>
      </c>
      <c r="W1201" s="5" t="n">
        <v>0</v>
      </c>
      <c r="X1201" s="5" t="n">
        <v>0</v>
      </c>
      <c r="Y1201" s="5" t="n">
        <v>0</v>
      </c>
      <c r="Z1201" s="0" t="n">
        <v>0</v>
      </c>
      <c r="AA1201" s="0" t="n">
        <v>0</v>
      </c>
      <c r="AB1201" s="0" t="n">
        <v>0</v>
      </c>
      <c r="AC1201" s="4" t="s">
        <v>994</v>
      </c>
      <c r="AD1201" s="4" t="s">
        <v>4616</v>
      </c>
      <c r="AE1201" s="4" t="s">
        <v>4617</v>
      </c>
      <c r="AF1201" s="4" t="s">
        <v>4618</v>
      </c>
      <c r="AG1201" s="5" t="n">
        <v>0.473240740740741</v>
      </c>
      <c r="AH1201" s="5" t="n">
        <v>0.257488425925926</v>
      </c>
      <c r="AI1201" s="5" t="n">
        <v>0</v>
      </c>
      <c r="AJ1201" s="5" t="n">
        <v>0</v>
      </c>
      <c r="AK1201" s="5" t="n">
        <v>0</v>
      </c>
      <c r="AL1201" s="5" t="n">
        <v>0</v>
      </c>
      <c r="AM1201" s="4" t="s">
        <v>78</v>
      </c>
      <c r="AN1201" s="0" t="n">
        <v>0</v>
      </c>
      <c r="AO1201" s="0" t="n">
        <v>0</v>
      </c>
      <c r="AP1201" s="0" t="n">
        <v>0</v>
      </c>
      <c r="AQ1201" s="0" t="n">
        <v>0</v>
      </c>
      <c r="AR1201" s="0" t="n">
        <v>1</v>
      </c>
      <c r="AS1201" s="0" t="n">
        <v>0</v>
      </c>
      <c r="AT1201" s="0" t="n">
        <v>0</v>
      </c>
      <c r="AU1201" s="0" t="n">
        <v>1</v>
      </c>
      <c r="AV1201" s="0" t="n">
        <v>0</v>
      </c>
      <c r="AW1201" s="0" t="n">
        <v>1</v>
      </c>
      <c r="AX1201" s="0" t="n">
        <v>0</v>
      </c>
      <c r="AY1201" s="0" t="n">
        <v>0</v>
      </c>
      <c r="AZ1201" s="0" t="n">
        <v>0</v>
      </c>
      <c r="BA1201" s="0" t="n">
        <v>0</v>
      </c>
      <c r="BB1201" s="0" t="n">
        <v>0</v>
      </c>
      <c r="BC1201" s="0" t="n">
        <v>0</v>
      </c>
      <c r="BD1201" s="0" t="n">
        <v>0</v>
      </c>
      <c r="BE1201" s="0" t="n">
        <v>0</v>
      </c>
      <c r="BF1201" s="0" t="n">
        <v>0</v>
      </c>
      <c r="BG1201" s="0" t="n">
        <v>0</v>
      </c>
      <c r="BH1201" s="0" t="n">
        <v>0</v>
      </c>
      <c r="BI1201" s="0" t="n">
        <v>0</v>
      </c>
      <c r="BJ1201" s="0" t="n">
        <v>0</v>
      </c>
      <c r="BK1201" s="0" t="n">
        <v>0</v>
      </c>
      <c r="BM1201" s="6" t="n">
        <f aca="false">IFERROR(VALUE(F1201),"")</f>
        <v>722.35</v>
      </c>
      <c r="BN1201" s="6" t="n">
        <f aca="false">IF(R1201="-","",IFERROR(VALUE(LEFT(Q1201,LEN(Q1201)-2)),""))</f>
        <v>211.5</v>
      </c>
      <c r="BO1201" s="6" t="n">
        <f aca="false">IF(R1201="-","",IFERROR(VALUE(LEFT(R1201,LEN(R1201)-5)),""))</f>
        <v>3.42</v>
      </c>
      <c r="BP1201" s="6" t="n">
        <f aca="false">IF(R1201="-","",IFERROR(VALUE(F1201),""))</f>
        <v>722.35</v>
      </c>
      <c r="BQ1201" s="4" t="n">
        <f aca="false">IF(R1201="-",1,0)</f>
        <v>0</v>
      </c>
    </row>
    <row r="1202" customFormat="false" ht="15" hidden="false" customHeight="false" outlineLevel="0" collapsed="false">
      <c r="A1202" s="0" t="s">
        <v>4590</v>
      </c>
      <c r="B1202" s="0" t="s">
        <v>4591</v>
      </c>
      <c r="C1202" s="0" t="s">
        <v>70</v>
      </c>
      <c r="D1202" s="0" t="s">
        <v>4619</v>
      </c>
      <c r="E1202" s="3" t="n">
        <v>46278</v>
      </c>
      <c r="F1202" s="4" t="s">
        <v>4620</v>
      </c>
      <c r="G1202" s="5" t="n">
        <v>0.382824074074074</v>
      </c>
      <c r="H1202" s="5" t="n">
        <v>0.359386574074074</v>
      </c>
      <c r="I1202" s="5" t="n">
        <v>0.000138888888888889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5" t="n">
        <v>0</v>
      </c>
      <c r="P1202" s="5" t="n">
        <v>0</v>
      </c>
      <c r="Q1202" s="4" t="s">
        <v>4621</v>
      </c>
      <c r="R1202" s="4" t="s">
        <v>3540</v>
      </c>
      <c r="S1202" s="5" t="n">
        <v>0.000462962962962963</v>
      </c>
      <c r="T1202" s="5" t="n">
        <v>0.0600694444444445</v>
      </c>
      <c r="U1202" s="5" t="n">
        <v>0.265972222222222</v>
      </c>
      <c r="V1202" s="5" t="n">
        <v>0.0111111111111111</v>
      </c>
      <c r="W1202" s="5" t="n">
        <v>0</v>
      </c>
      <c r="X1202" s="5" t="n">
        <v>0</v>
      </c>
      <c r="Y1202" s="5" t="n">
        <v>0</v>
      </c>
      <c r="Z1202" s="0" t="n">
        <v>0</v>
      </c>
      <c r="AA1202" s="0" t="n">
        <v>0</v>
      </c>
      <c r="AB1202" s="0" t="n">
        <v>0</v>
      </c>
      <c r="AC1202" s="4" t="s">
        <v>4616</v>
      </c>
      <c r="AD1202" s="4" t="s">
        <v>1026</v>
      </c>
      <c r="AE1202" s="4" t="s">
        <v>4618</v>
      </c>
      <c r="AF1202" s="4" t="s">
        <v>4622</v>
      </c>
      <c r="AG1202" s="5" t="n">
        <v>0.303449074074074</v>
      </c>
      <c r="AH1202" s="5" t="n">
        <v>0.110590277777778</v>
      </c>
      <c r="AI1202" s="5" t="n">
        <v>0</v>
      </c>
      <c r="AJ1202" s="5" t="n">
        <v>0</v>
      </c>
      <c r="AK1202" s="5" t="n">
        <v>0</v>
      </c>
      <c r="AL1202" s="5" t="n">
        <v>0</v>
      </c>
      <c r="AM1202" s="4" t="s">
        <v>78</v>
      </c>
      <c r="AN1202" s="0" t="n">
        <v>0</v>
      </c>
      <c r="AO1202" s="0" t="n">
        <v>0</v>
      </c>
      <c r="AP1202" s="0" t="n">
        <v>0</v>
      </c>
      <c r="AQ1202" s="0" t="n">
        <v>0</v>
      </c>
      <c r="AR1202" s="0" t="n">
        <v>1</v>
      </c>
      <c r="AS1202" s="0" t="n">
        <v>0</v>
      </c>
      <c r="AT1202" s="0" t="n">
        <v>0</v>
      </c>
      <c r="AU1202" s="0" t="n">
        <v>0</v>
      </c>
      <c r="AV1202" s="0" t="n">
        <v>0</v>
      </c>
      <c r="AW1202" s="0" t="n">
        <v>0</v>
      </c>
      <c r="AX1202" s="0" t="n">
        <v>0</v>
      </c>
      <c r="AY1202" s="0" t="n">
        <v>0</v>
      </c>
      <c r="AZ1202" s="0" t="n">
        <v>0</v>
      </c>
      <c r="BA1202" s="0" t="n">
        <v>0</v>
      </c>
      <c r="BB1202" s="0" t="n">
        <v>0</v>
      </c>
      <c r="BC1202" s="0" t="n">
        <v>0</v>
      </c>
      <c r="BD1202" s="0" t="n">
        <v>0</v>
      </c>
      <c r="BE1202" s="0" t="n">
        <v>0</v>
      </c>
      <c r="BF1202" s="0" t="n">
        <v>0</v>
      </c>
      <c r="BG1202" s="0" t="n">
        <v>0</v>
      </c>
      <c r="BH1202" s="0" t="n">
        <v>0</v>
      </c>
      <c r="BI1202" s="0" t="n">
        <v>0</v>
      </c>
      <c r="BJ1202" s="0" t="n">
        <v>0</v>
      </c>
      <c r="BK1202" s="0" t="n">
        <v>0</v>
      </c>
      <c r="BM1202" s="6" t="n">
        <f aca="false">IFERROR(VALUE(F1202),"")</f>
        <v>461.48</v>
      </c>
      <c r="BN1202" s="6" t="n">
        <f aca="false">IF(R1202="-","",IFERROR(VALUE(LEFT(Q1202,LEN(Q1202)-2)),""))</f>
        <v>125.93</v>
      </c>
      <c r="BO1202" s="6" t="n">
        <f aca="false">IF(R1202="-","",IFERROR(VALUE(LEFT(R1202,LEN(R1202)-5)),""))</f>
        <v>3.66</v>
      </c>
      <c r="BP1202" s="6" t="n">
        <f aca="false">IF(R1202="-","",IFERROR(VALUE(F1202),""))</f>
        <v>461.48</v>
      </c>
      <c r="BQ1202" s="4" t="n">
        <f aca="false">IF(R1202="-",1,0)</f>
        <v>0</v>
      </c>
    </row>
    <row r="1203" customFormat="false" ht="15" hidden="false" customHeight="false" outlineLevel="0" collapsed="false">
      <c r="A1203" s="0" t="s">
        <v>4590</v>
      </c>
      <c r="B1203" s="0" t="s">
        <v>4591</v>
      </c>
      <c r="C1203" s="0" t="s">
        <v>70</v>
      </c>
      <c r="D1203" s="0" t="s">
        <v>1022</v>
      </c>
      <c r="E1203" s="3" t="n">
        <v>46279</v>
      </c>
      <c r="F1203" s="4" t="s">
        <v>4623</v>
      </c>
      <c r="G1203" s="5" t="n">
        <v>0.2234375</v>
      </c>
      <c r="H1203" s="5" t="n">
        <v>0.214421296296296</v>
      </c>
      <c r="I1203" s="5" t="n">
        <v>0.000208333333333333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5" t="n">
        <v>0</v>
      </c>
      <c r="P1203" s="5" t="n">
        <v>0.0087037037037037</v>
      </c>
      <c r="Q1203" s="4" t="s">
        <v>4624</v>
      </c>
      <c r="R1203" s="4" t="s">
        <v>431</v>
      </c>
      <c r="S1203" s="5" t="n">
        <v>0.000347222222222222</v>
      </c>
      <c r="T1203" s="5" t="n">
        <v>0.0418981481481482</v>
      </c>
      <c r="U1203" s="5" t="n">
        <v>0.140277777777778</v>
      </c>
      <c r="V1203" s="5" t="n">
        <v>0.0173611111111111</v>
      </c>
      <c r="W1203" s="5" t="n">
        <v>0</v>
      </c>
      <c r="X1203" s="5" t="n">
        <v>0</v>
      </c>
      <c r="Y1203" s="5" t="n">
        <v>0</v>
      </c>
      <c r="Z1203" s="0" t="n">
        <v>0</v>
      </c>
      <c r="AA1203" s="0" t="n">
        <v>0</v>
      </c>
      <c r="AB1203" s="0" t="n">
        <v>0</v>
      </c>
      <c r="AC1203" s="4" t="s">
        <v>1026</v>
      </c>
      <c r="AD1203" s="4" t="s">
        <v>994</v>
      </c>
      <c r="AE1203" s="4" t="s">
        <v>4622</v>
      </c>
      <c r="AF1203" s="4" t="s">
        <v>4625</v>
      </c>
      <c r="AG1203" s="5" t="n">
        <v>0.176226851851852</v>
      </c>
      <c r="AH1203" s="5" t="n">
        <v>0.070150462962963</v>
      </c>
      <c r="AI1203" s="5" t="n">
        <v>0</v>
      </c>
      <c r="AJ1203" s="5" t="n">
        <v>0</v>
      </c>
      <c r="AK1203" s="5" t="n">
        <v>0</v>
      </c>
      <c r="AL1203" s="5" t="n">
        <v>0</v>
      </c>
      <c r="AM1203" s="4" t="s">
        <v>78</v>
      </c>
      <c r="AN1203" s="0" t="n">
        <v>0</v>
      </c>
      <c r="AO1203" s="0" t="n">
        <v>0</v>
      </c>
      <c r="AP1203" s="0" t="n">
        <v>0</v>
      </c>
      <c r="AQ1203" s="0" t="n">
        <v>0</v>
      </c>
      <c r="AR1203" s="0" t="n">
        <v>0</v>
      </c>
      <c r="AS1203" s="0" t="n">
        <v>0</v>
      </c>
      <c r="AT1203" s="0" t="n">
        <v>0</v>
      </c>
      <c r="AU1203" s="0" t="n">
        <v>0</v>
      </c>
      <c r="AV1203" s="0" t="n">
        <v>0</v>
      </c>
      <c r="AW1203" s="0" t="n">
        <v>0</v>
      </c>
      <c r="AX1203" s="0" t="n">
        <v>0</v>
      </c>
      <c r="AY1203" s="0" t="n">
        <v>0</v>
      </c>
      <c r="AZ1203" s="0" t="n">
        <v>0</v>
      </c>
      <c r="BA1203" s="0" t="n">
        <v>0</v>
      </c>
      <c r="BB1203" s="0" t="n">
        <v>0</v>
      </c>
      <c r="BC1203" s="0" t="n">
        <v>0</v>
      </c>
      <c r="BD1203" s="0" t="n">
        <v>0</v>
      </c>
      <c r="BE1203" s="0" t="n">
        <v>0</v>
      </c>
      <c r="BF1203" s="0" t="n">
        <v>0</v>
      </c>
      <c r="BG1203" s="0" t="n">
        <v>0</v>
      </c>
      <c r="BH1203" s="0" t="n">
        <v>0</v>
      </c>
      <c r="BI1203" s="0" t="n">
        <v>0</v>
      </c>
      <c r="BJ1203" s="0" t="n">
        <v>0</v>
      </c>
      <c r="BK1203" s="0" t="n">
        <v>0</v>
      </c>
      <c r="BM1203" s="6" t="n">
        <f aca="false">IFERROR(VALUE(F1203),"")</f>
        <v>266.91</v>
      </c>
      <c r="BN1203" s="6" t="n">
        <f aca="false">IF(R1203="-","",IFERROR(VALUE(LEFT(Q1203,LEN(Q1203)-2)),""))</f>
        <v>79.86</v>
      </c>
      <c r="BO1203" s="6" t="n">
        <f aca="false">IF(R1203="-","",IFERROR(VALUE(LEFT(R1203,LEN(R1203)-5)),""))</f>
        <v>3.34</v>
      </c>
      <c r="BP1203" s="6" t="n">
        <f aca="false">IF(R1203="-","",IFERROR(VALUE(F1203),""))</f>
        <v>266.91</v>
      </c>
      <c r="BQ1203" s="4" t="n">
        <f aca="false">IF(R1203="-",1,0)</f>
        <v>0</v>
      </c>
    </row>
    <row r="1204" customFormat="false" ht="15" hidden="false" customHeight="false" outlineLevel="0" collapsed="false">
      <c r="A1204" s="0" t="s">
        <v>4626</v>
      </c>
      <c r="B1204" s="0" t="s">
        <v>4627</v>
      </c>
      <c r="C1204" s="0" t="s">
        <v>70</v>
      </c>
      <c r="D1204" s="0" t="s">
        <v>4628</v>
      </c>
      <c r="E1204" s="3" t="n">
        <v>46273</v>
      </c>
      <c r="F1204" s="4" t="s">
        <v>4629</v>
      </c>
      <c r="G1204" s="5" t="n">
        <v>0.223935185185185</v>
      </c>
      <c r="H1204" s="5" t="n">
        <v>0.209965277777778</v>
      </c>
      <c r="I1204" s="5" t="n">
        <v>0.00201388888888889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5" t="n">
        <v>0</v>
      </c>
      <c r="P1204" s="5" t="n">
        <v>0.00711805555555556</v>
      </c>
      <c r="Q1204" s="4" t="s">
        <v>4630</v>
      </c>
      <c r="R1204" s="4" t="s">
        <v>545</v>
      </c>
      <c r="S1204" s="5" t="n">
        <v>0</v>
      </c>
      <c r="T1204" s="5" t="n">
        <v>0.0766203703703704</v>
      </c>
      <c r="U1204" s="5" t="n">
        <v>0.102314814814815</v>
      </c>
      <c r="V1204" s="5" t="n">
        <v>0.0444444444444445</v>
      </c>
      <c r="W1204" s="5" t="n">
        <v>0.000115740740740741</v>
      </c>
      <c r="X1204" s="5" t="n">
        <v>0</v>
      </c>
      <c r="Y1204" s="5" t="n">
        <v>0</v>
      </c>
      <c r="Z1204" s="0" t="n">
        <v>0</v>
      </c>
      <c r="AA1204" s="0" t="n">
        <v>0</v>
      </c>
      <c r="AB1204" s="0" t="n">
        <v>0</v>
      </c>
      <c r="AC1204" s="4" t="s">
        <v>1090</v>
      </c>
      <c r="AD1204" s="4" t="s">
        <v>208</v>
      </c>
      <c r="AE1204" s="4" t="s">
        <v>4631</v>
      </c>
      <c r="AF1204" s="4" t="s">
        <v>4632</v>
      </c>
      <c r="AG1204" s="5" t="n">
        <v>0.197453703703704</v>
      </c>
      <c r="AH1204" s="5" t="n">
        <v>0.0982986111111111</v>
      </c>
      <c r="AI1204" s="5" t="n">
        <v>0</v>
      </c>
      <c r="AJ1204" s="5" t="n">
        <v>0</v>
      </c>
      <c r="AK1204" s="5" t="n">
        <v>0</v>
      </c>
      <c r="AL1204" s="5" t="n">
        <v>0</v>
      </c>
      <c r="AM1204" s="4" t="s">
        <v>78</v>
      </c>
      <c r="AN1204" s="0" t="n">
        <v>0</v>
      </c>
      <c r="AO1204" s="0" t="n">
        <v>0</v>
      </c>
      <c r="AP1204" s="0" t="n">
        <v>0</v>
      </c>
      <c r="AQ1204" s="0" t="n">
        <v>0</v>
      </c>
      <c r="AR1204" s="0" t="n">
        <v>0</v>
      </c>
      <c r="AS1204" s="0" t="n">
        <v>0</v>
      </c>
      <c r="AT1204" s="0" t="n">
        <v>0</v>
      </c>
      <c r="AU1204" s="0" t="n">
        <v>2</v>
      </c>
      <c r="AV1204" s="0" t="n">
        <v>0</v>
      </c>
      <c r="AW1204" s="0" t="n">
        <v>0</v>
      </c>
      <c r="AX1204" s="0" t="n">
        <v>0</v>
      </c>
      <c r="AY1204" s="0" t="n">
        <v>0</v>
      </c>
      <c r="AZ1204" s="0" t="n">
        <v>0</v>
      </c>
      <c r="BA1204" s="0" t="n">
        <v>0</v>
      </c>
      <c r="BB1204" s="0" t="n">
        <v>0</v>
      </c>
      <c r="BC1204" s="0" t="n">
        <v>0</v>
      </c>
      <c r="BD1204" s="0" t="n">
        <v>0</v>
      </c>
      <c r="BE1204" s="0" t="n">
        <v>0</v>
      </c>
      <c r="BF1204" s="0" t="n">
        <v>0</v>
      </c>
      <c r="BG1204" s="0" t="n">
        <v>0</v>
      </c>
      <c r="BH1204" s="0" t="n">
        <v>0</v>
      </c>
      <c r="BI1204" s="0" t="n">
        <v>0</v>
      </c>
      <c r="BJ1204" s="0" t="n">
        <v>0</v>
      </c>
      <c r="BK1204" s="0" t="n">
        <v>0</v>
      </c>
      <c r="BM1204" s="6" t="n">
        <f aca="false">IFERROR(VALUE(F1204),"")</f>
        <v>113.49</v>
      </c>
      <c r="BN1204" s="6" t="n">
        <f aca="false">IF(R1204="-","",IFERROR(VALUE(LEFT(Q1204,LEN(Q1204)-2)),""))</f>
        <v>37.17</v>
      </c>
      <c r="BO1204" s="6" t="n">
        <f aca="false">IF(R1204="-","",IFERROR(VALUE(LEFT(R1204,LEN(R1204)-5)),""))</f>
        <v>3.05</v>
      </c>
      <c r="BP1204" s="6" t="n">
        <f aca="false">IF(R1204="-","",IFERROR(VALUE(F1204),""))</f>
        <v>113.49</v>
      </c>
      <c r="BQ1204" s="4" t="n">
        <f aca="false">IF(R1204="-",1,0)</f>
        <v>0</v>
      </c>
    </row>
    <row r="1205" customFormat="false" ht="15" hidden="false" customHeight="false" outlineLevel="0" collapsed="false">
      <c r="A1205" s="0" t="s">
        <v>4626</v>
      </c>
      <c r="B1205" s="0" t="s">
        <v>4627</v>
      </c>
      <c r="C1205" s="0" t="s">
        <v>70</v>
      </c>
      <c r="D1205" s="0" t="s">
        <v>4633</v>
      </c>
      <c r="E1205" s="3" t="n">
        <v>46274</v>
      </c>
      <c r="F1205" s="4" t="s">
        <v>4634</v>
      </c>
      <c r="G1205" s="5" t="n">
        <v>0.369236111111111</v>
      </c>
      <c r="H1205" s="5" t="n">
        <v>0.341481481481482</v>
      </c>
      <c r="I1205" s="5" t="n">
        <v>0.00137731481481482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2</v>
      </c>
      <c r="O1205" s="5" t="n">
        <v>0</v>
      </c>
      <c r="P1205" s="5" t="n">
        <v>0.00803240740740741</v>
      </c>
      <c r="Q1205" s="4" t="s">
        <v>4635</v>
      </c>
      <c r="R1205" s="4" t="s">
        <v>1396</v>
      </c>
      <c r="S1205" s="5" t="n">
        <v>0.000115740740740741</v>
      </c>
      <c r="T1205" s="5" t="n">
        <v>0.110416666666667</v>
      </c>
      <c r="U1205" s="5" t="n">
        <v>0.162268518518519</v>
      </c>
      <c r="V1205" s="5" t="n">
        <v>0.0631944444444444</v>
      </c>
      <c r="W1205" s="5" t="n">
        <v>0</v>
      </c>
      <c r="X1205" s="5" t="n">
        <v>0</v>
      </c>
      <c r="Y1205" s="5" t="n">
        <v>0</v>
      </c>
      <c r="Z1205" s="0" t="n">
        <v>0</v>
      </c>
      <c r="AA1205" s="0" t="n">
        <v>0</v>
      </c>
      <c r="AB1205" s="0" t="n">
        <v>0</v>
      </c>
      <c r="AC1205" s="4" t="s">
        <v>208</v>
      </c>
      <c r="AD1205" s="4" t="s">
        <v>208</v>
      </c>
      <c r="AE1205" s="4" t="s">
        <v>4632</v>
      </c>
      <c r="AF1205" s="4" t="s">
        <v>4636</v>
      </c>
      <c r="AG1205" s="5" t="n">
        <v>0.303275462962963</v>
      </c>
      <c r="AH1205" s="5" t="n">
        <v>0.188761574074074</v>
      </c>
      <c r="AI1205" s="5" t="n">
        <v>0</v>
      </c>
      <c r="AJ1205" s="5" t="n">
        <v>0</v>
      </c>
      <c r="AK1205" s="5" t="n">
        <v>0</v>
      </c>
      <c r="AL1205" s="5" t="n">
        <v>0</v>
      </c>
      <c r="AM1205" s="4" t="s">
        <v>78</v>
      </c>
      <c r="AN1205" s="0" t="n">
        <v>0</v>
      </c>
      <c r="AO1205" s="0" t="n">
        <v>0</v>
      </c>
      <c r="AP1205" s="0" t="n">
        <v>0</v>
      </c>
      <c r="AQ1205" s="0" t="n">
        <v>0</v>
      </c>
      <c r="AR1205" s="0" t="n">
        <v>0</v>
      </c>
      <c r="AS1205" s="0" t="n">
        <v>0</v>
      </c>
      <c r="AT1205" s="0" t="n">
        <v>0</v>
      </c>
      <c r="AU1205" s="0" t="n">
        <v>6</v>
      </c>
      <c r="AV1205" s="0" t="n">
        <v>0</v>
      </c>
      <c r="AW1205" s="0" t="n">
        <v>0</v>
      </c>
      <c r="AX1205" s="0" t="n">
        <v>0</v>
      </c>
      <c r="AY1205" s="0" t="n">
        <v>0</v>
      </c>
      <c r="AZ1205" s="0" t="n">
        <v>0</v>
      </c>
      <c r="BA1205" s="0" t="n">
        <v>0</v>
      </c>
      <c r="BB1205" s="0" t="n">
        <v>0</v>
      </c>
      <c r="BC1205" s="0" t="n">
        <v>0</v>
      </c>
      <c r="BD1205" s="0" t="n">
        <v>0</v>
      </c>
      <c r="BE1205" s="0" t="n">
        <v>0</v>
      </c>
      <c r="BF1205" s="0" t="n">
        <v>0</v>
      </c>
      <c r="BG1205" s="0" t="n">
        <v>0</v>
      </c>
      <c r="BH1205" s="0" t="n">
        <v>0</v>
      </c>
      <c r="BI1205" s="0" t="n">
        <v>0</v>
      </c>
      <c r="BJ1205" s="0" t="n">
        <v>0</v>
      </c>
      <c r="BK1205" s="0" t="n">
        <v>0</v>
      </c>
      <c r="BM1205" s="6" t="n">
        <f aca="false">IFERROR(VALUE(F1205),"")</f>
        <v>195.68</v>
      </c>
      <c r="BN1205" s="6" t="n">
        <f aca="false">IF(R1205="-","",IFERROR(VALUE(LEFT(Q1205,LEN(Q1205)-2)),""))</f>
        <v>61.52</v>
      </c>
      <c r="BO1205" s="6" t="n">
        <f aca="false">IF(R1205="-","",IFERROR(VALUE(LEFT(R1205,LEN(R1205)-5)),""))</f>
        <v>3.18</v>
      </c>
      <c r="BP1205" s="6" t="n">
        <f aca="false">IF(R1205="-","",IFERROR(VALUE(F1205),""))</f>
        <v>195.68</v>
      </c>
      <c r="BQ1205" s="4" t="n">
        <f aca="false">IF(R1205="-",1,0)</f>
        <v>0</v>
      </c>
    </row>
    <row r="1206" customFormat="false" ht="15" hidden="false" customHeight="false" outlineLevel="0" collapsed="false">
      <c r="A1206" s="0" t="s">
        <v>4626</v>
      </c>
      <c r="B1206" s="0" t="s">
        <v>4627</v>
      </c>
      <c r="C1206" s="0" t="s">
        <v>70</v>
      </c>
      <c r="D1206" s="0" t="s">
        <v>4637</v>
      </c>
      <c r="E1206" s="3" t="n">
        <v>46275</v>
      </c>
      <c r="F1206" s="4" t="s">
        <v>4638</v>
      </c>
      <c r="G1206" s="5" t="n">
        <v>0.360833333333333</v>
      </c>
      <c r="H1206" s="5" t="n">
        <v>0.329375</v>
      </c>
      <c r="I1206" s="5" t="n">
        <v>0.000787037037037037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5</v>
      </c>
      <c r="O1206" s="5" t="n">
        <v>0</v>
      </c>
      <c r="P1206" s="5" t="n">
        <v>0.0146990740740741</v>
      </c>
      <c r="Q1206" s="4" t="s">
        <v>4639</v>
      </c>
      <c r="R1206" s="4" t="s">
        <v>943</v>
      </c>
      <c r="S1206" s="5" t="n">
        <v>0.000347222222222222</v>
      </c>
      <c r="T1206" s="5" t="n">
        <v>0.119097222222222</v>
      </c>
      <c r="U1206" s="5" t="n">
        <v>0.152314814814815</v>
      </c>
      <c r="V1206" s="5" t="n">
        <v>0.0550925925925926</v>
      </c>
      <c r="W1206" s="5" t="n">
        <v>0.000115740740740741</v>
      </c>
      <c r="X1206" s="5" t="n">
        <v>0</v>
      </c>
      <c r="Y1206" s="5" t="n">
        <v>0</v>
      </c>
      <c r="Z1206" s="0" t="n">
        <v>0</v>
      </c>
      <c r="AA1206" s="0" t="n">
        <v>0</v>
      </c>
      <c r="AB1206" s="0" t="n">
        <v>0</v>
      </c>
      <c r="AC1206" s="4" t="s">
        <v>208</v>
      </c>
      <c r="AD1206" s="4" t="s">
        <v>1540</v>
      </c>
      <c r="AE1206" s="4" t="s">
        <v>4636</v>
      </c>
      <c r="AF1206" s="4" t="s">
        <v>4640</v>
      </c>
      <c r="AG1206" s="5" t="n">
        <v>0.293090277777778</v>
      </c>
      <c r="AH1206" s="5" t="n">
        <v>0.175486111111111</v>
      </c>
      <c r="AI1206" s="5" t="n">
        <v>0</v>
      </c>
      <c r="AJ1206" s="5" t="n">
        <v>0</v>
      </c>
      <c r="AK1206" s="5" t="n">
        <v>0</v>
      </c>
      <c r="AL1206" s="5" t="n">
        <v>0</v>
      </c>
      <c r="AM1206" s="4" t="s">
        <v>78</v>
      </c>
      <c r="AN1206" s="0" t="n">
        <v>0</v>
      </c>
      <c r="AO1206" s="0" t="n">
        <v>0</v>
      </c>
      <c r="AP1206" s="0" t="n">
        <v>0</v>
      </c>
      <c r="AQ1206" s="0" t="n">
        <v>0</v>
      </c>
      <c r="AR1206" s="0" t="n">
        <v>0</v>
      </c>
      <c r="AS1206" s="0" t="n">
        <v>0</v>
      </c>
      <c r="AT1206" s="0" t="n">
        <v>0</v>
      </c>
      <c r="AU1206" s="0" t="n">
        <v>6</v>
      </c>
      <c r="AV1206" s="0" t="n">
        <v>0</v>
      </c>
      <c r="AW1206" s="0" t="n">
        <v>0</v>
      </c>
      <c r="AX1206" s="0" t="n">
        <v>0</v>
      </c>
      <c r="AY1206" s="0" t="n">
        <v>0</v>
      </c>
      <c r="AZ1206" s="0" t="n">
        <v>0</v>
      </c>
      <c r="BA1206" s="0" t="n">
        <v>0</v>
      </c>
      <c r="BB1206" s="0" t="n">
        <v>0</v>
      </c>
      <c r="BC1206" s="0" t="n">
        <v>0</v>
      </c>
      <c r="BD1206" s="0" t="n">
        <v>0</v>
      </c>
      <c r="BE1206" s="0" t="n">
        <v>0</v>
      </c>
      <c r="BF1206" s="0" t="n">
        <v>0</v>
      </c>
      <c r="BG1206" s="0" t="n">
        <v>0</v>
      </c>
      <c r="BH1206" s="0" t="n">
        <v>0</v>
      </c>
      <c r="BI1206" s="0" t="n">
        <v>0</v>
      </c>
      <c r="BJ1206" s="0" t="n">
        <v>0</v>
      </c>
      <c r="BK1206" s="0" t="n">
        <v>0</v>
      </c>
      <c r="BM1206" s="6" t="n">
        <f aca="false">IFERROR(VALUE(F1206),"")</f>
        <v>189.19</v>
      </c>
      <c r="BN1206" s="6" t="n">
        <f aca="false">IF(R1206="-","",IFERROR(VALUE(LEFT(Q1206,LEN(Q1206)-2)),""))</f>
        <v>58.55</v>
      </c>
      <c r="BO1206" s="6" t="n">
        <f aca="false">IF(R1206="-","",IFERROR(VALUE(LEFT(R1206,LEN(R1206)-5)),""))</f>
        <v>3.23</v>
      </c>
      <c r="BP1206" s="6" t="n">
        <f aca="false">IF(R1206="-","",IFERROR(VALUE(F1206),""))</f>
        <v>189.19</v>
      </c>
      <c r="BQ1206" s="4" t="n">
        <f aca="false">IF(R1206="-",1,0)</f>
        <v>0</v>
      </c>
    </row>
    <row r="1207" customFormat="false" ht="15" hidden="false" customHeight="false" outlineLevel="0" collapsed="false">
      <c r="A1207" s="0" t="s">
        <v>4626</v>
      </c>
      <c r="B1207" s="0" t="s">
        <v>4627</v>
      </c>
      <c r="C1207" s="0" t="s">
        <v>70</v>
      </c>
      <c r="D1207" s="0" t="s">
        <v>4641</v>
      </c>
      <c r="E1207" s="3" t="n">
        <v>46276</v>
      </c>
      <c r="F1207" s="4" t="s">
        <v>4642</v>
      </c>
      <c r="G1207" s="5" t="n">
        <v>0.455891203703704</v>
      </c>
      <c r="H1207" s="5" t="n">
        <v>0.431863425925926</v>
      </c>
      <c r="I1207" s="5" t="n">
        <v>0.000393518518518519</v>
      </c>
      <c r="J1207" s="0" t="n">
        <v>0</v>
      </c>
      <c r="K1207" s="0" t="n">
        <v>1</v>
      </c>
      <c r="L1207" s="0" t="n">
        <v>0</v>
      </c>
      <c r="M1207" s="0" t="n">
        <v>0</v>
      </c>
      <c r="N1207" s="0" t="n">
        <v>2</v>
      </c>
      <c r="O1207" s="5" t="n">
        <v>0</v>
      </c>
      <c r="P1207" s="5" t="n">
        <v>0</v>
      </c>
      <c r="Q1207" s="4" t="s">
        <v>1953</v>
      </c>
      <c r="R1207" s="4" t="s">
        <v>863</v>
      </c>
      <c r="S1207" s="5" t="n">
        <v>0.000462962962962963</v>
      </c>
      <c r="T1207" s="5" t="n">
        <v>0.146296296296296</v>
      </c>
      <c r="U1207" s="5" t="n">
        <v>0.19849537037037</v>
      </c>
      <c r="V1207" s="5" t="n">
        <v>0.0721064814814815</v>
      </c>
      <c r="W1207" s="5" t="n">
        <v>0.000115740740740741</v>
      </c>
      <c r="X1207" s="5" t="n">
        <v>0</v>
      </c>
      <c r="Y1207" s="5" t="n">
        <v>0</v>
      </c>
      <c r="Z1207" s="0" t="n">
        <v>0</v>
      </c>
      <c r="AA1207" s="0" t="n">
        <v>0</v>
      </c>
      <c r="AB1207" s="0" t="n">
        <v>0</v>
      </c>
      <c r="AC1207" s="4" t="s">
        <v>1540</v>
      </c>
      <c r="AD1207" s="4" t="s">
        <v>208</v>
      </c>
      <c r="AE1207" s="4" t="s">
        <v>4640</v>
      </c>
      <c r="AF1207" s="4" t="s">
        <v>4643</v>
      </c>
      <c r="AG1207" s="5" t="n">
        <v>0.375590277777778</v>
      </c>
      <c r="AH1207" s="5" t="n">
        <v>0.1678125</v>
      </c>
      <c r="AI1207" s="5" t="n">
        <v>0</v>
      </c>
      <c r="AJ1207" s="5" t="n">
        <v>0</v>
      </c>
      <c r="AK1207" s="5" t="n">
        <v>0</v>
      </c>
      <c r="AL1207" s="5" t="n">
        <v>0</v>
      </c>
      <c r="AM1207" s="4" t="s">
        <v>78</v>
      </c>
      <c r="AN1207" s="0" t="n">
        <v>0</v>
      </c>
      <c r="AO1207" s="0" t="n">
        <v>0</v>
      </c>
      <c r="AP1207" s="0" t="n">
        <v>0</v>
      </c>
      <c r="AQ1207" s="0" t="n">
        <v>0</v>
      </c>
      <c r="AR1207" s="0" t="n">
        <v>0</v>
      </c>
      <c r="AS1207" s="0" t="n">
        <v>0</v>
      </c>
      <c r="AT1207" s="0" t="n">
        <v>0</v>
      </c>
      <c r="AU1207" s="0" t="n">
        <v>10</v>
      </c>
      <c r="AV1207" s="0" t="n">
        <v>0</v>
      </c>
      <c r="AW1207" s="0" t="n">
        <v>0</v>
      </c>
      <c r="AX1207" s="0" t="n">
        <v>0</v>
      </c>
      <c r="AY1207" s="0" t="n">
        <v>0</v>
      </c>
      <c r="AZ1207" s="0" t="n">
        <v>0</v>
      </c>
      <c r="BA1207" s="0" t="n">
        <v>0</v>
      </c>
      <c r="BB1207" s="0" t="n">
        <v>0</v>
      </c>
      <c r="BC1207" s="0" t="n">
        <v>0</v>
      </c>
      <c r="BD1207" s="0" t="n">
        <v>0</v>
      </c>
      <c r="BE1207" s="0" t="n">
        <v>0</v>
      </c>
      <c r="BF1207" s="0" t="n">
        <v>0</v>
      </c>
      <c r="BG1207" s="0" t="n">
        <v>0</v>
      </c>
      <c r="BH1207" s="0" t="n">
        <v>0</v>
      </c>
      <c r="BI1207" s="0" t="n">
        <v>0</v>
      </c>
      <c r="BJ1207" s="0" t="n">
        <v>0</v>
      </c>
      <c r="BK1207" s="0" t="n">
        <v>0</v>
      </c>
      <c r="BM1207" s="6" t="n">
        <f aca="false">IFERROR(VALUE(F1207),"")</f>
        <v>248.33</v>
      </c>
      <c r="BN1207" s="6" t="n">
        <f aca="false">IF(R1207="-","",IFERROR(VALUE(LEFT(Q1207,LEN(Q1207)-2)),""))</f>
        <v>75.94</v>
      </c>
      <c r="BO1207" s="6" t="n">
        <f aca="false">IF(R1207="-","",IFERROR(VALUE(LEFT(R1207,LEN(R1207)-5)),""))</f>
        <v>3.27</v>
      </c>
      <c r="BP1207" s="6" t="n">
        <f aca="false">IF(R1207="-","",IFERROR(VALUE(F1207),""))</f>
        <v>248.33</v>
      </c>
      <c r="BQ1207" s="4" t="n">
        <f aca="false">IF(R1207="-",1,0)</f>
        <v>0</v>
      </c>
    </row>
    <row r="1208" customFormat="false" ht="15" hidden="false" customHeight="false" outlineLevel="0" collapsed="false">
      <c r="A1208" s="0" t="s">
        <v>4626</v>
      </c>
      <c r="B1208" s="0" t="s">
        <v>4627</v>
      </c>
      <c r="C1208" s="0" t="s">
        <v>70</v>
      </c>
      <c r="D1208" s="0" t="s">
        <v>4644</v>
      </c>
      <c r="E1208" s="3" t="n">
        <v>46277</v>
      </c>
      <c r="F1208" s="4" t="s">
        <v>4645</v>
      </c>
      <c r="G1208" s="5" t="n">
        <v>0.403831018518519</v>
      </c>
      <c r="H1208" s="5" t="n">
        <v>0.3853125</v>
      </c>
      <c r="I1208" s="5" t="n">
        <v>0.00512731481481482</v>
      </c>
      <c r="J1208" s="0" t="n">
        <v>0</v>
      </c>
      <c r="K1208" s="0" t="n">
        <v>1</v>
      </c>
      <c r="L1208" s="0" t="n">
        <v>0</v>
      </c>
      <c r="M1208" s="0" t="n">
        <v>0</v>
      </c>
      <c r="N1208" s="0" t="n">
        <v>8</v>
      </c>
      <c r="O1208" s="5" t="n">
        <v>0</v>
      </c>
      <c r="P1208" s="5" t="n">
        <v>0</v>
      </c>
      <c r="Q1208" s="4" t="s">
        <v>4646</v>
      </c>
      <c r="R1208" s="4" t="s">
        <v>340</v>
      </c>
      <c r="S1208" s="5" t="n">
        <v>0.000231481481481482</v>
      </c>
      <c r="T1208" s="5" t="n">
        <v>0.0990740740740741</v>
      </c>
      <c r="U1208" s="5" t="n">
        <v>0.136689814814815</v>
      </c>
      <c r="V1208" s="5" t="n">
        <v>0.15787037037037</v>
      </c>
      <c r="W1208" s="5" t="n">
        <v>0.00133101851851852</v>
      </c>
      <c r="X1208" s="5" t="n">
        <v>0</v>
      </c>
      <c r="Y1208" s="5" t="n">
        <v>5.78703703703704E-005</v>
      </c>
      <c r="Z1208" s="0" t="n">
        <v>0</v>
      </c>
      <c r="AA1208" s="0" t="n">
        <v>0</v>
      </c>
      <c r="AB1208" s="0" t="n">
        <v>0</v>
      </c>
      <c r="AC1208" s="4" t="s">
        <v>208</v>
      </c>
      <c r="AD1208" s="4" t="s">
        <v>208</v>
      </c>
      <c r="AE1208" s="4" t="s">
        <v>4643</v>
      </c>
      <c r="AF1208" s="4" t="s">
        <v>4647</v>
      </c>
      <c r="AG1208" s="5" t="n">
        <v>0.368703703703704</v>
      </c>
      <c r="AH1208" s="5" t="n">
        <v>0.120393518518519</v>
      </c>
      <c r="AI1208" s="5" t="n">
        <v>0</v>
      </c>
      <c r="AJ1208" s="5" t="n">
        <v>0</v>
      </c>
      <c r="AK1208" s="5" t="n">
        <v>0</v>
      </c>
      <c r="AL1208" s="5" t="n">
        <v>0</v>
      </c>
      <c r="AM1208" s="4" t="s">
        <v>78</v>
      </c>
      <c r="AN1208" s="0" t="n">
        <v>0</v>
      </c>
      <c r="AO1208" s="0" t="n">
        <v>0</v>
      </c>
      <c r="AP1208" s="0" t="n">
        <v>0</v>
      </c>
      <c r="AQ1208" s="0" t="n">
        <v>0</v>
      </c>
      <c r="AR1208" s="0" t="n">
        <v>0</v>
      </c>
      <c r="AS1208" s="0" t="n">
        <v>0</v>
      </c>
      <c r="AT1208" s="0" t="n">
        <v>0</v>
      </c>
      <c r="AU1208" s="0" t="n">
        <v>11</v>
      </c>
      <c r="AV1208" s="0" t="n">
        <v>0</v>
      </c>
      <c r="AW1208" s="0" t="n">
        <v>0</v>
      </c>
      <c r="AX1208" s="0" t="n">
        <v>0</v>
      </c>
      <c r="AY1208" s="0" t="n">
        <v>0</v>
      </c>
      <c r="AZ1208" s="0" t="n">
        <v>0</v>
      </c>
      <c r="BA1208" s="0" t="n">
        <v>0</v>
      </c>
      <c r="BB1208" s="0" t="n">
        <v>0</v>
      </c>
      <c r="BC1208" s="0" t="n">
        <v>0</v>
      </c>
      <c r="BD1208" s="0" t="n">
        <v>0</v>
      </c>
      <c r="BE1208" s="0" t="n">
        <v>0</v>
      </c>
      <c r="BF1208" s="0" t="n">
        <v>0</v>
      </c>
      <c r="BG1208" s="0" t="n">
        <v>0</v>
      </c>
      <c r="BH1208" s="0" t="n">
        <v>0</v>
      </c>
      <c r="BI1208" s="0" t="n">
        <v>0</v>
      </c>
      <c r="BJ1208" s="0" t="n">
        <v>0</v>
      </c>
      <c r="BK1208" s="0" t="n">
        <v>0</v>
      </c>
      <c r="BM1208" s="6" t="n">
        <f aca="false">IFERROR(VALUE(F1208),"")</f>
        <v>280.52</v>
      </c>
      <c r="BN1208" s="6" t="n">
        <f aca="false">IF(R1208="-","",IFERROR(VALUE(LEFT(Q1208,LEN(Q1208)-2)),""))</f>
        <v>97.31</v>
      </c>
      <c r="BO1208" s="6" t="n">
        <f aca="false">IF(R1208="-","",IFERROR(VALUE(LEFT(R1208,LEN(R1208)-5)),""))</f>
        <v>2.88</v>
      </c>
      <c r="BP1208" s="6" t="n">
        <f aca="false">IF(R1208="-","",IFERROR(VALUE(F1208),""))</f>
        <v>280.52</v>
      </c>
      <c r="BQ1208" s="4" t="n">
        <f aca="false">IF(R1208="-",1,0)</f>
        <v>0</v>
      </c>
    </row>
    <row r="1209" customFormat="false" ht="15" hidden="false" customHeight="false" outlineLevel="0" collapsed="false">
      <c r="A1209" s="0" t="s">
        <v>4626</v>
      </c>
      <c r="B1209" s="0" t="s">
        <v>4627</v>
      </c>
      <c r="C1209" s="0" t="s">
        <v>70</v>
      </c>
      <c r="E1209" s="3" t="n">
        <v>46278</v>
      </c>
      <c r="F1209" s="4" t="s">
        <v>1440</v>
      </c>
      <c r="G1209" s="5" t="n">
        <v>0.00259259259259259</v>
      </c>
      <c r="H1209" s="5" t="n">
        <v>0</v>
      </c>
      <c r="I1209" s="5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5" t="n">
        <v>0</v>
      </c>
      <c r="P1209" s="5" t="n">
        <v>0</v>
      </c>
      <c r="Q1209" s="4" t="s">
        <v>4448</v>
      </c>
      <c r="R1209" s="4" t="s">
        <v>4648</v>
      </c>
      <c r="S1209" s="5" t="n">
        <v>0</v>
      </c>
      <c r="T1209" s="5" t="n">
        <v>0.00150462962962963</v>
      </c>
      <c r="U1209" s="5" t="n">
        <v>0.000925925925925926</v>
      </c>
      <c r="V1209" s="5" t="n">
        <v>0</v>
      </c>
      <c r="W1209" s="5" t="n">
        <v>0</v>
      </c>
      <c r="X1209" s="5" t="n">
        <v>0</v>
      </c>
      <c r="Y1209" s="5" t="n">
        <v>0</v>
      </c>
      <c r="Z1209" s="0" t="n">
        <v>0</v>
      </c>
      <c r="AA1209" s="0" t="n">
        <v>0</v>
      </c>
      <c r="AB1209" s="0" t="n">
        <v>0</v>
      </c>
      <c r="AC1209" s="4" t="s">
        <v>208</v>
      </c>
      <c r="AD1209" s="4" t="s">
        <v>208</v>
      </c>
      <c r="AE1209" s="4" t="s">
        <v>4647</v>
      </c>
      <c r="AF1209" s="4" t="s">
        <v>4649</v>
      </c>
      <c r="AG1209" s="5" t="n">
        <v>0.00180555555555556</v>
      </c>
      <c r="AH1209" s="5" t="n">
        <v>0.0103240740740741</v>
      </c>
      <c r="AI1209" s="5" t="n">
        <v>0</v>
      </c>
      <c r="AJ1209" s="5" t="n">
        <v>0</v>
      </c>
      <c r="AK1209" s="5" t="n">
        <v>0</v>
      </c>
      <c r="AL1209" s="5" t="n">
        <v>0</v>
      </c>
      <c r="AM1209" s="4" t="s">
        <v>78</v>
      </c>
      <c r="AN1209" s="0" t="n">
        <v>0</v>
      </c>
      <c r="AO1209" s="0" t="n">
        <v>0</v>
      </c>
      <c r="AP1209" s="0" t="n">
        <v>0</v>
      </c>
      <c r="AQ1209" s="0" t="n">
        <v>0</v>
      </c>
      <c r="AR1209" s="0" t="n">
        <v>0</v>
      </c>
      <c r="AS1209" s="0" t="n">
        <v>0</v>
      </c>
      <c r="AT1209" s="0" t="n">
        <v>0</v>
      </c>
      <c r="AU1209" s="0" t="n">
        <v>0</v>
      </c>
      <c r="AV1209" s="0" t="n">
        <v>0</v>
      </c>
      <c r="AW1209" s="0" t="n">
        <v>0</v>
      </c>
      <c r="AX1209" s="0" t="n">
        <v>0</v>
      </c>
      <c r="AY1209" s="0" t="n">
        <v>0</v>
      </c>
      <c r="AZ1209" s="0" t="n">
        <v>0</v>
      </c>
      <c r="BA1209" s="0" t="n">
        <v>0</v>
      </c>
      <c r="BB1209" s="0" t="n">
        <v>0</v>
      </c>
      <c r="BC1209" s="0" t="n">
        <v>0</v>
      </c>
      <c r="BD1209" s="0" t="n">
        <v>0</v>
      </c>
      <c r="BE1209" s="0" t="n">
        <v>0</v>
      </c>
      <c r="BF1209" s="0" t="n">
        <v>0</v>
      </c>
      <c r="BG1209" s="0" t="n">
        <v>0</v>
      </c>
      <c r="BH1209" s="0" t="n">
        <v>0</v>
      </c>
      <c r="BI1209" s="0" t="n">
        <v>0</v>
      </c>
      <c r="BJ1209" s="0" t="n">
        <v>0</v>
      </c>
      <c r="BK1209" s="0" t="n">
        <v>0</v>
      </c>
      <c r="BM1209" s="6" t="n">
        <f aca="false">IFERROR(VALUE(F1209),"")</f>
        <v>0.22</v>
      </c>
      <c r="BN1209" s="6" t="n">
        <f aca="false">IF(R1209="-","",IFERROR(VALUE(LEFT(Q1209,LEN(Q1209)-2)),""))</f>
        <v>0.23</v>
      </c>
      <c r="BO1209" s="6" t="n">
        <f aca="false">IF(R1209="-","",IFERROR(VALUE(LEFT(R1209,LEN(R1209)-5)),""))</f>
        <v>0.97</v>
      </c>
      <c r="BP1209" s="6" t="n">
        <f aca="false">IF(R1209="-","",IFERROR(VALUE(F1209),""))</f>
        <v>0.22</v>
      </c>
      <c r="BQ1209" s="4" t="n">
        <f aca="false">IF(R1209="-",1,0)</f>
        <v>0</v>
      </c>
    </row>
    <row r="1210" customFormat="false" ht="15" hidden="false" customHeight="false" outlineLevel="0" collapsed="false">
      <c r="A1210" s="0" t="s">
        <v>4626</v>
      </c>
      <c r="B1210" s="0" t="s">
        <v>4627</v>
      </c>
      <c r="C1210" s="0" t="s">
        <v>70</v>
      </c>
      <c r="D1210" s="0" t="s">
        <v>4650</v>
      </c>
      <c r="E1210" s="3" t="n">
        <v>46279</v>
      </c>
      <c r="F1210" s="4" t="s">
        <v>4651</v>
      </c>
      <c r="G1210" s="5" t="n">
        <v>0.31755787037037</v>
      </c>
      <c r="H1210" s="5" t="n">
        <v>0.315231481481482</v>
      </c>
      <c r="I1210" s="5" t="n">
        <v>0.000636574074074074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4</v>
      </c>
      <c r="O1210" s="5" t="n">
        <v>0</v>
      </c>
      <c r="P1210" s="5" t="n">
        <v>0</v>
      </c>
      <c r="Q1210" s="4" t="s">
        <v>4652</v>
      </c>
      <c r="R1210" s="4" t="s">
        <v>4653</v>
      </c>
      <c r="S1210" s="5" t="n">
        <v>0</v>
      </c>
      <c r="T1210" s="5" t="n">
        <v>0.10474537037037</v>
      </c>
      <c r="U1210" s="5" t="n">
        <v>0.14537037037037</v>
      </c>
      <c r="V1210" s="5" t="n">
        <v>0.0631944444444444</v>
      </c>
      <c r="W1210" s="5" t="n">
        <v>0</v>
      </c>
      <c r="X1210" s="5" t="n">
        <v>0</v>
      </c>
      <c r="Y1210" s="5" t="n">
        <v>0</v>
      </c>
      <c r="Z1210" s="0" t="n">
        <v>0</v>
      </c>
      <c r="AA1210" s="0" t="n">
        <v>0</v>
      </c>
      <c r="AB1210" s="0" t="n">
        <v>0</v>
      </c>
      <c r="AC1210" s="4" t="s">
        <v>208</v>
      </c>
      <c r="AD1210" s="4" t="s">
        <v>208</v>
      </c>
      <c r="AE1210" s="4" t="s">
        <v>4649</v>
      </c>
      <c r="AF1210" s="4" t="s">
        <v>4654</v>
      </c>
      <c r="AG1210" s="5" t="n">
        <v>0.28525462962963</v>
      </c>
      <c r="AH1210" s="5" t="n">
        <v>0.0804166666666667</v>
      </c>
      <c r="AI1210" s="5" t="n">
        <v>0</v>
      </c>
      <c r="AJ1210" s="5" t="n">
        <v>0</v>
      </c>
      <c r="AK1210" s="5" t="n">
        <v>0</v>
      </c>
      <c r="AL1210" s="5" t="n">
        <v>0</v>
      </c>
      <c r="AM1210" s="4" t="s">
        <v>78</v>
      </c>
      <c r="AN1210" s="0" t="n">
        <v>0</v>
      </c>
      <c r="AO1210" s="0" t="n">
        <v>0</v>
      </c>
      <c r="AP1210" s="0" t="n">
        <v>0</v>
      </c>
      <c r="AQ1210" s="0" t="n">
        <v>0</v>
      </c>
      <c r="AR1210" s="0" t="n">
        <v>0</v>
      </c>
      <c r="AS1210" s="0" t="n">
        <v>0</v>
      </c>
      <c r="AT1210" s="0" t="n">
        <v>0</v>
      </c>
      <c r="AU1210" s="0" t="n">
        <v>5</v>
      </c>
      <c r="AV1210" s="0" t="n">
        <v>0</v>
      </c>
      <c r="AW1210" s="0" t="n">
        <v>0</v>
      </c>
      <c r="AX1210" s="0" t="n">
        <v>0</v>
      </c>
      <c r="AY1210" s="0" t="n">
        <v>0</v>
      </c>
      <c r="AZ1210" s="0" t="n">
        <v>0</v>
      </c>
      <c r="BA1210" s="0" t="n">
        <v>0</v>
      </c>
      <c r="BB1210" s="0" t="n">
        <v>0</v>
      </c>
      <c r="BC1210" s="0" t="n">
        <v>0</v>
      </c>
      <c r="BD1210" s="0" t="n">
        <v>0</v>
      </c>
      <c r="BE1210" s="0" t="n">
        <v>0</v>
      </c>
      <c r="BF1210" s="0" t="n">
        <v>0</v>
      </c>
      <c r="BG1210" s="0" t="n">
        <v>0</v>
      </c>
      <c r="BH1210" s="0" t="n">
        <v>0</v>
      </c>
      <c r="BI1210" s="0" t="n">
        <v>0</v>
      </c>
      <c r="BJ1210" s="0" t="n">
        <v>0</v>
      </c>
      <c r="BK1210" s="0" t="n">
        <v>0</v>
      </c>
      <c r="BM1210" s="6" t="n">
        <f aca="false">IFERROR(VALUE(F1210),"")</f>
        <v>188.81</v>
      </c>
      <c r="BN1210" s="6" t="n">
        <f aca="false">IF(R1210="-","",IFERROR(VALUE(LEFT(Q1210,LEN(Q1210)-2)),""))</f>
        <v>54.3</v>
      </c>
      <c r="BO1210" s="6" t="n">
        <f aca="false">IF(R1210="-","",IFERROR(VALUE(LEFT(R1210,LEN(R1210)-5)),""))</f>
        <v>3.48</v>
      </c>
      <c r="BP1210" s="6" t="n">
        <f aca="false">IF(R1210="-","",IFERROR(VALUE(F1210),""))</f>
        <v>188.81</v>
      </c>
      <c r="BQ1210" s="4" t="n">
        <f aca="false">IF(R1210="-",1,0)</f>
        <v>0</v>
      </c>
    </row>
    <row r="1211" customFormat="false" ht="15" hidden="false" customHeight="false" outlineLevel="0" collapsed="false">
      <c r="A1211" s="0" t="s">
        <v>4655</v>
      </c>
      <c r="B1211" s="0" t="s">
        <v>4656</v>
      </c>
      <c r="C1211" s="0" t="s">
        <v>70</v>
      </c>
      <c r="E1211" s="3" t="n">
        <v>46273</v>
      </c>
      <c r="F1211" s="4" t="s">
        <v>4657</v>
      </c>
      <c r="G1211" s="5" t="n">
        <v>0.0264467592592593</v>
      </c>
      <c r="H1211" s="5" t="n">
        <v>0</v>
      </c>
      <c r="I1211" s="5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5" t="n">
        <v>0</v>
      </c>
      <c r="P1211" s="5" t="n">
        <v>0</v>
      </c>
      <c r="Q1211" s="4" t="s">
        <v>2726</v>
      </c>
      <c r="R1211" s="4" t="s">
        <v>4658</v>
      </c>
      <c r="S1211" s="5" t="n">
        <v>0.000115740740740741</v>
      </c>
      <c r="T1211" s="5" t="n">
        <v>0.0212962962962963</v>
      </c>
      <c r="U1211" s="5" t="n">
        <v>0.00219907407407407</v>
      </c>
      <c r="V1211" s="5" t="n">
        <v>0.000462962962962963</v>
      </c>
      <c r="W1211" s="5" t="n">
        <v>0</v>
      </c>
      <c r="X1211" s="5" t="n">
        <v>0</v>
      </c>
      <c r="Y1211" s="5" t="n">
        <v>0</v>
      </c>
      <c r="Z1211" s="0" t="n">
        <v>0</v>
      </c>
      <c r="AA1211" s="0" t="n">
        <v>0</v>
      </c>
      <c r="AB1211" s="0" t="n">
        <v>0</v>
      </c>
      <c r="AC1211" s="4" t="s">
        <v>74</v>
      </c>
      <c r="AD1211" s="4" t="s">
        <v>74</v>
      </c>
      <c r="AE1211" s="4" t="s">
        <v>4659</v>
      </c>
      <c r="AF1211" s="4" t="s">
        <v>4660</v>
      </c>
      <c r="AG1211" s="5" t="n">
        <v>0.00675925925925926</v>
      </c>
      <c r="AH1211" s="5" t="n">
        <v>0.0552893518518519</v>
      </c>
      <c r="AI1211" s="5" t="n">
        <v>0</v>
      </c>
      <c r="AJ1211" s="5" t="n">
        <v>0</v>
      </c>
      <c r="AK1211" s="5" t="n">
        <v>0</v>
      </c>
      <c r="AL1211" s="5" t="n">
        <v>0</v>
      </c>
      <c r="AM1211" s="4" t="s">
        <v>78</v>
      </c>
      <c r="AN1211" s="0" t="n">
        <v>0</v>
      </c>
      <c r="AO1211" s="0" t="n">
        <v>0</v>
      </c>
      <c r="AP1211" s="0" t="n">
        <v>0</v>
      </c>
      <c r="AQ1211" s="0" t="n">
        <v>0</v>
      </c>
      <c r="AR1211" s="0" t="n">
        <v>0</v>
      </c>
      <c r="AS1211" s="0" t="n">
        <v>0</v>
      </c>
      <c r="AT1211" s="0" t="n">
        <v>0</v>
      </c>
      <c r="AU1211" s="0" t="n">
        <v>0</v>
      </c>
      <c r="AV1211" s="0" t="n">
        <v>0</v>
      </c>
      <c r="AW1211" s="0" t="n">
        <v>0</v>
      </c>
      <c r="AX1211" s="0" t="n">
        <v>0</v>
      </c>
      <c r="AY1211" s="0" t="n">
        <v>0</v>
      </c>
      <c r="AZ1211" s="0" t="n">
        <v>0</v>
      </c>
      <c r="BA1211" s="0" t="n">
        <v>0</v>
      </c>
      <c r="BB1211" s="0" t="n">
        <v>0</v>
      </c>
      <c r="BC1211" s="0" t="n">
        <v>0</v>
      </c>
      <c r="BD1211" s="0" t="n">
        <v>0</v>
      </c>
      <c r="BE1211" s="0" t="n">
        <v>0</v>
      </c>
      <c r="BF1211" s="0" t="n">
        <v>0</v>
      </c>
      <c r="BG1211" s="0" t="n">
        <v>0</v>
      </c>
      <c r="BH1211" s="0" t="n">
        <v>0</v>
      </c>
      <c r="BI1211" s="0" t="n">
        <v>0</v>
      </c>
      <c r="BJ1211" s="0" t="n">
        <v>0</v>
      </c>
      <c r="BK1211" s="0" t="n">
        <v>0</v>
      </c>
      <c r="BM1211" s="6" t="n">
        <f aca="false">IFERROR(VALUE(F1211),"")</f>
        <v>0.6</v>
      </c>
      <c r="BN1211" s="6" t="n">
        <f aca="false">IF(R1211="-","",IFERROR(VALUE(LEFT(Q1211,LEN(Q1211)-2)),""))</f>
        <v>1.01</v>
      </c>
      <c r="BO1211" s="6" t="n">
        <f aca="false">IF(R1211="-","",IFERROR(VALUE(LEFT(R1211,LEN(R1211)-5)),""))</f>
        <v>0.6</v>
      </c>
      <c r="BP1211" s="6" t="n">
        <f aca="false">IF(R1211="-","",IFERROR(VALUE(F1211),""))</f>
        <v>0.6</v>
      </c>
      <c r="BQ1211" s="4" t="n">
        <f aca="false">IF(R1211="-",1,0)</f>
        <v>0</v>
      </c>
    </row>
    <row r="1212" customFormat="false" ht="15" hidden="false" customHeight="false" outlineLevel="0" collapsed="false">
      <c r="A1212" s="0" t="s">
        <v>4655</v>
      </c>
      <c r="B1212" s="0" t="s">
        <v>4656</v>
      </c>
      <c r="C1212" s="0" t="s">
        <v>70</v>
      </c>
      <c r="D1212" s="0" t="s">
        <v>4661</v>
      </c>
      <c r="E1212" s="3" t="n">
        <v>46275</v>
      </c>
      <c r="F1212" s="4" t="s">
        <v>4662</v>
      </c>
      <c r="G1212" s="5" t="n">
        <v>0.184166666666667</v>
      </c>
      <c r="H1212" s="5" t="n">
        <v>0.128310185185185</v>
      </c>
      <c r="I1212" s="5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2</v>
      </c>
      <c r="O1212" s="5" t="n">
        <v>0</v>
      </c>
      <c r="P1212" s="5" t="n">
        <v>0.0145949074074074</v>
      </c>
      <c r="Q1212" s="4" t="s">
        <v>2800</v>
      </c>
      <c r="R1212" s="4" t="s">
        <v>2964</v>
      </c>
      <c r="S1212" s="5" t="n">
        <v>0.000231481481481482</v>
      </c>
      <c r="T1212" s="5" t="n">
        <v>0.0678240740740741</v>
      </c>
      <c r="U1212" s="5" t="n">
        <v>0.0873842592592593</v>
      </c>
      <c r="V1212" s="5" t="n">
        <v>0.00324074074074074</v>
      </c>
      <c r="W1212" s="5" t="n">
        <v>0</v>
      </c>
      <c r="X1212" s="5" t="n">
        <v>0</v>
      </c>
      <c r="Y1212" s="5" t="n">
        <v>0</v>
      </c>
      <c r="Z1212" s="0" t="n">
        <v>0</v>
      </c>
      <c r="AA1212" s="0" t="n">
        <v>0</v>
      </c>
      <c r="AB1212" s="0" t="n">
        <v>0</v>
      </c>
      <c r="AC1212" s="4" t="s">
        <v>74</v>
      </c>
      <c r="AD1212" s="4" t="s">
        <v>4220</v>
      </c>
      <c r="AE1212" s="4" t="s">
        <v>4660</v>
      </c>
      <c r="AF1212" s="4" t="s">
        <v>4663</v>
      </c>
      <c r="AG1212" s="5" t="n">
        <v>0.111087962962963</v>
      </c>
      <c r="AH1212" s="5" t="n">
        <v>0.159560185185185</v>
      </c>
      <c r="AI1212" s="5" t="n">
        <v>0</v>
      </c>
      <c r="AJ1212" s="5" t="n">
        <v>0</v>
      </c>
      <c r="AK1212" s="5" t="n">
        <v>0</v>
      </c>
      <c r="AL1212" s="5" t="n">
        <v>0</v>
      </c>
      <c r="AM1212" s="4" t="s">
        <v>78</v>
      </c>
      <c r="AN1212" s="0" t="n">
        <v>0</v>
      </c>
      <c r="AO1212" s="0" t="n">
        <v>0</v>
      </c>
      <c r="AP1212" s="0" t="n">
        <v>0</v>
      </c>
      <c r="AQ1212" s="0" t="n">
        <v>0</v>
      </c>
      <c r="AR1212" s="0" t="n">
        <v>0</v>
      </c>
      <c r="AS1212" s="0" t="n">
        <v>0</v>
      </c>
      <c r="AT1212" s="0" t="n">
        <v>0</v>
      </c>
      <c r="AU1212" s="0" t="n">
        <v>0</v>
      </c>
      <c r="AV1212" s="0" t="n">
        <v>0</v>
      </c>
      <c r="AW1212" s="0" t="n">
        <v>0</v>
      </c>
      <c r="AX1212" s="0" t="n">
        <v>0</v>
      </c>
      <c r="AY1212" s="0" t="n">
        <v>0</v>
      </c>
      <c r="AZ1212" s="0" t="n">
        <v>0</v>
      </c>
      <c r="BA1212" s="0" t="n">
        <v>0</v>
      </c>
      <c r="BB1212" s="0" t="n">
        <v>0</v>
      </c>
      <c r="BC1212" s="0" t="n">
        <v>0</v>
      </c>
      <c r="BD1212" s="0" t="n">
        <v>0</v>
      </c>
      <c r="BE1212" s="0" t="n">
        <v>0</v>
      </c>
      <c r="BF1212" s="0" t="n">
        <v>0</v>
      </c>
      <c r="BG1212" s="0" t="n">
        <v>0</v>
      </c>
      <c r="BH1212" s="0" t="n">
        <v>0</v>
      </c>
      <c r="BI1212" s="0" t="n">
        <v>0</v>
      </c>
      <c r="BJ1212" s="0" t="n">
        <v>0</v>
      </c>
      <c r="BK1212" s="0" t="n">
        <v>0</v>
      </c>
      <c r="BM1212" s="6" t="n">
        <f aca="false">IFERROR(VALUE(F1212),"")</f>
        <v>148.07</v>
      </c>
      <c r="BN1212" s="6" t="n">
        <f aca="false">IF(R1212="-","",IFERROR(VALUE(LEFT(Q1212,LEN(Q1212)-2)),""))</f>
        <v>46</v>
      </c>
      <c r="BO1212" s="6" t="n">
        <f aca="false">IF(R1212="-","",IFERROR(VALUE(LEFT(R1212,LEN(R1212)-5)),""))</f>
        <v>3.22</v>
      </c>
      <c r="BP1212" s="6" t="n">
        <f aca="false">IF(R1212="-","",IFERROR(VALUE(F1212),""))</f>
        <v>148.07</v>
      </c>
      <c r="BQ1212" s="4" t="n">
        <f aca="false">IF(R1212="-",1,0)</f>
        <v>0</v>
      </c>
    </row>
    <row r="1213" customFormat="false" ht="15" hidden="false" customHeight="false" outlineLevel="0" collapsed="false">
      <c r="A1213" s="0" t="s">
        <v>4655</v>
      </c>
      <c r="B1213" s="0" t="s">
        <v>4656</v>
      </c>
      <c r="C1213" s="0" t="s">
        <v>70</v>
      </c>
      <c r="D1213" s="0" t="s">
        <v>4661</v>
      </c>
      <c r="E1213" s="3" t="n">
        <v>46276</v>
      </c>
      <c r="F1213" s="4" t="s">
        <v>4664</v>
      </c>
      <c r="G1213" s="5" t="n">
        <v>0.572928240740741</v>
      </c>
      <c r="H1213" s="5" t="n">
        <v>0.566319444444445</v>
      </c>
      <c r="I1213" s="5" t="n">
        <v>0.000949074074074074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2</v>
      </c>
      <c r="O1213" s="5" t="n">
        <v>0</v>
      </c>
      <c r="P1213" s="5" t="n">
        <v>0.0939930555555556</v>
      </c>
      <c r="Q1213" s="4" t="s">
        <v>4665</v>
      </c>
      <c r="R1213" s="4" t="s">
        <v>1947</v>
      </c>
      <c r="S1213" s="5" t="n">
        <v>0.000231481481481482</v>
      </c>
      <c r="T1213" s="5" t="n">
        <v>0.181481481481482</v>
      </c>
      <c r="U1213" s="5" t="n">
        <v>0.165162037037037</v>
      </c>
      <c r="V1213" s="5" t="n">
        <v>0.0219212962962963</v>
      </c>
      <c r="W1213" s="5" t="n">
        <v>0.000289351851851852</v>
      </c>
      <c r="X1213" s="5" t="n">
        <v>0</v>
      </c>
      <c r="Y1213" s="5" t="n">
        <v>5.78703703703704E-005</v>
      </c>
      <c r="Z1213" s="0" t="n">
        <v>0</v>
      </c>
      <c r="AA1213" s="0" t="n">
        <v>0</v>
      </c>
      <c r="AB1213" s="0" t="n">
        <v>0</v>
      </c>
      <c r="AC1213" s="4" t="s">
        <v>4220</v>
      </c>
      <c r="AD1213" s="4" t="s">
        <v>828</v>
      </c>
      <c r="AE1213" s="4" t="s">
        <v>4663</v>
      </c>
      <c r="AF1213" s="4" t="s">
        <v>4666</v>
      </c>
      <c r="AG1213" s="5" t="n">
        <v>0.248773148148148</v>
      </c>
      <c r="AH1213" s="5" t="n">
        <v>0.337303240740741</v>
      </c>
      <c r="AI1213" s="5" t="n">
        <v>0</v>
      </c>
      <c r="AJ1213" s="5" t="n">
        <v>0</v>
      </c>
      <c r="AK1213" s="5" t="n">
        <v>0</v>
      </c>
      <c r="AL1213" s="5" t="n">
        <v>0</v>
      </c>
      <c r="AM1213" s="4" t="s">
        <v>78</v>
      </c>
      <c r="AN1213" s="0" t="n">
        <v>0</v>
      </c>
      <c r="AO1213" s="0" t="n">
        <v>0</v>
      </c>
      <c r="AP1213" s="0" t="n">
        <v>0</v>
      </c>
      <c r="AQ1213" s="0" t="n">
        <v>0</v>
      </c>
      <c r="AR1213" s="0" t="n">
        <v>0</v>
      </c>
      <c r="AS1213" s="0" t="n">
        <v>0</v>
      </c>
      <c r="AT1213" s="0" t="n">
        <v>0</v>
      </c>
      <c r="AU1213" s="0" t="n">
        <v>0</v>
      </c>
      <c r="AV1213" s="0" t="n">
        <v>0</v>
      </c>
      <c r="AW1213" s="0" t="n">
        <v>0</v>
      </c>
      <c r="AX1213" s="0" t="n">
        <v>0</v>
      </c>
      <c r="AY1213" s="0" t="n">
        <v>0</v>
      </c>
      <c r="AZ1213" s="0" t="n">
        <v>0</v>
      </c>
      <c r="BA1213" s="0" t="n">
        <v>0</v>
      </c>
      <c r="BB1213" s="0" t="n">
        <v>0</v>
      </c>
      <c r="BC1213" s="0" t="n">
        <v>0</v>
      </c>
      <c r="BD1213" s="0" t="n">
        <v>0</v>
      </c>
      <c r="BE1213" s="0" t="n">
        <v>0</v>
      </c>
      <c r="BF1213" s="0" t="n">
        <v>0</v>
      </c>
      <c r="BG1213" s="0" t="n">
        <v>0</v>
      </c>
      <c r="BH1213" s="0" t="n">
        <v>0</v>
      </c>
      <c r="BI1213" s="0" t="n">
        <v>0</v>
      </c>
      <c r="BJ1213" s="0" t="n">
        <v>0</v>
      </c>
      <c r="BK1213" s="0" t="n">
        <v>0</v>
      </c>
      <c r="BM1213" s="6" t="n">
        <f aca="false">IFERROR(VALUE(F1213),"")</f>
        <v>236.28</v>
      </c>
      <c r="BN1213" s="6" t="n">
        <f aca="false">IF(R1213="-","",IFERROR(VALUE(LEFT(Q1213,LEN(Q1213)-2)),""))</f>
        <v>104</v>
      </c>
      <c r="BO1213" s="6" t="n">
        <f aca="false">IF(R1213="-","",IFERROR(VALUE(LEFT(R1213,LEN(R1213)-5)),""))</f>
        <v>2.27</v>
      </c>
      <c r="BP1213" s="6" t="n">
        <f aca="false">IF(R1213="-","",IFERROR(VALUE(F1213),""))</f>
        <v>236.28</v>
      </c>
      <c r="BQ1213" s="4" t="n">
        <f aca="false">IF(R1213="-",1,0)</f>
        <v>0</v>
      </c>
    </row>
    <row r="1214" customFormat="false" ht="15" hidden="false" customHeight="false" outlineLevel="0" collapsed="false">
      <c r="A1214" s="0" t="s">
        <v>4655</v>
      </c>
      <c r="B1214" s="0" t="s">
        <v>4656</v>
      </c>
      <c r="C1214" s="0" t="s">
        <v>70</v>
      </c>
      <c r="D1214" s="0" t="s">
        <v>4661</v>
      </c>
      <c r="E1214" s="3" t="n">
        <v>46277</v>
      </c>
      <c r="F1214" s="4" t="s">
        <v>4667</v>
      </c>
      <c r="G1214" s="5" t="n">
        <v>0.287997685185185</v>
      </c>
      <c r="H1214" s="5" t="n">
        <v>0.261099537037037</v>
      </c>
      <c r="I1214" s="5" t="n">
        <v>0.00203703703703704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2</v>
      </c>
      <c r="O1214" s="5" t="n">
        <v>0</v>
      </c>
      <c r="P1214" s="5" t="n">
        <v>0.0159953703703704</v>
      </c>
      <c r="Q1214" s="4" t="s">
        <v>1312</v>
      </c>
      <c r="R1214" s="4" t="s">
        <v>1489</v>
      </c>
      <c r="S1214" s="5" t="n">
        <v>0.000115740740740741</v>
      </c>
      <c r="T1214" s="5" t="n">
        <v>0.0929398148148148</v>
      </c>
      <c r="U1214" s="5" t="n">
        <v>0.166435185185185</v>
      </c>
      <c r="V1214" s="5" t="n">
        <v>0.0105324074074074</v>
      </c>
      <c r="W1214" s="5" t="n">
        <v>0</v>
      </c>
      <c r="X1214" s="5" t="n">
        <v>0</v>
      </c>
      <c r="Y1214" s="5" t="n">
        <v>0</v>
      </c>
      <c r="Z1214" s="0" t="n">
        <v>0</v>
      </c>
      <c r="AA1214" s="0" t="n">
        <v>0</v>
      </c>
      <c r="AB1214" s="0" t="n">
        <v>0</v>
      </c>
      <c r="AC1214" s="4" t="s">
        <v>828</v>
      </c>
      <c r="AD1214" s="4" t="s">
        <v>2024</v>
      </c>
      <c r="AE1214" s="4" t="s">
        <v>4668</v>
      </c>
      <c r="AF1214" s="4" t="s">
        <v>4669</v>
      </c>
      <c r="AG1214" s="5" t="n">
        <v>0.226469907407407</v>
      </c>
      <c r="AH1214" s="5" t="n">
        <v>0.102384259259259</v>
      </c>
      <c r="AI1214" s="5" t="n">
        <v>0</v>
      </c>
      <c r="AJ1214" s="5" t="n">
        <v>0</v>
      </c>
      <c r="AK1214" s="5" t="n">
        <v>0</v>
      </c>
      <c r="AL1214" s="5" t="n">
        <v>0</v>
      </c>
      <c r="AM1214" s="4" t="s">
        <v>78</v>
      </c>
      <c r="AN1214" s="0" t="n">
        <v>0</v>
      </c>
      <c r="AO1214" s="0" t="n">
        <v>0</v>
      </c>
      <c r="AP1214" s="0" t="n">
        <v>0</v>
      </c>
      <c r="AQ1214" s="0" t="n">
        <v>0</v>
      </c>
      <c r="AR1214" s="0" t="n">
        <v>0</v>
      </c>
      <c r="AS1214" s="0" t="n">
        <v>0</v>
      </c>
      <c r="AT1214" s="0" t="n">
        <v>0</v>
      </c>
      <c r="AU1214" s="0" t="n">
        <v>0</v>
      </c>
      <c r="AV1214" s="0" t="n">
        <v>0</v>
      </c>
      <c r="AW1214" s="0" t="n">
        <v>0</v>
      </c>
      <c r="AX1214" s="0" t="n">
        <v>0</v>
      </c>
      <c r="AY1214" s="0" t="n">
        <v>0</v>
      </c>
      <c r="AZ1214" s="0" t="n">
        <v>0</v>
      </c>
      <c r="BA1214" s="0" t="n">
        <v>0</v>
      </c>
      <c r="BB1214" s="0" t="n">
        <v>0</v>
      </c>
      <c r="BC1214" s="0" t="n">
        <v>0</v>
      </c>
      <c r="BD1214" s="0" t="n">
        <v>0</v>
      </c>
      <c r="BE1214" s="0" t="n">
        <v>0</v>
      </c>
      <c r="BF1214" s="0" t="n">
        <v>0</v>
      </c>
      <c r="BG1214" s="0" t="n">
        <v>0</v>
      </c>
      <c r="BH1214" s="0" t="n">
        <v>0</v>
      </c>
      <c r="BI1214" s="0" t="n">
        <v>0</v>
      </c>
      <c r="BJ1214" s="0" t="n">
        <v>0</v>
      </c>
      <c r="BK1214" s="0" t="n">
        <v>0</v>
      </c>
      <c r="BM1214" s="6" t="n">
        <f aca="false">IFERROR(VALUE(F1214),"")</f>
        <v>292.64</v>
      </c>
      <c r="BN1214" s="6" t="n">
        <f aca="false">IF(R1214="-","",IFERROR(VALUE(LEFT(Q1214,LEN(Q1214)-2)),""))</f>
        <v>85.5</v>
      </c>
      <c r="BO1214" s="6" t="n">
        <f aca="false">IF(R1214="-","",IFERROR(VALUE(LEFT(R1214,LEN(R1214)-5)),""))</f>
        <v>3.42</v>
      </c>
      <c r="BP1214" s="6" t="n">
        <f aca="false">IF(R1214="-","",IFERROR(VALUE(F1214),""))</f>
        <v>292.64</v>
      </c>
      <c r="BQ1214" s="4" t="n">
        <f aca="false">IF(R1214="-",1,0)</f>
        <v>0</v>
      </c>
    </row>
    <row r="1215" customFormat="false" ht="15" hidden="false" customHeight="false" outlineLevel="0" collapsed="false">
      <c r="A1215" s="0" t="s">
        <v>4655</v>
      </c>
      <c r="B1215" s="0" t="s">
        <v>4656</v>
      </c>
      <c r="C1215" s="0" t="s">
        <v>70</v>
      </c>
      <c r="D1215" s="0" t="s">
        <v>4670</v>
      </c>
      <c r="E1215" s="3" t="n">
        <v>46279</v>
      </c>
      <c r="F1215" s="4" t="s">
        <v>4671</v>
      </c>
      <c r="G1215" s="5" t="n">
        <v>0.265416666666667</v>
      </c>
      <c r="H1215" s="5" t="n">
        <v>0.0300578703703704</v>
      </c>
      <c r="I1215" s="5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2</v>
      </c>
      <c r="O1215" s="5" t="n">
        <v>0</v>
      </c>
      <c r="P1215" s="5" t="n">
        <v>0.0210648148148148</v>
      </c>
      <c r="Q1215" s="4" t="s">
        <v>2053</v>
      </c>
      <c r="R1215" s="4" t="s">
        <v>125</v>
      </c>
      <c r="S1215" s="5" t="n">
        <v>0.000231481481481482</v>
      </c>
      <c r="T1215" s="5" t="n">
        <v>0.0978009259259259</v>
      </c>
      <c r="U1215" s="5" t="n">
        <v>0.100115740740741</v>
      </c>
      <c r="V1215" s="5" t="n">
        <v>0.00752314814814815</v>
      </c>
      <c r="W1215" s="5" t="n">
        <v>0</v>
      </c>
      <c r="X1215" s="5" t="n">
        <v>0</v>
      </c>
      <c r="Y1215" s="5" t="n">
        <v>0</v>
      </c>
      <c r="Z1215" s="0" t="n">
        <v>0</v>
      </c>
      <c r="AA1215" s="0" t="n">
        <v>0</v>
      </c>
      <c r="AB1215" s="0" t="n">
        <v>0</v>
      </c>
      <c r="AC1215" s="4" t="s">
        <v>2024</v>
      </c>
      <c r="AD1215" s="4" t="s">
        <v>2024</v>
      </c>
      <c r="AE1215" s="4" t="s">
        <v>4669</v>
      </c>
      <c r="AF1215" s="4" t="s">
        <v>4672</v>
      </c>
      <c r="AG1215" s="5" t="n">
        <v>0.158148148148148</v>
      </c>
      <c r="AH1215" s="5" t="n">
        <v>0.166481481481482</v>
      </c>
      <c r="AI1215" s="5" t="n">
        <v>0</v>
      </c>
      <c r="AJ1215" s="5" t="n">
        <v>0</v>
      </c>
      <c r="AK1215" s="5" t="n">
        <v>0</v>
      </c>
      <c r="AL1215" s="5" t="n">
        <v>0</v>
      </c>
      <c r="AM1215" s="4" t="s">
        <v>78</v>
      </c>
      <c r="AN1215" s="0" t="n">
        <v>0</v>
      </c>
      <c r="AO1215" s="0" t="n">
        <v>0</v>
      </c>
      <c r="AP1215" s="0" t="n">
        <v>0</v>
      </c>
      <c r="AQ1215" s="0" t="n">
        <v>0</v>
      </c>
      <c r="AR1215" s="0" t="n">
        <v>0</v>
      </c>
      <c r="AS1215" s="0" t="n">
        <v>0</v>
      </c>
      <c r="AT1215" s="0" t="n">
        <v>0</v>
      </c>
      <c r="AU1215" s="0" t="n">
        <v>0</v>
      </c>
      <c r="AV1215" s="0" t="n">
        <v>0</v>
      </c>
      <c r="AW1215" s="0" t="n">
        <v>0</v>
      </c>
      <c r="AX1215" s="0" t="n">
        <v>0</v>
      </c>
      <c r="AY1215" s="0" t="n">
        <v>0</v>
      </c>
      <c r="AZ1215" s="0" t="n">
        <v>0</v>
      </c>
      <c r="BA1215" s="0" t="n">
        <v>0</v>
      </c>
      <c r="BB1215" s="0" t="n">
        <v>0</v>
      </c>
      <c r="BC1215" s="0" t="n">
        <v>0</v>
      </c>
      <c r="BD1215" s="0" t="n">
        <v>0</v>
      </c>
      <c r="BE1215" s="0" t="n">
        <v>0</v>
      </c>
      <c r="BF1215" s="0" t="n">
        <v>0</v>
      </c>
      <c r="BG1215" s="0" t="n">
        <v>0</v>
      </c>
      <c r="BH1215" s="0" t="n">
        <v>0</v>
      </c>
      <c r="BI1215" s="0" t="n">
        <v>0</v>
      </c>
      <c r="BJ1215" s="0" t="n">
        <v>0</v>
      </c>
      <c r="BK1215" s="0" t="n">
        <v>0</v>
      </c>
      <c r="BM1215" s="6" t="n">
        <f aca="false">IFERROR(VALUE(F1215),"")</f>
        <v>133.12</v>
      </c>
      <c r="BN1215" s="6" t="n">
        <f aca="false">IF(R1215="-","",IFERROR(VALUE(LEFT(Q1215,LEN(Q1215)-2)),""))</f>
        <v>52</v>
      </c>
      <c r="BO1215" s="6" t="n">
        <f aca="false">IF(R1215="-","",IFERROR(VALUE(LEFT(R1215,LEN(R1215)-5)),""))</f>
        <v>2.56</v>
      </c>
      <c r="BP1215" s="6" t="n">
        <f aca="false">IF(R1215="-","",IFERROR(VALUE(F1215),""))</f>
        <v>133.12</v>
      </c>
      <c r="BQ1215" s="4" t="n">
        <f aca="false">IF(R1215="-",1,0)</f>
        <v>0</v>
      </c>
    </row>
    <row r="1216" customFormat="false" ht="15" hidden="false" customHeight="false" outlineLevel="0" collapsed="false">
      <c r="A1216" s="0" t="s">
        <v>4673</v>
      </c>
      <c r="B1216" s="0" t="s">
        <v>4674</v>
      </c>
      <c r="C1216" s="0" t="s">
        <v>70</v>
      </c>
      <c r="E1216" s="3" t="n">
        <v>46273</v>
      </c>
      <c r="F1216" s="4" t="s">
        <v>4675</v>
      </c>
      <c r="G1216" s="5" t="n">
        <v>0.448912037037037</v>
      </c>
      <c r="H1216" s="5" t="n">
        <v>0</v>
      </c>
      <c r="I1216" s="5" t="n">
        <v>0.00145833333333333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5" t="n">
        <v>0</v>
      </c>
      <c r="P1216" s="5" t="n">
        <v>0</v>
      </c>
      <c r="Q1216" s="4" t="s">
        <v>4676</v>
      </c>
      <c r="R1216" s="4" t="s">
        <v>125</v>
      </c>
      <c r="S1216" s="5" t="n">
        <v>0.000694444444444445</v>
      </c>
      <c r="T1216" s="5" t="n">
        <v>0.174884259259259</v>
      </c>
      <c r="U1216" s="5" t="n">
        <v>0.199456018518519</v>
      </c>
      <c r="V1216" s="5" t="n">
        <v>0.0609490740740741</v>
      </c>
      <c r="W1216" s="5" t="n">
        <v>0.000671296296296296</v>
      </c>
      <c r="X1216" s="5" t="n">
        <v>0</v>
      </c>
      <c r="Y1216" s="5" t="n">
        <v>0.000358796296296296</v>
      </c>
      <c r="Z1216" s="0" t="n">
        <v>0</v>
      </c>
      <c r="AA1216" s="0" t="n">
        <v>0</v>
      </c>
      <c r="AB1216" s="0" t="n">
        <v>0</v>
      </c>
      <c r="AC1216" s="4" t="s">
        <v>208</v>
      </c>
      <c r="AD1216" s="4" t="s">
        <v>1090</v>
      </c>
      <c r="AE1216" s="4" t="s">
        <v>4677</v>
      </c>
      <c r="AF1216" s="4" t="s">
        <v>4678</v>
      </c>
      <c r="AG1216" s="5" t="n">
        <v>0.411203703703704</v>
      </c>
      <c r="AH1216" s="5" t="n">
        <v>0.117314814814815</v>
      </c>
      <c r="AI1216" s="5" t="n">
        <v>0</v>
      </c>
      <c r="AJ1216" s="5" t="n">
        <v>0</v>
      </c>
      <c r="AK1216" s="5" t="n">
        <v>0</v>
      </c>
      <c r="AL1216" s="5" t="n">
        <v>0</v>
      </c>
      <c r="AM1216" s="4" t="s">
        <v>78</v>
      </c>
      <c r="AN1216" s="0" t="n">
        <v>0</v>
      </c>
      <c r="AO1216" s="0" t="n">
        <v>0</v>
      </c>
      <c r="AP1216" s="0" t="n">
        <v>0</v>
      </c>
      <c r="AQ1216" s="0" t="n">
        <v>0</v>
      </c>
      <c r="AR1216" s="0" t="n">
        <v>0</v>
      </c>
      <c r="AS1216" s="0" t="n">
        <v>0</v>
      </c>
      <c r="AT1216" s="0" t="n">
        <v>0</v>
      </c>
      <c r="AU1216" s="0" t="n">
        <v>0</v>
      </c>
      <c r="AV1216" s="0" t="n">
        <v>0</v>
      </c>
      <c r="AW1216" s="0" t="n">
        <v>0</v>
      </c>
      <c r="AX1216" s="0" t="n">
        <v>0</v>
      </c>
      <c r="AY1216" s="0" t="n">
        <v>0</v>
      </c>
      <c r="AZ1216" s="0" t="n">
        <v>0</v>
      </c>
      <c r="BA1216" s="0" t="n">
        <v>0</v>
      </c>
      <c r="BB1216" s="0" t="n">
        <v>0</v>
      </c>
      <c r="BC1216" s="0" t="n">
        <v>0</v>
      </c>
      <c r="BD1216" s="0" t="n">
        <v>0</v>
      </c>
      <c r="BE1216" s="0" t="n">
        <v>0</v>
      </c>
      <c r="BF1216" s="0" t="n">
        <v>0</v>
      </c>
      <c r="BG1216" s="0" t="n">
        <v>0</v>
      </c>
      <c r="BH1216" s="0" t="n">
        <v>0</v>
      </c>
      <c r="BI1216" s="0" t="n">
        <v>0</v>
      </c>
      <c r="BJ1216" s="0" t="n">
        <v>0</v>
      </c>
      <c r="BK1216" s="0" t="n">
        <v>0</v>
      </c>
      <c r="BM1216" s="6" t="n">
        <f aca="false">IFERROR(VALUE(F1216),"")</f>
        <v>304.69</v>
      </c>
      <c r="BN1216" s="6" t="n">
        <f aca="false">IF(R1216="-","",IFERROR(VALUE(LEFT(Q1216,LEN(Q1216)-2)),""))</f>
        <v>118.82</v>
      </c>
      <c r="BO1216" s="6" t="n">
        <f aca="false">IF(R1216="-","",IFERROR(VALUE(LEFT(R1216,LEN(R1216)-5)),""))</f>
        <v>2.56</v>
      </c>
      <c r="BP1216" s="6" t="n">
        <f aca="false">IF(R1216="-","",IFERROR(VALUE(F1216),""))</f>
        <v>304.69</v>
      </c>
      <c r="BQ1216" s="4" t="n">
        <f aca="false">IF(R1216="-",1,0)</f>
        <v>0</v>
      </c>
    </row>
    <row r="1217" customFormat="false" ht="15" hidden="false" customHeight="false" outlineLevel="0" collapsed="false">
      <c r="A1217" s="0" t="s">
        <v>4673</v>
      </c>
      <c r="B1217" s="0" t="s">
        <v>4674</v>
      </c>
      <c r="C1217" s="0" t="s">
        <v>70</v>
      </c>
      <c r="E1217" s="3" t="n">
        <v>46274</v>
      </c>
      <c r="F1217" s="4" t="s">
        <v>4679</v>
      </c>
      <c r="G1217" s="5" t="n">
        <v>0.416168981481482</v>
      </c>
      <c r="H1217" s="5" t="n">
        <v>0</v>
      </c>
      <c r="I1217" s="5" t="n">
        <v>0.00228009259259259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5" t="n">
        <v>0</v>
      </c>
      <c r="P1217" s="5" t="n">
        <v>0</v>
      </c>
      <c r="Q1217" s="4" t="s">
        <v>4680</v>
      </c>
      <c r="R1217" s="4" t="s">
        <v>2146</v>
      </c>
      <c r="S1217" s="5" t="n">
        <v>0.000115740740740741</v>
      </c>
      <c r="T1217" s="5" t="n">
        <v>0.172916666666667</v>
      </c>
      <c r="U1217" s="5" t="n">
        <v>0.182523148148148</v>
      </c>
      <c r="V1217" s="5" t="n">
        <v>0.0560532407407407</v>
      </c>
      <c r="W1217" s="5" t="n">
        <v>0.00037037037037037</v>
      </c>
      <c r="X1217" s="5" t="n">
        <v>0</v>
      </c>
      <c r="Y1217" s="5" t="n">
        <v>0.00025462962962963</v>
      </c>
      <c r="Z1217" s="0" t="n">
        <v>0</v>
      </c>
      <c r="AA1217" s="0" t="n">
        <v>0</v>
      </c>
      <c r="AB1217" s="0" t="n">
        <v>0</v>
      </c>
      <c r="AC1217" s="4" t="s">
        <v>1090</v>
      </c>
      <c r="AD1217" s="4" t="s">
        <v>208</v>
      </c>
      <c r="AE1217" s="4" t="s">
        <v>4681</v>
      </c>
      <c r="AF1217" s="4" t="s">
        <v>4682</v>
      </c>
      <c r="AG1217" s="5" t="n">
        <v>0.383368055555556</v>
      </c>
      <c r="AH1217" s="5" t="n">
        <v>0.148668981481482</v>
      </c>
      <c r="AI1217" s="5" t="n">
        <v>0</v>
      </c>
      <c r="AJ1217" s="5" t="n">
        <v>0</v>
      </c>
      <c r="AK1217" s="5" t="n">
        <v>0</v>
      </c>
      <c r="AL1217" s="5" t="n">
        <v>0</v>
      </c>
      <c r="AM1217" s="4" t="s">
        <v>78</v>
      </c>
      <c r="AN1217" s="0" t="n">
        <v>0</v>
      </c>
      <c r="AO1217" s="0" t="n">
        <v>0</v>
      </c>
      <c r="AP1217" s="0" t="n">
        <v>0</v>
      </c>
      <c r="AQ1217" s="0" t="n">
        <v>0</v>
      </c>
      <c r="AR1217" s="0" t="n">
        <v>0</v>
      </c>
      <c r="AS1217" s="0" t="n">
        <v>0</v>
      </c>
      <c r="AT1217" s="0" t="n">
        <v>0</v>
      </c>
      <c r="AU1217" s="0" t="n">
        <v>0</v>
      </c>
      <c r="AV1217" s="0" t="n">
        <v>0</v>
      </c>
      <c r="AW1217" s="0" t="n">
        <v>0</v>
      </c>
      <c r="AX1217" s="0" t="n">
        <v>0</v>
      </c>
      <c r="AY1217" s="0" t="n">
        <v>0</v>
      </c>
      <c r="AZ1217" s="0" t="n">
        <v>0</v>
      </c>
      <c r="BA1217" s="0" t="n">
        <v>0</v>
      </c>
      <c r="BB1217" s="0" t="n">
        <v>0</v>
      </c>
      <c r="BC1217" s="0" t="n">
        <v>0</v>
      </c>
      <c r="BD1217" s="0" t="n">
        <v>0</v>
      </c>
      <c r="BE1217" s="0" t="n">
        <v>0</v>
      </c>
      <c r="BF1217" s="0" t="n">
        <v>0</v>
      </c>
      <c r="BG1217" s="0" t="n">
        <v>0</v>
      </c>
      <c r="BH1217" s="0" t="n">
        <v>0</v>
      </c>
      <c r="BI1217" s="0" t="n">
        <v>0</v>
      </c>
      <c r="BJ1217" s="0" t="n">
        <v>0</v>
      </c>
      <c r="BK1217" s="0" t="n">
        <v>0</v>
      </c>
      <c r="BM1217" s="6" t="n">
        <f aca="false">IFERROR(VALUE(F1217),"")</f>
        <v>268.67</v>
      </c>
      <c r="BN1217" s="6" t="n">
        <f aca="false">IF(R1217="-","",IFERROR(VALUE(LEFT(Q1217,LEN(Q1217)-2)),""))</f>
        <v>106.24</v>
      </c>
      <c r="BO1217" s="6" t="n">
        <f aca="false">IF(R1217="-","",IFERROR(VALUE(LEFT(R1217,LEN(R1217)-5)),""))</f>
        <v>2.53</v>
      </c>
      <c r="BP1217" s="6" t="n">
        <f aca="false">IF(R1217="-","",IFERROR(VALUE(F1217),""))</f>
        <v>268.67</v>
      </c>
      <c r="BQ1217" s="4" t="n">
        <f aca="false">IF(R1217="-",1,0)</f>
        <v>0</v>
      </c>
    </row>
    <row r="1218" customFormat="false" ht="15" hidden="false" customHeight="false" outlineLevel="0" collapsed="false">
      <c r="A1218" s="0" t="s">
        <v>4673</v>
      </c>
      <c r="B1218" s="0" t="s">
        <v>4674</v>
      </c>
      <c r="C1218" s="0" t="s">
        <v>70</v>
      </c>
      <c r="E1218" s="3" t="n">
        <v>46275</v>
      </c>
      <c r="F1218" s="4" t="s">
        <v>4683</v>
      </c>
      <c r="G1218" s="5" t="n">
        <v>0.475405092592593</v>
      </c>
      <c r="H1218" s="5" t="n">
        <v>0</v>
      </c>
      <c r="I1218" s="5" t="n">
        <v>9.25925925925926E-005</v>
      </c>
      <c r="J1218" s="0" t="n">
        <v>0</v>
      </c>
      <c r="K1218" s="0" t="n">
        <v>1</v>
      </c>
      <c r="L1218" s="0" t="n">
        <v>0</v>
      </c>
      <c r="M1218" s="0" t="n">
        <v>0</v>
      </c>
      <c r="N1218" s="0" t="n">
        <v>0</v>
      </c>
      <c r="O1218" s="5" t="n">
        <v>0</v>
      </c>
      <c r="P1218" s="5" t="n">
        <v>0.00702546296296296</v>
      </c>
      <c r="Q1218" s="4" t="s">
        <v>4684</v>
      </c>
      <c r="R1218" s="4" t="s">
        <v>1561</v>
      </c>
      <c r="S1218" s="5" t="n">
        <v>0.000231481481481482</v>
      </c>
      <c r="T1218" s="5" t="n">
        <v>0.207523148148148</v>
      </c>
      <c r="U1218" s="5" t="n">
        <v>0.216435185185185</v>
      </c>
      <c r="V1218" s="5" t="n">
        <v>0.0354166666666667</v>
      </c>
      <c r="W1218" s="5" t="n">
        <v>0</v>
      </c>
      <c r="X1218" s="5" t="n">
        <v>0</v>
      </c>
      <c r="Y1218" s="5" t="n">
        <v>0</v>
      </c>
      <c r="Z1218" s="0" t="n">
        <v>0</v>
      </c>
      <c r="AA1218" s="0" t="n">
        <v>0</v>
      </c>
      <c r="AB1218" s="0" t="n">
        <v>0</v>
      </c>
      <c r="AC1218" s="4" t="s">
        <v>208</v>
      </c>
      <c r="AD1218" s="4" t="s">
        <v>1090</v>
      </c>
      <c r="AE1218" s="4" t="s">
        <v>4682</v>
      </c>
      <c r="AF1218" s="4" t="s">
        <v>4685</v>
      </c>
      <c r="AG1218" s="5" t="n">
        <v>0.420104166666667</v>
      </c>
      <c r="AH1218" s="5" t="n">
        <v>0.156469907407407</v>
      </c>
      <c r="AI1218" s="5" t="n">
        <v>0</v>
      </c>
      <c r="AJ1218" s="5" t="n">
        <v>0</v>
      </c>
      <c r="AK1218" s="5" t="n">
        <v>0</v>
      </c>
      <c r="AL1218" s="5" t="n">
        <v>0</v>
      </c>
      <c r="AM1218" s="4" t="s">
        <v>78</v>
      </c>
      <c r="AN1218" s="0" t="n">
        <v>0</v>
      </c>
      <c r="AO1218" s="0" t="n">
        <v>0</v>
      </c>
      <c r="AP1218" s="0" t="n">
        <v>0</v>
      </c>
      <c r="AQ1218" s="0" t="n">
        <v>0</v>
      </c>
      <c r="AR1218" s="0" t="n">
        <v>0</v>
      </c>
      <c r="AS1218" s="0" t="n">
        <v>0</v>
      </c>
      <c r="AT1218" s="0" t="n">
        <v>0</v>
      </c>
      <c r="AU1218" s="0" t="n">
        <v>0</v>
      </c>
      <c r="AV1218" s="0" t="n">
        <v>0</v>
      </c>
      <c r="AW1218" s="0" t="n">
        <v>0</v>
      </c>
      <c r="AX1218" s="0" t="n">
        <v>0</v>
      </c>
      <c r="AY1218" s="0" t="n">
        <v>0</v>
      </c>
      <c r="AZ1218" s="0" t="n">
        <v>0</v>
      </c>
      <c r="BA1218" s="0" t="n">
        <v>0</v>
      </c>
      <c r="BB1218" s="0" t="n">
        <v>1</v>
      </c>
      <c r="BC1218" s="0" t="n">
        <v>0</v>
      </c>
      <c r="BD1218" s="0" t="n">
        <v>0</v>
      </c>
      <c r="BE1218" s="0" t="n">
        <v>0</v>
      </c>
      <c r="BF1218" s="0" t="n">
        <v>0</v>
      </c>
      <c r="BG1218" s="0" t="n">
        <v>0</v>
      </c>
      <c r="BH1218" s="0" t="n">
        <v>0</v>
      </c>
      <c r="BI1218" s="0" t="n">
        <v>0</v>
      </c>
      <c r="BJ1218" s="0" t="n">
        <v>0</v>
      </c>
      <c r="BK1218" s="0" t="n">
        <v>0</v>
      </c>
      <c r="BM1218" s="6" t="n">
        <f aca="false">IFERROR(VALUE(F1218),"")</f>
        <v>302.9</v>
      </c>
      <c r="BN1218" s="6" t="n">
        <f aca="false">IF(R1218="-","",IFERROR(VALUE(LEFT(Q1218,LEN(Q1218)-2)),""))</f>
        <v>120.32</v>
      </c>
      <c r="BO1218" s="6" t="n">
        <f aca="false">IF(R1218="-","",IFERROR(VALUE(LEFT(R1218,LEN(R1218)-5)),""))</f>
        <v>2.52</v>
      </c>
      <c r="BP1218" s="6" t="n">
        <f aca="false">IF(R1218="-","",IFERROR(VALUE(F1218),""))</f>
        <v>302.9</v>
      </c>
      <c r="BQ1218" s="4" t="n">
        <f aca="false">IF(R1218="-",1,0)</f>
        <v>0</v>
      </c>
    </row>
    <row r="1219" customFormat="false" ht="15" hidden="false" customHeight="false" outlineLevel="0" collapsed="false">
      <c r="A1219" s="0" t="s">
        <v>4673</v>
      </c>
      <c r="B1219" s="0" t="s">
        <v>4674</v>
      </c>
      <c r="C1219" s="0" t="s">
        <v>70</v>
      </c>
      <c r="E1219" s="3" t="n">
        <v>46276</v>
      </c>
      <c r="F1219" s="4" t="s">
        <v>4686</v>
      </c>
      <c r="G1219" s="5" t="n">
        <v>0.490208333333333</v>
      </c>
      <c r="H1219" s="5" t="n">
        <v>0</v>
      </c>
      <c r="I1219" s="5" t="n">
        <v>0.00259259259259259</v>
      </c>
      <c r="J1219" s="0" t="n">
        <v>0</v>
      </c>
      <c r="K1219" s="0" t="n">
        <v>1</v>
      </c>
      <c r="L1219" s="0" t="n">
        <v>0</v>
      </c>
      <c r="M1219" s="0" t="n">
        <v>0</v>
      </c>
      <c r="N1219" s="0" t="n">
        <v>0</v>
      </c>
      <c r="O1219" s="5" t="n">
        <v>0</v>
      </c>
      <c r="P1219" s="5" t="n">
        <v>0</v>
      </c>
      <c r="Q1219" s="4" t="s">
        <v>4687</v>
      </c>
      <c r="R1219" s="4" t="s">
        <v>2146</v>
      </c>
      <c r="S1219" s="5" t="n">
        <v>0.000115740740740741</v>
      </c>
      <c r="T1219" s="5" t="n">
        <v>0.190162037037037</v>
      </c>
      <c r="U1219" s="5" t="n">
        <v>0.221446759259259</v>
      </c>
      <c r="V1219" s="5" t="n">
        <v>0.0589236111111111</v>
      </c>
      <c r="W1219" s="5" t="n">
        <v>0.000185185185185185</v>
      </c>
      <c r="X1219" s="5" t="n">
        <v>0</v>
      </c>
      <c r="Y1219" s="5" t="n">
        <v>6.94444444444444E-005</v>
      </c>
      <c r="Z1219" s="0" t="n">
        <v>0</v>
      </c>
      <c r="AA1219" s="0" t="n">
        <v>0</v>
      </c>
      <c r="AB1219" s="0" t="n">
        <v>0</v>
      </c>
      <c r="AC1219" s="4" t="s">
        <v>1090</v>
      </c>
      <c r="AD1219" s="4" t="s">
        <v>1090</v>
      </c>
      <c r="AE1219" s="4" t="s">
        <v>4688</v>
      </c>
      <c r="AF1219" s="4" t="s">
        <v>4689</v>
      </c>
      <c r="AG1219" s="5" t="n">
        <v>0.438645833333333</v>
      </c>
      <c r="AH1219" s="5" t="n">
        <v>0.165578703703704</v>
      </c>
      <c r="AI1219" s="5" t="n">
        <v>0</v>
      </c>
      <c r="AJ1219" s="5" t="n">
        <v>0</v>
      </c>
      <c r="AK1219" s="5" t="n">
        <v>0</v>
      </c>
      <c r="AL1219" s="5" t="n">
        <v>0</v>
      </c>
      <c r="AM1219" s="4" t="s">
        <v>78</v>
      </c>
      <c r="AN1219" s="0" t="n">
        <v>0</v>
      </c>
      <c r="AO1219" s="0" t="n">
        <v>0</v>
      </c>
      <c r="AP1219" s="0" t="n">
        <v>0</v>
      </c>
      <c r="AQ1219" s="0" t="n">
        <v>0</v>
      </c>
      <c r="AR1219" s="0" t="n">
        <v>0</v>
      </c>
      <c r="AS1219" s="0" t="n">
        <v>0</v>
      </c>
      <c r="AT1219" s="0" t="n">
        <v>0</v>
      </c>
      <c r="AU1219" s="0" t="n">
        <v>0</v>
      </c>
      <c r="AV1219" s="0" t="n">
        <v>0</v>
      </c>
      <c r="AW1219" s="0" t="n">
        <v>0</v>
      </c>
      <c r="AX1219" s="0" t="n">
        <v>0</v>
      </c>
      <c r="AY1219" s="0" t="n">
        <v>0</v>
      </c>
      <c r="AZ1219" s="0" t="n">
        <v>0</v>
      </c>
      <c r="BA1219" s="0" t="n">
        <v>0</v>
      </c>
      <c r="BB1219" s="0" t="n">
        <v>7</v>
      </c>
      <c r="BC1219" s="0" t="n">
        <v>0</v>
      </c>
      <c r="BD1219" s="0" t="n">
        <v>0</v>
      </c>
      <c r="BE1219" s="0" t="n">
        <v>0</v>
      </c>
      <c r="BF1219" s="0" t="n">
        <v>0</v>
      </c>
      <c r="BG1219" s="0" t="n">
        <v>0</v>
      </c>
      <c r="BH1219" s="0" t="n">
        <v>0</v>
      </c>
      <c r="BI1219" s="0" t="n">
        <v>0</v>
      </c>
      <c r="BJ1219" s="0" t="n">
        <v>0</v>
      </c>
      <c r="BK1219" s="0" t="n">
        <v>0</v>
      </c>
      <c r="BM1219" s="6" t="n">
        <f aca="false">IFERROR(VALUE(F1219),"")</f>
        <v>319.98</v>
      </c>
      <c r="BN1219" s="6" t="n">
        <f aca="false">IF(R1219="-","",IFERROR(VALUE(LEFT(Q1219,LEN(Q1219)-2)),""))</f>
        <v>126.47</v>
      </c>
      <c r="BO1219" s="6" t="n">
        <f aca="false">IF(R1219="-","",IFERROR(VALUE(LEFT(R1219,LEN(R1219)-5)),""))</f>
        <v>2.53</v>
      </c>
      <c r="BP1219" s="6" t="n">
        <f aca="false">IF(R1219="-","",IFERROR(VALUE(F1219),""))</f>
        <v>319.98</v>
      </c>
      <c r="BQ1219" s="4" t="n">
        <f aca="false">IF(R1219="-",1,0)</f>
        <v>0</v>
      </c>
    </row>
    <row r="1220" customFormat="false" ht="15" hidden="false" customHeight="false" outlineLevel="0" collapsed="false">
      <c r="A1220" s="0" t="s">
        <v>4673</v>
      </c>
      <c r="B1220" s="0" t="s">
        <v>4674</v>
      </c>
      <c r="C1220" s="0" t="s">
        <v>70</v>
      </c>
      <c r="E1220" s="3" t="n">
        <v>46277</v>
      </c>
      <c r="F1220" s="4" t="s">
        <v>4690</v>
      </c>
      <c r="G1220" s="5" t="n">
        <v>0.0824652777777778</v>
      </c>
      <c r="H1220" s="5" t="n">
        <v>0</v>
      </c>
      <c r="I1220" s="5" t="n">
        <v>6.94444444444444E-005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5" t="n">
        <v>0</v>
      </c>
      <c r="P1220" s="5" t="n">
        <v>0</v>
      </c>
      <c r="Q1220" s="4" t="s">
        <v>4691</v>
      </c>
      <c r="R1220" s="4" t="s">
        <v>1609</v>
      </c>
      <c r="S1220" s="5" t="n">
        <v>0</v>
      </c>
      <c r="T1220" s="5" t="n">
        <v>0.0277777777777778</v>
      </c>
      <c r="U1220" s="5" t="n">
        <v>0.0415509259259259</v>
      </c>
      <c r="V1220" s="5" t="n">
        <v>0.0113425925925926</v>
      </c>
      <c r="W1220" s="5" t="n">
        <v>0</v>
      </c>
      <c r="X1220" s="5" t="n">
        <v>0</v>
      </c>
      <c r="Y1220" s="5" t="n">
        <v>0</v>
      </c>
      <c r="Z1220" s="0" t="n">
        <v>0</v>
      </c>
      <c r="AA1220" s="0" t="n">
        <v>0</v>
      </c>
      <c r="AB1220" s="0" t="n">
        <v>0</v>
      </c>
      <c r="AC1220" s="4" t="s">
        <v>1090</v>
      </c>
      <c r="AD1220" s="4" t="s">
        <v>1090</v>
      </c>
      <c r="AE1220" s="4" t="s">
        <v>4692</v>
      </c>
      <c r="AF1220" s="4" t="s">
        <v>4693</v>
      </c>
      <c r="AG1220" s="5" t="n">
        <v>0.0738657407407408</v>
      </c>
      <c r="AH1220" s="5" t="n">
        <v>0.0561574074074074</v>
      </c>
      <c r="AI1220" s="5" t="n">
        <v>0</v>
      </c>
      <c r="AJ1220" s="5" t="n">
        <v>0</v>
      </c>
      <c r="AK1220" s="5" t="n">
        <v>0</v>
      </c>
      <c r="AL1220" s="5" t="n">
        <v>0</v>
      </c>
      <c r="AM1220" s="4" t="s">
        <v>78</v>
      </c>
      <c r="AN1220" s="0" t="n">
        <v>0</v>
      </c>
      <c r="AO1220" s="0" t="n">
        <v>0</v>
      </c>
      <c r="AP1220" s="0" t="n">
        <v>0</v>
      </c>
      <c r="AQ1220" s="0" t="n">
        <v>0</v>
      </c>
      <c r="AR1220" s="0" t="n">
        <v>0</v>
      </c>
      <c r="AS1220" s="0" t="n">
        <v>0</v>
      </c>
      <c r="AT1220" s="0" t="n">
        <v>0</v>
      </c>
      <c r="AU1220" s="0" t="n">
        <v>0</v>
      </c>
      <c r="AV1220" s="0" t="n">
        <v>0</v>
      </c>
      <c r="AW1220" s="0" t="n">
        <v>0</v>
      </c>
      <c r="AX1220" s="0" t="n">
        <v>0</v>
      </c>
      <c r="AY1220" s="0" t="n">
        <v>0</v>
      </c>
      <c r="AZ1220" s="0" t="n">
        <v>0</v>
      </c>
      <c r="BA1220" s="0" t="n">
        <v>0</v>
      </c>
      <c r="BB1220" s="0" t="n">
        <v>0</v>
      </c>
      <c r="BC1220" s="0" t="n">
        <v>0</v>
      </c>
      <c r="BD1220" s="0" t="n">
        <v>0</v>
      </c>
      <c r="BE1220" s="0" t="n">
        <v>0</v>
      </c>
      <c r="BF1220" s="0" t="n">
        <v>0</v>
      </c>
      <c r="BG1220" s="0" t="n">
        <v>0</v>
      </c>
      <c r="BH1220" s="0" t="n">
        <v>0</v>
      </c>
      <c r="BI1220" s="0" t="n">
        <v>0</v>
      </c>
      <c r="BJ1220" s="0" t="n">
        <v>0</v>
      </c>
      <c r="BK1220" s="0" t="n">
        <v>0</v>
      </c>
      <c r="BM1220" s="6" t="n">
        <f aca="false">IFERROR(VALUE(F1220),"")</f>
        <v>58.99</v>
      </c>
      <c r="BN1220" s="6" t="n">
        <f aca="false">IF(R1220="-","",IFERROR(VALUE(LEFT(Q1220,LEN(Q1220)-2)),""))</f>
        <v>22.53</v>
      </c>
      <c r="BO1220" s="6" t="n">
        <f aca="false">IF(R1220="-","",IFERROR(VALUE(LEFT(R1220,LEN(R1220)-5)),""))</f>
        <v>2.62</v>
      </c>
      <c r="BP1220" s="6" t="n">
        <f aca="false">IF(R1220="-","",IFERROR(VALUE(F1220),""))</f>
        <v>58.99</v>
      </c>
      <c r="BQ1220" s="4" t="n">
        <f aca="false">IF(R1220="-",1,0)</f>
        <v>0</v>
      </c>
    </row>
    <row r="1221" customFormat="false" ht="15" hidden="false" customHeight="false" outlineLevel="0" collapsed="false">
      <c r="A1221" s="0" t="s">
        <v>4673</v>
      </c>
      <c r="B1221" s="0" t="s">
        <v>4674</v>
      </c>
      <c r="C1221" s="0" t="s">
        <v>70</v>
      </c>
      <c r="E1221" s="3" t="n">
        <v>46278</v>
      </c>
      <c r="F1221" s="4" t="s">
        <v>4694</v>
      </c>
      <c r="G1221" s="5" t="n">
        <v>0.427997685185185</v>
      </c>
      <c r="H1221" s="5" t="n">
        <v>0</v>
      </c>
      <c r="I1221" s="5" t="n">
        <v>0.00230324074074074</v>
      </c>
      <c r="J1221" s="0" t="n">
        <v>0</v>
      </c>
      <c r="K1221" s="0" t="n">
        <v>1</v>
      </c>
      <c r="L1221" s="0" t="n">
        <v>0</v>
      </c>
      <c r="M1221" s="0" t="n">
        <v>0</v>
      </c>
      <c r="N1221" s="0" t="n">
        <v>0</v>
      </c>
      <c r="O1221" s="5" t="n">
        <v>0</v>
      </c>
      <c r="P1221" s="5" t="n">
        <v>0.00747685185185185</v>
      </c>
      <c r="Q1221" s="4" t="s">
        <v>4695</v>
      </c>
      <c r="R1221" s="4" t="s">
        <v>289</v>
      </c>
      <c r="S1221" s="5" t="n">
        <v>0.000231481481481482</v>
      </c>
      <c r="T1221" s="5" t="n">
        <v>0.15</v>
      </c>
      <c r="U1221" s="5" t="n">
        <v>0.202546296296296</v>
      </c>
      <c r="V1221" s="5" t="n">
        <v>0.0542013888888889</v>
      </c>
      <c r="W1221" s="5" t="n">
        <v>0.000659722222222222</v>
      </c>
      <c r="X1221" s="5" t="n">
        <v>0</v>
      </c>
      <c r="Y1221" s="5" t="n">
        <v>0.00037037037037037</v>
      </c>
      <c r="Z1221" s="0" t="n">
        <v>0</v>
      </c>
      <c r="AA1221" s="0" t="n">
        <v>0</v>
      </c>
      <c r="AB1221" s="0" t="n">
        <v>0</v>
      </c>
      <c r="AC1221" s="4" t="s">
        <v>1090</v>
      </c>
      <c r="AD1221" s="4" t="s">
        <v>208</v>
      </c>
      <c r="AE1221" s="4" t="s">
        <v>4696</v>
      </c>
      <c r="AF1221" s="4" t="s">
        <v>4697</v>
      </c>
      <c r="AG1221" s="5" t="n">
        <v>0.378460648148148</v>
      </c>
      <c r="AH1221" s="5" t="n">
        <v>0.149525462962963</v>
      </c>
      <c r="AI1221" s="5" t="n">
        <v>0</v>
      </c>
      <c r="AJ1221" s="5" t="n">
        <v>0</v>
      </c>
      <c r="AK1221" s="5" t="n">
        <v>0</v>
      </c>
      <c r="AL1221" s="5" t="n">
        <v>0</v>
      </c>
      <c r="AM1221" s="4" t="s">
        <v>78</v>
      </c>
      <c r="AN1221" s="0" t="n">
        <v>0</v>
      </c>
      <c r="AO1221" s="0" t="n">
        <v>0</v>
      </c>
      <c r="AP1221" s="0" t="n">
        <v>0</v>
      </c>
      <c r="AQ1221" s="0" t="n">
        <v>0</v>
      </c>
      <c r="AR1221" s="0" t="n">
        <v>0</v>
      </c>
      <c r="AS1221" s="0" t="n">
        <v>0</v>
      </c>
      <c r="AT1221" s="0" t="n">
        <v>0</v>
      </c>
      <c r="AU1221" s="0" t="n">
        <v>0</v>
      </c>
      <c r="AV1221" s="0" t="n">
        <v>0</v>
      </c>
      <c r="AW1221" s="0" t="n">
        <v>0</v>
      </c>
      <c r="AX1221" s="0" t="n">
        <v>0</v>
      </c>
      <c r="AY1221" s="0" t="n">
        <v>0</v>
      </c>
      <c r="AZ1221" s="0" t="n">
        <v>0</v>
      </c>
      <c r="BA1221" s="0" t="n">
        <v>0</v>
      </c>
      <c r="BB1221" s="0" t="n">
        <v>0</v>
      </c>
      <c r="BC1221" s="0" t="n">
        <v>0</v>
      </c>
      <c r="BD1221" s="0" t="n">
        <v>0</v>
      </c>
      <c r="BE1221" s="0" t="n">
        <v>0</v>
      </c>
      <c r="BF1221" s="0" t="n">
        <v>0</v>
      </c>
      <c r="BG1221" s="0" t="n">
        <v>0</v>
      </c>
      <c r="BH1221" s="0" t="n">
        <v>0</v>
      </c>
      <c r="BI1221" s="0" t="n">
        <v>0</v>
      </c>
      <c r="BJ1221" s="0" t="n">
        <v>0</v>
      </c>
      <c r="BK1221" s="0" t="n">
        <v>0</v>
      </c>
      <c r="BM1221" s="6" t="n">
        <f aca="false">IFERROR(VALUE(F1221),"")</f>
        <v>287.51</v>
      </c>
      <c r="BN1221" s="6" t="n">
        <f aca="false">IF(R1221="-","",IFERROR(VALUE(LEFT(Q1221,LEN(Q1221)-2)),""))</f>
        <v>114.96</v>
      </c>
      <c r="BO1221" s="6" t="n">
        <f aca="false">IF(R1221="-","",IFERROR(VALUE(LEFT(R1221,LEN(R1221)-5)),""))</f>
        <v>2.5</v>
      </c>
      <c r="BP1221" s="6" t="n">
        <f aca="false">IF(R1221="-","",IFERROR(VALUE(F1221),""))</f>
        <v>287.51</v>
      </c>
      <c r="BQ1221" s="4" t="n">
        <f aca="false">IF(R1221="-",1,0)</f>
        <v>0</v>
      </c>
    </row>
    <row r="1222" customFormat="false" ht="15" hidden="false" customHeight="false" outlineLevel="0" collapsed="false">
      <c r="A1222" s="0" t="s">
        <v>4673</v>
      </c>
      <c r="B1222" s="0" t="s">
        <v>4674</v>
      </c>
      <c r="C1222" s="0" t="s">
        <v>70</v>
      </c>
      <c r="E1222" s="3" t="n">
        <v>46279</v>
      </c>
      <c r="F1222" s="4" t="s">
        <v>4698</v>
      </c>
      <c r="G1222" s="5" t="n">
        <v>0.328020833333333</v>
      </c>
      <c r="H1222" s="5" t="n">
        <v>0</v>
      </c>
      <c r="I1222" s="5" t="n">
        <v>0.00113425925925926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5" t="n">
        <v>0</v>
      </c>
      <c r="P1222" s="5" t="n">
        <v>0</v>
      </c>
      <c r="Q1222" s="4" t="s">
        <v>4699</v>
      </c>
      <c r="R1222" s="4" t="s">
        <v>294</v>
      </c>
      <c r="S1222" s="5" t="n">
        <v>0.000115740740740741</v>
      </c>
      <c r="T1222" s="5" t="n">
        <v>0.131712962962963</v>
      </c>
      <c r="U1222" s="5" t="n">
        <v>0.127083333333333</v>
      </c>
      <c r="V1222" s="5" t="n">
        <v>0.0474305555555556</v>
      </c>
      <c r="W1222" s="5" t="n">
        <v>0.000497685185185185</v>
      </c>
      <c r="X1222" s="5" t="n">
        <v>0</v>
      </c>
      <c r="Y1222" s="5" t="n">
        <v>0.000266203703703704</v>
      </c>
      <c r="Z1222" s="0" t="n">
        <v>0</v>
      </c>
      <c r="AA1222" s="0" t="n">
        <v>0</v>
      </c>
      <c r="AB1222" s="0" t="n">
        <v>0</v>
      </c>
      <c r="AC1222" s="4" t="s">
        <v>208</v>
      </c>
      <c r="AD1222" s="4" t="s">
        <v>208</v>
      </c>
      <c r="AE1222" s="4" t="s">
        <v>4697</v>
      </c>
      <c r="AF1222" s="4" t="s">
        <v>4700</v>
      </c>
      <c r="AG1222" s="5" t="n">
        <v>0.284097222222222</v>
      </c>
      <c r="AH1222" s="5" t="n">
        <v>0.110405092592593</v>
      </c>
      <c r="AI1222" s="5" t="n">
        <v>0</v>
      </c>
      <c r="AJ1222" s="5" t="n">
        <v>0</v>
      </c>
      <c r="AK1222" s="5" t="n">
        <v>0</v>
      </c>
      <c r="AL1222" s="5" t="n">
        <v>0</v>
      </c>
      <c r="AM1222" s="4" t="s">
        <v>78</v>
      </c>
      <c r="AN1222" s="0" t="n">
        <v>0</v>
      </c>
      <c r="AO1222" s="0" t="n">
        <v>0</v>
      </c>
      <c r="AP1222" s="0" t="n">
        <v>0</v>
      </c>
      <c r="AQ1222" s="0" t="n">
        <v>0</v>
      </c>
      <c r="AR1222" s="0" t="n">
        <v>0</v>
      </c>
      <c r="AS1222" s="0" t="n">
        <v>0</v>
      </c>
      <c r="AT1222" s="0" t="n">
        <v>0</v>
      </c>
      <c r="AU1222" s="0" t="n">
        <v>0</v>
      </c>
      <c r="AV1222" s="0" t="n">
        <v>0</v>
      </c>
      <c r="AW1222" s="0" t="n">
        <v>0</v>
      </c>
      <c r="AX1222" s="0" t="n">
        <v>0</v>
      </c>
      <c r="AY1222" s="0" t="n">
        <v>0</v>
      </c>
      <c r="AZ1222" s="0" t="n">
        <v>0</v>
      </c>
      <c r="BA1222" s="0" t="n">
        <v>0</v>
      </c>
      <c r="BB1222" s="0" t="n">
        <v>7</v>
      </c>
      <c r="BC1222" s="0" t="n">
        <v>0</v>
      </c>
      <c r="BD1222" s="0" t="n">
        <v>0</v>
      </c>
      <c r="BE1222" s="0" t="n">
        <v>0</v>
      </c>
      <c r="BF1222" s="0" t="n">
        <v>0</v>
      </c>
      <c r="BG1222" s="0" t="n">
        <v>0</v>
      </c>
      <c r="BH1222" s="0" t="n">
        <v>0</v>
      </c>
      <c r="BI1222" s="0" t="n">
        <v>0</v>
      </c>
      <c r="BJ1222" s="0" t="n">
        <v>0</v>
      </c>
      <c r="BK1222" s="0" t="n">
        <v>0</v>
      </c>
      <c r="BM1222" s="6" t="n">
        <f aca="false">IFERROR(VALUE(F1222),"")</f>
        <v>195.63</v>
      </c>
      <c r="BN1222" s="6" t="n">
        <f aca="false">IF(R1222="-","",IFERROR(VALUE(LEFT(Q1222,LEN(Q1222)-2)),""))</f>
        <v>82.24</v>
      </c>
      <c r="BO1222" s="6" t="n">
        <f aca="false">IF(R1222="-","",IFERROR(VALUE(LEFT(R1222,LEN(R1222)-5)),""))</f>
        <v>2.38</v>
      </c>
      <c r="BP1222" s="6" t="n">
        <f aca="false">IF(R1222="-","",IFERROR(VALUE(F1222),""))</f>
        <v>195.63</v>
      </c>
      <c r="BQ1222" s="4" t="n">
        <f aca="false">IF(R1222="-",1,0)</f>
        <v>0</v>
      </c>
    </row>
    <row r="1223" customFormat="false" ht="15" hidden="false" customHeight="false" outlineLevel="0" collapsed="false">
      <c r="A1223" s="0" t="s">
        <v>4701</v>
      </c>
      <c r="B1223" s="0" t="s">
        <v>4702</v>
      </c>
      <c r="C1223" s="0" t="s">
        <v>70</v>
      </c>
      <c r="D1223" s="0" t="s">
        <v>4703</v>
      </c>
      <c r="E1223" s="3" t="n">
        <v>46273</v>
      </c>
      <c r="F1223" s="4" t="s">
        <v>4704</v>
      </c>
      <c r="G1223" s="5" t="n">
        <v>0.322199074074074</v>
      </c>
      <c r="H1223" s="5" t="n">
        <v>0.289722222222222</v>
      </c>
      <c r="I1223" s="5" t="n">
        <v>0.0003125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5" t="n">
        <v>0</v>
      </c>
      <c r="P1223" s="5" t="n">
        <v>0</v>
      </c>
      <c r="Q1223" s="4" t="s">
        <v>4705</v>
      </c>
      <c r="R1223" s="4" t="s">
        <v>4706</v>
      </c>
      <c r="S1223" s="5" t="n">
        <v>0.0135416666666667</v>
      </c>
      <c r="T1223" s="5" t="n">
        <v>0.0348842592592593</v>
      </c>
      <c r="U1223" s="5" t="n">
        <v>0.084375</v>
      </c>
      <c r="V1223" s="5" t="n">
        <v>0.0087962962962963</v>
      </c>
      <c r="W1223" s="5" t="n">
        <v>0.000196759259259259</v>
      </c>
      <c r="X1223" s="5" t="n">
        <v>0</v>
      </c>
      <c r="Y1223" s="5" t="n">
        <v>8.10185185185185E-005</v>
      </c>
      <c r="Z1223" s="0" t="n">
        <v>0</v>
      </c>
      <c r="AA1223" s="0" t="n">
        <v>0</v>
      </c>
      <c r="AB1223" s="0" t="n">
        <v>0</v>
      </c>
      <c r="AC1223" s="4" t="s">
        <v>4707</v>
      </c>
      <c r="AD1223" s="4" t="s">
        <v>1076</v>
      </c>
      <c r="AE1223" s="4" t="s">
        <v>4708</v>
      </c>
      <c r="AF1223" s="4" t="s">
        <v>4709</v>
      </c>
      <c r="AG1223" s="5" t="n">
        <v>0.257638888888889</v>
      </c>
      <c r="AH1223" s="5" t="n">
        <v>0.142719907407407</v>
      </c>
      <c r="AI1223" s="5" t="n">
        <v>0</v>
      </c>
      <c r="AJ1223" s="5" t="n">
        <v>0</v>
      </c>
      <c r="AK1223" s="5" t="n">
        <v>0</v>
      </c>
      <c r="AL1223" s="5" t="n">
        <v>0</v>
      </c>
      <c r="AM1223" s="4" t="s">
        <v>78</v>
      </c>
      <c r="AN1223" s="0" t="n">
        <v>0</v>
      </c>
      <c r="AO1223" s="0" t="n">
        <v>1</v>
      </c>
      <c r="AP1223" s="0" t="n">
        <v>0</v>
      </c>
      <c r="AQ1223" s="0" t="n">
        <v>0</v>
      </c>
      <c r="AR1223" s="0" t="n">
        <v>0</v>
      </c>
      <c r="AS1223" s="0" t="n">
        <v>0</v>
      </c>
      <c r="AT1223" s="0" t="n">
        <v>0</v>
      </c>
      <c r="AU1223" s="0" t="n">
        <v>0</v>
      </c>
      <c r="AV1223" s="0" t="n">
        <v>0</v>
      </c>
      <c r="AW1223" s="0" t="n">
        <v>0</v>
      </c>
      <c r="AX1223" s="0" t="n">
        <v>0</v>
      </c>
      <c r="AY1223" s="0" t="n">
        <v>0</v>
      </c>
      <c r="AZ1223" s="0" t="n">
        <v>0</v>
      </c>
      <c r="BA1223" s="0" t="n">
        <v>0</v>
      </c>
      <c r="BB1223" s="0" t="n">
        <v>0</v>
      </c>
      <c r="BC1223" s="0" t="n">
        <v>0</v>
      </c>
      <c r="BD1223" s="0" t="n">
        <v>0</v>
      </c>
      <c r="BE1223" s="0" t="n">
        <v>0</v>
      </c>
      <c r="BF1223" s="0" t="n">
        <v>0</v>
      </c>
      <c r="BG1223" s="0" t="n">
        <v>0</v>
      </c>
      <c r="BH1223" s="0" t="n">
        <v>0</v>
      </c>
      <c r="BI1223" s="0" t="n">
        <v>0</v>
      </c>
      <c r="BJ1223" s="0" t="n">
        <v>0</v>
      </c>
      <c r="BK1223" s="0" t="n">
        <v>0</v>
      </c>
      <c r="BM1223" s="6" t="n">
        <f aca="false">IFERROR(VALUE(F1223),"")</f>
        <v>239.49</v>
      </c>
      <c r="BN1223" s="6" t="n">
        <f aca="false">IF(R1223="-","",IFERROR(VALUE(LEFT(Q1223,LEN(Q1223)-2)),""))</f>
        <v>3.76</v>
      </c>
      <c r="BO1223" s="6" t="n">
        <f aca="false">IF(R1223="-","",IFERROR(VALUE(LEFT(R1223,LEN(R1223)-5)),""))</f>
        <v>63.69</v>
      </c>
      <c r="BP1223" s="6" t="n">
        <f aca="false">IF(R1223="-","",IFERROR(VALUE(F1223),""))</f>
        <v>239.49</v>
      </c>
      <c r="BQ1223" s="4" t="n">
        <f aca="false">IF(R1223="-",1,0)</f>
        <v>0</v>
      </c>
    </row>
    <row r="1224" customFormat="false" ht="15" hidden="false" customHeight="false" outlineLevel="0" collapsed="false">
      <c r="A1224" s="0" t="s">
        <v>4701</v>
      </c>
      <c r="B1224" s="0" t="s">
        <v>4702</v>
      </c>
      <c r="C1224" s="0" t="s">
        <v>70</v>
      </c>
      <c r="D1224" s="0" t="s">
        <v>4710</v>
      </c>
      <c r="E1224" s="3" t="n">
        <v>46274</v>
      </c>
      <c r="F1224" s="4" t="s">
        <v>4711</v>
      </c>
      <c r="G1224" s="5" t="n">
        <v>0.624652777777778</v>
      </c>
      <c r="H1224" s="5" t="n">
        <v>0.602083333333333</v>
      </c>
      <c r="I1224" s="5" t="n">
        <v>0.00201388888888889</v>
      </c>
      <c r="J1224" s="0" t="n">
        <v>1</v>
      </c>
      <c r="K1224" s="0" t="n">
        <v>0</v>
      </c>
      <c r="L1224" s="0" t="n">
        <v>0</v>
      </c>
      <c r="M1224" s="0" t="n">
        <v>0</v>
      </c>
      <c r="N1224" s="0" t="n">
        <v>33</v>
      </c>
      <c r="O1224" s="5" t="n">
        <v>0</v>
      </c>
      <c r="P1224" s="5" t="n">
        <v>0</v>
      </c>
      <c r="Q1224" s="4" t="s">
        <v>4712</v>
      </c>
      <c r="R1224" s="4" t="s">
        <v>4713</v>
      </c>
      <c r="S1224" s="5" t="n">
        <v>0.0181712962962963</v>
      </c>
      <c r="T1224" s="5" t="n">
        <v>0.0525462962962963</v>
      </c>
      <c r="U1224" s="5" t="n">
        <v>0.177592592592593</v>
      </c>
      <c r="V1224" s="5" t="n">
        <v>0.01875</v>
      </c>
      <c r="W1224" s="5" t="n">
        <v>0.000335648148148148</v>
      </c>
      <c r="X1224" s="5" t="n">
        <v>0</v>
      </c>
      <c r="Y1224" s="5" t="n">
        <v>0.000219907407407407</v>
      </c>
      <c r="Z1224" s="0" t="n">
        <v>0</v>
      </c>
      <c r="AA1224" s="0" t="n">
        <v>0</v>
      </c>
      <c r="AB1224" s="0" t="n">
        <v>0</v>
      </c>
      <c r="AC1224" s="4" t="s">
        <v>1076</v>
      </c>
      <c r="AD1224" s="4" t="s">
        <v>432</v>
      </c>
      <c r="AE1224" s="4" t="s">
        <v>4709</v>
      </c>
      <c r="AF1224" s="4" t="s">
        <v>4714</v>
      </c>
      <c r="AG1224" s="5" t="n">
        <v>0.495740740740741</v>
      </c>
      <c r="AH1224" s="5" t="n">
        <v>0.174768518518519</v>
      </c>
      <c r="AI1224" s="5" t="n">
        <v>0</v>
      </c>
      <c r="AJ1224" s="5" t="n">
        <v>0</v>
      </c>
      <c r="AK1224" s="5" t="n">
        <v>0</v>
      </c>
      <c r="AL1224" s="5" t="n">
        <v>0</v>
      </c>
      <c r="AM1224" s="4" t="s">
        <v>78</v>
      </c>
      <c r="AN1224" s="0" t="n">
        <v>0</v>
      </c>
      <c r="AO1224" s="0" t="n">
        <v>0</v>
      </c>
      <c r="AP1224" s="0" t="n">
        <v>0</v>
      </c>
      <c r="AQ1224" s="0" t="n">
        <v>0</v>
      </c>
      <c r="AR1224" s="0" t="n">
        <v>0</v>
      </c>
      <c r="AS1224" s="0" t="n">
        <v>2</v>
      </c>
      <c r="AT1224" s="0" t="n">
        <v>0</v>
      </c>
      <c r="AU1224" s="0" t="n">
        <v>1</v>
      </c>
      <c r="AV1224" s="0" t="n">
        <v>0</v>
      </c>
      <c r="AW1224" s="0" t="n">
        <v>0</v>
      </c>
      <c r="AX1224" s="0" t="n">
        <v>0</v>
      </c>
      <c r="AY1224" s="0" t="n">
        <v>0</v>
      </c>
      <c r="AZ1224" s="0" t="n">
        <v>0</v>
      </c>
      <c r="BA1224" s="0" t="n">
        <v>0</v>
      </c>
      <c r="BB1224" s="0" t="n">
        <v>0</v>
      </c>
      <c r="BC1224" s="0" t="n">
        <v>0</v>
      </c>
      <c r="BD1224" s="0" t="n">
        <v>0</v>
      </c>
      <c r="BE1224" s="0" t="n">
        <v>0</v>
      </c>
      <c r="BF1224" s="0" t="n">
        <v>0</v>
      </c>
      <c r="BG1224" s="0" t="n">
        <v>0</v>
      </c>
      <c r="BH1224" s="0" t="n">
        <v>0</v>
      </c>
      <c r="BI1224" s="0" t="n">
        <v>0</v>
      </c>
      <c r="BJ1224" s="0" t="n">
        <v>0</v>
      </c>
      <c r="BK1224" s="0" t="n">
        <v>0</v>
      </c>
      <c r="BM1224" s="6" t="n">
        <f aca="false">IFERROR(VALUE(F1224),"")</f>
        <v>638.48</v>
      </c>
      <c r="BN1224" s="6" t="n">
        <f aca="false">IF(R1224="-","",IFERROR(VALUE(LEFT(Q1224,LEN(Q1224)-2)),""))</f>
        <v>8.1</v>
      </c>
      <c r="BO1224" s="6" t="n">
        <f aca="false">IF(R1224="-","",IFERROR(VALUE(LEFT(R1224,LEN(R1224)-5)),""))</f>
        <v>78.86</v>
      </c>
      <c r="BP1224" s="6" t="n">
        <f aca="false">IF(R1224="-","",IFERROR(VALUE(F1224),""))</f>
        <v>638.48</v>
      </c>
      <c r="BQ1224" s="4" t="n">
        <f aca="false">IF(R1224="-",1,0)</f>
        <v>0</v>
      </c>
    </row>
    <row r="1225" customFormat="false" ht="15" hidden="false" customHeight="false" outlineLevel="0" collapsed="false">
      <c r="A1225" s="0" t="s">
        <v>4701</v>
      </c>
      <c r="B1225" s="0" t="s">
        <v>4702</v>
      </c>
      <c r="C1225" s="0" t="s">
        <v>70</v>
      </c>
      <c r="D1225" s="0" t="s">
        <v>4715</v>
      </c>
      <c r="E1225" s="3" t="n">
        <v>46275</v>
      </c>
      <c r="F1225" s="4" t="s">
        <v>4716</v>
      </c>
      <c r="G1225" s="5" t="n">
        <v>0.588946759259259</v>
      </c>
      <c r="H1225" s="5" t="n">
        <v>0.551805555555556</v>
      </c>
      <c r="I1225" s="5" t="n">
        <v>0.00607638888888889</v>
      </c>
      <c r="J1225" s="0" t="n">
        <v>0</v>
      </c>
      <c r="K1225" s="0" t="n">
        <v>1</v>
      </c>
      <c r="L1225" s="0" t="n">
        <v>0</v>
      </c>
      <c r="M1225" s="0" t="n">
        <v>0</v>
      </c>
      <c r="N1225" s="0" t="n">
        <v>24</v>
      </c>
      <c r="O1225" s="5" t="n">
        <v>0</v>
      </c>
      <c r="P1225" s="5" t="n">
        <v>0</v>
      </c>
      <c r="Q1225" s="4" t="s">
        <v>4717</v>
      </c>
      <c r="R1225" s="4" t="s">
        <v>4718</v>
      </c>
      <c r="S1225" s="5" t="n">
        <v>0.0135416666666667</v>
      </c>
      <c r="T1225" s="5" t="n">
        <v>0.0594907407407407</v>
      </c>
      <c r="U1225" s="5" t="n">
        <v>0.165856481481482</v>
      </c>
      <c r="V1225" s="5" t="n">
        <v>0.0131944444444444</v>
      </c>
      <c r="W1225" s="5" t="n">
        <v>0.000347222222222222</v>
      </c>
      <c r="X1225" s="5" t="n">
        <v>0</v>
      </c>
      <c r="Y1225" s="5" t="n">
        <v>0.000231481481481482</v>
      </c>
      <c r="Z1225" s="0" t="n">
        <v>0</v>
      </c>
      <c r="AA1225" s="0" t="n">
        <v>0</v>
      </c>
      <c r="AB1225" s="0" t="n">
        <v>0</v>
      </c>
      <c r="AC1225" s="4" t="s">
        <v>432</v>
      </c>
      <c r="AD1225" s="4" t="s">
        <v>432</v>
      </c>
      <c r="AE1225" s="4" t="s">
        <v>4714</v>
      </c>
      <c r="AF1225" s="4" t="s">
        <v>4719</v>
      </c>
      <c r="AG1225" s="5" t="n">
        <v>0.45525462962963</v>
      </c>
      <c r="AH1225" s="5" t="n">
        <v>0.205763888888889</v>
      </c>
      <c r="AI1225" s="5" t="n">
        <v>0</v>
      </c>
      <c r="AJ1225" s="5" t="n">
        <v>0</v>
      </c>
      <c r="AK1225" s="5" t="n">
        <v>0</v>
      </c>
      <c r="AL1225" s="5" t="n">
        <v>0</v>
      </c>
      <c r="AM1225" s="4" t="s">
        <v>78</v>
      </c>
      <c r="AN1225" s="0" t="n">
        <v>0</v>
      </c>
      <c r="AO1225" s="0" t="n">
        <v>0</v>
      </c>
      <c r="AP1225" s="0" t="n">
        <v>0</v>
      </c>
      <c r="AQ1225" s="0" t="n">
        <v>0</v>
      </c>
      <c r="AR1225" s="0" t="n">
        <v>0</v>
      </c>
      <c r="AS1225" s="0" t="n">
        <v>3</v>
      </c>
      <c r="AT1225" s="0" t="n">
        <v>0</v>
      </c>
      <c r="AU1225" s="0" t="n">
        <v>0</v>
      </c>
      <c r="AV1225" s="0" t="n">
        <v>0</v>
      </c>
      <c r="AW1225" s="0" t="n">
        <v>0</v>
      </c>
      <c r="AX1225" s="0" t="n">
        <v>0</v>
      </c>
      <c r="AY1225" s="0" t="n">
        <v>0</v>
      </c>
      <c r="AZ1225" s="0" t="n">
        <v>0</v>
      </c>
      <c r="BA1225" s="0" t="n">
        <v>0</v>
      </c>
      <c r="BB1225" s="0" t="n">
        <v>0</v>
      </c>
      <c r="BC1225" s="0" t="n">
        <v>0</v>
      </c>
      <c r="BD1225" s="0" t="n">
        <v>0</v>
      </c>
      <c r="BE1225" s="0" t="n">
        <v>0</v>
      </c>
      <c r="BF1225" s="0" t="n">
        <v>0</v>
      </c>
      <c r="BG1225" s="0" t="n">
        <v>0</v>
      </c>
      <c r="BH1225" s="0" t="n">
        <v>0</v>
      </c>
      <c r="BI1225" s="0" t="n">
        <v>0</v>
      </c>
      <c r="BJ1225" s="0" t="n">
        <v>0</v>
      </c>
      <c r="BK1225" s="0" t="n">
        <v>0</v>
      </c>
      <c r="BM1225" s="6" t="n">
        <f aca="false">IFERROR(VALUE(F1225),"")</f>
        <v>585.54</v>
      </c>
      <c r="BN1225" s="6" t="n">
        <f aca="false">IF(R1225="-","",IFERROR(VALUE(LEFT(Q1225,LEN(Q1225)-2)),""))</f>
        <v>9.33</v>
      </c>
      <c r="BO1225" s="6" t="n">
        <f aca="false">IF(R1225="-","",IFERROR(VALUE(LEFT(R1225,LEN(R1225)-5)),""))</f>
        <v>62.77</v>
      </c>
      <c r="BP1225" s="6" t="n">
        <f aca="false">IF(R1225="-","",IFERROR(VALUE(F1225),""))</f>
        <v>585.54</v>
      </c>
      <c r="BQ1225" s="4" t="n">
        <f aca="false">IF(R1225="-",1,0)</f>
        <v>0</v>
      </c>
    </row>
    <row r="1226" customFormat="false" ht="15" hidden="false" customHeight="false" outlineLevel="0" collapsed="false">
      <c r="A1226" s="0" t="s">
        <v>4701</v>
      </c>
      <c r="B1226" s="0" t="s">
        <v>4702</v>
      </c>
      <c r="C1226" s="0" t="s">
        <v>70</v>
      </c>
      <c r="D1226" s="0" t="s">
        <v>4720</v>
      </c>
      <c r="E1226" s="3" t="n">
        <v>46276</v>
      </c>
      <c r="F1226" s="4" t="s">
        <v>4721</v>
      </c>
      <c r="G1226" s="5" t="n">
        <v>0.476863425925926</v>
      </c>
      <c r="H1226" s="5" t="n">
        <v>0.463194444444445</v>
      </c>
      <c r="I1226" s="5" t="n">
        <v>0.00109953703703704</v>
      </c>
      <c r="J1226" s="0" t="n">
        <v>0</v>
      </c>
      <c r="K1226" s="0" t="n">
        <v>2</v>
      </c>
      <c r="L1226" s="0" t="n">
        <v>0</v>
      </c>
      <c r="M1226" s="0" t="n">
        <v>0</v>
      </c>
      <c r="N1226" s="0" t="n">
        <v>12</v>
      </c>
      <c r="O1226" s="5" t="n">
        <v>0</v>
      </c>
      <c r="P1226" s="5" t="n">
        <v>0</v>
      </c>
      <c r="Q1226" s="4" t="s">
        <v>4722</v>
      </c>
      <c r="R1226" s="4" t="s">
        <v>4723</v>
      </c>
      <c r="S1226" s="5" t="n">
        <v>0.0143518518518519</v>
      </c>
      <c r="T1226" s="5" t="n">
        <v>0.0519675925925926</v>
      </c>
      <c r="U1226" s="5" t="n">
        <v>0.129976851851852</v>
      </c>
      <c r="V1226" s="5" t="n">
        <v>0.0119212962962963</v>
      </c>
      <c r="W1226" s="5" t="n">
        <v>0</v>
      </c>
      <c r="X1226" s="5" t="n">
        <v>0</v>
      </c>
      <c r="Y1226" s="5" t="n">
        <v>0</v>
      </c>
      <c r="Z1226" s="0" t="n">
        <v>0</v>
      </c>
      <c r="AA1226" s="0" t="n">
        <v>0</v>
      </c>
      <c r="AB1226" s="0" t="n">
        <v>0</v>
      </c>
      <c r="AC1226" s="4" t="s">
        <v>432</v>
      </c>
      <c r="AD1226" s="4" t="s">
        <v>74</v>
      </c>
      <c r="AE1226" s="4" t="s">
        <v>4719</v>
      </c>
      <c r="AF1226" s="4" t="s">
        <v>4724</v>
      </c>
      <c r="AG1226" s="5" t="n">
        <v>0.392013888888889</v>
      </c>
      <c r="AH1226" s="5" t="n">
        <v>0.147928240740741</v>
      </c>
      <c r="AI1226" s="5" t="n">
        <v>0</v>
      </c>
      <c r="AJ1226" s="5" t="n">
        <v>0</v>
      </c>
      <c r="AK1226" s="5" t="n">
        <v>0</v>
      </c>
      <c r="AL1226" s="5" t="n">
        <v>0</v>
      </c>
      <c r="AM1226" s="4" t="s">
        <v>78</v>
      </c>
      <c r="AN1226" s="0" t="n">
        <v>0</v>
      </c>
      <c r="AO1226" s="0" t="n">
        <v>0</v>
      </c>
      <c r="AP1226" s="0" t="n">
        <v>0</v>
      </c>
      <c r="AQ1226" s="0" t="n">
        <v>0</v>
      </c>
      <c r="AR1226" s="0" t="n">
        <v>0</v>
      </c>
      <c r="AS1226" s="0" t="n">
        <v>1</v>
      </c>
      <c r="AT1226" s="0" t="n">
        <v>0</v>
      </c>
      <c r="AU1226" s="0" t="n">
        <v>0</v>
      </c>
      <c r="AV1226" s="0" t="n">
        <v>0</v>
      </c>
      <c r="AW1226" s="0" t="n">
        <v>0</v>
      </c>
      <c r="AX1226" s="0" t="n">
        <v>0</v>
      </c>
      <c r="AY1226" s="0" t="n">
        <v>0</v>
      </c>
      <c r="AZ1226" s="0" t="n">
        <v>0</v>
      </c>
      <c r="BA1226" s="0" t="n">
        <v>0</v>
      </c>
      <c r="BB1226" s="0" t="n">
        <v>0</v>
      </c>
      <c r="BC1226" s="0" t="n">
        <v>0</v>
      </c>
      <c r="BD1226" s="0" t="n">
        <v>0</v>
      </c>
      <c r="BE1226" s="0" t="n">
        <v>0</v>
      </c>
      <c r="BF1226" s="0" t="n">
        <v>0</v>
      </c>
      <c r="BG1226" s="0" t="n">
        <v>0</v>
      </c>
      <c r="BH1226" s="0" t="n">
        <v>0</v>
      </c>
      <c r="BI1226" s="0" t="n">
        <v>0</v>
      </c>
      <c r="BJ1226" s="0" t="n">
        <v>0</v>
      </c>
      <c r="BK1226" s="0" t="n">
        <v>0</v>
      </c>
      <c r="BM1226" s="6" t="n">
        <f aca="false">IFERROR(VALUE(F1226),"")</f>
        <v>447.99</v>
      </c>
      <c r="BN1226" s="6" t="n">
        <f aca="false">IF(R1226="-","",IFERROR(VALUE(LEFT(Q1226,LEN(Q1226)-2)),""))</f>
        <v>7.12</v>
      </c>
      <c r="BO1226" s="6" t="n">
        <f aca="false">IF(R1226="-","",IFERROR(VALUE(LEFT(R1226,LEN(R1226)-5)),""))</f>
        <v>62.92</v>
      </c>
      <c r="BP1226" s="6" t="n">
        <f aca="false">IF(R1226="-","",IFERROR(VALUE(F1226),""))</f>
        <v>447.99</v>
      </c>
      <c r="BQ1226" s="4" t="n">
        <f aca="false">IF(R1226="-",1,0)</f>
        <v>0</v>
      </c>
    </row>
    <row r="1227" customFormat="false" ht="15" hidden="false" customHeight="false" outlineLevel="0" collapsed="false">
      <c r="A1227" s="0" t="s">
        <v>4701</v>
      </c>
      <c r="B1227" s="0" t="s">
        <v>4702</v>
      </c>
      <c r="C1227" s="0" t="s">
        <v>70</v>
      </c>
      <c r="D1227" s="0" t="s">
        <v>3447</v>
      </c>
      <c r="E1227" s="3" t="n">
        <v>46277</v>
      </c>
      <c r="F1227" s="4" t="s">
        <v>4725</v>
      </c>
      <c r="G1227" s="5" t="n">
        <v>0.428553240740741</v>
      </c>
      <c r="H1227" s="5" t="n">
        <v>0.381979166666667</v>
      </c>
      <c r="I1227" s="5" t="n">
        <v>9.25925925925926E-005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5</v>
      </c>
      <c r="O1227" s="5" t="n">
        <v>0</v>
      </c>
      <c r="P1227" s="5" t="n">
        <v>0</v>
      </c>
      <c r="Q1227" s="4" t="s">
        <v>4726</v>
      </c>
      <c r="R1227" s="4" t="s">
        <v>4727</v>
      </c>
      <c r="S1227" s="5" t="n">
        <v>0.0259259259259259</v>
      </c>
      <c r="T1227" s="5" t="n">
        <v>0.0498842592592593</v>
      </c>
      <c r="U1227" s="5" t="n">
        <v>0.0962962962962963</v>
      </c>
      <c r="V1227" s="5" t="n">
        <v>0.00393518518518519</v>
      </c>
      <c r="W1227" s="5" t="n">
        <v>0</v>
      </c>
      <c r="X1227" s="5" t="n">
        <v>0</v>
      </c>
      <c r="Y1227" s="5" t="n">
        <v>0</v>
      </c>
      <c r="Z1227" s="0" t="n">
        <v>0</v>
      </c>
      <c r="AA1227" s="0" t="n">
        <v>0</v>
      </c>
      <c r="AB1227" s="0" t="n">
        <v>0</v>
      </c>
      <c r="AC1227" s="4" t="s">
        <v>75</v>
      </c>
      <c r="AD1227" s="4" t="s">
        <v>75</v>
      </c>
      <c r="AE1227" s="4" t="s">
        <v>4724</v>
      </c>
      <c r="AF1227" s="4" t="s">
        <v>4728</v>
      </c>
      <c r="AG1227" s="5" t="n">
        <v>0.323009259259259</v>
      </c>
      <c r="AH1227" s="5" t="n">
        <v>0.157326388888889</v>
      </c>
      <c r="AI1227" s="5" t="n">
        <v>0.00106481481481482</v>
      </c>
      <c r="AJ1227" s="5" t="n">
        <v>0</v>
      </c>
      <c r="AK1227" s="5" t="n">
        <v>0</v>
      </c>
      <c r="AL1227" s="5" t="n">
        <v>0</v>
      </c>
      <c r="AM1227" s="4" t="s">
        <v>78</v>
      </c>
      <c r="AN1227" s="0" t="n">
        <v>0</v>
      </c>
      <c r="AO1227" s="0" t="n">
        <v>0</v>
      </c>
      <c r="AP1227" s="0" t="n">
        <v>0</v>
      </c>
      <c r="AQ1227" s="0" t="n">
        <v>0</v>
      </c>
      <c r="AR1227" s="0" t="n">
        <v>0</v>
      </c>
      <c r="AS1227" s="0" t="n">
        <v>0</v>
      </c>
      <c r="AT1227" s="0" t="n">
        <v>0</v>
      </c>
      <c r="AU1227" s="0" t="n">
        <v>0</v>
      </c>
      <c r="AV1227" s="0" t="n">
        <v>0</v>
      </c>
      <c r="AW1227" s="0" t="n">
        <v>0</v>
      </c>
      <c r="AX1227" s="0" t="n">
        <v>0</v>
      </c>
      <c r="AY1227" s="0" t="n">
        <v>0</v>
      </c>
      <c r="AZ1227" s="0" t="n">
        <v>0</v>
      </c>
      <c r="BA1227" s="0" t="n">
        <v>0</v>
      </c>
      <c r="BB1227" s="0" t="n">
        <v>0</v>
      </c>
      <c r="BC1227" s="0" t="n">
        <v>0</v>
      </c>
      <c r="BD1227" s="0" t="n">
        <v>0</v>
      </c>
      <c r="BE1227" s="0" t="n">
        <v>0</v>
      </c>
      <c r="BF1227" s="0" t="n">
        <v>0</v>
      </c>
      <c r="BG1227" s="0" t="n">
        <v>0</v>
      </c>
      <c r="BH1227" s="0" t="n">
        <v>0</v>
      </c>
      <c r="BI1227" s="0" t="n">
        <v>0</v>
      </c>
      <c r="BJ1227" s="0" t="n">
        <v>0</v>
      </c>
      <c r="BK1227" s="0" t="n">
        <v>0</v>
      </c>
      <c r="BM1227" s="6" t="n">
        <f aca="false">IFERROR(VALUE(F1227),"")</f>
        <v>343.99</v>
      </c>
      <c r="BN1227" s="6" t="n">
        <f aca="false">IF(R1227="-","",IFERROR(VALUE(LEFT(Q1227,LEN(Q1227)-2)),""))</f>
        <v>7.36</v>
      </c>
      <c r="BO1227" s="6" t="n">
        <f aca="false">IF(R1227="-","",IFERROR(VALUE(LEFT(R1227,LEN(R1227)-5)),""))</f>
        <v>46.74</v>
      </c>
      <c r="BP1227" s="6" t="n">
        <f aca="false">IF(R1227="-","",IFERROR(VALUE(F1227),""))</f>
        <v>343.99</v>
      </c>
      <c r="BQ1227" s="4" t="n">
        <f aca="false">IF(R1227="-",1,0)</f>
        <v>0</v>
      </c>
    </row>
    <row r="1228" customFormat="false" ht="15" hidden="false" customHeight="false" outlineLevel="0" collapsed="false">
      <c r="A1228" s="0" t="s">
        <v>4701</v>
      </c>
      <c r="B1228" s="0" t="s">
        <v>4702</v>
      </c>
      <c r="C1228" s="0" t="s">
        <v>70</v>
      </c>
      <c r="D1228" s="0" t="s">
        <v>191</v>
      </c>
      <c r="E1228" s="3" t="n">
        <v>46278</v>
      </c>
      <c r="F1228" s="4" t="s">
        <v>4729</v>
      </c>
      <c r="G1228" s="5" t="n">
        <v>0.331469907407407</v>
      </c>
      <c r="H1228" s="5" t="n">
        <v>0.293969907407407</v>
      </c>
      <c r="I1228" s="5" t="n">
        <v>0.00434027777777778</v>
      </c>
      <c r="J1228" s="0" t="n">
        <v>0</v>
      </c>
      <c r="K1228" s="0" t="n">
        <v>2</v>
      </c>
      <c r="L1228" s="0" t="n">
        <v>0</v>
      </c>
      <c r="M1228" s="0" t="n">
        <v>0</v>
      </c>
      <c r="N1228" s="0" t="n">
        <v>13</v>
      </c>
      <c r="O1228" s="5" t="n">
        <v>0</v>
      </c>
      <c r="P1228" s="5" t="n">
        <v>0</v>
      </c>
      <c r="Q1228" s="4" t="s">
        <v>4730</v>
      </c>
      <c r="R1228" s="4" t="s">
        <v>4731</v>
      </c>
      <c r="S1228" s="5" t="n">
        <v>0.00694444444444444</v>
      </c>
      <c r="T1228" s="5" t="n">
        <v>0.0351851851851852</v>
      </c>
      <c r="U1228" s="5" t="n">
        <v>0.0989583333333333</v>
      </c>
      <c r="V1228" s="5" t="n">
        <v>0.0240740740740741</v>
      </c>
      <c r="W1228" s="5" t="n">
        <v>0</v>
      </c>
      <c r="X1228" s="5" t="n">
        <v>0</v>
      </c>
      <c r="Y1228" s="5" t="n">
        <v>0</v>
      </c>
      <c r="Z1228" s="0" t="n">
        <v>0</v>
      </c>
      <c r="AA1228" s="0" t="n">
        <v>0</v>
      </c>
      <c r="AB1228" s="0" t="n">
        <v>0</v>
      </c>
      <c r="AC1228" s="4" t="s">
        <v>228</v>
      </c>
      <c r="AD1228" s="4" t="s">
        <v>75</v>
      </c>
      <c r="AE1228" s="4" t="s">
        <v>4728</v>
      </c>
      <c r="AF1228" s="4" t="s">
        <v>4732</v>
      </c>
      <c r="AG1228" s="5" t="n">
        <v>0.256516203703704</v>
      </c>
      <c r="AH1228" s="5" t="n">
        <v>0.130046296296296</v>
      </c>
      <c r="AI1228" s="5" t="n">
        <v>0.00087962962962963</v>
      </c>
      <c r="AJ1228" s="5" t="n">
        <v>0</v>
      </c>
      <c r="AK1228" s="5" t="n">
        <v>0</v>
      </c>
      <c r="AL1228" s="5" t="n">
        <v>0</v>
      </c>
      <c r="AM1228" s="4" t="s">
        <v>78</v>
      </c>
      <c r="AN1228" s="0" t="n">
        <v>0</v>
      </c>
      <c r="AO1228" s="0" t="n">
        <v>0</v>
      </c>
      <c r="AP1228" s="0" t="n">
        <v>0</v>
      </c>
      <c r="AQ1228" s="0" t="n">
        <v>0</v>
      </c>
      <c r="AR1228" s="0" t="n">
        <v>0</v>
      </c>
      <c r="AS1228" s="0" t="n">
        <v>0</v>
      </c>
      <c r="AT1228" s="0" t="n">
        <v>0</v>
      </c>
      <c r="AU1228" s="0" t="n">
        <v>3</v>
      </c>
      <c r="AV1228" s="0" t="n">
        <v>0</v>
      </c>
      <c r="AW1228" s="0" t="n">
        <v>0</v>
      </c>
      <c r="AX1228" s="0" t="n">
        <v>0</v>
      </c>
      <c r="AY1228" s="0" t="n">
        <v>0</v>
      </c>
      <c r="AZ1228" s="0" t="n">
        <v>0</v>
      </c>
      <c r="BA1228" s="0" t="n">
        <v>0</v>
      </c>
      <c r="BB1228" s="0" t="n">
        <v>0</v>
      </c>
      <c r="BC1228" s="0" t="n">
        <v>0</v>
      </c>
      <c r="BD1228" s="0" t="n">
        <v>0</v>
      </c>
      <c r="BE1228" s="0" t="n">
        <v>0</v>
      </c>
      <c r="BF1228" s="0" t="n">
        <v>0</v>
      </c>
      <c r="BG1228" s="0" t="n">
        <v>0</v>
      </c>
      <c r="BH1228" s="0" t="n">
        <v>0</v>
      </c>
      <c r="BI1228" s="0" t="n">
        <v>0</v>
      </c>
      <c r="BJ1228" s="0" t="n">
        <v>0</v>
      </c>
      <c r="BK1228" s="0" t="n">
        <v>0</v>
      </c>
      <c r="BM1228" s="6" t="n">
        <f aca="false">IFERROR(VALUE(F1228),"")</f>
        <v>295.69</v>
      </c>
      <c r="BN1228" s="6" t="n">
        <f aca="false">IF(R1228="-","",IFERROR(VALUE(LEFT(Q1228,LEN(Q1228)-2)),""))</f>
        <v>6.19</v>
      </c>
      <c r="BO1228" s="6" t="n">
        <f aca="false">IF(R1228="-","",IFERROR(VALUE(LEFT(R1228,LEN(R1228)-5)),""))</f>
        <v>47.75</v>
      </c>
      <c r="BP1228" s="6" t="n">
        <f aca="false">IF(R1228="-","",IFERROR(VALUE(F1228),""))</f>
        <v>295.69</v>
      </c>
      <c r="BQ1228" s="4" t="n">
        <f aca="false">IF(R1228="-",1,0)</f>
        <v>0</v>
      </c>
    </row>
    <row r="1229" customFormat="false" ht="15" hidden="false" customHeight="false" outlineLevel="0" collapsed="false">
      <c r="A1229" s="0" t="s">
        <v>4701</v>
      </c>
      <c r="B1229" s="0" t="s">
        <v>4702</v>
      </c>
      <c r="C1229" s="0" t="s">
        <v>70</v>
      </c>
      <c r="D1229" s="0" t="s">
        <v>4733</v>
      </c>
      <c r="E1229" s="3" t="n">
        <v>46279</v>
      </c>
      <c r="F1229" s="4" t="s">
        <v>4734</v>
      </c>
      <c r="G1229" s="5" t="n">
        <v>0.568460648148148</v>
      </c>
      <c r="H1229" s="5" t="n">
        <v>0.560150462962963</v>
      </c>
      <c r="I1229" s="5" t="n">
        <v>0.000775462962962963</v>
      </c>
      <c r="J1229" s="0" t="n">
        <v>0</v>
      </c>
      <c r="K1229" s="0" t="n">
        <v>1</v>
      </c>
      <c r="L1229" s="0" t="n">
        <v>0</v>
      </c>
      <c r="M1229" s="0" t="n">
        <v>0</v>
      </c>
      <c r="N1229" s="0" t="n">
        <v>3</v>
      </c>
      <c r="O1229" s="5" t="n">
        <v>0</v>
      </c>
      <c r="P1229" s="5" t="n">
        <v>0</v>
      </c>
      <c r="Q1229" s="4" t="s">
        <v>4735</v>
      </c>
      <c r="R1229" s="4" t="s">
        <v>4736</v>
      </c>
      <c r="S1229" s="5" t="n">
        <v>0.0208333333333333</v>
      </c>
      <c r="T1229" s="5" t="n">
        <v>0.0620833333333333</v>
      </c>
      <c r="U1229" s="5" t="n">
        <v>0.168171296296296</v>
      </c>
      <c r="V1229" s="5" t="n">
        <v>0.00868055555555556</v>
      </c>
      <c r="W1229" s="5" t="n">
        <v>6.94444444444444E-005</v>
      </c>
      <c r="X1229" s="5" t="n">
        <v>0</v>
      </c>
      <c r="Y1229" s="5" t="n">
        <v>8.10185185185185E-005</v>
      </c>
      <c r="Z1229" s="0" t="n">
        <v>0</v>
      </c>
      <c r="AA1229" s="0" t="n">
        <v>0</v>
      </c>
      <c r="AB1229" s="0" t="n">
        <v>0</v>
      </c>
      <c r="AC1229" s="4" t="s">
        <v>81</v>
      </c>
      <c r="AD1229" s="4" t="s">
        <v>2024</v>
      </c>
      <c r="AE1229" s="4" t="s">
        <v>4732</v>
      </c>
      <c r="AF1229" s="4" t="s">
        <v>4737</v>
      </c>
      <c r="AG1229" s="5" t="n">
        <v>0.48650462962963</v>
      </c>
      <c r="AH1229" s="5" t="n">
        <v>0.128252314814815</v>
      </c>
      <c r="AI1229" s="5" t="n">
        <v>0</v>
      </c>
      <c r="AJ1229" s="5" t="n">
        <v>0</v>
      </c>
      <c r="AK1229" s="5" t="n">
        <v>0</v>
      </c>
      <c r="AL1229" s="5" t="n">
        <v>0</v>
      </c>
      <c r="AM1229" s="4" t="s">
        <v>78</v>
      </c>
      <c r="AN1229" s="0" t="n">
        <v>0</v>
      </c>
      <c r="AO1229" s="0" t="n">
        <v>0</v>
      </c>
      <c r="AP1229" s="0" t="n">
        <v>0</v>
      </c>
      <c r="AQ1229" s="0" t="n">
        <v>0</v>
      </c>
      <c r="AR1229" s="0" t="n">
        <v>0</v>
      </c>
      <c r="AS1229" s="0" t="n">
        <v>0</v>
      </c>
      <c r="AT1229" s="0" t="n">
        <v>0</v>
      </c>
      <c r="AU1229" s="0" t="n">
        <v>3</v>
      </c>
      <c r="AV1229" s="0" t="n">
        <v>0</v>
      </c>
      <c r="AW1229" s="0" t="n">
        <v>0</v>
      </c>
      <c r="AX1229" s="0" t="n">
        <v>0</v>
      </c>
      <c r="AY1229" s="0" t="n">
        <v>0</v>
      </c>
      <c r="AZ1229" s="0" t="n">
        <v>0</v>
      </c>
      <c r="BA1229" s="0" t="n">
        <v>0</v>
      </c>
      <c r="BB1229" s="0" t="n">
        <v>0</v>
      </c>
      <c r="BC1229" s="0" t="n">
        <v>0</v>
      </c>
      <c r="BD1229" s="0" t="n">
        <v>0</v>
      </c>
      <c r="BE1229" s="0" t="n">
        <v>0</v>
      </c>
      <c r="BF1229" s="0" t="n">
        <v>0</v>
      </c>
      <c r="BG1229" s="0" t="n">
        <v>0</v>
      </c>
      <c r="BH1229" s="0" t="n">
        <v>0</v>
      </c>
      <c r="BI1229" s="0" t="n">
        <v>0</v>
      </c>
      <c r="BJ1229" s="0" t="n">
        <v>0</v>
      </c>
      <c r="BK1229" s="0" t="n">
        <v>0</v>
      </c>
      <c r="BM1229" s="6" t="n">
        <f aca="false">IFERROR(VALUE(F1229),"")</f>
        <v>573.29</v>
      </c>
      <c r="BN1229" s="6" t="n">
        <f aca="false">IF(R1229="-","",IFERROR(VALUE(LEFT(Q1229,LEN(Q1229)-2)),""))</f>
        <v>7.9</v>
      </c>
      <c r="BO1229" s="6" t="n">
        <f aca="false">IF(R1229="-","",IFERROR(VALUE(LEFT(R1229,LEN(R1229)-5)),""))</f>
        <v>72.53</v>
      </c>
      <c r="BP1229" s="6" t="n">
        <f aca="false">IF(R1229="-","",IFERROR(VALUE(F1229),""))</f>
        <v>573.29</v>
      </c>
      <c r="BQ1229" s="4" t="n">
        <f aca="false">IF(R1229="-",1,0)</f>
        <v>0</v>
      </c>
    </row>
    <row r="1230" customFormat="false" ht="15" hidden="false" customHeight="false" outlineLevel="0" collapsed="false">
      <c r="A1230" s="0" t="s">
        <v>4738</v>
      </c>
      <c r="B1230" s="0" t="s">
        <v>4739</v>
      </c>
      <c r="C1230" s="0" t="s">
        <v>70</v>
      </c>
      <c r="D1230" s="0" t="s">
        <v>141</v>
      </c>
      <c r="E1230" s="3" t="n">
        <v>46273</v>
      </c>
      <c r="F1230" s="4" t="s">
        <v>4740</v>
      </c>
      <c r="G1230" s="5" t="n">
        <v>0.14537037037037</v>
      </c>
      <c r="H1230" s="5" t="n">
        <v>0.133657407407407</v>
      </c>
      <c r="I1230" s="5" t="n">
        <v>0.000347222222222222</v>
      </c>
      <c r="J1230" s="0" t="n">
        <v>0</v>
      </c>
      <c r="K1230" s="0" t="n">
        <v>1</v>
      </c>
      <c r="L1230" s="0" t="n">
        <v>0</v>
      </c>
      <c r="M1230" s="0" t="n">
        <v>0</v>
      </c>
      <c r="N1230" s="0" t="n">
        <v>1</v>
      </c>
      <c r="O1230" s="5" t="n">
        <v>0</v>
      </c>
      <c r="P1230" s="5" t="n">
        <v>0</v>
      </c>
      <c r="Q1230" s="4" t="s">
        <v>4741</v>
      </c>
      <c r="R1230" s="4" t="s">
        <v>437</v>
      </c>
      <c r="S1230" s="5" t="n">
        <v>0.000115740740740741</v>
      </c>
      <c r="T1230" s="5" t="n">
        <v>0.0450231481481482</v>
      </c>
      <c r="U1230" s="5" t="n">
        <v>0.0454861111111111</v>
      </c>
      <c r="V1230" s="5" t="n">
        <v>0.0438657407407407</v>
      </c>
      <c r="W1230" s="5" t="n">
        <v>0.000115740740740741</v>
      </c>
      <c r="X1230" s="5" t="n">
        <v>0</v>
      </c>
      <c r="Y1230" s="5" t="n">
        <v>0</v>
      </c>
      <c r="Z1230" s="0" t="n">
        <v>0</v>
      </c>
      <c r="AA1230" s="0" t="n">
        <v>0</v>
      </c>
      <c r="AB1230" s="0" t="n">
        <v>0</v>
      </c>
      <c r="AC1230" s="4" t="s">
        <v>158</v>
      </c>
      <c r="AD1230" s="4" t="s">
        <v>158</v>
      </c>
      <c r="AE1230" s="4" t="s">
        <v>4742</v>
      </c>
      <c r="AF1230" s="4" t="s">
        <v>4743</v>
      </c>
      <c r="AG1230" s="5" t="n">
        <v>0.115636574074074</v>
      </c>
      <c r="AH1230" s="5" t="n">
        <v>0.106886574074074</v>
      </c>
      <c r="AI1230" s="5" t="n">
        <v>0</v>
      </c>
      <c r="AJ1230" s="5" t="n">
        <v>0</v>
      </c>
      <c r="AK1230" s="5" t="n">
        <v>0</v>
      </c>
      <c r="AL1230" s="5" t="n">
        <v>0</v>
      </c>
      <c r="AM1230" s="4" t="s">
        <v>78</v>
      </c>
      <c r="AN1230" s="0" t="n">
        <v>0</v>
      </c>
      <c r="AO1230" s="0" t="n">
        <v>1</v>
      </c>
      <c r="AP1230" s="0" t="n">
        <v>0</v>
      </c>
      <c r="AQ1230" s="0" t="n">
        <v>0</v>
      </c>
      <c r="AR1230" s="0" t="n">
        <v>0</v>
      </c>
      <c r="AS1230" s="0" t="n">
        <v>0</v>
      </c>
      <c r="AT1230" s="0" t="n">
        <v>0</v>
      </c>
      <c r="AU1230" s="0" t="n">
        <v>6</v>
      </c>
      <c r="AV1230" s="0" t="n">
        <v>0</v>
      </c>
      <c r="AW1230" s="0" t="n">
        <v>0</v>
      </c>
      <c r="AX1230" s="0" t="n">
        <v>0</v>
      </c>
      <c r="AY1230" s="0" t="n">
        <v>0</v>
      </c>
      <c r="AZ1230" s="0" t="n">
        <v>0</v>
      </c>
      <c r="BA1230" s="0" t="n">
        <v>0</v>
      </c>
      <c r="BB1230" s="0" t="n">
        <v>0</v>
      </c>
      <c r="BC1230" s="0" t="n">
        <v>0</v>
      </c>
      <c r="BD1230" s="0" t="n">
        <v>0</v>
      </c>
      <c r="BE1230" s="0" t="n">
        <v>0</v>
      </c>
      <c r="BF1230" s="0" t="n">
        <v>0</v>
      </c>
      <c r="BG1230" s="0" t="n">
        <v>0</v>
      </c>
      <c r="BH1230" s="0" t="n">
        <v>0</v>
      </c>
      <c r="BI1230" s="0" t="n">
        <v>0</v>
      </c>
      <c r="BJ1230" s="0" t="n">
        <v>0</v>
      </c>
      <c r="BK1230" s="0" t="n">
        <v>0</v>
      </c>
      <c r="BM1230" s="6" t="n">
        <f aca="false">IFERROR(VALUE(F1230),"")</f>
        <v>88.43</v>
      </c>
      <c r="BN1230" s="6" t="n">
        <f aca="false">IF(R1230="-","",IFERROR(VALUE(LEFT(Q1230,LEN(Q1230)-2)),""))</f>
        <v>30</v>
      </c>
      <c r="BO1230" s="6" t="n">
        <f aca="false">IF(R1230="-","",IFERROR(VALUE(LEFT(R1230,LEN(R1230)-5)),""))</f>
        <v>2.95</v>
      </c>
      <c r="BP1230" s="6" t="n">
        <f aca="false">IF(R1230="-","",IFERROR(VALUE(F1230),""))</f>
        <v>88.43</v>
      </c>
      <c r="BQ1230" s="4" t="n">
        <f aca="false">IF(R1230="-",1,0)</f>
        <v>0</v>
      </c>
    </row>
    <row r="1231" customFormat="false" ht="15" hidden="false" customHeight="false" outlineLevel="0" collapsed="false">
      <c r="A1231" s="0" t="s">
        <v>4738</v>
      </c>
      <c r="B1231" s="0" t="s">
        <v>4739</v>
      </c>
      <c r="C1231" s="0" t="s">
        <v>70</v>
      </c>
      <c r="D1231" s="0" t="s">
        <v>141</v>
      </c>
      <c r="E1231" s="3" t="n">
        <v>46274</v>
      </c>
      <c r="F1231" s="4" t="s">
        <v>4744</v>
      </c>
      <c r="G1231" s="5" t="n">
        <v>0.234409722222222</v>
      </c>
      <c r="H1231" s="5" t="n">
        <v>0.191435185185185</v>
      </c>
      <c r="I1231" s="5" t="n">
        <v>0.000625</v>
      </c>
      <c r="J1231" s="0" t="n">
        <v>0</v>
      </c>
      <c r="K1231" s="0" t="n">
        <v>1</v>
      </c>
      <c r="L1231" s="0" t="n">
        <v>0</v>
      </c>
      <c r="M1231" s="0" t="n">
        <v>0</v>
      </c>
      <c r="N1231" s="0" t="n">
        <v>3</v>
      </c>
      <c r="O1231" s="5" t="n">
        <v>0</v>
      </c>
      <c r="P1231" s="5" t="n">
        <v>0.0162384259259259</v>
      </c>
      <c r="Q1231" s="4" t="s">
        <v>2094</v>
      </c>
      <c r="R1231" s="4" t="s">
        <v>385</v>
      </c>
      <c r="S1231" s="5" t="n">
        <v>0.000115740740740741</v>
      </c>
      <c r="T1231" s="5" t="n">
        <v>0.0841435185185185</v>
      </c>
      <c r="U1231" s="5" t="n">
        <v>0.0576388888888889</v>
      </c>
      <c r="V1231" s="5" t="n">
        <v>0.0809027777777778</v>
      </c>
      <c r="W1231" s="5" t="n">
        <v>0</v>
      </c>
      <c r="X1231" s="5" t="n">
        <v>0</v>
      </c>
      <c r="Y1231" s="5" t="n">
        <v>0</v>
      </c>
      <c r="Z1231" s="0" t="n">
        <v>0</v>
      </c>
      <c r="AA1231" s="0" t="n">
        <v>0</v>
      </c>
      <c r="AB1231" s="0" t="n">
        <v>0</v>
      </c>
      <c r="AC1231" s="4" t="s">
        <v>158</v>
      </c>
      <c r="AD1231" s="4" t="s">
        <v>158</v>
      </c>
      <c r="AE1231" s="4" t="s">
        <v>4743</v>
      </c>
      <c r="AF1231" s="4" t="s">
        <v>4745</v>
      </c>
      <c r="AG1231" s="5" t="n">
        <v>0.17869212962963</v>
      </c>
      <c r="AH1231" s="5" t="n">
        <v>0.142627314814815</v>
      </c>
      <c r="AI1231" s="5" t="n">
        <v>0</v>
      </c>
      <c r="AJ1231" s="5" t="n">
        <v>0</v>
      </c>
      <c r="AK1231" s="5" t="n">
        <v>0</v>
      </c>
      <c r="AL1231" s="5" t="n">
        <v>0</v>
      </c>
      <c r="AM1231" s="4" t="s">
        <v>78</v>
      </c>
      <c r="AN1231" s="0" t="n">
        <v>0</v>
      </c>
      <c r="AO1231" s="0" t="n">
        <v>0</v>
      </c>
      <c r="AP1231" s="0" t="n">
        <v>0</v>
      </c>
      <c r="AQ1231" s="0" t="n">
        <v>0</v>
      </c>
      <c r="AR1231" s="0" t="n">
        <v>0</v>
      </c>
      <c r="AS1231" s="0" t="n">
        <v>0</v>
      </c>
      <c r="AT1231" s="0" t="n">
        <v>0</v>
      </c>
      <c r="AU1231" s="0" t="n">
        <v>8</v>
      </c>
      <c r="AV1231" s="0" t="n">
        <v>0</v>
      </c>
      <c r="AW1231" s="0" t="n">
        <v>0</v>
      </c>
      <c r="AX1231" s="0" t="n">
        <v>0</v>
      </c>
      <c r="AY1231" s="0" t="n">
        <v>0</v>
      </c>
      <c r="AZ1231" s="0" t="n">
        <v>0</v>
      </c>
      <c r="BA1231" s="0" t="n">
        <v>0</v>
      </c>
      <c r="BB1231" s="0" t="n">
        <v>0</v>
      </c>
      <c r="BC1231" s="0" t="n">
        <v>0</v>
      </c>
      <c r="BD1231" s="0" t="n">
        <v>0</v>
      </c>
      <c r="BE1231" s="0" t="n">
        <v>0</v>
      </c>
      <c r="BF1231" s="0" t="n">
        <v>0</v>
      </c>
      <c r="BG1231" s="0" t="n">
        <v>0</v>
      </c>
      <c r="BH1231" s="0" t="n">
        <v>0</v>
      </c>
      <c r="BI1231" s="0" t="n">
        <v>0</v>
      </c>
      <c r="BJ1231" s="0" t="n">
        <v>0</v>
      </c>
      <c r="BK1231" s="0" t="n">
        <v>0</v>
      </c>
      <c r="BM1231" s="6" t="n">
        <f aca="false">IFERROR(VALUE(F1231),"")</f>
        <v>143.96</v>
      </c>
      <c r="BN1231" s="6" t="n">
        <f aca="false">IF(R1231="-","",IFERROR(VALUE(LEFT(Q1231,LEN(Q1231)-2)),""))</f>
        <v>49.5</v>
      </c>
      <c r="BO1231" s="6" t="n">
        <f aca="false">IF(R1231="-","",IFERROR(VALUE(LEFT(R1231,LEN(R1231)-5)),""))</f>
        <v>2.91</v>
      </c>
      <c r="BP1231" s="6" t="n">
        <f aca="false">IF(R1231="-","",IFERROR(VALUE(F1231),""))</f>
        <v>143.96</v>
      </c>
      <c r="BQ1231" s="4" t="n">
        <f aca="false">IF(R1231="-",1,0)</f>
        <v>0</v>
      </c>
    </row>
    <row r="1232" customFormat="false" ht="15" hidden="false" customHeight="false" outlineLevel="0" collapsed="false">
      <c r="A1232" s="0" t="s">
        <v>4738</v>
      </c>
      <c r="B1232" s="0" t="s">
        <v>4739</v>
      </c>
      <c r="C1232" s="0" t="s">
        <v>70</v>
      </c>
      <c r="D1232" s="0" t="s">
        <v>141</v>
      </c>
      <c r="E1232" s="3" t="n">
        <v>46275</v>
      </c>
      <c r="F1232" s="4" t="s">
        <v>4746</v>
      </c>
      <c r="G1232" s="5" t="n">
        <v>0.145983796296296</v>
      </c>
      <c r="H1232" s="5" t="n">
        <v>0.122789351851852</v>
      </c>
      <c r="I1232" s="5" t="n">
        <v>0.000231481481481482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1</v>
      </c>
      <c r="O1232" s="5" t="n">
        <v>0</v>
      </c>
      <c r="P1232" s="5" t="n">
        <v>0</v>
      </c>
      <c r="Q1232" s="4" t="s">
        <v>4741</v>
      </c>
      <c r="R1232" s="4" t="s">
        <v>346</v>
      </c>
      <c r="S1232" s="5" t="n">
        <v>0.000115740740740741</v>
      </c>
      <c r="T1232" s="5" t="n">
        <v>0.0568287037037037</v>
      </c>
      <c r="U1232" s="5" t="n">
        <v>0.0393518518518519</v>
      </c>
      <c r="V1232" s="5" t="n">
        <v>0.0476851851851852</v>
      </c>
      <c r="W1232" s="5" t="n">
        <v>0</v>
      </c>
      <c r="X1232" s="5" t="n">
        <v>0</v>
      </c>
      <c r="Y1232" s="5" t="n">
        <v>0</v>
      </c>
      <c r="Z1232" s="0" t="n">
        <v>0</v>
      </c>
      <c r="AA1232" s="0" t="n">
        <v>0</v>
      </c>
      <c r="AB1232" s="0" t="n">
        <v>0</v>
      </c>
      <c r="AC1232" s="4" t="s">
        <v>158</v>
      </c>
      <c r="AD1232" s="4" t="s">
        <v>158</v>
      </c>
      <c r="AE1232" s="4" t="s">
        <v>4745</v>
      </c>
      <c r="AF1232" s="4" t="s">
        <v>4747</v>
      </c>
      <c r="AG1232" s="5" t="n">
        <v>0.11037037037037</v>
      </c>
      <c r="AH1232" s="5" t="n">
        <v>0.0669560185185185</v>
      </c>
      <c r="AI1232" s="5" t="n">
        <v>0</v>
      </c>
      <c r="AJ1232" s="5" t="n">
        <v>0</v>
      </c>
      <c r="AK1232" s="5" t="n">
        <v>0</v>
      </c>
      <c r="AL1232" s="5" t="n">
        <v>0</v>
      </c>
      <c r="AM1232" s="4" t="s">
        <v>78</v>
      </c>
      <c r="AN1232" s="0" t="n">
        <v>0</v>
      </c>
      <c r="AO1232" s="0" t="n">
        <v>0</v>
      </c>
      <c r="AP1232" s="0" t="n">
        <v>0</v>
      </c>
      <c r="AQ1232" s="0" t="n">
        <v>0</v>
      </c>
      <c r="AR1232" s="0" t="n">
        <v>0</v>
      </c>
      <c r="AS1232" s="0" t="n">
        <v>0</v>
      </c>
      <c r="AT1232" s="0" t="n">
        <v>0</v>
      </c>
      <c r="AU1232" s="0" t="n">
        <v>1</v>
      </c>
      <c r="AV1232" s="0" t="n">
        <v>0</v>
      </c>
      <c r="AW1232" s="0" t="n">
        <v>0</v>
      </c>
      <c r="AX1232" s="0" t="n">
        <v>0</v>
      </c>
      <c r="AY1232" s="0" t="n">
        <v>0</v>
      </c>
      <c r="AZ1232" s="0" t="n">
        <v>0</v>
      </c>
      <c r="BA1232" s="0" t="n">
        <v>0</v>
      </c>
      <c r="BB1232" s="0" t="n">
        <v>0</v>
      </c>
      <c r="BC1232" s="0" t="n">
        <v>0</v>
      </c>
      <c r="BD1232" s="0" t="n">
        <v>0</v>
      </c>
      <c r="BE1232" s="0" t="n">
        <v>0</v>
      </c>
      <c r="BF1232" s="0" t="n">
        <v>0</v>
      </c>
      <c r="BG1232" s="0" t="n">
        <v>0</v>
      </c>
      <c r="BH1232" s="0" t="n">
        <v>0</v>
      </c>
      <c r="BI1232" s="0" t="n">
        <v>0</v>
      </c>
      <c r="BJ1232" s="0" t="n">
        <v>0</v>
      </c>
      <c r="BK1232" s="0" t="n">
        <v>0</v>
      </c>
      <c r="BM1232" s="6" t="n">
        <f aca="false">IFERROR(VALUE(F1232),"")</f>
        <v>88.92</v>
      </c>
      <c r="BN1232" s="6" t="n">
        <f aca="false">IF(R1232="-","",IFERROR(VALUE(LEFT(Q1232,LEN(Q1232)-2)),""))</f>
        <v>30</v>
      </c>
      <c r="BO1232" s="6" t="n">
        <f aca="false">IF(R1232="-","",IFERROR(VALUE(LEFT(R1232,LEN(R1232)-5)),""))</f>
        <v>2.96</v>
      </c>
      <c r="BP1232" s="6" t="n">
        <f aca="false">IF(R1232="-","",IFERROR(VALUE(F1232),""))</f>
        <v>88.92</v>
      </c>
      <c r="BQ1232" s="4" t="n">
        <f aca="false">IF(R1232="-",1,0)</f>
        <v>0</v>
      </c>
    </row>
    <row r="1233" customFormat="false" ht="15" hidden="false" customHeight="false" outlineLevel="0" collapsed="false">
      <c r="A1233" s="0" t="s">
        <v>4738</v>
      </c>
      <c r="B1233" s="0" t="s">
        <v>4739</v>
      </c>
      <c r="C1233" s="0" t="s">
        <v>70</v>
      </c>
      <c r="E1233" s="3" t="n">
        <v>46276</v>
      </c>
      <c r="F1233" s="4" t="s">
        <v>205</v>
      </c>
      <c r="G1233" s="5" t="n">
        <v>0.0126041666666667</v>
      </c>
      <c r="H1233" s="5" t="n">
        <v>0</v>
      </c>
      <c r="I1233" s="5" t="n">
        <v>0.000162037037037037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5" t="n">
        <v>0</v>
      </c>
      <c r="P1233" s="5" t="n">
        <v>0.00719907407407407</v>
      </c>
      <c r="Q1233" s="4" t="s">
        <v>3417</v>
      </c>
      <c r="R1233" s="4" t="s">
        <v>4748</v>
      </c>
      <c r="S1233" s="5" t="n">
        <v>0</v>
      </c>
      <c r="T1233" s="5" t="n">
        <v>0.00960648148148148</v>
      </c>
      <c r="U1233" s="5" t="n">
        <v>0.00243055555555556</v>
      </c>
      <c r="V1233" s="5" t="n">
        <v>0.000347222222222222</v>
      </c>
      <c r="W1233" s="5" t="n">
        <v>0</v>
      </c>
      <c r="X1233" s="5" t="n">
        <v>0</v>
      </c>
      <c r="Y1233" s="5" t="n">
        <v>0</v>
      </c>
      <c r="Z1233" s="0" t="n">
        <v>0</v>
      </c>
      <c r="AA1233" s="0" t="n">
        <v>0</v>
      </c>
      <c r="AB1233" s="0" t="n">
        <v>0</v>
      </c>
      <c r="AC1233" s="4" t="s">
        <v>158</v>
      </c>
      <c r="AD1233" s="4" t="s">
        <v>158</v>
      </c>
      <c r="AE1233" s="4" t="s">
        <v>4747</v>
      </c>
      <c r="AF1233" s="4" t="s">
        <v>4749</v>
      </c>
      <c r="AG1233" s="5" t="n">
        <v>0.00244212962962963</v>
      </c>
      <c r="AH1233" s="5" t="n">
        <v>0.0112037037037037</v>
      </c>
      <c r="AI1233" s="5" t="n">
        <v>0</v>
      </c>
      <c r="AJ1233" s="5" t="n">
        <v>0</v>
      </c>
      <c r="AK1233" s="5" t="n">
        <v>0</v>
      </c>
      <c r="AL1233" s="5" t="n">
        <v>0</v>
      </c>
      <c r="AM1233" s="4" t="s">
        <v>78</v>
      </c>
      <c r="AN1233" s="0" t="n">
        <v>0</v>
      </c>
      <c r="AO1233" s="0" t="n">
        <v>0</v>
      </c>
      <c r="AP1233" s="0" t="n">
        <v>0</v>
      </c>
      <c r="AQ1233" s="0" t="n">
        <v>0</v>
      </c>
      <c r="AR1233" s="0" t="n">
        <v>0</v>
      </c>
      <c r="AS1233" s="0" t="n">
        <v>0</v>
      </c>
      <c r="AT1233" s="0" t="n">
        <v>0</v>
      </c>
      <c r="AU1233" s="0" t="n">
        <v>0</v>
      </c>
      <c r="AV1233" s="0" t="n">
        <v>0</v>
      </c>
      <c r="AW1233" s="0" t="n">
        <v>0</v>
      </c>
      <c r="AX1233" s="0" t="n">
        <v>0</v>
      </c>
      <c r="AY1233" s="0" t="n">
        <v>0</v>
      </c>
      <c r="AZ1233" s="0" t="n">
        <v>0</v>
      </c>
      <c r="BA1233" s="0" t="n">
        <v>0</v>
      </c>
      <c r="BB1233" s="0" t="n">
        <v>0</v>
      </c>
      <c r="BC1233" s="0" t="n">
        <v>0</v>
      </c>
      <c r="BD1233" s="0" t="n">
        <v>0</v>
      </c>
      <c r="BE1233" s="0" t="n">
        <v>0</v>
      </c>
      <c r="BF1233" s="0" t="n">
        <v>0</v>
      </c>
      <c r="BG1233" s="0" t="n">
        <v>0</v>
      </c>
      <c r="BH1233" s="0" t="n">
        <v>0</v>
      </c>
      <c r="BI1233" s="0" t="n">
        <v>0</v>
      </c>
      <c r="BJ1233" s="0" t="n">
        <v>0</v>
      </c>
      <c r="BK1233" s="0" t="n">
        <v>0</v>
      </c>
      <c r="BM1233" s="6" t="n">
        <f aca="false">IFERROR(VALUE(F1233),"")</f>
        <v>0.23</v>
      </c>
      <c r="BN1233" s="6" t="n">
        <f aca="false">IF(R1233="-","",IFERROR(VALUE(LEFT(Q1233,LEN(Q1233)-2)),""))</f>
        <v>1</v>
      </c>
      <c r="BO1233" s="6" t="n">
        <f aca="false">IF(R1233="-","",IFERROR(VALUE(LEFT(R1233,LEN(R1233)-5)),""))</f>
        <v>0.23</v>
      </c>
      <c r="BP1233" s="6" t="n">
        <f aca="false">IF(R1233="-","",IFERROR(VALUE(F1233),""))</f>
        <v>0.23</v>
      </c>
      <c r="BQ1233" s="4" t="n">
        <f aca="false">IF(R1233="-",1,0)</f>
        <v>0</v>
      </c>
    </row>
    <row r="1234" customFormat="false" ht="15" hidden="false" customHeight="false" outlineLevel="0" collapsed="false">
      <c r="A1234" s="0" t="s">
        <v>4738</v>
      </c>
      <c r="B1234" s="0" t="s">
        <v>4739</v>
      </c>
      <c r="C1234" s="0" t="s">
        <v>70</v>
      </c>
      <c r="E1234" s="3" t="n">
        <v>46279</v>
      </c>
      <c r="F1234" s="4" t="s">
        <v>1158</v>
      </c>
      <c r="G1234" s="5" t="n">
        <v>0.00717592592592593</v>
      </c>
      <c r="H1234" s="5" t="n">
        <v>0</v>
      </c>
      <c r="I1234" s="5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5" t="n">
        <v>0</v>
      </c>
      <c r="P1234" s="5" t="n">
        <v>0</v>
      </c>
      <c r="Q1234" s="4" t="s">
        <v>73</v>
      </c>
      <c r="R1234" s="4" t="s">
        <v>73</v>
      </c>
      <c r="S1234" s="5" t="n">
        <v>0</v>
      </c>
      <c r="T1234" s="5" t="n">
        <v>0.00520833333333333</v>
      </c>
      <c r="U1234" s="5" t="n">
        <v>0.00173611111111111</v>
      </c>
      <c r="V1234" s="5" t="n">
        <v>0.000115740740740741</v>
      </c>
      <c r="W1234" s="5" t="n">
        <v>0</v>
      </c>
      <c r="X1234" s="5" t="n">
        <v>0</v>
      </c>
      <c r="Y1234" s="5" t="n">
        <v>0</v>
      </c>
      <c r="Z1234" s="0" t="n">
        <v>0</v>
      </c>
      <c r="AA1234" s="0" t="n">
        <v>0</v>
      </c>
      <c r="AB1234" s="0" t="n">
        <v>0</v>
      </c>
      <c r="AC1234" s="4" t="s">
        <v>158</v>
      </c>
      <c r="AD1234" s="4" t="s">
        <v>158</v>
      </c>
      <c r="AE1234" s="4" t="s">
        <v>4749</v>
      </c>
      <c r="AF1234" s="4" t="s">
        <v>4750</v>
      </c>
      <c r="AG1234" s="5" t="n">
        <v>0.00104166666666667</v>
      </c>
      <c r="AH1234" s="5" t="n">
        <v>0.0065625</v>
      </c>
      <c r="AI1234" s="5" t="n">
        <v>0</v>
      </c>
      <c r="AJ1234" s="5" t="n">
        <v>0</v>
      </c>
      <c r="AK1234" s="5" t="n">
        <v>0</v>
      </c>
      <c r="AL1234" s="5" t="n">
        <v>0</v>
      </c>
      <c r="AM1234" s="4" t="s">
        <v>78</v>
      </c>
      <c r="AN1234" s="0" t="n">
        <v>0</v>
      </c>
      <c r="AO1234" s="0" t="n">
        <v>0</v>
      </c>
      <c r="AP1234" s="0" t="n">
        <v>0</v>
      </c>
      <c r="AQ1234" s="0" t="n">
        <v>0</v>
      </c>
      <c r="AR1234" s="0" t="n">
        <v>0</v>
      </c>
      <c r="AS1234" s="0" t="n">
        <v>0</v>
      </c>
      <c r="AT1234" s="0" t="n">
        <v>0</v>
      </c>
      <c r="AU1234" s="0" t="n">
        <v>0</v>
      </c>
      <c r="AV1234" s="0" t="n">
        <v>0</v>
      </c>
      <c r="AW1234" s="0" t="n">
        <v>0</v>
      </c>
      <c r="AX1234" s="0" t="n">
        <v>0</v>
      </c>
      <c r="AY1234" s="0" t="n">
        <v>0</v>
      </c>
      <c r="AZ1234" s="0" t="n">
        <v>0</v>
      </c>
      <c r="BA1234" s="0" t="n">
        <v>0</v>
      </c>
      <c r="BB1234" s="0" t="n">
        <v>0</v>
      </c>
      <c r="BC1234" s="0" t="n">
        <v>0</v>
      </c>
      <c r="BD1234" s="0" t="n">
        <v>0</v>
      </c>
      <c r="BE1234" s="0" t="n">
        <v>0</v>
      </c>
      <c r="BF1234" s="0" t="n">
        <v>0</v>
      </c>
      <c r="BG1234" s="0" t="n">
        <v>0</v>
      </c>
      <c r="BH1234" s="0" t="n">
        <v>0</v>
      </c>
      <c r="BI1234" s="0" t="n">
        <v>0</v>
      </c>
      <c r="BJ1234" s="0" t="n">
        <v>0</v>
      </c>
      <c r="BK1234" s="0" t="n">
        <v>0</v>
      </c>
      <c r="BM1234" s="6" t="n">
        <f aca="false">IFERROR(VALUE(F1234),"")</f>
        <v>0.04</v>
      </c>
      <c r="BN1234" s="6" t="str">
        <f aca="false">IF(R1234="-","",IFERROR(VALUE(LEFT(Q1234,LEN(Q1234)-2)),""))</f>
        <v/>
      </c>
      <c r="BO1234" s="6" t="str">
        <f aca="false">IF(R1234="-","",IFERROR(VALUE(LEFT(R1234,LEN(R1234)-5)),""))</f>
        <v/>
      </c>
      <c r="BP1234" s="6" t="str">
        <f aca="false">IF(R1234="-","",IFERROR(VALUE(F1234),""))</f>
        <v/>
      </c>
      <c r="BQ1234" s="4" t="n">
        <f aca="false">IF(R1234="-",1,0)</f>
        <v>1</v>
      </c>
    </row>
    <row r="1235" customFormat="false" ht="15" hidden="false" customHeight="false" outlineLevel="0" collapsed="false">
      <c r="A1235" s="0" t="s">
        <v>4751</v>
      </c>
      <c r="B1235" s="0" t="s">
        <v>4752</v>
      </c>
      <c r="C1235" s="0" t="s">
        <v>70</v>
      </c>
      <c r="D1235" s="0" t="s">
        <v>4753</v>
      </c>
      <c r="E1235" s="3" t="n">
        <v>46273</v>
      </c>
      <c r="F1235" s="4" t="s">
        <v>4754</v>
      </c>
      <c r="G1235" s="5" t="n">
        <v>0.403645833333333</v>
      </c>
      <c r="H1235" s="7" t="n">
        <v>1.28841435185185</v>
      </c>
      <c r="I1235" s="5" t="n">
        <v>0.000162037037037037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5" t="n">
        <v>0</v>
      </c>
      <c r="P1235" s="5" t="n">
        <v>0.0071412037037037</v>
      </c>
      <c r="Q1235" s="4" t="s">
        <v>4755</v>
      </c>
      <c r="R1235" s="4" t="s">
        <v>1066</v>
      </c>
      <c r="S1235" s="5" t="n">
        <v>0.000925925925925926</v>
      </c>
      <c r="T1235" s="5" t="n">
        <v>0.0896990740740741</v>
      </c>
      <c r="U1235" s="5" t="n">
        <v>0.236689814814815</v>
      </c>
      <c r="V1235" s="5" t="n">
        <v>0.00520833333333333</v>
      </c>
      <c r="W1235" s="5" t="n">
        <v>0</v>
      </c>
      <c r="X1235" s="5" t="n">
        <v>0</v>
      </c>
      <c r="Y1235" s="5" t="n">
        <v>0</v>
      </c>
      <c r="Z1235" s="0" t="n">
        <v>0</v>
      </c>
      <c r="AA1235" s="0" t="n">
        <v>0</v>
      </c>
      <c r="AB1235" s="0" t="n">
        <v>0</v>
      </c>
      <c r="AC1235" s="4" t="s">
        <v>994</v>
      </c>
      <c r="AD1235" s="4" t="s">
        <v>228</v>
      </c>
      <c r="AE1235" s="4" t="s">
        <v>4756</v>
      </c>
      <c r="AF1235" s="4" t="s">
        <v>4757</v>
      </c>
      <c r="AG1235" s="5" t="n">
        <v>0.2796875</v>
      </c>
      <c r="AH1235" s="5" t="n">
        <v>0.190393518518519</v>
      </c>
      <c r="AI1235" s="5" t="n">
        <v>0</v>
      </c>
      <c r="AJ1235" s="5" t="n">
        <v>0</v>
      </c>
      <c r="AK1235" s="5" t="n">
        <v>0</v>
      </c>
      <c r="AL1235" s="5" t="n">
        <v>0</v>
      </c>
      <c r="AM1235" s="4" t="s">
        <v>78</v>
      </c>
      <c r="AN1235" s="0" t="n">
        <v>0</v>
      </c>
      <c r="AO1235" s="0" t="n">
        <v>0</v>
      </c>
      <c r="AP1235" s="0" t="n">
        <v>0</v>
      </c>
      <c r="AQ1235" s="0" t="n">
        <v>0</v>
      </c>
      <c r="AR1235" s="0" t="n">
        <v>0</v>
      </c>
      <c r="AS1235" s="0" t="n">
        <v>0</v>
      </c>
      <c r="AT1235" s="0" t="n">
        <v>0</v>
      </c>
      <c r="AU1235" s="0" t="n">
        <v>0</v>
      </c>
      <c r="AV1235" s="0" t="n">
        <v>0</v>
      </c>
      <c r="AW1235" s="0" t="n">
        <v>0</v>
      </c>
      <c r="AX1235" s="0" t="n">
        <v>0</v>
      </c>
      <c r="AY1235" s="0" t="n">
        <v>0</v>
      </c>
      <c r="AZ1235" s="0" t="n">
        <v>0</v>
      </c>
      <c r="BA1235" s="0" t="n">
        <v>0</v>
      </c>
      <c r="BB1235" s="0" t="n">
        <v>0</v>
      </c>
      <c r="BC1235" s="0" t="n">
        <v>0</v>
      </c>
      <c r="BD1235" s="0" t="n">
        <v>0</v>
      </c>
      <c r="BE1235" s="0" t="n">
        <v>0</v>
      </c>
      <c r="BF1235" s="0" t="n">
        <v>0</v>
      </c>
      <c r="BG1235" s="0" t="n">
        <v>0</v>
      </c>
      <c r="BH1235" s="0" t="n">
        <v>0</v>
      </c>
      <c r="BI1235" s="0" t="n">
        <v>0</v>
      </c>
      <c r="BJ1235" s="0" t="n">
        <v>0</v>
      </c>
      <c r="BK1235" s="0" t="n">
        <v>0</v>
      </c>
      <c r="BM1235" s="6" t="n">
        <f aca="false">IFERROR(VALUE(F1235),"")</f>
        <v>404.59</v>
      </c>
      <c r="BN1235" s="6" t="n">
        <f aca="false">IF(R1235="-","",IFERROR(VALUE(LEFT(Q1235,LEN(Q1235)-2)),""))</f>
        <v>112.66</v>
      </c>
      <c r="BO1235" s="6" t="n">
        <f aca="false">IF(R1235="-","",IFERROR(VALUE(LEFT(R1235,LEN(R1235)-5)),""))</f>
        <v>3.59</v>
      </c>
      <c r="BP1235" s="6" t="n">
        <f aca="false">IF(R1235="-","",IFERROR(VALUE(F1235),""))</f>
        <v>404.59</v>
      </c>
      <c r="BQ1235" s="4" t="n">
        <f aca="false">IF(R1235="-",1,0)</f>
        <v>0</v>
      </c>
    </row>
    <row r="1236" customFormat="false" ht="15" hidden="false" customHeight="false" outlineLevel="0" collapsed="false">
      <c r="A1236" s="0" t="s">
        <v>4751</v>
      </c>
      <c r="B1236" s="0" t="s">
        <v>4752</v>
      </c>
      <c r="C1236" s="0" t="s">
        <v>70</v>
      </c>
      <c r="D1236" s="0" t="s">
        <v>4758</v>
      </c>
      <c r="E1236" s="3" t="n">
        <v>46274</v>
      </c>
      <c r="F1236" s="4" t="s">
        <v>95</v>
      </c>
      <c r="G1236" s="5" t="n">
        <v>0.0237847222222222</v>
      </c>
      <c r="H1236" s="5" t="n">
        <v>0.999988425925926</v>
      </c>
      <c r="I1236" s="5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5" t="n">
        <v>0</v>
      </c>
      <c r="P1236" s="5" t="n">
        <v>0</v>
      </c>
      <c r="Q1236" s="4" t="s">
        <v>73</v>
      </c>
      <c r="R1236" s="4" t="s">
        <v>73</v>
      </c>
      <c r="S1236" s="5" t="n">
        <v>0</v>
      </c>
      <c r="T1236" s="5" t="n">
        <v>0</v>
      </c>
      <c r="U1236" s="5" t="n">
        <v>0</v>
      </c>
      <c r="V1236" s="5" t="n">
        <v>0</v>
      </c>
      <c r="W1236" s="5" t="n">
        <v>0</v>
      </c>
      <c r="X1236" s="5" t="n">
        <v>0</v>
      </c>
      <c r="Y1236" s="5" t="n">
        <v>0</v>
      </c>
      <c r="Z1236" s="0" t="n">
        <v>0</v>
      </c>
      <c r="AA1236" s="0" t="n">
        <v>0</v>
      </c>
      <c r="AB1236" s="0" t="n">
        <v>0</v>
      </c>
      <c r="AC1236" s="4" t="s">
        <v>75</v>
      </c>
      <c r="AD1236" s="4" t="s">
        <v>75</v>
      </c>
      <c r="AE1236" s="4" t="s">
        <v>4757</v>
      </c>
      <c r="AF1236" s="4" t="s">
        <v>4757</v>
      </c>
      <c r="AG1236" s="5" t="n">
        <v>0</v>
      </c>
      <c r="AH1236" s="5" t="n">
        <v>0.0416666666666667</v>
      </c>
      <c r="AI1236" s="5" t="n">
        <v>0</v>
      </c>
      <c r="AJ1236" s="5" t="n">
        <v>0</v>
      </c>
      <c r="AK1236" s="5" t="n">
        <v>0</v>
      </c>
      <c r="AL1236" s="5" t="n">
        <v>0</v>
      </c>
      <c r="AM1236" s="4" t="s">
        <v>78</v>
      </c>
      <c r="AN1236" s="0" t="n">
        <v>0</v>
      </c>
      <c r="AO1236" s="0" t="n">
        <v>0</v>
      </c>
      <c r="AP1236" s="0" t="n">
        <v>0</v>
      </c>
      <c r="AQ1236" s="0" t="n">
        <v>0</v>
      </c>
      <c r="AR1236" s="0" t="n">
        <v>0</v>
      </c>
      <c r="AS1236" s="0" t="n">
        <v>0</v>
      </c>
      <c r="AT1236" s="0" t="n">
        <v>0</v>
      </c>
      <c r="AU1236" s="0" t="n">
        <v>0</v>
      </c>
      <c r="AV1236" s="0" t="n">
        <v>0</v>
      </c>
      <c r="AW1236" s="0" t="n">
        <v>0</v>
      </c>
      <c r="AX1236" s="0" t="n">
        <v>0</v>
      </c>
      <c r="AY1236" s="0" t="n">
        <v>0</v>
      </c>
      <c r="AZ1236" s="0" t="n">
        <v>0</v>
      </c>
      <c r="BA1236" s="0" t="n">
        <v>0</v>
      </c>
      <c r="BB1236" s="0" t="n">
        <v>0</v>
      </c>
      <c r="BC1236" s="0" t="n">
        <v>0</v>
      </c>
      <c r="BD1236" s="0" t="n">
        <v>0</v>
      </c>
      <c r="BE1236" s="0" t="n">
        <v>0</v>
      </c>
      <c r="BF1236" s="0" t="n">
        <v>0</v>
      </c>
      <c r="BG1236" s="0" t="n">
        <v>0</v>
      </c>
      <c r="BH1236" s="0" t="n">
        <v>0</v>
      </c>
      <c r="BI1236" s="0" t="n">
        <v>0</v>
      </c>
      <c r="BJ1236" s="0" t="n">
        <v>0</v>
      </c>
      <c r="BK1236" s="0" t="n">
        <v>0</v>
      </c>
      <c r="BM1236" s="6" t="n">
        <f aca="false">IFERROR(VALUE(F1236),"")</f>
        <v>0</v>
      </c>
      <c r="BN1236" s="6" t="str">
        <f aca="false">IF(R1236="-","",IFERROR(VALUE(LEFT(Q1236,LEN(Q1236)-2)),""))</f>
        <v/>
      </c>
      <c r="BO1236" s="6" t="str">
        <f aca="false">IF(R1236="-","",IFERROR(VALUE(LEFT(R1236,LEN(R1236)-5)),""))</f>
        <v/>
      </c>
      <c r="BP1236" s="6" t="str">
        <f aca="false">IF(R1236="-","",IFERROR(VALUE(F1236),""))</f>
        <v/>
      </c>
      <c r="BQ1236" s="4" t="n">
        <f aca="false">IF(R1236="-",1,0)</f>
        <v>1</v>
      </c>
    </row>
    <row r="1237" customFormat="false" ht="15" hidden="false" customHeight="false" outlineLevel="0" collapsed="false">
      <c r="A1237" s="0" t="s">
        <v>4751</v>
      </c>
      <c r="B1237" s="0" t="s">
        <v>4752</v>
      </c>
      <c r="C1237" s="0" t="s">
        <v>70</v>
      </c>
      <c r="D1237" s="0" t="s">
        <v>4758</v>
      </c>
      <c r="E1237" s="3" t="n">
        <v>46275</v>
      </c>
      <c r="F1237" s="4" t="s">
        <v>1158</v>
      </c>
      <c r="G1237" s="5" t="n">
        <v>0.00128472222222222</v>
      </c>
      <c r="H1237" s="5" t="n">
        <v>0.999988425925926</v>
      </c>
      <c r="I1237" s="5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5" t="n">
        <v>0</v>
      </c>
      <c r="P1237" s="5" t="n">
        <v>0</v>
      </c>
      <c r="Q1237" s="4" t="s">
        <v>3714</v>
      </c>
      <c r="R1237" s="4" t="s">
        <v>3633</v>
      </c>
      <c r="S1237" s="5" t="n">
        <v>0</v>
      </c>
      <c r="T1237" s="5" t="n">
        <v>0.00115740740740741</v>
      </c>
      <c r="U1237" s="5" t="n">
        <v>0</v>
      </c>
      <c r="V1237" s="5" t="n">
        <v>0</v>
      </c>
      <c r="W1237" s="5" t="n">
        <v>0</v>
      </c>
      <c r="X1237" s="5" t="n">
        <v>0</v>
      </c>
      <c r="Y1237" s="5" t="n">
        <v>0</v>
      </c>
      <c r="Z1237" s="0" t="n">
        <v>0</v>
      </c>
      <c r="AA1237" s="0" t="n">
        <v>0</v>
      </c>
      <c r="AB1237" s="0" t="n">
        <v>0</v>
      </c>
      <c r="AC1237" s="4" t="s">
        <v>75</v>
      </c>
      <c r="AD1237" s="4" t="s">
        <v>75</v>
      </c>
      <c r="AE1237" s="4" t="s">
        <v>4757</v>
      </c>
      <c r="AF1237" s="4" t="s">
        <v>4759</v>
      </c>
      <c r="AG1237" s="5" t="n">
        <v>0.000636574074074074</v>
      </c>
      <c r="AH1237" s="5" t="n">
        <v>0.0176851851851852</v>
      </c>
      <c r="AI1237" s="5" t="n">
        <v>0</v>
      </c>
      <c r="AJ1237" s="5" t="n">
        <v>0</v>
      </c>
      <c r="AK1237" s="5" t="n">
        <v>0</v>
      </c>
      <c r="AL1237" s="5" t="n">
        <v>0</v>
      </c>
      <c r="AM1237" s="4" t="s">
        <v>78</v>
      </c>
      <c r="AN1237" s="0" t="n">
        <v>0</v>
      </c>
      <c r="AO1237" s="0" t="n">
        <v>0</v>
      </c>
      <c r="AP1237" s="0" t="n">
        <v>0</v>
      </c>
      <c r="AQ1237" s="0" t="n">
        <v>0</v>
      </c>
      <c r="AR1237" s="0" t="n">
        <v>0</v>
      </c>
      <c r="AS1237" s="0" t="n">
        <v>0</v>
      </c>
      <c r="AT1237" s="0" t="n">
        <v>0</v>
      </c>
      <c r="AU1237" s="0" t="n">
        <v>0</v>
      </c>
      <c r="AV1237" s="0" t="n">
        <v>0</v>
      </c>
      <c r="AW1237" s="0" t="n">
        <v>0</v>
      </c>
      <c r="AX1237" s="0" t="n">
        <v>0</v>
      </c>
      <c r="AY1237" s="0" t="n">
        <v>0</v>
      </c>
      <c r="AZ1237" s="0" t="n">
        <v>0</v>
      </c>
      <c r="BA1237" s="0" t="n">
        <v>0</v>
      </c>
      <c r="BB1237" s="0" t="n">
        <v>0</v>
      </c>
      <c r="BC1237" s="0" t="n">
        <v>0</v>
      </c>
      <c r="BD1237" s="0" t="n">
        <v>0</v>
      </c>
      <c r="BE1237" s="0" t="n">
        <v>0</v>
      </c>
      <c r="BF1237" s="0" t="n">
        <v>0</v>
      </c>
      <c r="BG1237" s="0" t="n">
        <v>0</v>
      </c>
      <c r="BH1237" s="0" t="n">
        <v>0</v>
      </c>
      <c r="BI1237" s="0" t="n">
        <v>0</v>
      </c>
      <c r="BJ1237" s="0" t="n">
        <v>0</v>
      </c>
      <c r="BK1237" s="0" t="n">
        <v>0</v>
      </c>
      <c r="BM1237" s="6" t="n">
        <f aca="false">IFERROR(VALUE(F1237),"")</f>
        <v>0.04</v>
      </c>
      <c r="BN1237" s="6" t="n">
        <f aca="false">IF(R1237="-","",IFERROR(VALUE(LEFT(Q1237,LEN(Q1237)-2)),""))</f>
        <v>0.08</v>
      </c>
      <c r="BO1237" s="6" t="n">
        <f aca="false">IF(R1237="-","",IFERROR(VALUE(LEFT(R1237,LEN(R1237)-5)),""))</f>
        <v>0.53</v>
      </c>
      <c r="BP1237" s="6" t="n">
        <f aca="false">IF(R1237="-","",IFERROR(VALUE(F1237),""))</f>
        <v>0.04</v>
      </c>
      <c r="BQ1237" s="4" t="n">
        <f aca="false">IF(R1237="-",1,0)</f>
        <v>0</v>
      </c>
    </row>
    <row r="1238" customFormat="false" ht="15" hidden="false" customHeight="false" outlineLevel="0" collapsed="false">
      <c r="A1238" s="0" t="s">
        <v>4751</v>
      </c>
      <c r="B1238" s="0" t="s">
        <v>4752</v>
      </c>
      <c r="C1238" s="0" t="s">
        <v>70</v>
      </c>
      <c r="D1238" s="0" t="s">
        <v>4760</v>
      </c>
      <c r="E1238" s="3" t="n">
        <v>46276</v>
      </c>
      <c r="F1238" s="4" t="s">
        <v>4761</v>
      </c>
      <c r="G1238" s="5" t="n">
        <v>0.289884259259259</v>
      </c>
      <c r="H1238" s="7" t="n">
        <v>1.1969212962963</v>
      </c>
      <c r="I1238" s="5" t="n">
        <v>0.00226851851851852</v>
      </c>
      <c r="J1238" s="0" t="n">
        <v>0</v>
      </c>
      <c r="K1238" s="0" t="n">
        <v>1</v>
      </c>
      <c r="L1238" s="0" t="n">
        <v>0</v>
      </c>
      <c r="M1238" s="0" t="n">
        <v>0</v>
      </c>
      <c r="N1238" s="0" t="n">
        <v>0</v>
      </c>
      <c r="O1238" s="5" t="n">
        <v>0</v>
      </c>
      <c r="P1238" s="5" t="n">
        <v>0</v>
      </c>
      <c r="Q1238" s="4" t="s">
        <v>4762</v>
      </c>
      <c r="R1238" s="4" t="s">
        <v>545</v>
      </c>
      <c r="S1238" s="5" t="n">
        <v>0.000231481481481482</v>
      </c>
      <c r="T1238" s="5" t="n">
        <v>0.0622685185185185</v>
      </c>
      <c r="U1238" s="5" t="n">
        <v>0.132175925925926</v>
      </c>
      <c r="V1238" s="5" t="n">
        <v>0.0087962962962963</v>
      </c>
      <c r="W1238" s="5" t="n">
        <v>0</v>
      </c>
      <c r="X1238" s="5" t="n">
        <v>0</v>
      </c>
      <c r="Y1238" s="5" t="n">
        <v>0</v>
      </c>
      <c r="Z1238" s="0" t="n">
        <v>0</v>
      </c>
      <c r="AA1238" s="0" t="n">
        <v>0</v>
      </c>
      <c r="AB1238" s="0" t="n">
        <v>0</v>
      </c>
      <c r="AC1238" s="4" t="s">
        <v>75</v>
      </c>
      <c r="AD1238" s="4" t="s">
        <v>994</v>
      </c>
      <c r="AE1238" s="4" t="s">
        <v>4759</v>
      </c>
      <c r="AF1238" s="4" t="s">
        <v>4763</v>
      </c>
      <c r="AG1238" s="5" t="n">
        <v>0.161342592592593</v>
      </c>
      <c r="AH1238" s="5" t="n">
        <v>0.204039351851852</v>
      </c>
      <c r="AI1238" s="5" t="n">
        <v>0</v>
      </c>
      <c r="AJ1238" s="5" t="n">
        <v>0</v>
      </c>
      <c r="AK1238" s="5" t="n">
        <v>0</v>
      </c>
      <c r="AL1238" s="5" t="n">
        <v>0</v>
      </c>
      <c r="AM1238" s="4" t="s">
        <v>78</v>
      </c>
      <c r="AN1238" s="0" t="n">
        <v>0</v>
      </c>
      <c r="AO1238" s="0" t="n">
        <v>0</v>
      </c>
      <c r="AP1238" s="0" t="n">
        <v>0</v>
      </c>
      <c r="AQ1238" s="0" t="n">
        <v>0</v>
      </c>
      <c r="AR1238" s="0" t="n">
        <v>0</v>
      </c>
      <c r="AS1238" s="0" t="n">
        <v>0</v>
      </c>
      <c r="AT1238" s="0" t="n">
        <v>0</v>
      </c>
      <c r="AU1238" s="0" t="n">
        <v>0</v>
      </c>
      <c r="AV1238" s="0" t="n">
        <v>0</v>
      </c>
      <c r="AW1238" s="0" t="n">
        <v>0</v>
      </c>
      <c r="AX1238" s="0" t="n">
        <v>0</v>
      </c>
      <c r="AY1238" s="0" t="n">
        <v>0</v>
      </c>
      <c r="AZ1238" s="0" t="n">
        <v>0</v>
      </c>
      <c r="BA1238" s="0" t="n">
        <v>0</v>
      </c>
      <c r="BB1238" s="0" t="n">
        <v>0</v>
      </c>
      <c r="BC1238" s="0" t="n">
        <v>0</v>
      </c>
      <c r="BD1238" s="0" t="n">
        <v>0</v>
      </c>
      <c r="BE1238" s="0" t="n">
        <v>0</v>
      </c>
      <c r="BF1238" s="0" t="n">
        <v>0</v>
      </c>
      <c r="BG1238" s="0" t="n">
        <v>0</v>
      </c>
      <c r="BH1238" s="0" t="n">
        <v>0</v>
      </c>
      <c r="BI1238" s="0" t="n">
        <v>0</v>
      </c>
      <c r="BJ1238" s="0" t="n">
        <v>0</v>
      </c>
      <c r="BK1238" s="0" t="n">
        <v>0</v>
      </c>
      <c r="BM1238" s="6" t="n">
        <f aca="false">IFERROR(VALUE(F1238),"")</f>
        <v>235.97</v>
      </c>
      <c r="BN1238" s="6" t="n">
        <f aca="false">IF(R1238="-","",IFERROR(VALUE(LEFT(Q1238,LEN(Q1238)-2)),""))</f>
        <v>77.48</v>
      </c>
      <c r="BO1238" s="6" t="n">
        <f aca="false">IF(R1238="-","",IFERROR(VALUE(LEFT(R1238,LEN(R1238)-5)),""))</f>
        <v>3.05</v>
      </c>
      <c r="BP1238" s="6" t="n">
        <f aca="false">IF(R1238="-","",IFERROR(VALUE(F1238),""))</f>
        <v>235.97</v>
      </c>
      <c r="BQ1238" s="4" t="n">
        <f aca="false">IF(R1238="-",1,0)</f>
        <v>0</v>
      </c>
    </row>
    <row r="1239" customFormat="false" ht="15" hidden="false" customHeight="false" outlineLevel="0" collapsed="false">
      <c r="A1239" s="0" t="s">
        <v>4751</v>
      </c>
      <c r="B1239" s="0" t="s">
        <v>4752</v>
      </c>
      <c r="C1239" s="0" t="s">
        <v>70</v>
      </c>
      <c r="D1239" s="0" t="s">
        <v>4764</v>
      </c>
      <c r="E1239" s="3" t="n">
        <v>46277</v>
      </c>
      <c r="F1239" s="4" t="s">
        <v>4765</v>
      </c>
      <c r="G1239" s="5" t="n">
        <v>0.829398148148148</v>
      </c>
      <c r="H1239" s="5" t="n">
        <v>0.356550925925926</v>
      </c>
      <c r="I1239" s="5" t="n">
        <v>9.25925925925926E-005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5" t="n">
        <v>0</v>
      </c>
      <c r="P1239" s="5" t="n">
        <v>0.0195138888888889</v>
      </c>
      <c r="Q1239" s="4" t="s">
        <v>4766</v>
      </c>
      <c r="R1239" s="4" t="s">
        <v>4767</v>
      </c>
      <c r="S1239" s="5" t="n">
        <v>0.000925925925925926</v>
      </c>
      <c r="T1239" s="5" t="n">
        <v>0.113194444444444</v>
      </c>
      <c r="U1239" s="5" t="n">
        <v>0.577777777777778</v>
      </c>
      <c r="V1239" s="5" t="n">
        <v>0.0207175925925926</v>
      </c>
      <c r="W1239" s="5" t="n">
        <v>0</v>
      </c>
      <c r="X1239" s="5" t="n">
        <v>0</v>
      </c>
      <c r="Y1239" s="5" t="n">
        <v>0</v>
      </c>
      <c r="Z1239" s="0" t="n">
        <v>0</v>
      </c>
      <c r="AA1239" s="0" t="n">
        <v>0</v>
      </c>
      <c r="AB1239" s="0" t="n">
        <v>0</v>
      </c>
      <c r="AC1239" s="4" t="s">
        <v>994</v>
      </c>
      <c r="AD1239" s="0" t="n">
        <v>70124</v>
      </c>
      <c r="AE1239" s="4" t="s">
        <v>4768</v>
      </c>
      <c r="AF1239" s="4" t="s">
        <v>4769</v>
      </c>
      <c r="AG1239" s="5" t="n">
        <v>0.639166666666667</v>
      </c>
      <c r="AH1239" s="5" t="n">
        <v>0.207395833333333</v>
      </c>
      <c r="AI1239" s="5" t="n">
        <v>0</v>
      </c>
      <c r="AJ1239" s="5" t="n">
        <v>0</v>
      </c>
      <c r="AK1239" s="5" t="n">
        <v>0</v>
      </c>
      <c r="AL1239" s="5" t="n">
        <v>0</v>
      </c>
      <c r="AM1239" s="4" t="s">
        <v>78</v>
      </c>
      <c r="AN1239" s="0" t="n">
        <v>0</v>
      </c>
      <c r="AO1239" s="0" t="n">
        <v>0</v>
      </c>
      <c r="AP1239" s="0" t="n">
        <v>0</v>
      </c>
      <c r="AQ1239" s="0" t="n">
        <v>0</v>
      </c>
      <c r="AR1239" s="0" t="n">
        <v>2</v>
      </c>
      <c r="AS1239" s="0" t="n">
        <v>0</v>
      </c>
      <c r="AT1239" s="0" t="n">
        <v>0</v>
      </c>
      <c r="AU1239" s="0" t="n">
        <v>0</v>
      </c>
      <c r="AV1239" s="0" t="n">
        <v>0</v>
      </c>
      <c r="AW1239" s="0" t="n">
        <v>0</v>
      </c>
      <c r="AX1239" s="0" t="n">
        <v>0</v>
      </c>
      <c r="AY1239" s="0" t="n">
        <v>0</v>
      </c>
      <c r="AZ1239" s="0" t="n">
        <v>0</v>
      </c>
      <c r="BA1239" s="0" t="n">
        <v>0</v>
      </c>
      <c r="BB1239" s="0" t="n">
        <v>0</v>
      </c>
      <c r="BC1239" s="0" t="n">
        <v>0</v>
      </c>
      <c r="BD1239" s="0" t="n">
        <v>0</v>
      </c>
      <c r="BE1239" s="0" t="n">
        <v>0</v>
      </c>
      <c r="BF1239" s="0" t="n">
        <v>0</v>
      </c>
      <c r="BG1239" s="0" t="n">
        <v>0</v>
      </c>
      <c r="BH1239" s="0" t="n">
        <v>0</v>
      </c>
      <c r="BI1239" s="0" t="n">
        <v>0</v>
      </c>
      <c r="BJ1239" s="0" t="n">
        <v>0</v>
      </c>
      <c r="BK1239" s="0" t="n">
        <v>0</v>
      </c>
      <c r="BM1239" s="6" t="n">
        <f aca="false">IFERROR(VALUE(F1239),"")</f>
        <v>1038.36</v>
      </c>
      <c r="BN1239" s="6" t="n">
        <f aca="false">IF(R1239="-","",IFERROR(VALUE(LEFT(Q1239,LEN(Q1239)-2)),""))</f>
        <v>270.32</v>
      </c>
      <c r="BO1239" s="6" t="n">
        <f aca="false">IF(R1239="-","",IFERROR(VALUE(LEFT(R1239,LEN(R1239)-5)),""))</f>
        <v>3.84</v>
      </c>
      <c r="BP1239" s="6" t="n">
        <f aca="false">IF(R1239="-","",IFERROR(VALUE(F1239),""))</f>
        <v>1038.36</v>
      </c>
      <c r="BQ1239" s="4" t="n">
        <f aca="false">IF(R1239="-",1,0)</f>
        <v>0</v>
      </c>
    </row>
    <row r="1240" customFormat="false" ht="15" hidden="false" customHeight="false" outlineLevel="0" collapsed="false">
      <c r="A1240" s="0" t="s">
        <v>4751</v>
      </c>
      <c r="B1240" s="0" t="s">
        <v>4752</v>
      </c>
      <c r="C1240" s="0" t="s">
        <v>70</v>
      </c>
      <c r="D1240" s="0" t="s">
        <v>4770</v>
      </c>
      <c r="E1240" s="3" t="n">
        <v>46278</v>
      </c>
      <c r="F1240" s="4" t="s">
        <v>4771</v>
      </c>
      <c r="G1240" s="5" t="n">
        <v>0.697175925925926</v>
      </c>
      <c r="H1240" s="5" t="n">
        <v>0.229398148148148</v>
      </c>
      <c r="I1240" s="5" t="n">
        <v>0.000150462962962963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5" t="n">
        <v>0</v>
      </c>
      <c r="P1240" s="5" t="n">
        <v>0.0486111111111111</v>
      </c>
      <c r="Q1240" s="4" t="s">
        <v>4772</v>
      </c>
      <c r="R1240" s="4" t="s">
        <v>4773</v>
      </c>
      <c r="S1240" s="5" t="n">
        <v>0.000347222222222222</v>
      </c>
      <c r="T1240" s="5" t="n">
        <v>0.103587962962963</v>
      </c>
      <c r="U1240" s="5" t="n">
        <v>0.459143518518519</v>
      </c>
      <c r="V1240" s="5" t="n">
        <v>0.0170138888888889</v>
      </c>
      <c r="W1240" s="5" t="n">
        <v>0</v>
      </c>
      <c r="X1240" s="5" t="n">
        <v>0</v>
      </c>
      <c r="Y1240" s="5" t="n">
        <v>0</v>
      </c>
      <c r="Z1240" s="0" t="n">
        <v>0</v>
      </c>
      <c r="AA1240" s="0" t="n">
        <v>0</v>
      </c>
      <c r="AB1240" s="0" t="n">
        <v>0</v>
      </c>
      <c r="AC1240" s="0" t="n">
        <v>70124</v>
      </c>
      <c r="AD1240" s="4" t="s">
        <v>994</v>
      </c>
      <c r="AE1240" s="4" t="s">
        <v>4769</v>
      </c>
      <c r="AF1240" s="4" t="s">
        <v>4774</v>
      </c>
      <c r="AG1240" s="5" t="n">
        <v>0.512962962962963</v>
      </c>
      <c r="AH1240" s="5" t="n">
        <v>0.187881944444444</v>
      </c>
      <c r="AI1240" s="5" t="n">
        <v>0</v>
      </c>
      <c r="AJ1240" s="5" t="n">
        <v>0</v>
      </c>
      <c r="AK1240" s="5" t="n">
        <v>0</v>
      </c>
      <c r="AL1240" s="5" t="n">
        <v>0</v>
      </c>
      <c r="AM1240" s="4" t="s">
        <v>78</v>
      </c>
      <c r="AN1240" s="0" t="n">
        <v>0</v>
      </c>
      <c r="AO1240" s="0" t="n">
        <v>0</v>
      </c>
      <c r="AP1240" s="0" t="n">
        <v>0</v>
      </c>
      <c r="AQ1240" s="0" t="n">
        <v>0</v>
      </c>
      <c r="AR1240" s="0" t="n">
        <v>0</v>
      </c>
      <c r="AS1240" s="0" t="n">
        <v>0</v>
      </c>
      <c r="AT1240" s="0" t="n">
        <v>0</v>
      </c>
      <c r="AU1240" s="0" t="n">
        <v>0</v>
      </c>
      <c r="AV1240" s="0" t="n">
        <v>0</v>
      </c>
      <c r="AW1240" s="0" t="n">
        <v>0</v>
      </c>
      <c r="AX1240" s="0" t="n">
        <v>0</v>
      </c>
      <c r="AY1240" s="0" t="n">
        <v>0</v>
      </c>
      <c r="AZ1240" s="0" t="n">
        <v>0</v>
      </c>
      <c r="BA1240" s="0" t="n">
        <v>0</v>
      </c>
      <c r="BB1240" s="0" t="n">
        <v>0</v>
      </c>
      <c r="BC1240" s="0" t="n">
        <v>0</v>
      </c>
      <c r="BD1240" s="0" t="n">
        <v>0</v>
      </c>
      <c r="BE1240" s="0" t="n">
        <v>0</v>
      </c>
      <c r="BF1240" s="0" t="n">
        <v>0</v>
      </c>
      <c r="BG1240" s="0" t="n">
        <v>0</v>
      </c>
      <c r="BH1240" s="0" t="n">
        <v>0</v>
      </c>
      <c r="BI1240" s="0" t="n">
        <v>0</v>
      </c>
      <c r="BJ1240" s="0" t="n">
        <v>0</v>
      </c>
      <c r="BK1240" s="0" t="n">
        <v>0</v>
      </c>
      <c r="BM1240" s="6" t="n">
        <f aca="false">IFERROR(VALUE(F1240),"")</f>
        <v>842.21</v>
      </c>
      <c r="BN1240" s="6" t="n">
        <f aca="false">IF(R1240="-","",IFERROR(VALUE(LEFT(Q1240,LEN(Q1240)-2)),""))</f>
        <v>218.54</v>
      </c>
      <c r="BO1240" s="6" t="n">
        <f aca="false">IF(R1240="-","",IFERROR(VALUE(LEFT(R1240,LEN(R1240)-5)),""))</f>
        <v>3.85</v>
      </c>
      <c r="BP1240" s="6" t="n">
        <f aca="false">IF(R1240="-","",IFERROR(VALUE(F1240),""))</f>
        <v>842.21</v>
      </c>
      <c r="BQ1240" s="4" t="n">
        <f aca="false">IF(R1240="-",1,0)</f>
        <v>0</v>
      </c>
    </row>
    <row r="1241" customFormat="false" ht="15" hidden="false" customHeight="false" outlineLevel="0" collapsed="false">
      <c r="A1241" s="0" t="s">
        <v>4751</v>
      </c>
      <c r="B1241" s="0" t="s">
        <v>4752</v>
      </c>
      <c r="C1241" s="0" t="s">
        <v>70</v>
      </c>
      <c r="D1241" s="0" t="s">
        <v>4775</v>
      </c>
      <c r="E1241" s="3" t="n">
        <v>46279</v>
      </c>
      <c r="F1241" s="4" t="s">
        <v>4776</v>
      </c>
      <c r="G1241" s="5" t="n">
        <v>0.430474537037037</v>
      </c>
      <c r="H1241" s="5" t="n">
        <v>0.307569444444445</v>
      </c>
      <c r="I1241" s="5" t="n">
        <v>0.000520833333333333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5" t="n">
        <v>0</v>
      </c>
      <c r="P1241" s="5" t="n">
        <v>0.0326967592592593</v>
      </c>
      <c r="Q1241" s="4" t="s">
        <v>4777</v>
      </c>
      <c r="R1241" s="4" t="s">
        <v>3661</v>
      </c>
      <c r="S1241" s="5" t="n">
        <v>0.000347222222222222</v>
      </c>
      <c r="T1241" s="5" t="n">
        <v>0.068287037037037</v>
      </c>
      <c r="U1241" s="5" t="n">
        <v>0.25787037037037</v>
      </c>
      <c r="V1241" s="5" t="n">
        <v>0.00856481481481482</v>
      </c>
      <c r="W1241" s="5" t="n">
        <v>0.000115740740740741</v>
      </c>
      <c r="X1241" s="5" t="n">
        <v>0</v>
      </c>
      <c r="Y1241" s="5" t="n">
        <v>0</v>
      </c>
      <c r="Z1241" s="0" t="n">
        <v>0</v>
      </c>
      <c r="AA1241" s="0" t="n">
        <v>0</v>
      </c>
      <c r="AB1241" s="0" t="n">
        <v>0</v>
      </c>
      <c r="AC1241" s="4" t="s">
        <v>994</v>
      </c>
      <c r="AD1241" s="4" t="s">
        <v>75</v>
      </c>
      <c r="AE1241" s="4" t="s">
        <v>4778</v>
      </c>
      <c r="AF1241" s="4" t="s">
        <v>4779</v>
      </c>
      <c r="AG1241" s="5" t="n">
        <v>0.2878125</v>
      </c>
      <c r="AH1241" s="5" t="n">
        <v>0.993645833333333</v>
      </c>
      <c r="AI1241" s="5" t="n">
        <v>0</v>
      </c>
      <c r="AJ1241" s="5" t="n">
        <v>0</v>
      </c>
      <c r="AK1241" s="5" t="n">
        <v>0</v>
      </c>
      <c r="AL1241" s="5" t="n">
        <v>0</v>
      </c>
      <c r="AM1241" s="4" t="s">
        <v>78</v>
      </c>
      <c r="AN1241" s="0" t="n">
        <v>0</v>
      </c>
      <c r="AO1241" s="0" t="n">
        <v>0</v>
      </c>
      <c r="AP1241" s="0" t="n">
        <v>0</v>
      </c>
      <c r="AQ1241" s="0" t="n">
        <v>0</v>
      </c>
      <c r="AR1241" s="0" t="n">
        <v>0</v>
      </c>
      <c r="AS1241" s="0" t="n">
        <v>0</v>
      </c>
      <c r="AT1241" s="0" t="n">
        <v>0</v>
      </c>
      <c r="AU1241" s="0" t="n">
        <v>0</v>
      </c>
      <c r="AV1241" s="0" t="n">
        <v>0</v>
      </c>
      <c r="AW1241" s="0" t="n">
        <v>0</v>
      </c>
      <c r="AX1241" s="0" t="n">
        <v>0</v>
      </c>
      <c r="AY1241" s="0" t="n">
        <v>0</v>
      </c>
      <c r="AZ1241" s="0" t="n">
        <v>0</v>
      </c>
      <c r="BA1241" s="0" t="n">
        <v>0</v>
      </c>
      <c r="BB1241" s="0" t="n">
        <v>0</v>
      </c>
      <c r="BC1241" s="0" t="n">
        <v>0</v>
      </c>
      <c r="BD1241" s="0" t="n">
        <v>0</v>
      </c>
      <c r="BE1241" s="0" t="n">
        <v>0</v>
      </c>
      <c r="BF1241" s="0" t="n">
        <v>0</v>
      </c>
      <c r="BG1241" s="0" t="n">
        <v>0</v>
      </c>
      <c r="BH1241" s="0" t="n">
        <v>0</v>
      </c>
      <c r="BI1241" s="0" t="n">
        <v>0</v>
      </c>
      <c r="BJ1241" s="0" t="n">
        <v>0</v>
      </c>
      <c r="BK1241" s="0" t="n">
        <v>0</v>
      </c>
      <c r="BM1241" s="6" t="n">
        <f aca="false">IFERROR(VALUE(F1241),"")</f>
        <v>435.08</v>
      </c>
      <c r="BN1241" s="6" t="n">
        <f aca="false">IF(R1241="-","",IFERROR(VALUE(LEFT(Q1241,LEN(Q1241)-2)),""))</f>
        <v>120.6</v>
      </c>
      <c r="BO1241" s="6" t="n">
        <f aca="false">IF(R1241="-","",IFERROR(VALUE(LEFT(R1241,LEN(R1241)-5)),""))</f>
        <v>3.61</v>
      </c>
      <c r="BP1241" s="6" t="n">
        <f aca="false">IF(R1241="-","",IFERROR(VALUE(F1241),""))</f>
        <v>435.08</v>
      </c>
      <c r="BQ1241" s="4" t="n">
        <f aca="false">IF(R1241="-",1,0)</f>
        <v>0</v>
      </c>
    </row>
    <row r="1242" customFormat="false" ht="15" hidden="false" customHeight="false" outlineLevel="0" collapsed="false">
      <c r="A1242" s="0" t="s">
        <v>4780</v>
      </c>
      <c r="B1242" s="0" t="s">
        <v>4781</v>
      </c>
      <c r="C1242" s="0" t="s">
        <v>70</v>
      </c>
      <c r="D1242" s="0" t="s">
        <v>4782</v>
      </c>
      <c r="E1242" s="3" t="n">
        <v>46273</v>
      </c>
      <c r="F1242" s="4" t="s">
        <v>4783</v>
      </c>
      <c r="G1242" s="5" t="n">
        <v>0.786736111111111</v>
      </c>
      <c r="H1242" s="5" t="n">
        <v>0.3403125</v>
      </c>
      <c r="I1242" s="5" t="n">
        <v>0.00118055555555556</v>
      </c>
      <c r="J1242" s="0" t="n">
        <v>0</v>
      </c>
      <c r="K1242" s="0" t="n">
        <v>1</v>
      </c>
      <c r="L1242" s="0" t="n">
        <v>0</v>
      </c>
      <c r="M1242" s="0" t="n">
        <v>0</v>
      </c>
      <c r="N1242" s="0" t="n">
        <v>0</v>
      </c>
      <c r="O1242" s="5" t="n">
        <v>0</v>
      </c>
      <c r="P1242" s="5" t="n">
        <v>0</v>
      </c>
      <c r="Q1242" s="4" t="s">
        <v>4784</v>
      </c>
      <c r="R1242" s="4" t="s">
        <v>3133</v>
      </c>
      <c r="S1242" s="5" t="n">
        <v>0.000694444444444445</v>
      </c>
      <c r="T1242" s="5" t="n">
        <v>0.0996527777777778</v>
      </c>
      <c r="U1242" s="5" t="n">
        <v>0.579282407407407</v>
      </c>
      <c r="V1242" s="5" t="n">
        <v>0.0300925925925926</v>
      </c>
      <c r="W1242" s="5" t="n">
        <v>0</v>
      </c>
      <c r="X1242" s="5" t="n">
        <v>0</v>
      </c>
      <c r="Y1242" s="5" t="n">
        <v>0</v>
      </c>
      <c r="Z1242" s="0" t="n">
        <v>0</v>
      </c>
      <c r="AA1242" s="0" t="n">
        <v>0</v>
      </c>
      <c r="AB1242" s="0" t="n">
        <v>0</v>
      </c>
      <c r="AC1242" s="4" t="s">
        <v>994</v>
      </c>
      <c r="AD1242" s="0" t="n">
        <v>70124</v>
      </c>
      <c r="AE1242" s="4" t="s">
        <v>4785</v>
      </c>
      <c r="AF1242" s="4" t="s">
        <v>4786</v>
      </c>
      <c r="AG1242" s="5" t="n">
        <v>0.681215277777778</v>
      </c>
      <c r="AH1242" s="5" t="n">
        <v>0.153194444444444</v>
      </c>
      <c r="AI1242" s="5" t="n">
        <v>0</v>
      </c>
      <c r="AJ1242" s="5" t="n">
        <v>0</v>
      </c>
      <c r="AK1242" s="5" t="n">
        <v>0</v>
      </c>
      <c r="AL1242" s="5" t="n">
        <v>0</v>
      </c>
      <c r="AM1242" s="4" t="s">
        <v>78</v>
      </c>
      <c r="AN1242" s="0" t="n">
        <v>0</v>
      </c>
      <c r="AO1242" s="0" t="n">
        <v>0</v>
      </c>
      <c r="AP1242" s="0" t="n">
        <v>0</v>
      </c>
      <c r="AQ1242" s="0" t="n">
        <v>0</v>
      </c>
      <c r="AR1242" s="0" t="n">
        <v>0</v>
      </c>
      <c r="AS1242" s="0" t="n">
        <v>0</v>
      </c>
      <c r="AT1242" s="0" t="n">
        <v>0</v>
      </c>
      <c r="AU1242" s="0" t="n">
        <v>0</v>
      </c>
      <c r="AV1242" s="0" t="n">
        <v>0</v>
      </c>
      <c r="AW1242" s="0" t="n">
        <v>0</v>
      </c>
      <c r="AX1242" s="0" t="n">
        <v>0</v>
      </c>
      <c r="AY1242" s="0" t="n">
        <v>0</v>
      </c>
      <c r="AZ1242" s="0" t="n">
        <v>0</v>
      </c>
      <c r="BA1242" s="0" t="n">
        <v>0</v>
      </c>
      <c r="BB1242" s="0" t="n">
        <v>0</v>
      </c>
      <c r="BC1242" s="0" t="n">
        <v>0</v>
      </c>
      <c r="BD1242" s="0" t="n">
        <v>0</v>
      </c>
      <c r="BE1242" s="0" t="n">
        <v>0</v>
      </c>
      <c r="BF1242" s="0" t="n">
        <v>0</v>
      </c>
      <c r="BG1242" s="0" t="n">
        <v>0</v>
      </c>
      <c r="BH1242" s="0" t="n">
        <v>0</v>
      </c>
      <c r="BI1242" s="0" t="n">
        <v>0</v>
      </c>
      <c r="BJ1242" s="0" t="n">
        <v>0</v>
      </c>
      <c r="BK1242" s="0" t="n">
        <v>0</v>
      </c>
      <c r="BM1242" s="6" t="n">
        <f aca="false">IFERROR(VALUE(F1242),"")</f>
        <v>1018.72</v>
      </c>
      <c r="BN1242" s="6" t="n">
        <f aca="false">IF(R1242="-","",IFERROR(VALUE(LEFT(Q1242,LEN(Q1242)-2)),""))</f>
        <v>286.02</v>
      </c>
      <c r="BO1242" s="6" t="n">
        <f aca="false">IF(R1242="-","",IFERROR(VALUE(LEFT(R1242,LEN(R1242)-5)),""))</f>
        <v>3.56</v>
      </c>
      <c r="BP1242" s="6" t="n">
        <f aca="false">IF(R1242="-","",IFERROR(VALUE(F1242),""))</f>
        <v>1018.72</v>
      </c>
      <c r="BQ1242" s="4" t="n">
        <f aca="false">IF(R1242="-",1,0)</f>
        <v>0</v>
      </c>
    </row>
    <row r="1243" customFormat="false" ht="15" hidden="false" customHeight="false" outlineLevel="0" collapsed="false">
      <c r="A1243" s="0" t="s">
        <v>4780</v>
      </c>
      <c r="B1243" s="0" t="s">
        <v>4781</v>
      </c>
      <c r="C1243" s="0" t="s">
        <v>70</v>
      </c>
      <c r="E1243" s="3" t="n">
        <v>46274</v>
      </c>
      <c r="F1243" s="4" t="s">
        <v>216</v>
      </c>
      <c r="G1243" s="5" t="n">
        <v>0.0258333333333333</v>
      </c>
      <c r="H1243" s="5" t="n">
        <v>0</v>
      </c>
      <c r="I1243" s="5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5" t="n">
        <v>0</v>
      </c>
      <c r="P1243" s="5" t="n">
        <v>0.0169907407407407</v>
      </c>
      <c r="Q1243" s="4" t="s">
        <v>4787</v>
      </c>
      <c r="R1243" s="4" t="s">
        <v>3409</v>
      </c>
      <c r="S1243" s="5" t="n">
        <v>0.000231481481481482</v>
      </c>
      <c r="T1243" s="5" t="n">
        <v>0.0225694444444444</v>
      </c>
      <c r="U1243" s="5" t="n">
        <v>0.000231481481481482</v>
      </c>
      <c r="V1243" s="5" t="n">
        <v>0</v>
      </c>
      <c r="W1243" s="5" t="n">
        <v>0</v>
      </c>
      <c r="X1243" s="5" t="n">
        <v>0</v>
      </c>
      <c r="Y1243" s="5" t="n">
        <v>0</v>
      </c>
      <c r="Z1243" s="0" t="n">
        <v>0</v>
      </c>
      <c r="AA1243" s="0" t="n">
        <v>0</v>
      </c>
      <c r="AB1243" s="0" t="n">
        <v>0</v>
      </c>
      <c r="AC1243" s="0" t="n">
        <v>70124</v>
      </c>
      <c r="AD1243" s="0" t="n">
        <v>70124</v>
      </c>
      <c r="AE1243" s="4" t="s">
        <v>4786</v>
      </c>
      <c r="AF1243" s="4" t="s">
        <v>4788</v>
      </c>
      <c r="AG1243" s="5" t="n">
        <v>0.00305555555555556</v>
      </c>
      <c r="AH1243" s="5" t="n">
        <v>0.0412384259259259</v>
      </c>
      <c r="AI1243" s="5" t="n">
        <v>0</v>
      </c>
      <c r="AJ1243" s="5" t="n">
        <v>0</v>
      </c>
      <c r="AK1243" s="5" t="n">
        <v>0</v>
      </c>
      <c r="AL1243" s="5" t="n">
        <v>0</v>
      </c>
      <c r="AM1243" s="4" t="s">
        <v>78</v>
      </c>
      <c r="AN1243" s="0" t="n">
        <v>0</v>
      </c>
      <c r="AO1243" s="0" t="n">
        <v>0</v>
      </c>
      <c r="AP1243" s="0" t="n">
        <v>0</v>
      </c>
      <c r="AQ1243" s="0" t="n">
        <v>0</v>
      </c>
      <c r="AR1243" s="0" t="n">
        <v>0</v>
      </c>
      <c r="AS1243" s="0" t="n">
        <v>0</v>
      </c>
      <c r="AT1243" s="0" t="n">
        <v>0</v>
      </c>
      <c r="AU1243" s="0" t="n">
        <v>0</v>
      </c>
      <c r="AV1243" s="0" t="n">
        <v>0</v>
      </c>
      <c r="AW1243" s="0" t="n">
        <v>0</v>
      </c>
      <c r="AX1243" s="0" t="n">
        <v>0</v>
      </c>
      <c r="AY1243" s="0" t="n">
        <v>0</v>
      </c>
      <c r="AZ1243" s="0" t="n">
        <v>0</v>
      </c>
      <c r="BA1243" s="0" t="n">
        <v>0</v>
      </c>
      <c r="BB1243" s="0" t="n">
        <v>0</v>
      </c>
      <c r="BC1243" s="0" t="n">
        <v>0</v>
      </c>
      <c r="BD1243" s="0" t="n">
        <v>0</v>
      </c>
      <c r="BE1243" s="0" t="n">
        <v>0</v>
      </c>
      <c r="BF1243" s="0" t="n">
        <v>0</v>
      </c>
      <c r="BG1243" s="0" t="n">
        <v>0</v>
      </c>
      <c r="BH1243" s="0" t="n">
        <v>0</v>
      </c>
      <c r="BI1243" s="0" t="n">
        <v>0</v>
      </c>
      <c r="BJ1243" s="0" t="n">
        <v>0</v>
      </c>
      <c r="BK1243" s="0" t="n">
        <v>0</v>
      </c>
      <c r="BM1243" s="6" t="n">
        <f aca="false">IFERROR(VALUE(F1243),"")</f>
        <v>0.19</v>
      </c>
      <c r="BN1243" s="6" t="n">
        <f aca="false">IF(R1243="-","",IFERROR(VALUE(LEFT(Q1243,LEN(Q1243)-2)),""))</f>
        <v>1.98</v>
      </c>
      <c r="BO1243" s="6" t="n">
        <f aca="false">IF(R1243="-","",IFERROR(VALUE(LEFT(R1243,LEN(R1243)-5)),""))</f>
        <v>0.1</v>
      </c>
      <c r="BP1243" s="6" t="n">
        <f aca="false">IF(R1243="-","",IFERROR(VALUE(F1243),""))</f>
        <v>0.19</v>
      </c>
      <c r="BQ1243" s="4" t="n">
        <f aca="false">IF(R1243="-",1,0)</f>
        <v>0</v>
      </c>
    </row>
    <row r="1244" customFormat="false" ht="15" hidden="false" customHeight="false" outlineLevel="0" collapsed="false">
      <c r="A1244" s="0" t="s">
        <v>4780</v>
      </c>
      <c r="B1244" s="0" t="s">
        <v>4781</v>
      </c>
      <c r="C1244" s="0" t="s">
        <v>70</v>
      </c>
      <c r="D1244" s="0" t="s">
        <v>4789</v>
      </c>
      <c r="E1244" s="3" t="n">
        <v>46275</v>
      </c>
      <c r="F1244" s="4" t="s">
        <v>4790</v>
      </c>
      <c r="G1244" s="5" t="n">
        <v>0.664074074074074</v>
      </c>
      <c r="H1244" s="5" t="n">
        <v>0.226111111111111</v>
      </c>
      <c r="I1244" s="5" t="n">
        <v>0.000266203703703704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5" t="n">
        <v>0</v>
      </c>
      <c r="P1244" s="5" t="n">
        <v>0</v>
      </c>
      <c r="Q1244" s="4" t="s">
        <v>4791</v>
      </c>
      <c r="R1244" s="4" t="s">
        <v>3656</v>
      </c>
      <c r="S1244" s="5" t="n">
        <v>0.000347222222222222</v>
      </c>
      <c r="T1244" s="5" t="n">
        <v>0.117476851851852</v>
      </c>
      <c r="U1244" s="5" t="n">
        <v>0.468865740740741</v>
      </c>
      <c r="V1244" s="5" t="n">
        <v>0.0184027777777778</v>
      </c>
      <c r="W1244" s="5" t="n">
        <v>0</v>
      </c>
      <c r="X1244" s="5" t="n">
        <v>0</v>
      </c>
      <c r="Y1244" s="5" t="n">
        <v>0</v>
      </c>
      <c r="Z1244" s="0" t="n">
        <v>0</v>
      </c>
      <c r="AA1244" s="0" t="n">
        <v>0</v>
      </c>
      <c r="AB1244" s="0" t="n">
        <v>0</v>
      </c>
      <c r="AC1244" s="0" t="n">
        <v>70124</v>
      </c>
      <c r="AD1244" s="4" t="s">
        <v>4792</v>
      </c>
      <c r="AE1244" s="4" t="s">
        <v>4788</v>
      </c>
      <c r="AF1244" s="4" t="s">
        <v>4793</v>
      </c>
      <c r="AG1244" s="5" t="n">
        <v>0.555509259259259</v>
      </c>
      <c r="AH1244" s="5" t="n">
        <v>0.180509259259259</v>
      </c>
      <c r="AI1244" s="5" t="n">
        <v>0</v>
      </c>
      <c r="AJ1244" s="5" t="n">
        <v>0</v>
      </c>
      <c r="AK1244" s="5" t="n">
        <v>0</v>
      </c>
      <c r="AL1244" s="5" t="n">
        <v>0</v>
      </c>
      <c r="AM1244" s="4" t="s">
        <v>78</v>
      </c>
      <c r="AN1244" s="0" t="n">
        <v>0</v>
      </c>
      <c r="AO1244" s="0" t="n">
        <v>0</v>
      </c>
      <c r="AP1244" s="0" t="n">
        <v>0</v>
      </c>
      <c r="AQ1244" s="0" t="n">
        <v>0</v>
      </c>
      <c r="AR1244" s="0" t="n">
        <v>0</v>
      </c>
      <c r="AS1244" s="0" t="n">
        <v>0</v>
      </c>
      <c r="AT1244" s="0" t="n">
        <v>0</v>
      </c>
      <c r="AU1244" s="0" t="n">
        <v>0</v>
      </c>
      <c r="AV1244" s="0" t="n">
        <v>0</v>
      </c>
      <c r="AW1244" s="0" t="n">
        <v>0</v>
      </c>
      <c r="AX1244" s="0" t="n">
        <v>0</v>
      </c>
      <c r="AY1244" s="0" t="n">
        <v>0</v>
      </c>
      <c r="AZ1244" s="0" t="n">
        <v>0</v>
      </c>
      <c r="BA1244" s="0" t="n">
        <v>0</v>
      </c>
      <c r="BB1244" s="0" t="n">
        <v>0</v>
      </c>
      <c r="BC1244" s="0" t="n">
        <v>0</v>
      </c>
      <c r="BD1244" s="0" t="n">
        <v>0</v>
      </c>
      <c r="BE1244" s="0" t="n">
        <v>0</v>
      </c>
      <c r="BF1244" s="0" t="n">
        <v>0</v>
      </c>
      <c r="BG1244" s="0" t="n">
        <v>0</v>
      </c>
      <c r="BH1244" s="0" t="n">
        <v>0</v>
      </c>
      <c r="BI1244" s="0" t="n">
        <v>0</v>
      </c>
      <c r="BJ1244" s="0" t="n">
        <v>0</v>
      </c>
      <c r="BK1244" s="0" t="n">
        <v>0</v>
      </c>
      <c r="BM1244" s="6" t="n">
        <f aca="false">IFERROR(VALUE(F1244),"")</f>
        <v>800.13</v>
      </c>
      <c r="BN1244" s="6" t="n">
        <f aca="false">IF(R1244="-","",IFERROR(VALUE(LEFT(Q1244,LEN(Q1244)-2)),""))</f>
        <v>223.23</v>
      </c>
      <c r="BO1244" s="6" t="n">
        <f aca="false">IF(R1244="-","",IFERROR(VALUE(LEFT(R1244,LEN(R1244)-5)),""))</f>
        <v>3.58</v>
      </c>
      <c r="BP1244" s="6" t="n">
        <f aca="false">IF(R1244="-","",IFERROR(VALUE(F1244),""))</f>
        <v>800.13</v>
      </c>
      <c r="BQ1244" s="4" t="n">
        <f aca="false">IF(R1244="-",1,0)</f>
        <v>0</v>
      </c>
    </row>
    <row r="1245" customFormat="false" ht="15" hidden="false" customHeight="false" outlineLevel="0" collapsed="false">
      <c r="A1245" s="0" t="s">
        <v>4780</v>
      </c>
      <c r="B1245" s="0" t="s">
        <v>4781</v>
      </c>
      <c r="C1245" s="0" t="s">
        <v>70</v>
      </c>
      <c r="D1245" s="0" t="s">
        <v>4794</v>
      </c>
      <c r="E1245" s="3" t="n">
        <v>46276</v>
      </c>
      <c r="F1245" s="4" t="s">
        <v>4795</v>
      </c>
      <c r="G1245" s="5" t="n">
        <v>0.516747685185185</v>
      </c>
      <c r="H1245" s="5" t="n">
        <v>0.339212962962963</v>
      </c>
      <c r="I1245" s="5" t="n">
        <v>0.000150462962962963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5" t="n">
        <v>0</v>
      </c>
      <c r="P1245" s="5" t="n">
        <v>0.0465972222222222</v>
      </c>
      <c r="Q1245" s="4" t="s">
        <v>4796</v>
      </c>
      <c r="R1245" s="4" t="s">
        <v>4587</v>
      </c>
      <c r="S1245" s="5" t="n">
        <v>0.000925925925925926</v>
      </c>
      <c r="T1245" s="5" t="n">
        <v>0.123032407407407</v>
      </c>
      <c r="U1245" s="5" t="n">
        <v>0.263310185185185</v>
      </c>
      <c r="V1245" s="5" t="n">
        <v>0.0166666666666667</v>
      </c>
      <c r="W1245" s="5" t="n">
        <v>0</v>
      </c>
      <c r="X1245" s="5" t="n">
        <v>0</v>
      </c>
      <c r="Y1245" s="5" t="n">
        <v>0</v>
      </c>
      <c r="Z1245" s="0" t="n">
        <v>0</v>
      </c>
      <c r="AA1245" s="0" t="n">
        <v>0</v>
      </c>
      <c r="AB1245" s="0" t="n">
        <v>0</v>
      </c>
      <c r="AC1245" s="4" t="s">
        <v>4792</v>
      </c>
      <c r="AD1245" s="4" t="s">
        <v>228</v>
      </c>
      <c r="AE1245" s="4" t="s">
        <v>4797</v>
      </c>
      <c r="AF1245" s="4" t="s">
        <v>4798</v>
      </c>
      <c r="AG1245" s="5" t="n">
        <v>0.319097222222222</v>
      </c>
      <c r="AH1245" s="5" t="n">
        <v>0.290763888888889</v>
      </c>
      <c r="AI1245" s="5" t="n">
        <v>0</v>
      </c>
      <c r="AJ1245" s="5" t="n">
        <v>0</v>
      </c>
      <c r="AK1245" s="5" t="n">
        <v>0</v>
      </c>
      <c r="AL1245" s="5" t="n">
        <v>0</v>
      </c>
      <c r="AM1245" s="4" t="s">
        <v>78</v>
      </c>
      <c r="AN1245" s="0" t="n">
        <v>0</v>
      </c>
      <c r="AO1245" s="0" t="n">
        <v>0</v>
      </c>
      <c r="AP1245" s="0" t="n">
        <v>0</v>
      </c>
      <c r="AQ1245" s="0" t="n">
        <v>0</v>
      </c>
      <c r="AR1245" s="0" t="n">
        <v>0</v>
      </c>
      <c r="AS1245" s="0" t="n">
        <v>0</v>
      </c>
      <c r="AT1245" s="0" t="n">
        <v>0</v>
      </c>
      <c r="AU1245" s="0" t="n">
        <v>0</v>
      </c>
      <c r="AV1245" s="0" t="n">
        <v>0</v>
      </c>
      <c r="AW1245" s="0" t="n">
        <v>0</v>
      </c>
      <c r="AX1245" s="0" t="n">
        <v>0</v>
      </c>
      <c r="AY1245" s="0" t="n">
        <v>0</v>
      </c>
      <c r="AZ1245" s="0" t="n">
        <v>0</v>
      </c>
      <c r="BA1245" s="0" t="n">
        <v>0</v>
      </c>
      <c r="BB1245" s="0" t="n">
        <v>0</v>
      </c>
      <c r="BC1245" s="0" t="n">
        <v>0</v>
      </c>
      <c r="BD1245" s="0" t="n">
        <v>0</v>
      </c>
      <c r="BE1245" s="0" t="n">
        <v>0</v>
      </c>
      <c r="BF1245" s="0" t="n">
        <v>0</v>
      </c>
      <c r="BG1245" s="0" t="n">
        <v>0</v>
      </c>
      <c r="BH1245" s="0" t="n">
        <v>0</v>
      </c>
      <c r="BI1245" s="0" t="n">
        <v>0</v>
      </c>
      <c r="BJ1245" s="0" t="n">
        <v>0</v>
      </c>
      <c r="BK1245" s="0" t="n">
        <v>0</v>
      </c>
      <c r="BM1245" s="6" t="n">
        <f aca="false">IFERROR(VALUE(F1245),"")</f>
        <v>457.8</v>
      </c>
      <c r="BN1245" s="6" t="n">
        <f aca="false">IF(R1245="-","",IFERROR(VALUE(LEFT(Q1245,LEN(Q1245)-2)),""))</f>
        <v>131.78</v>
      </c>
      <c r="BO1245" s="6" t="n">
        <f aca="false">IF(R1245="-","",IFERROR(VALUE(LEFT(R1245,LEN(R1245)-5)),""))</f>
        <v>3.47</v>
      </c>
      <c r="BP1245" s="6" t="n">
        <f aca="false">IF(R1245="-","",IFERROR(VALUE(F1245),""))</f>
        <v>457.8</v>
      </c>
      <c r="BQ1245" s="4" t="n">
        <f aca="false">IF(R1245="-",1,0)</f>
        <v>0</v>
      </c>
    </row>
    <row r="1246" customFormat="false" ht="15" hidden="false" customHeight="false" outlineLevel="0" collapsed="false">
      <c r="A1246" s="0" t="s">
        <v>4780</v>
      </c>
      <c r="B1246" s="0" t="s">
        <v>4781</v>
      </c>
      <c r="C1246" s="0" t="s">
        <v>70</v>
      </c>
      <c r="E1246" s="3" t="n">
        <v>46277</v>
      </c>
      <c r="F1246" s="4" t="s">
        <v>95</v>
      </c>
      <c r="G1246" s="5" t="n">
        <v>0.181180555555556</v>
      </c>
      <c r="H1246" s="5" t="n">
        <v>0</v>
      </c>
      <c r="I1246" s="5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5" t="n">
        <v>0</v>
      </c>
      <c r="P1246" s="5" t="n">
        <v>0</v>
      </c>
      <c r="Q1246" s="4" t="s">
        <v>4799</v>
      </c>
      <c r="R1246" s="4" t="s">
        <v>454</v>
      </c>
      <c r="S1246" s="5" t="n">
        <v>0.000347222222222222</v>
      </c>
      <c r="T1246" s="5" t="n">
        <v>0.0418981481481482</v>
      </c>
      <c r="U1246" s="5" t="n">
        <v>0</v>
      </c>
      <c r="V1246" s="5" t="n">
        <v>0</v>
      </c>
      <c r="W1246" s="5" t="n">
        <v>0</v>
      </c>
      <c r="X1246" s="5" t="n">
        <v>0</v>
      </c>
      <c r="Y1246" s="5" t="n">
        <v>0</v>
      </c>
      <c r="Z1246" s="0" t="n">
        <v>0</v>
      </c>
      <c r="AA1246" s="0" t="n">
        <v>0</v>
      </c>
      <c r="AB1246" s="0" t="n">
        <v>0</v>
      </c>
      <c r="AC1246" s="4" t="s">
        <v>75</v>
      </c>
      <c r="AD1246" s="4" t="s">
        <v>75</v>
      </c>
      <c r="AE1246" s="4" t="s">
        <v>4798</v>
      </c>
      <c r="AF1246" s="4" t="s">
        <v>4798</v>
      </c>
      <c r="AG1246" s="5" t="n">
        <v>0</v>
      </c>
      <c r="AH1246" s="5" t="n">
        <v>0.200949074074074</v>
      </c>
      <c r="AI1246" s="5" t="n">
        <v>0</v>
      </c>
      <c r="AJ1246" s="5" t="n">
        <v>0</v>
      </c>
      <c r="AK1246" s="5" t="n">
        <v>0</v>
      </c>
      <c r="AL1246" s="5" t="n">
        <v>0</v>
      </c>
      <c r="AM1246" s="4" t="s">
        <v>78</v>
      </c>
      <c r="AN1246" s="0" t="n">
        <v>0</v>
      </c>
      <c r="AO1246" s="0" t="n">
        <v>0</v>
      </c>
      <c r="AP1246" s="0" t="n">
        <v>0</v>
      </c>
      <c r="AQ1246" s="0" t="n">
        <v>0</v>
      </c>
      <c r="AR1246" s="0" t="n">
        <v>0</v>
      </c>
      <c r="AS1246" s="0" t="n">
        <v>0</v>
      </c>
      <c r="AT1246" s="0" t="n">
        <v>0</v>
      </c>
      <c r="AU1246" s="0" t="n">
        <v>0</v>
      </c>
      <c r="AV1246" s="0" t="n">
        <v>0</v>
      </c>
      <c r="AW1246" s="0" t="n">
        <v>0</v>
      </c>
      <c r="AX1246" s="0" t="n">
        <v>0</v>
      </c>
      <c r="AY1246" s="0" t="n">
        <v>0</v>
      </c>
      <c r="AZ1246" s="0" t="n">
        <v>0</v>
      </c>
      <c r="BA1246" s="0" t="n">
        <v>0</v>
      </c>
      <c r="BB1246" s="0" t="n">
        <v>1</v>
      </c>
      <c r="BC1246" s="0" t="n">
        <v>0</v>
      </c>
      <c r="BD1246" s="0" t="n">
        <v>0</v>
      </c>
      <c r="BE1246" s="0" t="n">
        <v>0</v>
      </c>
      <c r="BF1246" s="0" t="n">
        <v>0</v>
      </c>
      <c r="BG1246" s="0" t="n">
        <v>0</v>
      </c>
      <c r="BH1246" s="0" t="n">
        <v>0</v>
      </c>
      <c r="BI1246" s="0" t="n">
        <v>0</v>
      </c>
      <c r="BJ1246" s="0" t="n">
        <v>0</v>
      </c>
      <c r="BK1246" s="0" t="n">
        <v>0</v>
      </c>
      <c r="BM1246" s="6" t="n">
        <f aca="false">IFERROR(VALUE(F1246),"")</f>
        <v>0</v>
      </c>
      <c r="BN1246" s="6" t="n">
        <f aca="false">IF(R1246="-","",IFERROR(VALUE(LEFT(Q1246,LEN(Q1246)-2)),""))</f>
        <v>3.6</v>
      </c>
      <c r="BO1246" s="6" t="n">
        <f aca="false">IF(R1246="-","",IFERROR(VALUE(LEFT(R1246,LEN(R1246)-5)),""))</f>
        <v>0</v>
      </c>
      <c r="BP1246" s="6" t="n">
        <f aca="false">IF(R1246="-","",IFERROR(VALUE(F1246),""))</f>
        <v>0</v>
      </c>
      <c r="BQ1246" s="4" t="n">
        <f aca="false">IF(R1246="-",1,0)</f>
        <v>0</v>
      </c>
    </row>
    <row r="1247" customFormat="false" ht="15" hidden="false" customHeight="false" outlineLevel="0" collapsed="false">
      <c r="A1247" s="0" t="s">
        <v>4780</v>
      </c>
      <c r="B1247" s="0" t="s">
        <v>4781</v>
      </c>
      <c r="C1247" s="0" t="s">
        <v>70</v>
      </c>
      <c r="E1247" s="3" t="n">
        <v>46279</v>
      </c>
      <c r="F1247" s="4" t="s">
        <v>4800</v>
      </c>
      <c r="G1247" s="5" t="n">
        <v>0.240833333333333</v>
      </c>
      <c r="H1247" s="5" t="n">
        <v>0</v>
      </c>
      <c r="I1247" s="5" t="n">
        <v>0.00377314814814815</v>
      </c>
      <c r="J1247" s="0" t="n">
        <v>0</v>
      </c>
      <c r="K1247" s="0" t="n">
        <v>1</v>
      </c>
      <c r="L1247" s="0" t="n">
        <v>0</v>
      </c>
      <c r="M1247" s="0" t="n">
        <v>0</v>
      </c>
      <c r="N1247" s="0" t="n">
        <v>0</v>
      </c>
      <c r="O1247" s="5" t="n">
        <v>0</v>
      </c>
      <c r="P1247" s="5" t="n">
        <v>0</v>
      </c>
      <c r="Q1247" s="4" t="s">
        <v>4801</v>
      </c>
      <c r="R1247" s="4" t="s">
        <v>492</v>
      </c>
      <c r="S1247" s="5" t="n">
        <v>0.000462962962962963</v>
      </c>
      <c r="T1247" s="5" t="n">
        <v>0.0469907407407407</v>
      </c>
      <c r="U1247" s="5" t="n">
        <v>0.14375</v>
      </c>
      <c r="V1247" s="5" t="n">
        <v>0.00787037037037037</v>
      </c>
      <c r="W1247" s="5" t="n">
        <v>0</v>
      </c>
      <c r="X1247" s="5" t="n">
        <v>0</v>
      </c>
      <c r="Y1247" s="5" t="n">
        <v>0</v>
      </c>
      <c r="Z1247" s="0" t="n">
        <v>0</v>
      </c>
      <c r="AA1247" s="0" t="n">
        <v>0</v>
      </c>
      <c r="AB1247" s="0" t="n">
        <v>0</v>
      </c>
      <c r="AC1247" s="4" t="s">
        <v>75</v>
      </c>
      <c r="AD1247" s="4" t="s">
        <v>4616</v>
      </c>
      <c r="AE1247" s="4" t="s">
        <v>4798</v>
      </c>
      <c r="AF1247" s="4" t="s">
        <v>4802</v>
      </c>
      <c r="AG1247" s="5" t="n">
        <v>0.166550925925926</v>
      </c>
      <c r="AH1247" s="5" t="n">
        <v>0.120185185185185</v>
      </c>
      <c r="AI1247" s="5" t="n">
        <v>0</v>
      </c>
      <c r="AJ1247" s="5" t="n">
        <v>0</v>
      </c>
      <c r="AK1247" s="5" t="n">
        <v>0</v>
      </c>
      <c r="AL1247" s="5" t="n">
        <v>0</v>
      </c>
      <c r="AM1247" s="4" t="s">
        <v>78</v>
      </c>
      <c r="AN1247" s="0" t="n">
        <v>0</v>
      </c>
      <c r="AO1247" s="0" t="n">
        <v>0</v>
      </c>
      <c r="AP1247" s="0" t="n">
        <v>0</v>
      </c>
      <c r="AQ1247" s="0" t="n">
        <v>0</v>
      </c>
      <c r="AR1247" s="0" t="n">
        <v>0</v>
      </c>
      <c r="AS1247" s="0" t="n">
        <v>0</v>
      </c>
      <c r="AT1247" s="0" t="n">
        <v>0</v>
      </c>
      <c r="AU1247" s="0" t="n">
        <v>0</v>
      </c>
      <c r="AV1247" s="0" t="n">
        <v>0</v>
      </c>
      <c r="AW1247" s="0" t="n">
        <v>0</v>
      </c>
      <c r="AX1247" s="0" t="n">
        <v>0</v>
      </c>
      <c r="AY1247" s="0" t="n">
        <v>0</v>
      </c>
      <c r="AZ1247" s="0" t="n">
        <v>0</v>
      </c>
      <c r="BA1247" s="0" t="n">
        <v>0</v>
      </c>
      <c r="BB1247" s="0" t="n">
        <v>0</v>
      </c>
      <c r="BC1247" s="0" t="n">
        <v>0</v>
      </c>
      <c r="BD1247" s="0" t="n">
        <v>0</v>
      </c>
      <c r="BE1247" s="0" t="n">
        <v>0</v>
      </c>
      <c r="BF1247" s="0" t="n">
        <v>0</v>
      </c>
      <c r="BG1247" s="0" t="n">
        <v>0</v>
      </c>
      <c r="BH1247" s="0" t="n">
        <v>0</v>
      </c>
      <c r="BI1247" s="0" t="n">
        <v>0</v>
      </c>
      <c r="BJ1247" s="0" t="n">
        <v>0</v>
      </c>
      <c r="BK1247" s="0" t="n">
        <v>0</v>
      </c>
      <c r="BM1247" s="6" t="n">
        <f aca="false">IFERROR(VALUE(F1247),"")</f>
        <v>254.29</v>
      </c>
      <c r="BN1247" s="6" t="n">
        <f aca="false">IF(R1247="-","",IFERROR(VALUE(LEFT(Q1247,LEN(Q1247)-2)),""))</f>
        <v>89.26</v>
      </c>
      <c r="BO1247" s="6" t="n">
        <f aca="false">IF(R1247="-","",IFERROR(VALUE(LEFT(R1247,LEN(R1247)-5)),""))</f>
        <v>2.85</v>
      </c>
      <c r="BP1247" s="6" t="n">
        <f aca="false">IF(R1247="-","",IFERROR(VALUE(F1247),""))</f>
        <v>254.29</v>
      </c>
      <c r="BQ1247" s="4" t="n">
        <f aca="false">IF(R1247="-",1,0)</f>
        <v>0</v>
      </c>
    </row>
    <row r="1248" customFormat="false" ht="15" hidden="false" customHeight="false" outlineLevel="0" collapsed="false">
      <c r="A1248" s="0" t="s">
        <v>4803</v>
      </c>
      <c r="B1248" s="0" t="s">
        <v>4804</v>
      </c>
      <c r="C1248" s="0" t="s">
        <v>70</v>
      </c>
      <c r="D1248" s="0" t="s">
        <v>4710</v>
      </c>
      <c r="E1248" s="3" t="n">
        <v>46273</v>
      </c>
      <c r="F1248" s="4" t="s">
        <v>4805</v>
      </c>
      <c r="G1248" s="5" t="n">
        <v>0.664305555555556</v>
      </c>
      <c r="H1248" s="5" t="n">
        <v>0.60943287037037</v>
      </c>
      <c r="I1248" s="5" t="n">
        <v>0.00131944444444444</v>
      </c>
      <c r="J1248" s="0" t="n">
        <v>0</v>
      </c>
      <c r="K1248" s="0" t="n">
        <v>1</v>
      </c>
      <c r="L1248" s="0" t="n">
        <v>0</v>
      </c>
      <c r="M1248" s="0" t="n">
        <v>0</v>
      </c>
      <c r="N1248" s="0" t="n">
        <v>6</v>
      </c>
      <c r="O1248" s="5" t="n">
        <v>0</v>
      </c>
      <c r="P1248" s="5" t="n">
        <v>0.0349421296296296</v>
      </c>
      <c r="Q1248" s="4" t="s">
        <v>73</v>
      </c>
      <c r="R1248" s="4" t="s">
        <v>73</v>
      </c>
      <c r="S1248" s="5" t="n">
        <v>0</v>
      </c>
      <c r="T1248" s="5" t="n">
        <v>0.238541666666667</v>
      </c>
      <c r="U1248" s="5" t="n">
        <v>0.275</v>
      </c>
      <c r="V1248" s="5" t="n">
        <v>0.120486111111111</v>
      </c>
      <c r="W1248" s="5" t="n">
        <v>0</v>
      </c>
      <c r="X1248" s="5" t="n">
        <v>0</v>
      </c>
      <c r="Y1248" s="5" t="n">
        <v>0</v>
      </c>
      <c r="Z1248" s="0" t="n">
        <v>0</v>
      </c>
      <c r="AA1248" s="0" t="n">
        <v>0</v>
      </c>
      <c r="AB1248" s="0" t="n">
        <v>0</v>
      </c>
      <c r="AC1248" s="4" t="s">
        <v>1076</v>
      </c>
      <c r="AD1248" s="4" t="s">
        <v>432</v>
      </c>
      <c r="AE1248" s="4" t="s">
        <v>4806</v>
      </c>
      <c r="AF1248" s="4" t="s">
        <v>4807</v>
      </c>
      <c r="AG1248" s="5" t="n">
        <v>0.526006944444444</v>
      </c>
      <c r="AH1248" s="5" t="n">
        <v>0.219201388888889</v>
      </c>
      <c r="AI1248" s="5" t="n">
        <v>0</v>
      </c>
      <c r="AJ1248" s="5" t="n">
        <v>0</v>
      </c>
      <c r="AK1248" s="5" t="n">
        <v>0</v>
      </c>
      <c r="AL1248" s="5" t="n">
        <v>0</v>
      </c>
      <c r="AM1248" s="4" t="s">
        <v>78</v>
      </c>
      <c r="AN1248" s="0" t="n">
        <v>0</v>
      </c>
      <c r="AO1248" s="0" t="n">
        <v>0</v>
      </c>
      <c r="AP1248" s="0" t="n">
        <v>0</v>
      </c>
      <c r="AQ1248" s="0" t="n">
        <v>0</v>
      </c>
      <c r="AR1248" s="0" t="n">
        <v>0</v>
      </c>
      <c r="AS1248" s="0" t="n">
        <v>2</v>
      </c>
      <c r="AT1248" s="0" t="n">
        <v>0</v>
      </c>
      <c r="AU1248" s="0" t="n">
        <v>2</v>
      </c>
      <c r="AV1248" s="0" t="n">
        <v>0</v>
      </c>
      <c r="AW1248" s="0" t="n">
        <v>0</v>
      </c>
      <c r="AX1248" s="0" t="n">
        <v>0</v>
      </c>
      <c r="AY1248" s="0" t="n">
        <v>0</v>
      </c>
      <c r="AZ1248" s="0" t="n">
        <v>0</v>
      </c>
      <c r="BA1248" s="0" t="n">
        <v>0</v>
      </c>
      <c r="BB1248" s="0" t="n">
        <v>0</v>
      </c>
      <c r="BC1248" s="0" t="n">
        <v>0</v>
      </c>
      <c r="BD1248" s="0" t="n">
        <v>0</v>
      </c>
      <c r="BE1248" s="0" t="n">
        <v>0</v>
      </c>
      <c r="BF1248" s="0" t="n">
        <v>0</v>
      </c>
      <c r="BG1248" s="0" t="n">
        <v>0</v>
      </c>
      <c r="BH1248" s="0" t="n">
        <v>0</v>
      </c>
      <c r="BI1248" s="0" t="n">
        <v>0</v>
      </c>
      <c r="BJ1248" s="0" t="n">
        <v>0</v>
      </c>
      <c r="BK1248" s="0" t="n">
        <v>0</v>
      </c>
      <c r="BM1248" s="6" t="n">
        <f aca="false">IFERROR(VALUE(F1248),"")</f>
        <v>644.59</v>
      </c>
      <c r="BN1248" s="6" t="str">
        <f aca="false">IF(R1248="-","",IFERROR(VALUE(LEFT(Q1248,LEN(Q1248)-2)),""))</f>
        <v/>
      </c>
      <c r="BO1248" s="6" t="str">
        <f aca="false">IF(R1248="-","",IFERROR(VALUE(LEFT(R1248,LEN(R1248)-5)),""))</f>
        <v/>
      </c>
      <c r="BP1248" s="6" t="str">
        <f aca="false">IF(R1248="-","",IFERROR(VALUE(F1248),""))</f>
        <v/>
      </c>
      <c r="BQ1248" s="4" t="n">
        <f aca="false">IF(R1248="-",1,0)</f>
        <v>1</v>
      </c>
    </row>
    <row r="1249" customFormat="false" ht="15" hidden="false" customHeight="false" outlineLevel="0" collapsed="false">
      <c r="A1249" s="0" t="s">
        <v>4803</v>
      </c>
      <c r="B1249" s="0" t="s">
        <v>4804</v>
      </c>
      <c r="C1249" s="0" t="s">
        <v>70</v>
      </c>
      <c r="D1249" s="0" t="s">
        <v>4808</v>
      </c>
      <c r="E1249" s="3" t="n">
        <v>46274</v>
      </c>
      <c r="F1249" s="4" t="s">
        <v>4809</v>
      </c>
      <c r="G1249" s="5" t="n">
        <v>0.308229166666667</v>
      </c>
      <c r="H1249" s="5" t="n">
        <v>0.273460648148148</v>
      </c>
      <c r="I1249" s="5" t="n">
        <v>0.000266203703703704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1</v>
      </c>
      <c r="O1249" s="5" t="n">
        <v>0</v>
      </c>
      <c r="P1249" s="5" t="n">
        <v>0.0087962962962963</v>
      </c>
      <c r="Q1249" s="4" t="s">
        <v>73</v>
      </c>
      <c r="R1249" s="4" t="s">
        <v>73</v>
      </c>
      <c r="S1249" s="5" t="n">
        <v>0</v>
      </c>
      <c r="T1249" s="5" t="n">
        <v>0.0884259259259259</v>
      </c>
      <c r="U1249" s="5" t="n">
        <v>0.104282407407407</v>
      </c>
      <c r="V1249" s="5" t="n">
        <v>0.0695601851851852</v>
      </c>
      <c r="W1249" s="5" t="n">
        <v>0</v>
      </c>
      <c r="X1249" s="5" t="n">
        <v>0</v>
      </c>
      <c r="Y1249" s="5" t="n">
        <v>0</v>
      </c>
      <c r="Z1249" s="0" t="n">
        <v>0</v>
      </c>
      <c r="AA1249" s="0" t="n">
        <v>0</v>
      </c>
      <c r="AB1249" s="0" t="n">
        <v>0</v>
      </c>
      <c r="AC1249" s="4" t="s">
        <v>432</v>
      </c>
      <c r="AD1249" s="4" t="s">
        <v>1076</v>
      </c>
      <c r="AE1249" s="4" t="s">
        <v>4807</v>
      </c>
      <c r="AF1249" s="4" t="s">
        <v>4810</v>
      </c>
      <c r="AG1249" s="5" t="n">
        <v>0.224039351851852</v>
      </c>
      <c r="AH1249" s="5" t="n">
        <v>0.171134259259259</v>
      </c>
      <c r="AI1249" s="5" t="n">
        <v>0</v>
      </c>
      <c r="AJ1249" s="5" t="n">
        <v>0</v>
      </c>
      <c r="AK1249" s="5" t="n">
        <v>0</v>
      </c>
      <c r="AL1249" s="5" t="n">
        <v>0</v>
      </c>
      <c r="AM1249" s="4" t="s">
        <v>78</v>
      </c>
      <c r="AN1249" s="0" t="n">
        <v>0</v>
      </c>
      <c r="AO1249" s="0" t="n">
        <v>0</v>
      </c>
      <c r="AP1249" s="0" t="n">
        <v>0</v>
      </c>
      <c r="AQ1249" s="0" t="n">
        <v>0</v>
      </c>
      <c r="AR1249" s="0" t="n">
        <v>0</v>
      </c>
      <c r="AS1249" s="0" t="n">
        <v>0</v>
      </c>
      <c r="AT1249" s="0" t="n">
        <v>0</v>
      </c>
      <c r="AU1249" s="0" t="n">
        <v>0</v>
      </c>
      <c r="AV1249" s="0" t="n">
        <v>0</v>
      </c>
      <c r="AW1249" s="0" t="n">
        <v>0</v>
      </c>
      <c r="AX1249" s="0" t="n">
        <v>0</v>
      </c>
      <c r="AY1249" s="0" t="n">
        <v>0</v>
      </c>
      <c r="AZ1249" s="0" t="n">
        <v>0</v>
      </c>
      <c r="BA1249" s="0" t="n">
        <v>0</v>
      </c>
      <c r="BB1249" s="0" t="n">
        <v>0</v>
      </c>
      <c r="BC1249" s="0" t="n">
        <v>0</v>
      </c>
      <c r="BD1249" s="0" t="n">
        <v>0</v>
      </c>
      <c r="BE1249" s="0" t="n">
        <v>0</v>
      </c>
      <c r="BF1249" s="0" t="n">
        <v>0</v>
      </c>
      <c r="BG1249" s="0" t="n">
        <v>0</v>
      </c>
      <c r="BH1249" s="0" t="n">
        <v>0</v>
      </c>
      <c r="BI1249" s="0" t="n">
        <v>0</v>
      </c>
      <c r="BJ1249" s="0" t="n">
        <v>0</v>
      </c>
      <c r="BK1249" s="0" t="n">
        <v>0</v>
      </c>
      <c r="BM1249" s="6" t="n">
        <f aca="false">IFERROR(VALUE(F1249),"")</f>
        <v>294.47</v>
      </c>
      <c r="BN1249" s="6" t="str">
        <f aca="false">IF(R1249="-","",IFERROR(VALUE(LEFT(Q1249,LEN(Q1249)-2)),""))</f>
        <v/>
      </c>
      <c r="BO1249" s="6" t="str">
        <f aca="false">IF(R1249="-","",IFERROR(VALUE(LEFT(R1249,LEN(R1249)-5)),""))</f>
        <v/>
      </c>
      <c r="BP1249" s="6" t="str">
        <f aca="false">IF(R1249="-","",IFERROR(VALUE(F1249),""))</f>
        <v/>
      </c>
      <c r="BQ1249" s="4" t="n">
        <f aca="false">IF(R1249="-",1,0)</f>
        <v>1</v>
      </c>
    </row>
    <row r="1250" customFormat="false" ht="15" hidden="false" customHeight="false" outlineLevel="0" collapsed="false">
      <c r="A1250" s="0" t="s">
        <v>4803</v>
      </c>
      <c r="B1250" s="0" t="s">
        <v>4804</v>
      </c>
      <c r="C1250" s="0" t="s">
        <v>70</v>
      </c>
      <c r="D1250" s="0" t="s">
        <v>4811</v>
      </c>
      <c r="E1250" s="3" t="n">
        <v>46275</v>
      </c>
      <c r="F1250" s="4" t="s">
        <v>4812</v>
      </c>
      <c r="G1250" s="5" t="n">
        <v>0.365625</v>
      </c>
      <c r="H1250" s="5" t="n">
        <v>0.36150462962963</v>
      </c>
      <c r="I1250" s="5" t="n">
        <v>0.000405092592592593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8</v>
      </c>
      <c r="O1250" s="5" t="n">
        <v>0</v>
      </c>
      <c r="P1250" s="5" t="n">
        <v>0</v>
      </c>
      <c r="Q1250" s="4" t="s">
        <v>73</v>
      </c>
      <c r="R1250" s="4" t="s">
        <v>73</v>
      </c>
      <c r="S1250" s="5" t="n">
        <v>0</v>
      </c>
      <c r="T1250" s="5" t="n">
        <v>0.0828703703703704</v>
      </c>
      <c r="U1250" s="5" t="n">
        <v>0.108217592592593</v>
      </c>
      <c r="V1250" s="5" t="n">
        <v>0.0912037037037037</v>
      </c>
      <c r="W1250" s="5" t="n">
        <v>0</v>
      </c>
      <c r="X1250" s="5" t="n">
        <v>0</v>
      </c>
      <c r="Y1250" s="5" t="n">
        <v>0</v>
      </c>
      <c r="Z1250" s="0" t="n">
        <v>0</v>
      </c>
      <c r="AA1250" s="0" t="n">
        <v>0</v>
      </c>
      <c r="AB1250" s="0" t="n">
        <v>0</v>
      </c>
      <c r="AC1250" s="4" t="s">
        <v>1076</v>
      </c>
      <c r="AD1250" s="4" t="s">
        <v>1076</v>
      </c>
      <c r="AE1250" s="4" t="s">
        <v>4810</v>
      </c>
      <c r="AF1250" s="4" t="s">
        <v>4813</v>
      </c>
      <c r="AG1250" s="5" t="n">
        <v>0.25380787037037</v>
      </c>
      <c r="AH1250" s="5" t="n">
        <v>0.156759259259259</v>
      </c>
      <c r="AI1250" s="5" t="n">
        <v>0</v>
      </c>
      <c r="AJ1250" s="5" t="n">
        <v>0</v>
      </c>
      <c r="AK1250" s="5" t="n">
        <v>0</v>
      </c>
      <c r="AL1250" s="5" t="n">
        <v>0</v>
      </c>
      <c r="AM1250" s="4" t="s">
        <v>78</v>
      </c>
      <c r="AN1250" s="0" t="n">
        <v>0</v>
      </c>
      <c r="AO1250" s="0" t="n">
        <v>0</v>
      </c>
      <c r="AP1250" s="0" t="n">
        <v>0</v>
      </c>
      <c r="AQ1250" s="0" t="n">
        <v>0</v>
      </c>
      <c r="AR1250" s="0" t="n">
        <v>0</v>
      </c>
      <c r="AS1250" s="0" t="n">
        <v>0</v>
      </c>
      <c r="AT1250" s="0" t="n">
        <v>0</v>
      </c>
      <c r="AU1250" s="0" t="n">
        <v>0</v>
      </c>
      <c r="AV1250" s="0" t="n">
        <v>0</v>
      </c>
      <c r="AW1250" s="0" t="n">
        <v>0</v>
      </c>
      <c r="AX1250" s="0" t="n">
        <v>0</v>
      </c>
      <c r="AY1250" s="0" t="n">
        <v>0</v>
      </c>
      <c r="AZ1250" s="0" t="n">
        <v>0</v>
      </c>
      <c r="BA1250" s="0" t="n">
        <v>0</v>
      </c>
      <c r="BB1250" s="0" t="n">
        <v>0</v>
      </c>
      <c r="BC1250" s="0" t="n">
        <v>0</v>
      </c>
      <c r="BD1250" s="0" t="n">
        <v>0</v>
      </c>
      <c r="BE1250" s="0" t="n">
        <v>0</v>
      </c>
      <c r="BF1250" s="0" t="n">
        <v>0</v>
      </c>
      <c r="BG1250" s="0" t="n">
        <v>0</v>
      </c>
      <c r="BH1250" s="0" t="n">
        <v>0</v>
      </c>
      <c r="BI1250" s="0" t="n">
        <v>0</v>
      </c>
      <c r="BJ1250" s="0" t="n">
        <v>0</v>
      </c>
      <c r="BK1250" s="0" t="n">
        <v>0</v>
      </c>
      <c r="BM1250" s="6" t="n">
        <f aca="false">IFERROR(VALUE(F1250),"")</f>
        <v>344.5</v>
      </c>
      <c r="BN1250" s="6" t="str">
        <f aca="false">IF(R1250="-","",IFERROR(VALUE(LEFT(Q1250,LEN(Q1250)-2)),""))</f>
        <v/>
      </c>
      <c r="BO1250" s="6" t="str">
        <f aca="false">IF(R1250="-","",IFERROR(VALUE(LEFT(R1250,LEN(R1250)-5)),""))</f>
        <v/>
      </c>
      <c r="BP1250" s="6" t="str">
        <f aca="false">IF(R1250="-","",IFERROR(VALUE(F1250),""))</f>
        <v/>
      </c>
      <c r="BQ1250" s="4" t="n">
        <f aca="false">IF(R1250="-",1,0)</f>
        <v>1</v>
      </c>
    </row>
    <row r="1251" customFormat="false" ht="15" hidden="false" customHeight="false" outlineLevel="0" collapsed="false">
      <c r="A1251" s="0" t="s">
        <v>4803</v>
      </c>
      <c r="B1251" s="0" t="s">
        <v>4804</v>
      </c>
      <c r="C1251" s="0" t="s">
        <v>70</v>
      </c>
      <c r="D1251" s="0" t="s">
        <v>4814</v>
      </c>
      <c r="E1251" s="3" t="n">
        <v>46276</v>
      </c>
      <c r="F1251" s="4" t="s">
        <v>4815</v>
      </c>
      <c r="G1251" s="5" t="n">
        <v>0.358263888888889</v>
      </c>
      <c r="H1251" s="5" t="n">
        <v>0.314131944444444</v>
      </c>
      <c r="I1251" s="5" t="n">
        <v>0.000451388888888889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7</v>
      </c>
      <c r="O1251" s="5" t="n">
        <v>0</v>
      </c>
      <c r="P1251" s="5" t="n">
        <v>0.0290162037037037</v>
      </c>
      <c r="Q1251" s="4" t="s">
        <v>73</v>
      </c>
      <c r="R1251" s="4" t="s">
        <v>73</v>
      </c>
      <c r="S1251" s="5" t="n">
        <v>0</v>
      </c>
      <c r="T1251" s="5" t="n">
        <v>0.14375</v>
      </c>
      <c r="U1251" s="5" t="n">
        <v>0.118055555555556</v>
      </c>
      <c r="V1251" s="5" t="n">
        <v>0.0765046296296296</v>
      </c>
      <c r="W1251" s="5" t="n">
        <v>0</v>
      </c>
      <c r="X1251" s="5" t="n">
        <v>0</v>
      </c>
      <c r="Y1251" s="5" t="n">
        <v>0</v>
      </c>
      <c r="Z1251" s="0" t="n">
        <v>0</v>
      </c>
      <c r="AA1251" s="0" t="n">
        <v>0</v>
      </c>
      <c r="AB1251" s="0" t="n">
        <v>0</v>
      </c>
      <c r="AC1251" s="4" t="s">
        <v>1076</v>
      </c>
      <c r="AD1251" s="4" t="s">
        <v>882</v>
      </c>
      <c r="AE1251" s="4" t="s">
        <v>4813</v>
      </c>
      <c r="AF1251" s="4" t="s">
        <v>4816</v>
      </c>
      <c r="AG1251" s="5" t="n">
        <v>0.273159722222222</v>
      </c>
      <c r="AH1251" s="5" t="n">
        <v>0.1109375</v>
      </c>
      <c r="AI1251" s="5" t="n">
        <v>0</v>
      </c>
      <c r="AJ1251" s="5" t="n">
        <v>0</v>
      </c>
      <c r="AK1251" s="5" t="n">
        <v>0</v>
      </c>
      <c r="AL1251" s="5" t="n">
        <v>0</v>
      </c>
      <c r="AM1251" s="4" t="s">
        <v>78</v>
      </c>
      <c r="AN1251" s="0" t="n">
        <v>0</v>
      </c>
      <c r="AO1251" s="0" t="n">
        <v>0</v>
      </c>
      <c r="AP1251" s="0" t="n">
        <v>0</v>
      </c>
      <c r="AQ1251" s="0" t="n">
        <v>0</v>
      </c>
      <c r="AR1251" s="0" t="n">
        <v>0</v>
      </c>
      <c r="AS1251" s="0" t="n">
        <v>0</v>
      </c>
      <c r="AT1251" s="0" t="n">
        <v>0</v>
      </c>
      <c r="AU1251" s="0" t="n">
        <v>0</v>
      </c>
      <c r="AV1251" s="0" t="n">
        <v>0</v>
      </c>
      <c r="AW1251" s="0" t="n">
        <v>0</v>
      </c>
      <c r="AX1251" s="0" t="n">
        <v>0</v>
      </c>
      <c r="AY1251" s="0" t="n">
        <v>0</v>
      </c>
      <c r="AZ1251" s="0" t="n">
        <v>0</v>
      </c>
      <c r="BA1251" s="0" t="n">
        <v>0</v>
      </c>
      <c r="BB1251" s="0" t="n">
        <v>0</v>
      </c>
      <c r="BC1251" s="0" t="n">
        <v>0</v>
      </c>
      <c r="BD1251" s="0" t="n">
        <v>0</v>
      </c>
      <c r="BE1251" s="0" t="n">
        <v>0</v>
      </c>
      <c r="BF1251" s="0" t="n">
        <v>0</v>
      </c>
      <c r="BG1251" s="0" t="n">
        <v>0</v>
      </c>
      <c r="BH1251" s="0" t="n">
        <v>0</v>
      </c>
      <c r="BI1251" s="0" t="n">
        <v>0</v>
      </c>
      <c r="BJ1251" s="0" t="n">
        <v>0</v>
      </c>
      <c r="BK1251" s="0" t="n">
        <v>0</v>
      </c>
      <c r="BM1251" s="6" t="n">
        <f aca="false">IFERROR(VALUE(F1251),"")</f>
        <v>322.43</v>
      </c>
      <c r="BN1251" s="6" t="str">
        <f aca="false">IF(R1251="-","",IFERROR(VALUE(LEFT(Q1251,LEN(Q1251)-2)),""))</f>
        <v/>
      </c>
      <c r="BO1251" s="6" t="str">
        <f aca="false">IF(R1251="-","",IFERROR(VALUE(LEFT(R1251,LEN(R1251)-5)),""))</f>
        <v/>
      </c>
      <c r="BP1251" s="6" t="str">
        <f aca="false">IF(R1251="-","",IFERROR(VALUE(F1251),""))</f>
        <v/>
      </c>
      <c r="BQ1251" s="4" t="n">
        <f aca="false">IF(R1251="-",1,0)</f>
        <v>1</v>
      </c>
    </row>
    <row r="1252" customFormat="false" ht="15" hidden="false" customHeight="false" outlineLevel="0" collapsed="false">
      <c r="A1252" s="0" t="s">
        <v>4803</v>
      </c>
      <c r="B1252" s="0" t="s">
        <v>4804</v>
      </c>
      <c r="C1252" s="0" t="s">
        <v>70</v>
      </c>
      <c r="D1252" s="0" t="s">
        <v>1321</v>
      </c>
      <c r="E1252" s="3" t="n">
        <v>46277</v>
      </c>
      <c r="F1252" s="4" t="s">
        <v>4817</v>
      </c>
      <c r="G1252" s="5" t="n">
        <v>0.475902777777778</v>
      </c>
      <c r="H1252" s="5" t="n">
        <v>0.474953703703704</v>
      </c>
      <c r="I1252" s="5" t="n">
        <v>8.10185185185185E-005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5" t="n">
        <v>0</v>
      </c>
      <c r="P1252" s="5" t="n">
        <v>0</v>
      </c>
      <c r="Q1252" s="4" t="s">
        <v>73</v>
      </c>
      <c r="R1252" s="4" t="s">
        <v>73</v>
      </c>
      <c r="S1252" s="5" t="n">
        <v>0</v>
      </c>
      <c r="T1252" s="5" t="n">
        <v>0.184837962962963</v>
      </c>
      <c r="U1252" s="5" t="n">
        <v>0.132407407407407</v>
      </c>
      <c r="V1252" s="5" t="n">
        <v>0.152083333333333</v>
      </c>
      <c r="W1252" s="5" t="n">
        <v>0</v>
      </c>
      <c r="X1252" s="5" t="n">
        <v>0</v>
      </c>
      <c r="Y1252" s="5" t="n">
        <v>0</v>
      </c>
      <c r="Z1252" s="0" t="n">
        <v>0</v>
      </c>
      <c r="AA1252" s="0" t="n">
        <v>0</v>
      </c>
      <c r="AB1252" s="0" t="n">
        <v>0</v>
      </c>
      <c r="AC1252" s="4" t="s">
        <v>887</v>
      </c>
      <c r="AD1252" s="4" t="s">
        <v>882</v>
      </c>
      <c r="AE1252" s="4" t="s">
        <v>4816</v>
      </c>
      <c r="AF1252" s="4" t="s">
        <v>4818</v>
      </c>
      <c r="AG1252" s="5" t="n">
        <v>0.422916666666667</v>
      </c>
      <c r="AH1252" s="5" t="n">
        <v>0.119201388888889</v>
      </c>
      <c r="AI1252" s="5" t="n">
        <v>0</v>
      </c>
      <c r="AJ1252" s="5" t="n">
        <v>0</v>
      </c>
      <c r="AK1252" s="5" t="n">
        <v>0</v>
      </c>
      <c r="AL1252" s="5" t="n">
        <v>0</v>
      </c>
      <c r="AM1252" s="4" t="s">
        <v>78</v>
      </c>
      <c r="AN1252" s="0" t="n">
        <v>0</v>
      </c>
      <c r="AO1252" s="0" t="n">
        <v>0</v>
      </c>
      <c r="AP1252" s="0" t="n">
        <v>0</v>
      </c>
      <c r="AQ1252" s="0" t="n">
        <v>0</v>
      </c>
      <c r="AR1252" s="0" t="n">
        <v>0</v>
      </c>
      <c r="AS1252" s="0" t="n">
        <v>0</v>
      </c>
      <c r="AT1252" s="0" t="n">
        <v>0</v>
      </c>
      <c r="AU1252" s="0" t="n">
        <v>0</v>
      </c>
      <c r="AV1252" s="0" t="n">
        <v>0</v>
      </c>
      <c r="AW1252" s="0" t="n">
        <v>0</v>
      </c>
      <c r="AX1252" s="0" t="n">
        <v>0</v>
      </c>
      <c r="AY1252" s="0" t="n">
        <v>0</v>
      </c>
      <c r="AZ1252" s="0" t="n">
        <v>0</v>
      </c>
      <c r="BA1252" s="0" t="n">
        <v>0</v>
      </c>
      <c r="BB1252" s="0" t="n">
        <v>0</v>
      </c>
      <c r="BC1252" s="0" t="n">
        <v>0</v>
      </c>
      <c r="BD1252" s="0" t="n">
        <v>0</v>
      </c>
      <c r="BE1252" s="0" t="n">
        <v>0</v>
      </c>
      <c r="BF1252" s="0" t="n">
        <v>0</v>
      </c>
      <c r="BG1252" s="0" t="n">
        <v>0</v>
      </c>
      <c r="BH1252" s="0" t="n">
        <v>0</v>
      </c>
      <c r="BI1252" s="0" t="n">
        <v>0</v>
      </c>
      <c r="BJ1252" s="0" t="n">
        <v>0</v>
      </c>
      <c r="BK1252" s="0" t="n">
        <v>0</v>
      </c>
      <c r="BM1252" s="6" t="n">
        <f aca="false">IFERROR(VALUE(F1252),"")</f>
        <v>490.98</v>
      </c>
      <c r="BN1252" s="6" t="str">
        <f aca="false">IF(R1252="-","",IFERROR(VALUE(LEFT(Q1252,LEN(Q1252)-2)),""))</f>
        <v/>
      </c>
      <c r="BO1252" s="6" t="str">
        <f aca="false">IF(R1252="-","",IFERROR(VALUE(LEFT(R1252,LEN(R1252)-5)),""))</f>
        <v/>
      </c>
      <c r="BP1252" s="6" t="str">
        <f aca="false">IF(R1252="-","",IFERROR(VALUE(F1252),""))</f>
        <v/>
      </c>
      <c r="BQ1252" s="4" t="n">
        <f aca="false">IF(R1252="-",1,0)</f>
        <v>1</v>
      </c>
    </row>
    <row r="1253" customFormat="false" ht="15" hidden="false" customHeight="false" outlineLevel="0" collapsed="false">
      <c r="A1253" s="0" t="s">
        <v>4803</v>
      </c>
      <c r="B1253" s="0" t="s">
        <v>4804</v>
      </c>
      <c r="C1253" s="0" t="s">
        <v>70</v>
      </c>
      <c r="D1253" s="0" t="s">
        <v>4819</v>
      </c>
      <c r="E1253" s="3" t="n">
        <v>46278</v>
      </c>
      <c r="F1253" s="4" t="s">
        <v>4820</v>
      </c>
      <c r="G1253" s="5" t="n">
        <v>0.594340277777778</v>
      </c>
      <c r="H1253" s="5" t="n">
        <v>0.403020833333333</v>
      </c>
      <c r="I1253" s="5" t="n">
        <v>0.000497685185185185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5" t="n">
        <v>0</v>
      </c>
      <c r="P1253" s="5" t="n">
        <v>0.028900462962963</v>
      </c>
      <c r="Q1253" s="4" t="s">
        <v>73</v>
      </c>
      <c r="R1253" s="4" t="s">
        <v>73</v>
      </c>
      <c r="S1253" s="5" t="n">
        <v>0</v>
      </c>
      <c r="T1253" s="5" t="n">
        <v>0.233449074074074</v>
      </c>
      <c r="U1253" s="5" t="n">
        <v>0.281134259259259</v>
      </c>
      <c r="V1253" s="5" t="n">
        <v>0.0721064814814815</v>
      </c>
      <c r="W1253" s="5" t="n">
        <v>0</v>
      </c>
      <c r="X1253" s="5" t="n">
        <v>0</v>
      </c>
      <c r="Y1253" s="5" t="n">
        <v>0</v>
      </c>
      <c r="Z1253" s="0" t="n">
        <v>0</v>
      </c>
      <c r="AA1253" s="0" t="n">
        <v>0</v>
      </c>
      <c r="AB1253" s="0" t="n">
        <v>0</v>
      </c>
      <c r="AC1253" s="4" t="s">
        <v>887</v>
      </c>
      <c r="AD1253" s="4" t="s">
        <v>4075</v>
      </c>
      <c r="AE1253" s="4" t="s">
        <v>4818</v>
      </c>
      <c r="AF1253" s="4" t="s">
        <v>4821</v>
      </c>
      <c r="AG1253" s="5" t="n">
        <v>0.492407407407407</v>
      </c>
      <c r="AH1253" s="5" t="n">
        <v>0.154340277777778</v>
      </c>
      <c r="AI1253" s="5" t="n">
        <v>0</v>
      </c>
      <c r="AJ1253" s="5" t="n">
        <v>0</v>
      </c>
      <c r="AK1253" s="5" t="n">
        <v>0</v>
      </c>
      <c r="AL1253" s="5" t="n">
        <v>0</v>
      </c>
      <c r="AM1253" s="4" t="s">
        <v>78</v>
      </c>
      <c r="AN1253" s="0" t="n">
        <v>0</v>
      </c>
      <c r="AO1253" s="0" t="n">
        <v>0</v>
      </c>
      <c r="AP1253" s="0" t="n">
        <v>0</v>
      </c>
      <c r="AQ1253" s="0" t="n">
        <v>0</v>
      </c>
      <c r="AR1253" s="0" t="n">
        <v>0</v>
      </c>
      <c r="AS1253" s="0" t="n">
        <v>0</v>
      </c>
      <c r="AT1253" s="0" t="n">
        <v>0</v>
      </c>
      <c r="AU1253" s="0" t="n">
        <v>5</v>
      </c>
      <c r="AV1253" s="0" t="n">
        <v>0</v>
      </c>
      <c r="AW1253" s="0" t="n">
        <v>0</v>
      </c>
      <c r="AX1253" s="0" t="n">
        <v>0</v>
      </c>
      <c r="AY1253" s="0" t="n">
        <v>0</v>
      </c>
      <c r="AZ1253" s="0" t="n">
        <v>0</v>
      </c>
      <c r="BA1253" s="0" t="n">
        <v>0</v>
      </c>
      <c r="BB1253" s="0" t="n">
        <v>0</v>
      </c>
      <c r="BC1253" s="0" t="n">
        <v>0</v>
      </c>
      <c r="BD1253" s="0" t="n">
        <v>0</v>
      </c>
      <c r="BE1253" s="0" t="n">
        <v>0</v>
      </c>
      <c r="BF1253" s="0" t="n">
        <v>0</v>
      </c>
      <c r="BG1253" s="0" t="n">
        <v>0</v>
      </c>
      <c r="BH1253" s="0" t="n">
        <v>0</v>
      </c>
      <c r="BI1253" s="0" t="n">
        <v>0</v>
      </c>
      <c r="BJ1253" s="0" t="n">
        <v>0</v>
      </c>
      <c r="BK1253" s="0" t="n">
        <v>0</v>
      </c>
      <c r="BM1253" s="6" t="n">
        <f aca="false">IFERROR(VALUE(F1253),"")</f>
        <v>538.02</v>
      </c>
      <c r="BN1253" s="6" t="str">
        <f aca="false">IF(R1253="-","",IFERROR(VALUE(LEFT(Q1253,LEN(Q1253)-2)),""))</f>
        <v/>
      </c>
      <c r="BO1253" s="6" t="str">
        <f aca="false">IF(R1253="-","",IFERROR(VALUE(LEFT(R1253,LEN(R1253)-5)),""))</f>
        <v/>
      </c>
      <c r="BP1253" s="6" t="str">
        <f aca="false">IF(R1253="-","",IFERROR(VALUE(F1253),""))</f>
        <v/>
      </c>
      <c r="BQ1253" s="4" t="n">
        <f aca="false">IF(R1253="-",1,0)</f>
        <v>1</v>
      </c>
    </row>
    <row r="1254" customFormat="false" ht="15" hidden="false" customHeight="false" outlineLevel="0" collapsed="false">
      <c r="A1254" s="0" t="s">
        <v>4803</v>
      </c>
      <c r="B1254" s="0" t="s">
        <v>4804</v>
      </c>
      <c r="C1254" s="0" t="s">
        <v>70</v>
      </c>
      <c r="D1254" s="0" t="s">
        <v>4822</v>
      </c>
      <c r="E1254" s="3" t="n">
        <v>46279</v>
      </c>
      <c r="F1254" s="4" t="s">
        <v>4823</v>
      </c>
      <c r="G1254" s="5" t="n">
        <v>0.538078703703704</v>
      </c>
      <c r="H1254" s="5" t="n">
        <v>0.483148148148148</v>
      </c>
      <c r="I1254" s="5" t="n">
        <v>0.000138888888888889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1</v>
      </c>
      <c r="O1254" s="5" t="n">
        <v>0</v>
      </c>
      <c r="P1254" s="5" t="n">
        <v>0.0153703703703704</v>
      </c>
      <c r="Q1254" s="4" t="s">
        <v>73</v>
      </c>
      <c r="R1254" s="4" t="s">
        <v>73</v>
      </c>
      <c r="S1254" s="5" t="n">
        <v>0</v>
      </c>
      <c r="T1254" s="5" t="n">
        <v>0.223032407407407</v>
      </c>
      <c r="U1254" s="5" t="n">
        <v>0.240740740740741</v>
      </c>
      <c r="V1254" s="5" t="n">
        <v>0.0283564814814815</v>
      </c>
      <c r="W1254" s="5" t="n">
        <v>0</v>
      </c>
      <c r="X1254" s="5" t="n">
        <v>0</v>
      </c>
      <c r="Y1254" s="5" t="n">
        <v>0</v>
      </c>
      <c r="Z1254" s="0" t="n">
        <v>0</v>
      </c>
      <c r="AA1254" s="0" t="n">
        <v>0</v>
      </c>
      <c r="AB1254" s="0" t="n">
        <v>0</v>
      </c>
      <c r="AC1254" s="4" t="s">
        <v>4075</v>
      </c>
      <c r="AD1254" s="4" t="s">
        <v>74</v>
      </c>
      <c r="AE1254" s="4" t="s">
        <v>4821</v>
      </c>
      <c r="AF1254" s="4" t="s">
        <v>4824</v>
      </c>
      <c r="AG1254" s="5" t="n">
        <v>0.407349537037037</v>
      </c>
      <c r="AH1254" s="5" t="n">
        <v>0.217638888888889</v>
      </c>
      <c r="AI1254" s="5" t="n">
        <v>0</v>
      </c>
      <c r="AJ1254" s="5" t="n">
        <v>0</v>
      </c>
      <c r="AK1254" s="5" t="n">
        <v>0</v>
      </c>
      <c r="AL1254" s="5" t="n">
        <v>0</v>
      </c>
      <c r="AM1254" s="4" t="s">
        <v>78</v>
      </c>
      <c r="AN1254" s="0" t="n">
        <v>0</v>
      </c>
      <c r="AO1254" s="0" t="n">
        <v>0</v>
      </c>
      <c r="AP1254" s="0" t="n">
        <v>0</v>
      </c>
      <c r="AQ1254" s="0" t="n">
        <v>0</v>
      </c>
      <c r="AR1254" s="0" t="n">
        <v>0</v>
      </c>
      <c r="AS1254" s="0" t="n">
        <v>0</v>
      </c>
      <c r="AT1254" s="0" t="n">
        <v>0</v>
      </c>
      <c r="AU1254" s="0" t="n">
        <v>2</v>
      </c>
      <c r="AV1254" s="0" t="n">
        <v>0</v>
      </c>
      <c r="AW1254" s="0" t="n">
        <v>0</v>
      </c>
      <c r="AX1254" s="0" t="n">
        <v>0</v>
      </c>
      <c r="AY1254" s="0" t="n">
        <v>0</v>
      </c>
      <c r="AZ1254" s="0" t="n">
        <v>0</v>
      </c>
      <c r="BA1254" s="0" t="n">
        <v>0</v>
      </c>
      <c r="BB1254" s="0" t="n">
        <v>0</v>
      </c>
      <c r="BC1254" s="0" t="n">
        <v>0</v>
      </c>
      <c r="BD1254" s="0" t="n">
        <v>0</v>
      </c>
      <c r="BE1254" s="0" t="n">
        <v>0</v>
      </c>
      <c r="BF1254" s="0" t="n">
        <v>0</v>
      </c>
      <c r="BG1254" s="0" t="n">
        <v>0</v>
      </c>
      <c r="BH1254" s="0" t="n">
        <v>0</v>
      </c>
      <c r="BI1254" s="0" t="n">
        <v>0</v>
      </c>
      <c r="BJ1254" s="0" t="n">
        <v>0</v>
      </c>
      <c r="BK1254" s="0" t="n">
        <v>0</v>
      </c>
      <c r="BM1254" s="6" t="n">
        <f aca="false">IFERROR(VALUE(F1254),"")</f>
        <v>395.85</v>
      </c>
      <c r="BN1254" s="6" t="str">
        <f aca="false">IF(R1254="-","",IFERROR(VALUE(LEFT(Q1254,LEN(Q1254)-2)),""))</f>
        <v/>
      </c>
      <c r="BO1254" s="6" t="str">
        <f aca="false">IF(R1254="-","",IFERROR(VALUE(LEFT(R1254,LEN(R1254)-5)),""))</f>
        <v/>
      </c>
      <c r="BP1254" s="6" t="str">
        <f aca="false">IF(R1254="-","",IFERROR(VALUE(F1254),""))</f>
        <v/>
      </c>
      <c r="BQ1254" s="4" t="n">
        <f aca="false">IF(R1254="-",1,0)</f>
        <v>1</v>
      </c>
    </row>
    <row r="1255" customFormat="false" ht="15" hidden="false" customHeight="false" outlineLevel="0" collapsed="false">
      <c r="A1255" s="0" t="s">
        <v>4825</v>
      </c>
      <c r="B1255" s="0" t="s">
        <v>4826</v>
      </c>
      <c r="C1255" s="0" t="s">
        <v>70</v>
      </c>
      <c r="D1255" s="0" t="s">
        <v>4827</v>
      </c>
      <c r="E1255" s="3" t="n">
        <v>46273</v>
      </c>
      <c r="F1255" s="4" t="s">
        <v>95</v>
      </c>
      <c r="G1255" s="5" t="n">
        <v>0.181018518518519</v>
      </c>
      <c r="H1255" s="5" t="n">
        <v>0.16599537037037</v>
      </c>
      <c r="I1255" s="5" t="n">
        <v>0.000127314814814815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11</v>
      </c>
      <c r="O1255" s="5" t="n">
        <v>0</v>
      </c>
      <c r="P1255" s="5" t="n">
        <v>0.00857638888888889</v>
      </c>
      <c r="Q1255" s="4" t="s">
        <v>4828</v>
      </c>
      <c r="R1255" s="4" t="s">
        <v>454</v>
      </c>
      <c r="S1255" s="5" t="n">
        <v>0.000115740740740741</v>
      </c>
      <c r="T1255" s="5" t="n">
        <v>0.0784722222222222</v>
      </c>
      <c r="U1255" s="5" t="n">
        <v>0.0850694444444445</v>
      </c>
      <c r="V1255" s="5" t="n">
        <v>0.0118055555555556</v>
      </c>
      <c r="W1255" s="5" t="n">
        <v>0</v>
      </c>
      <c r="X1255" s="5" t="n">
        <v>0</v>
      </c>
      <c r="Y1255" s="5" t="n">
        <v>0</v>
      </c>
      <c r="Z1255" s="0" t="n">
        <v>0</v>
      </c>
      <c r="AA1255" s="0" t="n">
        <v>0</v>
      </c>
      <c r="AB1255" s="0" t="n">
        <v>0</v>
      </c>
      <c r="AC1255" s="4" t="s">
        <v>208</v>
      </c>
      <c r="AD1255" s="4" t="s">
        <v>208</v>
      </c>
      <c r="AE1255" s="4" t="s">
        <v>4829</v>
      </c>
      <c r="AF1255" s="4" t="s">
        <v>4829</v>
      </c>
      <c r="AG1255" s="5" t="n">
        <v>0.152060185185185</v>
      </c>
      <c r="AH1255" s="5" t="n">
        <v>0.0930324074074074</v>
      </c>
      <c r="AI1255" s="5" t="n">
        <v>0</v>
      </c>
      <c r="AJ1255" s="5" t="n">
        <v>0</v>
      </c>
      <c r="AK1255" s="5" t="n">
        <v>0</v>
      </c>
      <c r="AL1255" s="5" t="n">
        <v>0</v>
      </c>
      <c r="AM1255" s="4" t="s">
        <v>78</v>
      </c>
      <c r="AN1255" s="0" t="n">
        <v>0</v>
      </c>
      <c r="AO1255" s="0" t="n">
        <v>0</v>
      </c>
      <c r="AP1255" s="0" t="n">
        <v>0</v>
      </c>
      <c r="AQ1255" s="0" t="n">
        <v>0</v>
      </c>
      <c r="AR1255" s="0" t="n">
        <v>0</v>
      </c>
      <c r="AS1255" s="0" t="n">
        <v>0</v>
      </c>
      <c r="AT1255" s="0" t="n">
        <v>0</v>
      </c>
      <c r="AU1255" s="0" t="n">
        <v>3</v>
      </c>
      <c r="AV1255" s="0" t="n">
        <v>0</v>
      </c>
      <c r="AW1255" s="0" t="n">
        <v>0</v>
      </c>
      <c r="AX1255" s="0" t="n">
        <v>0</v>
      </c>
      <c r="AY1255" s="0" t="n">
        <v>0</v>
      </c>
      <c r="AZ1255" s="0" t="n">
        <v>0</v>
      </c>
      <c r="BA1255" s="0" t="n">
        <v>0</v>
      </c>
      <c r="BB1255" s="0" t="n">
        <v>0</v>
      </c>
      <c r="BC1255" s="0" t="n">
        <v>0</v>
      </c>
      <c r="BD1255" s="0" t="n">
        <v>0</v>
      </c>
      <c r="BE1255" s="0" t="n">
        <v>0</v>
      </c>
      <c r="BF1255" s="0" t="n">
        <v>0</v>
      </c>
      <c r="BG1255" s="0" t="n">
        <v>0</v>
      </c>
      <c r="BH1255" s="0" t="n">
        <v>0</v>
      </c>
      <c r="BI1255" s="0" t="n">
        <v>0</v>
      </c>
      <c r="BJ1255" s="0" t="n">
        <v>0</v>
      </c>
      <c r="BK1255" s="0" t="n">
        <v>0</v>
      </c>
      <c r="BM1255" s="6" t="n">
        <f aca="false">IFERROR(VALUE(F1255),"")</f>
        <v>0</v>
      </c>
      <c r="BN1255" s="6" t="n">
        <f aca="false">IF(R1255="-","",IFERROR(VALUE(LEFT(Q1255,LEN(Q1255)-2)),""))</f>
        <v>17.34</v>
      </c>
      <c r="BO1255" s="6" t="n">
        <f aca="false">IF(R1255="-","",IFERROR(VALUE(LEFT(R1255,LEN(R1255)-5)),""))</f>
        <v>0</v>
      </c>
      <c r="BP1255" s="6" t="n">
        <f aca="false">IF(R1255="-","",IFERROR(VALUE(F1255),""))</f>
        <v>0</v>
      </c>
      <c r="BQ1255" s="4" t="n">
        <f aca="false">IF(R1255="-",1,0)</f>
        <v>0</v>
      </c>
    </row>
    <row r="1256" customFormat="false" ht="15" hidden="false" customHeight="false" outlineLevel="0" collapsed="false">
      <c r="A1256" s="0" t="s">
        <v>4825</v>
      </c>
      <c r="B1256" s="0" t="s">
        <v>4826</v>
      </c>
      <c r="C1256" s="0" t="s">
        <v>70</v>
      </c>
      <c r="D1256" s="0" t="s">
        <v>4830</v>
      </c>
      <c r="E1256" s="3" t="n">
        <v>46274</v>
      </c>
      <c r="F1256" s="4" t="s">
        <v>95</v>
      </c>
      <c r="G1256" s="5" t="n">
        <v>0.102418981481482</v>
      </c>
      <c r="H1256" s="5" t="n">
        <v>0.100405092592593</v>
      </c>
      <c r="I1256" s="5" t="n">
        <v>0.000127314814814815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6</v>
      </c>
      <c r="O1256" s="5" t="n">
        <v>0</v>
      </c>
      <c r="P1256" s="5" t="n">
        <v>0</v>
      </c>
      <c r="Q1256" s="4" t="s">
        <v>4831</v>
      </c>
      <c r="R1256" s="4" t="s">
        <v>454</v>
      </c>
      <c r="S1256" s="5" t="n">
        <v>0</v>
      </c>
      <c r="T1256" s="5" t="n">
        <v>0.0393518518518519</v>
      </c>
      <c r="U1256" s="5" t="n">
        <v>0.058912037037037</v>
      </c>
      <c r="V1256" s="5" t="n">
        <v>0.00243055555555556</v>
      </c>
      <c r="W1256" s="5" t="n">
        <v>0</v>
      </c>
      <c r="X1256" s="5" t="n">
        <v>0</v>
      </c>
      <c r="Y1256" s="5" t="n">
        <v>0</v>
      </c>
      <c r="Z1256" s="0" t="n">
        <v>0</v>
      </c>
      <c r="AA1256" s="0" t="n">
        <v>0</v>
      </c>
      <c r="AB1256" s="0" t="n">
        <v>0</v>
      </c>
      <c r="AC1256" s="4" t="s">
        <v>208</v>
      </c>
      <c r="AD1256" s="4" t="s">
        <v>208</v>
      </c>
      <c r="AE1256" s="4" t="s">
        <v>4829</v>
      </c>
      <c r="AF1256" s="4" t="s">
        <v>4829</v>
      </c>
      <c r="AG1256" s="5" t="n">
        <v>0.091099537037037</v>
      </c>
      <c r="AH1256" s="5" t="n">
        <v>0.0556828703703704</v>
      </c>
      <c r="AI1256" s="5" t="n">
        <v>0</v>
      </c>
      <c r="AJ1256" s="5" t="n">
        <v>0</v>
      </c>
      <c r="AK1256" s="5" t="n">
        <v>0</v>
      </c>
      <c r="AL1256" s="5" t="n">
        <v>0</v>
      </c>
      <c r="AM1256" s="4" t="s">
        <v>78</v>
      </c>
      <c r="AN1256" s="0" t="n">
        <v>0</v>
      </c>
      <c r="AO1256" s="0" t="n">
        <v>0</v>
      </c>
      <c r="AP1256" s="0" t="n">
        <v>0</v>
      </c>
      <c r="AQ1256" s="0" t="n">
        <v>0</v>
      </c>
      <c r="AR1256" s="0" t="n">
        <v>0</v>
      </c>
      <c r="AS1256" s="0" t="n">
        <v>0</v>
      </c>
      <c r="AT1256" s="0" t="n">
        <v>0</v>
      </c>
      <c r="AU1256" s="0" t="n">
        <v>0</v>
      </c>
      <c r="AV1256" s="0" t="n">
        <v>0</v>
      </c>
      <c r="AW1256" s="0" t="n">
        <v>0</v>
      </c>
      <c r="AX1256" s="0" t="n">
        <v>0</v>
      </c>
      <c r="AY1256" s="0" t="n">
        <v>0</v>
      </c>
      <c r="AZ1256" s="0" t="n">
        <v>0</v>
      </c>
      <c r="BA1256" s="0" t="n">
        <v>0</v>
      </c>
      <c r="BB1256" s="0" t="n">
        <v>0</v>
      </c>
      <c r="BC1256" s="0" t="n">
        <v>0</v>
      </c>
      <c r="BD1256" s="0" t="n">
        <v>0</v>
      </c>
      <c r="BE1256" s="0" t="n">
        <v>0</v>
      </c>
      <c r="BF1256" s="0" t="n">
        <v>0</v>
      </c>
      <c r="BG1256" s="0" t="n">
        <v>0</v>
      </c>
      <c r="BH1256" s="0" t="n">
        <v>0</v>
      </c>
      <c r="BI1256" s="0" t="n">
        <v>0</v>
      </c>
      <c r="BJ1256" s="0" t="n">
        <v>0</v>
      </c>
      <c r="BK1256" s="0" t="n">
        <v>0</v>
      </c>
      <c r="BM1256" s="6" t="n">
        <f aca="false">IFERROR(VALUE(F1256),"")</f>
        <v>0</v>
      </c>
      <c r="BN1256" s="6" t="n">
        <f aca="false">IF(R1256="-","",IFERROR(VALUE(LEFT(Q1256,LEN(Q1256)-2)),""))</f>
        <v>9.45</v>
      </c>
      <c r="BO1256" s="6" t="n">
        <f aca="false">IF(R1256="-","",IFERROR(VALUE(LEFT(R1256,LEN(R1256)-5)),""))</f>
        <v>0</v>
      </c>
      <c r="BP1256" s="6" t="n">
        <f aca="false">IF(R1256="-","",IFERROR(VALUE(F1256),""))</f>
        <v>0</v>
      </c>
      <c r="BQ1256" s="4" t="n">
        <f aca="false">IF(R1256="-",1,0)</f>
        <v>0</v>
      </c>
    </row>
    <row r="1257" customFormat="false" ht="15" hidden="false" customHeight="false" outlineLevel="0" collapsed="false">
      <c r="A1257" s="0" t="s">
        <v>4825</v>
      </c>
      <c r="B1257" s="0" t="s">
        <v>4826</v>
      </c>
      <c r="C1257" s="0" t="s">
        <v>70</v>
      </c>
      <c r="D1257" s="0" t="s">
        <v>2700</v>
      </c>
      <c r="E1257" s="3" t="n">
        <v>46276</v>
      </c>
      <c r="F1257" s="4" t="s">
        <v>95</v>
      </c>
      <c r="G1257" s="5" t="n">
        <v>0.309756944444445</v>
      </c>
      <c r="H1257" s="5" t="n">
        <v>0.187430555555556</v>
      </c>
      <c r="I1257" s="5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1</v>
      </c>
      <c r="O1257" s="5" t="n">
        <v>0</v>
      </c>
      <c r="P1257" s="5" t="n">
        <v>0.0596180555555556</v>
      </c>
      <c r="Q1257" s="4" t="s">
        <v>4832</v>
      </c>
      <c r="R1257" s="4" t="s">
        <v>454</v>
      </c>
      <c r="S1257" s="5" t="n">
        <v>0</v>
      </c>
      <c r="T1257" s="5" t="n">
        <v>0.113888888888889</v>
      </c>
      <c r="U1257" s="5" t="n">
        <v>0.0677083333333333</v>
      </c>
      <c r="V1257" s="5" t="n">
        <v>0.00289351851851852</v>
      </c>
      <c r="W1257" s="5" t="n">
        <v>0</v>
      </c>
      <c r="X1257" s="5" t="n">
        <v>0</v>
      </c>
      <c r="Y1257" s="5" t="n">
        <v>0</v>
      </c>
      <c r="Z1257" s="0" t="n">
        <v>0</v>
      </c>
      <c r="AA1257" s="0" t="n">
        <v>0</v>
      </c>
      <c r="AB1257" s="0" t="n">
        <v>0</v>
      </c>
      <c r="AC1257" s="4" t="s">
        <v>208</v>
      </c>
      <c r="AD1257" s="4" t="s">
        <v>75</v>
      </c>
      <c r="AE1257" s="4" t="s">
        <v>4829</v>
      </c>
      <c r="AF1257" s="4" t="s">
        <v>4829</v>
      </c>
      <c r="AG1257" s="5" t="n">
        <v>0.113657407407407</v>
      </c>
      <c r="AH1257" s="5" t="n">
        <v>0.278483796296296</v>
      </c>
      <c r="AI1257" s="5" t="n">
        <v>0</v>
      </c>
      <c r="AJ1257" s="5" t="n">
        <v>0</v>
      </c>
      <c r="AK1257" s="5" t="n">
        <v>0</v>
      </c>
      <c r="AL1257" s="5" t="n">
        <v>0</v>
      </c>
      <c r="AM1257" s="4" t="s">
        <v>78</v>
      </c>
      <c r="AN1257" s="0" t="n">
        <v>0</v>
      </c>
      <c r="AO1257" s="0" t="n">
        <v>0</v>
      </c>
      <c r="AP1257" s="0" t="n">
        <v>0</v>
      </c>
      <c r="AQ1257" s="0" t="n">
        <v>0</v>
      </c>
      <c r="AR1257" s="0" t="n">
        <v>0</v>
      </c>
      <c r="AS1257" s="0" t="n">
        <v>0</v>
      </c>
      <c r="AT1257" s="0" t="n">
        <v>0</v>
      </c>
      <c r="AU1257" s="0" t="n">
        <v>2</v>
      </c>
      <c r="AV1257" s="0" t="n">
        <v>0</v>
      </c>
      <c r="AW1257" s="0" t="n">
        <v>0</v>
      </c>
      <c r="AX1257" s="0" t="n">
        <v>0</v>
      </c>
      <c r="AY1257" s="0" t="n">
        <v>0</v>
      </c>
      <c r="AZ1257" s="0" t="n">
        <v>0</v>
      </c>
      <c r="BA1257" s="0" t="n">
        <v>0</v>
      </c>
      <c r="BB1257" s="0" t="n">
        <v>0</v>
      </c>
      <c r="BC1257" s="0" t="n">
        <v>0</v>
      </c>
      <c r="BD1257" s="0" t="n">
        <v>0</v>
      </c>
      <c r="BE1257" s="0" t="n">
        <v>0</v>
      </c>
      <c r="BF1257" s="0" t="n">
        <v>0</v>
      </c>
      <c r="BG1257" s="0" t="n">
        <v>0</v>
      </c>
      <c r="BH1257" s="0" t="n">
        <v>0</v>
      </c>
      <c r="BI1257" s="0" t="n">
        <v>0</v>
      </c>
      <c r="BJ1257" s="0" t="n">
        <v>0</v>
      </c>
      <c r="BK1257" s="0" t="n">
        <v>0</v>
      </c>
      <c r="BM1257" s="6" t="n">
        <f aca="false">IFERROR(VALUE(F1257),"")</f>
        <v>0</v>
      </c>
      <c r="BN1257" s="6" t="n">
        <f aca="false">IF(R1257="-","",IFERROR(VALUE(LEFT(Q1257,LEN(Q1257)-2)),""))</f>
        <v>11.43</v>
      </c>
      <c r="BO1257" s="6" t="n">
        <f aca="false">IF(R1257="-","",IFERROR(VALUE(LEFT(R1257,LEN(R1257)-5)),""))</f>
        <v>0</v>
      </c>
      <c r="BP1257" s="6" t="n">
        <f aca="false">IF(R1257="-","",IFERROR(VALUE(F1257),""))</f>
        <v>0</v>
      </c>
      <c r="BQ1257" s="4" t="n">
        <f aca="false">IF(R1257="-",1,0)</f>
        <v>0</v>
      </c>
    </row>
    <row r="1258" customFormat="false" ht="15" hidden="false" customHeight="false" outlineLevel="0" collapsed="false">
      <c r="A1258" s="0" t="s">
        <v>4825</v>
      </c>
      <c r="B1258" s="0" t="s">
        <v>4826</v>
      </c>
      <c r="C1258" s="0" t="s">
        <v>70</v>
      </c>
      <c r="D1258" s="0" t="s">
        <v>4833</v>
      </c>
      <c r="E1258" s="3" t="n">
        <v>46277</v>
      </c>
      <c r="F1258" s="4" t="s">
        <v>95</v>
      </c>
      <c r="G1258" s="5" t="n">
        <v>0.0965277777777778</v>
      </c>
      <c r="H1258" s="5" t="n">
        <v>0.0873148148148148</v>
      </c>
      <c r="I1258" s="5" t="n">
        <v>0.000300925925925926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5" t="n">
        <v>0</v>
      </c>
      <c r="P1258" s="5" t="n">
        <v>0</v>
      </c>
      <c r="Q1258" s="4" t="s">
        <v>4834</v>
      </c>
      <c r="R1258" s="4" t="s">
        <v>454</v>
      </c>
      <c r="S1258" s="5" t="n">
        <v>0</v>
      </c>
      <c r="T1258" s="5" t="n">
        <v>0.0417824074074074</v>
      </c>
      <c r="U1258" s="5" t="n">
        <v>0.0488425925925926</v>
      </c>
      <c r="V1258" s="5" t="n">
        <v>0.00405092592592593</v>
      </c>
      <c r="W1258" s="5" t="n">
        <v>0</v>
      </c>
      <c r="X1258" s="5" t="n">
        <v>0</v>
      </c>
      <c r="Y1258" s="5" t="n">
        <v>0</v>
      </c>
      <c r="Z1258" s="0" t="n">
        <v>0</v>
      </c>
      <c r="AA1258" s="0" t="n">
        <v>0</v>
      </c>
      <c r="AB1258" s="0" t="n">
        <v>0</v>
      </c>
      <c r="AC1258" s="4" t="s">
        <v>81</v>
      </c>
      <c r="AD1258" s="4" t="s">
        <v>208</v>
      </c>
      <c r="AE1258" s="4" t="s">
        <v>4829</v>
      </c>
      <c r="AF1258" s="4" t="s">
        <v>4829</v>
      </c>
      <c r="AG1258" s="5" t="n">
        <v>0.0784490740740741</v>
      </c>
      <c r="AH1258" s="5" t="n">
        <v>0.0502430555555556</v>
      </c>
      <c r="AI1258" s="5" t="n">
        <v>0</v>
      </c>
      <c r="AJ1258" s="5" t="n">
        <v>0</v>
      </c>
      <c r="AK1258" s="5" t="n">
        <v>0</v>
      </c>
      <c r="AL1258" s="5" t="n">
        <v>0</v>
      </c>
      <c r="AM1258" s="4" t="s">
        <v>78</v>
      </c>
      <c r="AN1258" s="0" t="n">
        <v>0</v>
      </c>
      <c r="AO1258" s="0" t="n">
        <v>3</v>
      </c>
      <c r="AP1258" s="0" t="n">
        <v>0</v>
      </c>
      <c r="AQ1258" s="0" t="n">
        <v>0</v>
      </c>
      <c r="AR1258" s="0" t="n">
        <v>0</v>
      </c>
      <c r="AS1258" s="0" t="n">
        <v>0</v>
      </c>
      <c r="AT1258" s="0" t="n">
        <v>0</v>
      </c>
      <c r="AU1258" s="0" t="n">
        <v>0</v>
      </c>
      <c r="AV1258" s="0" t="n">
        <v>0</v>
      </c>
      <c r="AW1258" s="0" t="n">
        <v>0</v>
      </c>
      <c r="AX1258" s="0" t="n">
        <v>0</v>
      </c>
      <c r="AY1258" s="0" t="n">
        <v>0</v>
      </c>
      <c r="AZ1258" s="0" t="n">
        <v>0</v>
      </c>
      <c r="BA1258" s="0" t="n">
        <v>0</v>
      </c>
      <c r="BB1258" s="0" t="n">
        <v>0</v>
      </c>
      <c r="BC1258" s="0" t="n">
        <v>0</v>
      </c>
      <c r="BD1258" s="0" t="n">
        <v>0</v>
      </c>
      <c r="BE1258" s="0" t="n">
        <v>0</v>
      </c>
      <c r="BF1258" s="0" t="n">
        <v>0</v>
      </c>
      <c r="BG1258" s="0" t="n">
        <v>0</v>
      </c>
      <c r="BH1258" s="0" t="n">
        <v>0</v>
      </c>
      <c r="BI1258" s="0" t="n">
        <v>0</v>
      </c>
      <c r="BJ1258" s="0" t="n">
        <v>0</v>
      </c>
      <c r="BK1258" s="0" t="n">
        <v>0</v>
      </c>
      <c r="BM1258" s="6" t="n">
        <f aca="false">IFERROR(VALUE(F1258),"")</f>
        <v>0</v>
      </c>
      <c r="BN1258" s="6" t="n">
        <f aca="false">IF(R1258="-","",IFERROR(VALUE(LEFT(Q1258,LEN(Q1258)-2)),""))</f>
        <v>8.03</v>
      </c>
      <c r="BO1258" s="6" t="n">
        <f aca="false">IF(R1258="-","",IFERROR(VALUE(LEFT(R1258,LEN(R1258)-5)),""))</f>
        <v>0</v>
      </c>
      <c r="BP1258" s="6" t="n">
        <f aca="false">IF(R1258="-","",IFERROR(VALUE(F1258),""))</f>
        <v>0</v>
      </c>
      <c r="BQ1258" s="4" t="n">
        <f aca="false">IF(R1258="-",1,0)</f>
        <v>0</v>
      </c>
    </row>
    <row r="1259" customFormat="false" ht="15" hidden="false" customHeight="false" outlineLevel="0" collapsed="false">
      <c r="A1259" s="0" t="s">
        <v>4825</v>
      </c>
      <c r="B1259" s="0" t="s">
        <v>4826</v>
      </c>
      <c r="C1259" s="0" t="s">
        <v>70</v>
      </c>
      <c r="E1259" s="3" t="n">
        <v>46278</v>
      </c>
      <c r="F1259" s="4" t="s">
        <v>95</v>
      </c>
      <c r="G1259" s="5" t="n">
        <v>0.000613425925925926</v>
      </c>
      <c r="H1259" s="5" t="n">
        <v>0</v>
      </c>
      <c r="I1259" s="5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5" t="n">
        <v>0</v>
      </c>
      <c r="P1259" s="5" t="n">
        <v>0</v>
      </c>
      <c r="Q1259" s="4" t="s">
        <v>73</v>
      </c>
      <c r="R1259" s="4" t="s">
        <v>73</v>
      </c>
      <c r="S1259" s="5" t="n">
        <v>0</v>
      </c>
      <c r="T1259" s="5" t="n">
        <v>0</v>
      </c>
      <c r="U1259" s="5" t="n">
        <v>0</v>
      </c>
      <c r="V1259" s="5" t="n">
        <v>0</v>
      </c>
      <c r="W1259" s="5" t="n">
        <v>0</v>
      </c>
      <c r="X1259" s="5" t="n">
        <v>0</v>
      </c>
      <c r="Y1259" s="5" t="n">
        <v>0</v>
      </c>
      <c r="Z1259" s="0" t="n">
        <v>0</v>
      </c>
      <c r="AA1259" s="0" t="n">
        <v>0</v>
      </c>
      <c r="AB1259" s="0" t="n">
        <v>0</v>
      </c>
      <c r="AC1259" s="4" t="s">
        <v>1113</v>
      </c>
      <c r="AD1259" s="4" t="s">
        <v>1113</v>
      </c>
      <c r="AE1259" s="4" t="s">
        <v>4829</v>
      </c>
      <c r="AF1259" s="4" t="s">
        <v>4829</v>
      </c>
      <c r="AG1259" s="5" t="n">
        <v>0</v>
      </c>
      <c r="AH1259" s="5" t="n">
        <v>0.00996527777777778</v>
      </c>
      <c r="AI1259" s="5" t="n">
        <v>0</v>
      </c>
      <c r="AJ1259" s="5" t="n">
        <v>0</v>
      </c>
      <c r="AK1259" s="5" t="n">
        <v>0</v>
      </c>
      <c r="AL1259" s="5" t="n">
        <v>0</v>
      </c>
      <c r="AM1259" s="4" t="s">
        <v>78</v>
      </c>
      <c r="AN1259" s="0" t="n">
        <v>0</v>
      </c>
      <c r="AO1259" s="0" t="n">
        <v>0</v>
      </c>
      <c r="AP1259" s="0" t="n">
        <v>0</v>
      </c>
      <c r="AQ1259" s="0" t="n">
        <v>0</v>
      </c>
      <c r="AR1259" s="0" t="n">
        <v>0</v>
      </c>
      <c r="AS1259" s="0" t="n">
        <v>0</v>
      </c>
      <c r="AT1259" s="0" t="n">
        <v>0</v>
      </c>
      <c r="AU1259" s="0" t="n">
        <v>0</v>
      </c>
      <c r="AV1259" s="0" t="n">
        <v>0</v>
      </c>
      <c r="AW1259" s="0" t="n">
        <v>0</v>
      </c>
      <c r="AX1259" s="0" t="n">
        <v>0</v>
      </c>
      <c r="AY1259" s="0" t="n">
        <v>0</v>
      </c>
      <c r="AZ1259" s="0" t="n">
        <v>0</v>
      </c>
      <c r="BA1259" s="0" t="n">
        <v>0</v>
      </c>
      <c r="BB1259" s="0" t="n">
        <v>0</v>
      </c>
      <c r="BC1259" s="0" t="n">
        <v>0</v>
      </c>
      <c r="BD1259" s="0" t="n">
        <v>0</v>
      </c>
      <c r="BE1259" s="0" t="n">
        <v>0</v>
      </c>
      <c r="BF1259" s="0" t="n">
        <v>0</v>
      </c>
      <c r="BG1259" s="0" t="n">
        <v>0</v>
      </c>
      <c r="BH1259" s="0" t="n">
        <v>0</v>
      </c>
      <c r="BI1259" s="0" t="n">
        <v>0</v>
      </c>
      <c r="BJ1259" s="0" t="n">
        <v>0</v>
      </c>
      <c r="BK1259" s="0" t="n">
        <v>0</v>
      </c>
      <c r="BM1259" s="6" t="n">
        <f aca="false">IFERROR(VALUE(F1259),"")</f>
        <v>0</v>
      </c>
      <c r="BN1259" s="6" t="str">
        <f aca="false">IF(R1259="-","",IFERROR(VALUE(LEFT(Q1259,LEN(Q1259)-2)),""))</f>
        <v/>
      </c>
      <c r="BO1259" s="6" t="str">
        <f aca="false">IF(R1259="-","",IFERROR(VALUE(LEFT(R1259,LEN(R1259)-5)),""))</f>
        <v/>
      </c>
      <c r="BP1259" s="6" t="str">
        <f aca="false">IF(R1259="-","",IFERROR(VALUE(F1259),""))</f>
        <v/>
      </c>
      <c r="BQ1259" s="4" t="n">
        <f aca="false">IF(R1259="-",1,0)</f>
        <v>1</v>
      </c>
    </row>
    <row r="1260" customFormat="false" ht="15" hidden="false" customHeight="false" outlineLevel="0" collapsed="false">
      <c r="A1260" s="0" t="s">
        <v>4825</v>
      </c>
      <c r="B1260" s="0" t="s">
        <v>4826</v>
      </c>
      <c r="C1260" s="0" t="s">
        <v>70</v>
      </c>
      <c r="D1260" s="0" t="s">
        <v>4835</v>
      </c>
      <c r="E1260" s="3" t="n">
        <v>46279</v>
      </c>
      <c r="F1260" s="4" t="s">
        <v>95</v>
      </c>
      <c r="G1260" s="5" t="n">
        <v>0.320231481481482</v>
      </c>
      <c r="H1260" s="5" t="n">
        <v>0.288773148148148</v>
      </c>
      <c r="I1260" s="5" t="n">
        <v>0.00217592592592593</v>
      </c>
      <c r="J1260" s="0" t="n">
        <v>0</v>
      </c>
      <c r="K1260" s="0" t="n">
        <v>2</v>
      </c>
      <c r="L1260" s="0" t="n">
        <v>0</v>
      </c>
      <c r="M1260" s="0" t="n">
        <v>0</v>
      </c>
      <c r="N1260" s="0" t="n">
        <v>21</v>
      </c>
      <c r="O1260" s="5" t="n">
        <v>0</v>
      </c>
      <c r="P1260" s="5" t="n">
        <v>0</v>
      </c>
      <c r="Q1260" s="4" t="s">
        <v>4836</v>
      </c>
      <c r="R1260" s="4" t="s">
        <v>454</v>
      </c>
      <c r="S1260" s="5" t="n">
        <v>0.000115740740740741</v>
      </c>
      <c r="T1260" s="5" t="n">
        <v>0.130324074074074</v>
      </c>
      <c r="U1260" s="5" t="n">
        <v>0.163194444444444</v>
      </c>
      <c r="V1260" s="5" t="n">
        <v>0.0127314814814815</v>
      </c>
      <c r="W1260" s="5" t="n">
        <v>0</v>
      </c>
      <c r="X1260" s="5" t="n">
        <v>0</v>
      </c>
      <c r="Y1260" s="5" t="n">
        <v>0</v>
      </c>
      <c r="Z1260" s="0" t="n">
        <v>0</v>
      </c>
      <c r="AA1260" s="0" t="n">
        <v>0</v>
      </c>
      <c r="AB1260" s="0" t="n">
        <v>0</v>
      </c>
      <c r="AC1260" s="4" t="s">
        <v>208</v>
      </c>
      <c r="AD1260" s="4" t="s">
        <v>1090</v>
      </c>
      <c r="AE1260" s="4" t="s">
        <v>4829</v>
      </c>
      <c r="AF1260" s="4" t="s">
        <v>4829</v>
      </c>
      <c r="AG1260" s="5" t="n">
        <v>0.282789351851852</v>
      </c>
      <c r="AH1260" s="5" t="n">
        <v>0.105717592592593</v>
      </c>
      <c r="AI1260" s="5" t="n">
        <v>0</v>
      </c>
      <c r="AJ1260" s="5" t="n">
        <v>0</v>
      </c>
      <c r="AK1260" s="5" t="n">
        <v>0</v>
      </c>
      <c r="AL1260" s="5" t="n">
        <v>0</v>
      </c>
      <c r="AM1260" s="4" t="s">
        <v>78</v>
      </c>
      <c r="AN1260" s="0" t="n">
        <v>0</v>
      </c>
      <c r="AO1260" s="0" t="n">
        <v>0</v>
      </c>
      <c r="AP1260" s="0" t="n">
        <v>0</v>
      </c>
      <c r="AQ1260" s="0" t="n">
        <v>0</v>
      </c>
      <c r="AR1260" s="0" t="n">
        <v>0</v>
      </c>
      <c r="AS1260" s="0" t="n">
        <v>0</v>
      </c>
      <c r="AT1260" s="0" t="n">
        <v>0</v>
      </c>
      <c r="AU1260" s="0" t="n">
        <v>2</v>
      </c>
      <c r="AV1260" s="0" t="n">
        <v>0</v>
      </c>
      <c r="AW1260" s="0" t="n">
        <v>0</v>
      </c>
      <c r="AX1260" s="0" t="n">
        <v>0</v>
      </c>
      <c r="AY1260" s="0" t="n">
        <v>0</v>
      </c>
      <c r="AZ1260" s="0" t="n">
        <v>0</v>
      </c>
      <c r="BA1260" s="0" t="n">
        <v>0</v>
      </c>
      <c r="BB1260" s="0" t="n">
        <v>0</v>
      </c>
      <c r="BC1260" s="0" t="n">
        <v>0</v>
      </c>
      <c r="BD1260" s="0" t="n">
        <v>0</v>
      </c>
      <c r="BE1260" s="0" t="n">
        <v>0</v>
      </c>
      <c r="BF1260" s="0" t="n">
        <v>0</v>
      </c>
      <c r="BG1260" s="0" t="n">
        <v>0</v>
      </c>
      <c r="BH1260" s="0" t="n">
        <v>0</v>
      </c>
      <c r="BI1260" s="0" t="n">
        <v>0</v>
      </c>
      <c r="BJ1260" s="0" t="n">
        <v>0</v>
      </c>
      <c r="BK1260" s="0" t="n">
        <v>0</v>
      </c>
      <c r="BM1260" s="6" t="n">
        <f aca="false">IFERROR(VALUE(F1260),"")</f>
        <v>0</v>
      </c>
      <c r="BN1260" s="6" t="n">
        <f aca="false">IF(R1260="-","",IFERROR(VALUE(LEFT(Q1260,LEN(Q1260)-2)),""))</f>
        <v>32.48</v>
      </c>
      <c r="BO1260" s="6" t="n">
        <f aca="false">IF(R1260="-","",IFERROR(VALUE(LEFT(R1260,LEN(R1260)-5)),""))</f>
        <v>0</v>
      </c>
      <c r="BP1260" s="6" t="n">
        <f aca="false">IF(R1260="-","",IFERROR(VALUE(F1260),""))</f>
        <v>0</v>
      </c>
      <c r="BQ1260" s="4" t="n">
        <f aca="false">IF(R1260="-",1,0)</f>
        <v>0</v>
      </c>
    </row>
    <row r="1261" customFormat="false" ht="15" hidden="false" customHeight="false" outlineLevel="0" collapsed="false">
      <c r="A1261" s="0" t="s">
        <v>4837</v>
      </c>
      <c r="B1261" s="0" t="s">
        <v>4838</v>
      </c>
      <c r="C1261" s="0" t="s">
        <v>70</v>
      </c>
      <c r="D1261" s="0" t="s">
        <v>4839</v>
      </c>
      <c r="E1261" s="3" t="n">
        <v>46273</v>
      </c>
      <c r="F1261" s="4" t="s">
        <v>4840</v>
      </c>
      <c r="G1261" s="5" t="n">
        <v>0.508472222222222</v>
      </c>
      <c r="H1261" s="5" t="n">
        <v>0.458831018518519</v>
      </c>
      <c r="I1261" s="5" t="n">
        <v>0.000601851851851852</v>
      </c>
      <c r="J1261" s="0" t="n">
        <v>0</v>
      </c>
      <c r="K1261" s="0" t="n">
        <v>1</v>
      </c>
      <c r="L1261" s="0" t="n">
        <v>0</v>
      </c>
      <c r="M1261" s="0" t="n">
        <v>0</v>
      </c>
      <c r="N1261" s="0" t="n">
        <v>5</v>
      </c>
      <c r="O1261" s="5" t="n">
        <v>0</v>
      </c>
      <c r="P1261" s="5" t="n">
        <v>0.00733796296296296</v>
      </c>
      <c r="Q1261" s="4" t="s">
        <v>2355</v>
      </c>
      <c r="R1261" s="4" t="s">
        <v>356</v>
      </c>
      <c r="S1261" s="5" t="n">
        <v>0.000231481481481482</v>
      </c>
      <c r="T1261" s="5" t="n">
        <v>0.137847222222222</v>
      </c>
      <c r="U1261" s="5" t="n">
        <v>0.271643518518519</v>
      </c>
      <c r="V1261" s="5" t="n">
        <v>0.0275462962962963</v>
      </c>
      <c r="W1261" s="5" t="n">
        <v>0</v>
      </c>
      <c r="X1261" s="5" t="n">
        <v>0</v>
      </c>
      <c r="Y1261" s="5" t="n">
        <v>0</v>
      </c>
      <c r="Z1261" s="0" t="n">
        <v>0</v>
      </c>
      <c r="AA1261" s="0" t="n">
        <v>0</v>
      </c>
      <c r="AB1261" s="0" t="n">
        <v>0</v>
      </c>
      <c r="AC1261" s="4" t="s">
        <v>3430</v>
      </c>
      <c r="AD1261" s="4" t="s">
        <v>3450</v>
      </c>
      <c r="AE1261" s="4" t="s">
        <v>4841</v>
      </c>
      <c r="AF1261" s="4" t="s">
        <v>4842</v>
      </c>
      <c r="AG1261" s="5" t="n">
        <v>0.388263888888889</v>
      </c>
      <c r="AH1261" s="5" t="n">
        <v>0.167615740740741</v>
      </c>
      <c r="AI1261" s="5" t="n">
        <v>0</v>
      </c>
      <c r="AJ1261" s="5" t="n">
        <v>0</v>
      </c>
      <c r="AK1261" s="5" t="n">
        <v>0</v>
      </c>
      <c r="AL1261" s="5" t="n">
        <v>0</v>
      </c>
      <c r="AM1261" s="4" t="s">
        <v>78</v>
      </c>
      <c r="AN1261" s="0" t="n">
        <v>0</v>
      </c>
      <c r="AO1261" s="0" t="n">
        <v>0</v>
      </c>
      <c r="AP1261" s="0" t="n">
        <v>0</v>
      </c>
      <c r="AQ1261" s="0" t="n">
        <v>0</v>
      </c>
      <c r="AR1261" s="0" t="n">
        <v>0</v>
      </c>
      <c r="AS1261" s="0" t="n">
        <v>0</v>
      </c>
      <c r="AT1261" s="0" t="n">
        <v>0</v>
      </c>
      <c r="AU1261" s="0" t="n">
        <v>0</v>
      </c>
      <c r="AV1261" s="0" t="n">
        <v>0</v>
      </c>
      <c r="AW1261" s="0" t="n">
        <v>0</v>
      </c>
      <c r="AX1261" s="0" t="n">
        <v>0</v>
      </c>
      <c r="AY1261" s="0" t="n">
        <v>0</v>
      </c>
      <c r="AZ1261" s="0" t="n">
        <v>0</v>
      </c>
      <c r="BA1261" s="0" t="n">
        <v>0</v>
      </c>
      <c r="BB1261" s="0" t="n">
        <v>0</v>
      </c>
      <c r="BC1261" s="0" t="n">
        <v>0</v>
      </c>
      <c r="BD1261" s="0" t="n">
        <v>0</v>
      </c>
      <c r="BE1261" s="0" t="n">
        <v>0</v>
      </c>
      <c r="BF1261" s="0" t="n">
        <v>0</v>
      </c>
      <c r="BG1261" s="0" t="n">
        <v>0</v>
      </c>
      <c r="BH1261" s="0" t="n">
        <v>0</v>
      </c>
      <c r="BI1261" s="0" t="n">
        <v>0</v>
      </c>
      <c r="BJ1261" s="0" t="n">
        <v>0</v>
      </c>
      <c r="BK1261" s="0" t="n">
        <v>0</v>
      </c>
      <c r="BM1261" s="6" t="n">
        <f aca="false">IFERROR(VALUE(F1261),"")</f>
        <v>466.69</v>
      </c>
      <c r="BN1261" s="6" t="n">
        <f aca="false">IF(R1261="-","",IFERROR(VALUE(LEFT(Q1261,LEN(Q1261)-2)),""))</f>
        <v>146.5</v>
      </c>
      <c r="BO1261" s="6" t="n">
        <f aca="false">IF(R1261="-","",IFERROR(VALUE(LEFT(R1261,LEN(R1261)-5)),""))</f>
        <v>3.19</v>
      </c>
      <c r="BP1261" s="6" t="n">
        <f aca="false">IF(R1261="-","",IFERROR(VALUE(F1261),""))</f>
        <v>466.69</v>
      </c>
      <c r="BQ1261" s="4" t="n">
        <f aca="false">IF(R1261="-",1,0)</f>
        <v>0</v>
      </c>
    </row>
    <row r="1262" customFormat="false" ht="15" hidden="false" customHeight="false" outlineLevel="0" collapsed="false">
      <c r="A1262" s="0" t="s">
        <v>4837</v>
      </c>
      <c r="B1262" s="0" t="s">
        <v>4838</v>
      </c>
      <c r="C1262" s="0" t="s">
        <v>70</v>
      </c>
      <c r="D1262" s="0" t="s">
        <v>4843</v>
      </c>
      <c r="E1262" s="3" t="n">
        <v>46274</v>
      </c>
      <c r="F1262" s="4" t="s">
        <v>4844</v>
      </c>
      <c r="G1262" s="5" t="n">
        <v>0.469965277777778</v>
      </c>
      <c r="H1262" s="5" t="n">
        <v>0.419293981481482</v>
      </c>
      <c r="I1262" s="5" t="n">
        <v>0.000798611111111111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2</v>
      </c>
      <c r="O1262" s="5" t="n">
        <v>0</v>
      </c>
      <c r="P1262" s="5" t="n">
        <v>0</v>
      </c>
      <c r="Q1262" s="4" t="s">
        <v>4845</v>
      </c>
      <c r="R1262" s="4" t="s">
        <v>2964</v>
      </c>
      <c r="S1262" s="5" t="n">
        <v>0.000462962962962963</v>
      </c>
      <c r="T1262" s="5" t="n">
        <v>0.184490740740741</v>
      </c>
      <c r="U1262" s="5" t="n">
        <v>0.237523148148148</v>
      </c>
      <c r="V1262" s="5" t="n">
        <v>0.0129861111111111</v>
      </c>
      <c r="W1262" s="5" t="n">
        <v>0.000173611111111111</v>
      </c>
      <c r="X1262" s="5" t="n">
        <v>0</v>
      </c>
      <c r="Y1262" s="5" t="n">
        <v>5.78703703703704E-005</v>
      </c>
      <c r="Z1262" s="0" t="n">
        <v>0</v>
      </c>
      <c r="AA1262" s="0" t="n">
        <v>0</v>
      </c>
      <c r="AB1262" s="0" t="n">
        <v>0</v>
      </c>
      <c r="AC1262" s="4" t="s">
        <v>3450</v>
      </c>
      <c r="AD1262" s="4" t="s">
        <v>828</v>
      </c>
      <c r="AE1262" s="4" t="s">
        <v>4842</v>
      </c>
      <c r="AF1262" s="4" t="s">
        <v>4846</v>
      </c>
      <c r="AG1262" s="5" t="n">
        <v>0.39369212962963</v>
      </c>
      <c r="AH1262" s="5" t="n">
        <v>0.159907407407407</v>
      </c>
      <c r="AI1262" s="5" t="n">
        <v>0</v>
      </c>
      <c r="AJ1262" s="5" t="n">
        <v>0</v>
      </c>
      <c r="AK1262" s="5" t="n">
        <v>0</v>
      </c>
      <c r="AL1262" s="5" t="n">
        <v>0</v>
      </c>
      <c r="AM1262" s="4" t="s">
        <v>78</v>
      </c>
      <c r="AN1262" s="0" t="n">
        <v>0</v>
      </c>
      <c r="AO1262" s="0" t="n">
        <v>0</v>
      </c>
      <c r="AP1262" s="0" t="n">
        <v>0</v>
      </c>
      <c r="AQ1262" s="0" t="n">
        <v>0</v>
      </c>
      <c r="AR1262" s="0" t="n">
        <v>0</v>
      </c>
      <c r="AS1262" s="0" t="n">
        <v>0</v>
      </c>
      <c r="AT1262" s="0" t="n">
        <v>0</v>
      </c>
      <c r="AU1262" s="0" t="n">
        <v>0</v>
      </c>
      <c r="AV1262" s="0" t="n">
        <v>0</v>
      </c>
      <c r="AW1262" s="0" t="n">
        <v>0</v>
      </c>
      <c r="AX1262" s="0" t="n">
        <v>0</v>
      </c>
      <c r="AY1262" s="0" t="n">
        <v>0</v>
      </c>
      <c r="AZ1262" s="0" t="n">
        <v>0</v>
      </c>
      <c r="BA1262" s="0" t="n">
        <v>0</v>
      </c>
      <c r="BB1262" s="0" t="n">
        <v>0</v>
      </c>
      <c r="BC1262" s="0" t="n">
        <v>0</v>
      </c>
      <c r="BD1262" s="0" t="n">
        <v>0</v>
      </c>
      <c r="BE1262" s="0" t="n">
        <v>0</v>
      </c>
      <c r="BF1262" s="0" t="n">
        <v>0</v>
      </c>
      <c r="BG1262" s="0" t="n">
        <v>0</v>
      </c>
      <c r="BH1262" s="0" t="n">
        <v>0</v>
      </c>
      <c r="BI1262" s="0" t="n">
        <v>0</v>
      </c>
      <c r="BJ1262" s="0" t="n">
        <v>0</v>
      </c>
      <c r="BK1262" s="0" t="n">
        <v>0</v>
      </c>
      <c r="BM1262" s="6" t="n">
        <f aca="false">IFERROR(VALUE(F1262),"")</f>
        <v>389.18</v>
      </c>
      <c r="BN1262" s="6" t="n">
        <f aca="false">IF(R1262="-","",IFERROR(VALUE(LEFT(Q1262,LEN(Q1262)-2)),""))</f>
        <v>120.99</v>
      </c>
      <c r="BO1262" s="6" t="n">
        <f aca="false">IF(R1262="-","",IFERROR(VALUE(LEFT(R1262,LEN(R1262)-5)),""))</f>
        <v>3.22</v>
      </c>
      <c r="BP1262" s="6" t="n">
        <f aca="false">IF(R1262="-","",IFERROR(VALUE(F1262),""))</f>
        <v>389.18</v>
      </c>
      <c r="BQ1262" s="4" t="n">
        <f aca="false">IF(R1262="-",1,0)</f>
        <v>0</v>
      </c>
    </row>
    <row r="1263" customFormat="false" ht="15" hidden="false" customHeight="false" outlineLevel="0" collapsed="false">
      <c r="A1263" s="0" t="s">
        <v>4837</v>
      </c>
      <c r="B1263" s="0" t="s">
        <v>4838</v>
      </c>
      <c r="C1263" s="0" t="s">
        <v>70</v>
      </c>
      <c r="D1263" s="0" t="s">
        <v>4847</v>
      </c>
      <c r="E1263" s="3" t="n">
        <v>46275</v>
      </c>
      <c r="F1263" s="4" t="s">
        <v>4848</v>
      </c>
      <c r="G1263" s="5" t="n">
        <v>0.4209375</v>
      </c>
      <c r="H1263" s="5" t="n">
        <v>0.389467592592593</v>
      </c>
      <c r="I1263" s="5" t="n">
        <v>0.000393518518518519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5</v>
      </c>
      <c r="O1263" s="5" t="n">
        <v>0</v>
      </c>
      <c r="P1263" s="5" t="n">
        <v>0</v>
      </c>
      <c r="Q1263" s="4" t="s">
        <v>4849</v>
      </c>
      <c r="R1263" s="4" t="s">
        <v>1317</v>
      </c>
      <c r="S1263" s="5" t="n">
        <v>0.000462962962962963</v>
      </c>
      <c r="T1263" s="5" t="n">
        <v>0.180671296296296</v>
      </c>
      <c r="U1263" s="5" t="n">
        <v>0.187268518518519</v>
      </c>
      <c r="V1263" s="5" t="n">
        <v>0.0230324074074074</v>
      </c>
      <c r="W1263" s="5" t="n">
        <v>0.000115740740740741</v>
      </c>
      <c r="X1263" s="5" t="n">
        <v>0</v>
      </c>
      <c r="Y1263" s="5" t="n">
        <v>0</v>
      </c>
      <c r="Z1263" s="0" t="n">
        <v>0</v>
      </c>
      <c r="AA1263" s="0" t="n">
        <v>0</v>
      </c>
      <c r="AB1263" s="0" t="n">
        <v>0</v>
      </c>
      <c r="AC1263" s="4" t="s">
        <v>828</v>
      </c>
      <c r="AD1263" s="4" t="s">
        <v>75</v>
      </c>
      <c r="AE1263" s="4" t="s">
        <v>4846</v>
      </c>
      <c r="AF1263" s="4" t="s">
        <v>4850</v>
      </c>
      <c r="AG1263" s="5" t="n">
        <v>0.330740740740741</v>
      </c>
      <c r="AH1263" s="5" t="n">
        <v>0.184212962962963</v>
      </c>
      <c r="AI1263" s="5" t="n">
        <v>0</v>
      </c>
      <c r="AJ1263" s="5" t="n">
        <v>0</v>
      </c>
      <c r="AK1263" s="5" t="n">
        <v>0</v>
      </c>
      <c r="AL1263" s="5" t="n">
        <v>0</v>
      </c>
      <c r="AM1263" s="4" t="s">
        <v>78</v>
      </c>
      <c r="AN1263" s="0" t="n">
        <v>0</v>
      </c>
      <c r="AO1263" s="0" t="n">
        <v>0</v>
      </c>
      <c r="AP1263" s="0" t="n">
        <v>0</v>
      </c>
      <c r="AQ1263" s="0" t="n">
        <v>0</v>
      </c>
      <c r="AR1263" s="0" t="n">
        <v>0</v>
      </c>
      <c r="AS1263" s="0" t="n">
        <v>0</v>
      </c>
      <c r="AT1263" s="0" t="n">
        <v>0</v>
      </c>
      <c r="AU1263" s="0" t="n">
        <v>0</v>
      </c>
      <c r="AV1263" s="0" t="n">
        <v>0</v>
      </c>
      <c r="AW1263" s="0" t="n">
        <v>0</v>
      </c>
      <c r="AX1263" s="0" t="n">
        <v>0</v>
      </c>
      <c r="AY1263" s="0" t="n">
        <v>0</v>
      </c>
      <c r="AZ1263" s="0" t="n">
        <v>0</v>
      </c>
      <c r="BA1263" s="0" t="n">
        <v>0</v>
      </c>
      <c r="BB1263" s="0" t="n">
        <v>0</v>
      </c>
      <c r="BC1263" s="0" t="n">
        <v>0</v>
      </c>
      <c r="BD1263" s="0" t="n">
        <v>0</v>
      </c>
      <c r="BE1263" s="0" t="n">
        <v>0</v>
      </c>
      <c r="BF1263" s="0" t="n">
        <v>0</v>
      </c>
      <c r="BG1263" s="0" t="n">
        <v>0</v>
      </c>
      <c r="BH1263" s="0" t="n">
        <v>0</v>
      </c>
      <c r="BI1263" s="0" t="n">
        <v>0</v>
      </c>
      <c r="BJ1263" s="0" t="n">
        <v>0</v>
      </c>
      <c r="BK1263" s="0" t="n">
        <v>0</v>
      </c>
      <c r="BM1263" s="6" t="n">
        <f aca="false">IFERROR(VALUE(F1263),"")</f>
        <v>303.32</v>
      </c>
      <c r="BN1263" s="6" t="n">
        <f aca="false">IF(R1263="-","",IFERROR(VALUE(LEFT(Q1263,LEN(Q1263)-2)),""))</f>
        <v>100.5</v>
      </c>
      <c r="BO1263" s="6" t="n">
        <f aca="false">IF(R1263="-","",IFERROR(VALUE(LEFT(R1263,LEN(R1263)-5)),""))</f>
        <v>3.02</v>
      </c>
      <c r="BP1263" s="6" t="n">
        <f aca="false">IF(R1263="-","",IFERROR(VALUE(F1263),""))</f>
        <v>303.32</v>
      </c>
      <c r="BQ1263" s="4" t="n">
        <f aca="false">IF(R1263="-",1,0)</f>
        <v>0</v>
      </c>
    </row>
    <row r="1264" customFormat="false" ht="15" hidden="false" customHeight="false" outlineLevel="0" collapsed="false">
      <c r="A1264" s="0" t="s">
        <v>4837</v>
      </c>
      <c r="B1264" s="0" t="s">
        <v>4838</v>
      </c>
      <c r="C1264" s="0" t="s">
        <v>70</v>
      </c>
      <c r="D1264" s="0" t="s">
        <v>4851</v>
      </c>
      <c r="E1264" s="3" t="n">
        <v>46276</v>
      </c>
      <c r="F1264" s="4" t="s">
        <v>4852</v>
      </c>
      <c r="G1264" s="5" t="n">
        <v>0.117835648148148</v>
      </c>
      <c r="H1264" s="5" t="n">
        <v>0.0080787037037037</v>
      </c>
      <c r="I1264" s="5" t="n">
        <v>4.62962962962963E-005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5" t="n">
        <v>0</v>
      </c>
      <c r="P1264" s="5" t="n">
        <v>0</v>
      </c>
      <c r="Q1264" s="4" t="s">
        <v>2404</v>
      </c>
      <c r="R1264" s="4" t="s">
        <v>4853</v>
      </c>
      <c r="S1264" s="5" t="n">
        <v>0.000115740740740741</v>
      </c>
      <c r="T1264" s="5" t="n">
        <v>0.0212962962962963</v>
      </c>
      <c r="U1264" s="5" t="n">
        <v>0.00601851851851852</v>
      </c>
      <c r="V1264" s="5" t="n">
        <v>0.00104166666666667</v>
      </c>
      <c r="W1264" s="5" t="n">
        <v>0</v>
      </c>
      <c r="X1264" s="5" t="n">
        <v>0</v>
      </c>
      <c r="Y1264" s="5" t="n">
        <v>0</v>
      </c>
      <c r="Z1264" s="0" t="n">
        <v>0</v>
      </c>
      <c r="AA1264" s="0" t="n">
        <v>0</v>
      </c>
      <c r="AB1264" s="0" t="n">
        <v>0</v>
      </c>
      <c r="AC1264" s="4" t="s">
        <v>81</v>
      </c>
      <c r="AD1264" s="4" t="s">
        <v>994</v>
      </c>
      <c r="AE1264" s="4" t="s">
        <v>4850</v>
      </c>
      <c r="AF1264" s="4" t="s">
        <v>4854</v>
      </c>
      <c r="AG1264" s="5" t="n">
        <v>0.006875</v>
      </c>
      <c r="AH1264" s="5" t="n">
        <v>0.148449074074074</v>
      </c>
      <c r="AI1264" s="5" t="n">
        <v>0</v>
      </c>
      <c r="AJ1264" s="5" t="n">
        <v>0</v>
      </c>
      <c r="AK1264" s="5" t="n">
        <v>0</v>
      </c>
      <c r="AL1264" s="5" t="n">
        <v>0</v>
      </c>
      <c r="AM1264" s="4" t="s">
        <v>78</v>
      </c>
      <c r="AN1264" s="0" t="n">
        <v>0</v>
      </c>
      <c r="AO1264" s="0" t="n">
        <v>0</v>
      </c>
      <c r="AP1264" s="0" t="n">
        <v>0</v>
      </c>
      <c r="AQ1264" s="0" t="n">
        <v>0</v>
      </c>
      <c r="AR1264" s="0" t="n">
        <v>0</v>
      </c>
      <c r="AS1264" s="0" t="n">
        <v>0</v>
      </c>
      <c r="AT1264" s="0" t="n">
        <v>0</v>
      </c>
      <c r="AU1264" s="0" t="n">
        <v>0</v>
      </c>
      <c r="AV1264" s="0" t="n">
        <v>0</v>
      </c>
      <c r="AW1264" s="0" t="n">
        <v>0</v>
      </c>
      <c r="AX1264" s="0" t="n">
        <v>0</v>
      </c>
      <c r="AY1264" s="0" t="n">
        <v>0</v>
      </c>
      <c r="AZ1264" s="0" t="n">
        <v>0</v>
      </c>
      <c r="BA1264" s="0" t="n">
        <v>0</v>
      </c>
      <c r="BB1264" s="0" t="n">
        <v>0</v>
      </c>
      <c r="BC1264" s="0" t="n">
        <v>0</v>
      </c>
      <c r="BD1264" s="0" t="n">
        <v>0</v>
      </c>
      <c r="BE1264" s="0" t="n">
        <v>0</v>
      </c>
      <c r="BF1264" s="0" t="n">
        <v>0</v>
      </c>
      <c r="BG1264" s="0" t="n">
        <v>0</v>
      </c>
      <c r="BH1264" s="0" t="n">
        <v>0</v>
      </c>
      <c r="BI1264" s="0" t="n">
        <v>0</v>
      </c>
      <c r="BJ1264" s="0" t="n">
        <v>0</v>
      </c>
      <c r="BK1264" s="0" t="n">
        <v>0</v>
      </c>
      <c r="BM1264" s="6" t="n">
        <f aca="false">IFERROR(VALUE(F1264),"")</f>
        <v>3.42</v>
      </c>
      <c r="BN1264" s="6" t="n">
        <f aca="false">IF(R1264="-","",IFERROR(VALUE(LEFT(Q1264,LEN(Q1264)-2)),""))</f>
        <v>4</v>
      </c>
      <c r="BO1264" s="6" t="n">
        <f aca="false">IF(R1264="-","",IFERROR(VALUE(LEFT(R1264,LEN(R1264)-5)),""))</f>
        <v>0.86</v>
      </c>
      <c r="BP1264" s="6" t="n">
        <f aca="false">IF(R1264="-","",IFERROR(VALUE(F1264),""))</f>
        <v>3.42</v>
      </c>
      <c r="BQ1264" s="4" t="n">
        <f aca="false">IF(R1264="-",1,0)</f>
        <v>0</v>
      </c>
    </row>
    <row r="1265" customFormat="false" ht="15" hidden="false" customHeight="false" outlineLevel="0" collapsed="false">
      <c r="A1265" s="0" t="s">
        <v>4837</v>
      </c>
      <c r="B1265" s="0" t="s">
        <v>4838</v>
      </c>
      <c r="C1265" s="0" t="s">
        <v>70</v>
      </c>
      <c r="E1265" s="3" t="n">
        <v>46279</v>
      </c>
      <c r="F1265" s="4" t="s">
        <v>457</v>
      </c>
      <c r="G1265" s="5" t="n">
        <v>0.153599537037037</v>
      </c>
      <c r="H1265" s="5" t="n">
        <v>0</v>
      </c>
      <c r="I1265" s="5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5" t="n">
        <v>0</v>
      </c>
      <c r="P1265" s="5" t="n">
        <v>0</v>
      </c>
      <c r="Q1265" s="4" t="s">
        <v>971</v>
      </c>
      <c r="R1265" s="4" t="s">
        <v>2399</v>
      </c>
      <c r="S1265" s="5" t="n">
        <v>0.000115740740740741</v>
      </c>
      <c r="T1265" s="5" t="n">
        <v>0.00416666666666667</v>
      </c>
      <c r="U1265" s="5" t="n">
        <v>0</v>
      </c>
      <c r="V1265" s="5" t="n">
        <v>0</v>
      </c>
      <c r="W1265" s="5" t="n">
        <v>0</v>
      </c>
      <c r="X1265" s="5" t="n">
        <v>0</v>
      </c>
      <c r="Y1265" s="5" t="n">
        <v>0</v>
      </c>
      <c r="Z1265" s="0" t="n">
        <v>0</v>
      </c>
      <c r="AA1265" s="0" t="n">
        <v>0</v>
      </c>
      <c r="AB1265" s="0" t="n">
        <v>0</v>
      </c>
      <c r="AC1265" s="4" t="s">
        <v>994</v>
      </c>
      <c r="AD1265" s="4" t="s">
        <v>994</v>
      </c>
      <c r="AE1265" s="4" t="s">
        <v>4854</v>
      </c>
      <c r="AF1265" s="4" t="s">
        <v>4855</v>
      </c>
      <c r="AG1265" s="5" t="n">
        <v>0.000509259259259259</v>
      </c>
      <c r="AH1265" s="5" t="n">
        <v>0.161006944444444</v>
      </c>
      <c r="AI1265" s="5" t="n">
        <v>0</v>
      </c>
      <c r="AJ1265" s="5" t="n">
        <v>0</v>
      </c>
      <c r="AK1265" s="5" t="n">
        <v>0</v>
      </c>
      <c r="AL1265" s="5" t="n">
        <v>0</v>
      </c>
      <c r="AM1265" s="4" t="s">
        <v>78</v>
      </c>
      <c r="AN1265" s="0" t="n">
        <v>0</v>
      </c>
      <c r="AO1265" s="0" t="n">
        <v>0</v>
      </c>
      <c r="AP1265" s="0" t="n">
        <v>0</v>
      </c>
      <c r="AQ1265" s="0" t="n">
        <v>0</v>
      </c>
      <c r="AR1265" s="0" t="n">
        <v>0</v>
      </c>
      <c r="AS1265" s="0" t="n">
        <v>0</v>
      </c>
      <c r="AT1265" s="0" t="n">
        <v>0</v>
      </c>
      <c r="AU1265" s="0" t="n">
        <v>0</v>
      </c>
      <c r="AV1265" s="0" t="n">
        <v>0</v>
      </c>
      <c r="AW1265" s="0" t="n">
        <v>0</v>
      </c>
      <c r="AX1265" s="0" t="n">
        <v>0</v>
      </c>
      <c r="AY1265" s="0" t="n">
        <v>0</v>
      </c>
      <c r="AZ1265" s="0" t="n">
        <v>0</v>
      </c>
      <c r="BA1265" s="0" t="n">
        <v>0</v>
      </c>
      <c r="BB1265" s="0" t="n">
        <v>0</v>
      </c>
      <c r="BC1265" s="0" t="n">
        <v>0</v>
      </c>
      <c r="BD1265" s="0" t="n">
        <v>0</v>
      </c>
      <c r="BE1265" s="0" t="n">
        <v>0</v>
      </c>
      <c r="BF1265" s="0" t="n">
        <v>0</v>
      </c>
      <c r="BG1265" s="0" t="n">
        <v>0</v>
      </c>
      <c r="BH1265" s="0" t="n">
        <v>0</v>
      </c>
      <c r="BI1265" s="0" t="n">
        <v>0</v>
      </c>
      <c r="BJ1265" s="0" t="n">
        <v>0</v>
      </c>
      <c r="BK1265" s="0" t="n">
        <v>0</v>
      </c>
      <c r="BM1265" s="6" t="n">
        <f aca="false">IFERROR(VALUE(F1265),"")</f>
        <v>0.01</v>
      </c>
      <c r="BN1265" s="6" t="n">
        <f aca="false">IF(R1265="-","",IFERROR(VALUE(LEFT(Q1265,LEN(Q1265)-2)),""))</f>
        <v>0.5</v>
      </c>
      <c r="BO1265" s="6" t="n">
        <f aca="false">IF(R1265="-","",IFERROR(VALUE(LEFT(R1265,LEN(R1265)-5)),""))</f>
        <v>0.02</v>
      </c>
      <c r="BP1265" s="6" t="n">
        <f aca="false">IF(R1265="-","",IFERROR(VALUE(F1265),""))</f>
        <v>0.01</v>
      </c>
      <c r="BQ1265" s="4" t="n">
        <f aca="false">IF(R1265="-",1,0)</f>
        <v>0</v>
      </c>
    </row>
    <row r="1266" customFormat="false" ht="15" hidden="false" customHeight="false" outlineLevel="0" collapsed="false">
      <c r="A1266" s="0" t="s">
        <v>4856</v>
      </c>
      <c r="B1266" s="0" t="s">
        <v>4857</v>
      </c>
      <c r="C1266" s="0" t="s">
        <v>70</v>
      </c>
      <c r="D1266" s="0" t="s">
        <v>2457</v>
      </c>
      <c r="E1266" s="3" t="n">
        <v>46273</v>
      </c>
      <c r="F1266" s="4" t="s">
        <v>4858</v>
      </c>
      <c r="G1266" s="5" t="n">
        <v>0.594548611111111</v>
      </c>
      <c r="H1266" s="5" t="n">
        <v>0.223530092592593</v>
      </c>
      <c r="I1266" s="5" t="n">
        <v>0.000451388888888889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5" t="n">
        <v>0</v>
      </c>
      <c r="P1266" s="5" t="n">
        <v>0</v>
      </c>
      <c r="Q1266" s="4" t="s">
        <v>4859</v>
      </c>
      <c r="R1266" s="4" t="s">
        <v>1489</v>
      </c>
      <c r="S1266" s="5" t="n">
        <v>0.000462962962962963</v>
      </c>
      <c r="T1266" s="5" t="n">
        <v>0.0802083333333333</v>
      </c>
      <c r="U1266" s="5" t="n">
        <v>0.384259259259259</v>
      </c>
      <c r="V1266" s="5" t="n">
        <v>0.0206018518518519</v>
      </c>
      <c r="W1266" s="5" t="n">
        <v>0</v>
      </c>
      <c r="X1266" s="5" t="n">
        <v>0</v>
      </c>
      <c r="Y1266" s="5" t="n">
        <v>0</v>
      </c>
      <c r="Z1266" s="0" t="n">
        <v>0</v>
      </c>
      <c r="AA1266" s="0" t="n">
        <v>0</v>
      </c>
      <c r="AB1266" s="0" t="n">
        <v>0</v>
      </c>
      <c r="AC1266" s="4" t="s">
        <v>994</v>
      </c>
      <c r="AD1266" s="4" t="s">
        <v>4616</v>
      </c>
      <c r="AE1266" s="4" t="s">
        <v>4860</v>
      </c>
      <c r="AF1266" s="4" t="s">
        <v>4861</v>
      </c>
      <c r="AG1266" s="5" t="n">
        <v>0.440358796296296</v>
      </c>
      <c r="AH1266" s="5" t="n">
        <v>0.199108796296296</v>
      </c>
      <c r="AI1266" s="5" t="n">
        <v>0</v>
      </c>
      <c r="AJ1266" s="5" t="n">
        <v>0</v>
      </c>
      <c r="AK1266" s="5" t="n">
        <v>0</v>
      </c>
      <c r="AL1266" s="5" t="n">
        <v>0</v>
      </c>
      <c r="AM1266" s="4" t="s">
        <v>78</v>
      </c>
      <c r="AN1266" s="0" t="n">
        <v>0</v>
      </c>
      <c r="AO1266" s="0" t="n">
        <v>0</v>
      </c>
      <c r="AP1266" s="0" t="n">
        <v>0</v>
      </c>
      <c r="AQ1266" s="0" t="n">
        <v>0</v>
      </c>
      <c r="AR1266" s="0" t="n">
        <v>1</v>
      </c>
      <c r="AS1266" s="0" t="n">
        <v>0</v>
      </c>
      <c r="AT1266" s="0" t="n">
        <v>0</v>
      </c>
      <c r="AU1266" s="0" t="n">
        <v>1</v>
      </c>
      <c r="AV1266" s="0" t="n">
        <v>0</v>
      </c>
      <c r="AW1266" s="0" t="n">
        <v>0</v>
      </c>
      <c r="AX1266" s="0" t="n">
        <v>0</v>
      </c>
      <c r="AY1266" s="0" t="n">
        <v>0</v>
      </c>
      <c r="AZ1266" s="0" t="n">
        <v>0</v>
      </c>
      <c r="BA1266" s="0" t="n">
        <v>0</v>
      </c>
      <c r="BB1266" s="0" t="n">
        <v>0</v>
      </c>
      <c r="BC1266" s="0" t="n">
        <v>0</v>
      </c>
      <c r="BD1266" s="0" t="n">
        <v>0</v>
      </c>
      <c r="BE1266" s="0" t="n">
        <v>0</v>
      </c>
      <c r="BF1266" s="0" t="n">
        <v>0</v>
      </c>
      <c r="BG1266" s="0" t="n">
        <v>0</v>
      </c>
      <c r="BH1266" s="0" t="n">
        <v>0</v>
      </c>
      <c r="BI1266" s="0" t="n">
        <v>0</v>
      </c>
      <c r="BJ1266" s="0" t="n">
        <v>0</v>
      </c>
      <c r="BK1266" s="0" t="n">
        <v>0</v>
      </c>
      <c r="BM1266" s="6" t="n">
        <f aca="false">IFERROR(VALUE(F1266),"")</f>
        <v>655.88</v>
      </c>
      <c r="BN1266" s="6" t="n">
        <f aca="false">IF(R1266="-","",IFERROR(VALUE(LEFT(Q1266,LEN(Q1266)-2)),""))</f>
        <v>191.64</v>
      </c>
      <c r="BO1266" s="6" t="n">
        <f aca="false">IF(R1266="-","",IFERROR(VALUE(LEFT(R1266,LEN(R1266)-5)),""))</f>
        <v>3.42</v>
      </c>
      <c r="BP1266" s="6" t="n">
        <f aca="false">IF(R1266="-","",IFERROR(VALUE(F1266),""))</f>
        <v>655.88</v>
      </c>
      <c r="BQ1266" s="4" t="n">
        <f aca="false">IF(R1266="-",1,0)</f>
        <v>0</v>
      </c>
    </row>
    <row r="1267" customFormat="false" ht="15" hidden="false" customHeight="false" outlineLevel="0" collapsed="false">
      <c r="A1267" s="0" t="s">
        <v>4856</v>
      </c>
      <c r="B1267" s="0" t="s">
        <v>4857</v>
      </c>
      <c r="C1267" s="0" t="s">
        <v>70</v>
      </c>
      <c r="D1267" s="0" t="s">
        <v>4862</v>
      </c>
      <c r="E1267" s="3" t="n">
        <v>46274</v>
      </c>
      <c r="F1267" s="4" t="s">
        <v>4863</v>
      </c>
      <c r="G1267" s="5" t="n">
        <v>0.616064814814815</v>
      </c>
      <c r="H1267" s="5" t="n">
        <v>0.597164351851852</v>
      </c>
      <c r="I1267" s="5" t="n">
        <v>0.000173611111111111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5" t="n">
        <v>0</v>
      </c>
      <c r="P1267" s="5" t="n">
        <v>0</v>
      </c>
      <c r="Q1267" s="4" t="s">
        <v>4864</v>
      </c>
      <c r="R1267" s="4" t="s">
        <v>4865</v>
      </c>
      <c r="S1267" s="5" t="n">
        <v>0.000462962962962963</v>
      </c>
      <c r="T1267" s="5" t="n">
        <v>0.102546296296296</v>
      </c>
      <c r="U1267" s="5" t="n">
        <v>0.431944444444445</v>
      </c>
      <c r="V1267" s="5" t="n">
        <v>0.0203703703703704</v>
      </c>
      <c r="W1267" s="5" t="n">
        <v>0</v>
      </c>
      <c r="X1267" s="5" t="n">
        <v>0</v>
      </c>
      <c r="Y1267" s="5" t="n">
        <v>0</v>
      </c>
      <c r="Z1267" s="0" t="n">
        <v>0</v>
      </c>
      <c r="AA1267" s="0" t="n">
        <v>0</v>
      </c>
      <c r="AB1267" s="0" t="n">
        <v>0</v>
      </c>
      <c r="AC1267" s="4" t="s">
        <v>4616</v>
      </c>
      <c r="AD1267" s="4" t="s">
        <v>994</v>
      </c>
      <c r="AE1267" s="4" t="s">
        <v>4861</v>
      </c>
      <c r="AF1267" s="4" t="s">
        <v>4866</v>
      </c>
      <c r="AG1267" s="5" t="n">
        <v>0.494699074074074</v>
      </c>
      <c r="AH1267" s="5" t="n">
        <v>0.13462962962963</v>
      </c>
      <c r="AI1267" s="5" t="n">
        <v>0</v>
      </c>
      <c r="AJ1267" s="5" t="n">
        <v>0</v>
      </c>
      <c r="AK1267" s="5" t="n">
        <v>0</v>
      </c>
      <c r="AL1267" s="5" t="n">
        <v>0</v>
      </c>
      <c r="AM1267" s="4" t="s">
        <v>78</v>
      </c>
      <c r="AN1267" s="0" t="n">
        <v>0</v>
      </c>
      <c r="AO1267" s="0" t="n">
        <v>0</v>
      </c>
      <c r="AP1267" s="0" t="n">
        <v>0</v>
      </c>
      <c r="AQ1267" s="0" t="n">
        <v>0</v>
      </c>
      <c r="AR1267" s="0" t="n">
        <v>2</v>
      </c>
      <c r="AS1267" s="0" t="n">
        <v>0</v>
      </c>
      <c r="AT1267" s="0" t="n">
        <v>0</v>
      </c>
      <c r="AU1267" s="0" t="n">
        <v>0</v>
      </c>
      <c r="AV1267" s="0" t="n">
        <v>0</v>
      </c>
      <c r="AW1267" s="0" t="n">
        <v>1</v>
      </c>
      <c r="AX1267" s="0" t="n">
        <v>0</v>
      </c>
      <c r="AY1267" s="0" t="n">
        <v>0</v>
      </c>
      <c r="AZ1267" s="0" t="n">
        <v>0</v>
      </c>
      <c r="BA1267" s="0" t="n">
        <v>0</v>
      </c>
      <c r="BB1267" s="0" t="n">
        <v>0</v>
      </c>
      <c r="BC1267" s="0" t="n">
        <v>0</v>
      </c>
      <c r="BD1267" s="0" t="n">
        <v>0</v>
      </c>
      <c r="BE1267" s="0" t="n">
        <v>0</v>
      </c>
      <c r="BF1267" s="0" t="n">
        <v>0</v>
      </c>
      <c r="BG1267" s="0" t="n">
        <v>0</v>
      </c>
      <c r="BH1267" s="0" t="n">
        <v>0</v>
      </c>
      <c r="BI1267" s="0" t="n">
        <v>0</v>
      </c>
      <c r="BJ1267" s="0" t="n">
        <v>0</v>
      </c>
      <c r="BK1267" s="0" t="n">
        <v>0</v>
      </c>
      <c r="BM1267" s="6" t="n">
        <f aca="false">IFERROR(VALUE(F1267),"")</f>
        <v>738.62</v>
      </c>
      <c r="BN1267" s="6" t="n">
        <f aca="false">IF(R1267="-","",IFERROR(VALUE(LEFT(Q1267,LEN(Q1267)-2)),""))</f>
        <v>194.42</v>
      </c>
      <c r="BO1267" s="6" t="n">
        <f aca="false">IF(R1267="-","",IFERROR(VALUE(LEFT(R1267,LEN(R1267)-5)),""))</f>
        <v>3.8</v>
      </c>
      <c r="BP1267" s="6" t="n">
        <f aca="false">IF(R1267="-","",IFERROR(VALUE(F1267),""))</f>
        <v>738.62</v>
      </c>
      <c r="BQ1267" s="4" t="n">
        <f aca="false">IF(R1267="-",1,0)</f>
        <v>0</v>
      </c>
    </row>
    <row r="1268" customFormat="false" ht="15" hidden="false" customHeight="false" outlineLevel="0" collapsed="false">
      <c r="A1268" s="0" t="s">
        <v>4856</v>
      </c>
      <c r="B1268" s="0" t="s">
        <v>4857</v>
      </c>
      <c r="C1268" s="0" t="s">
        <v>70</v>
      </c>
      <c r="D1268" s="0" t="s">
        <v>3845</v>
      </c>
      <c r="E1268" s="3" t="n">
        <v>46275</v>
      </c>
      <c r="F1268" s="4" t="s">
        <v>4867</v>
      </c>
      <c r="G1268" s="5" t="n">
        <v>0.82994212962963</v>
      </c>
      <c r="H1268" s="5" t="n">
        <v>0.503622685185185</v>
      </c>
      <c r="I1268" s="5" t="n">
        <v>9.25925925925926E-005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5" t="n">
        <v>0</v>
      </c>
      <c r="P1268" s="5" t="n">
        <v>0.0147800925925926</v>
      </c>
      <c r="Q1268" s="4" t="s">
        <v>4868</v>
      </c>
      <c r="R1268" s="4" t="s">
        <v>2412</v>
      </c>
      <c r="S1268" s="5" t="n">
        <v>0.000578703703703704</v>
      </c>
      <c r="T1268" s="5" t="n">
        <v>0.12349537037037</v>
      </c>
      <c r="U1268" s="5" t="n">
        <v>0.37349537037037</v>
      </c>
      <c r="V1268" s="5" t="n">
        <v>0.0351851851851852</v>
      </c>
      <c r="W1268" s="5" t="n">
        <v>0</v>
      </c>
      <c r="X1268" s="5" t="n">
        <v>0</v>
      </c>
      <c r="Y1268" s="5" t="n">
        <v>0</v>
      </c>
      <c r="Z1268" s="0" t="n">
        <v>0</v>
      </c>
      <c r="AA1268" s="0" t="n">
        <v>0</v>
      </c>
      <c r="AB1268" s="0" t="n">
        <v>0</v>
      </c>
      <c r="AC1268" s="4" t="s">
        <v>994</v>
      </c>
      <c r="AD1268" s="4" t="s">
        <v>4616</v>
      </c>
      <c r="AE1268" s="4" t="s">
        <v>4869</v>
      </c>
      <c r="AF1268" s="4" t="s">
        <v>4870</v>
      </c>
      <c r="AG1268" s="5" t="n">
        <v>0.455335648148148</v>
      </c>
      <c r="AH1268" s="5" t="n">
        <v>0.434710648148148</v>
      </c>
      <c r="AI1268" s="5" t="n">
        <v>0</v>
      </c>
      <c r="AJ1268" s="5" t="n">
        <v>0</v>
      </c>
      <c r="AK1268" s="5" t="n">
        <v>0</v>
      </c>
      <c r="AL1268" s="5" t="n">
        <v>0</v>
      </c>
      <c r="AM1268" s="4" t="s">
        <v>78</v>
      </c>
      <c r="AN1268" s="0" t="n">
        <v>0</v>
      </c>
      <c r="AO1268" s="0" t="n">
        <v>0</v>
      </c>
      <c r="AP1268" s="0" t="n">
        <v>0</v>
      </c>
      <c r="AQ1268" s="0" t="n">
        <v>0</v>
      </c>
      <c r="AR1268" s="0" t="n">
        <v>0</v>
      </c>
      <c r="AS1268" s="0" t="n">
        <v>0</v>
      </c>
      <c r="AT1268" s="0" t="n">
        <v>0</v>
      </c>
      <c r="AU1268" s="0" t="n">
        <v>0</v>
      </c>
      <c r="AV1268" s="0" t="n">
        <v>0</v>
      </c>
      <c r="AW1268" s="0" t="n">
        <v>0</v>
      </c>
      <c r="AX1268" s="0" t="n">
        <v>0</v>
      </c>
      <c r="AY1268" s="0" t="n">
        <v>0</v>
      </c>
      <c r="AZ1268" s="0" t="n">
        <v>0</v>
      </c>
      <c r="BA1268" s="0" t="n">
        <v>0</v>
      </c>
      <c r="BB1268" s="0" t="n">
        <v>0</v>
      </c>
      <c r="BC1268" s="0" t="n">
        <v>0</v>
      </c>
      <c r="BD1268" s="0" t="n">
        <v>0</v>
      </c>
      <c r="BE1268" s="0" t="n">
        <v>0</v>
      </c>
      <c r="BF1268" s="0" t="n">
        <v>0</v>
      </c>
      <c r="BG1268" s="0" t="n">
        <v>0</v>
      </c>
      <c r="BH1268" s="0" t="n">
        <v>0</v>
      </c>
      <c r="BI1268" s="0" t="n">
        <v>0</v>
      </c>
      <c r="BJ1268" s="0" t="n">
        <v>0</v>
      </c>
      <c r="BK1268" s="0" t="n">
        <v>0</v>
      </c>
      <c r="BM1268" s="6" t="n">
        <f aca="false">IFERROR(VALUE(F1268),"")</f>
        <v>668.1</v>
      </c>
      <c r="BN1268" s="6" t="n">
        <f aca="false">IF(R1268="-","",IFERROR(VALUE(LEFT(Q1268,LEN(Q1268)-2)),""))</f>
        <v>192.84</v>
      </c>
      <c r="BO1268" s="6" t="n">
        <f aca="false">IF(R1268="-","",IFERROR(VALUE(LEFT(R1268,LEN(R1268)-5)),""))</f>
        <v>3.46</v>
      </c>
      <c r="BP1268" s="6" t="n">
        <f aca="false">IF(R1268="-","",IFERROR(VALUE(F1268),""))</f>
        <v>668.1</v>
      </c>
      <c r="BQ1268" s="4" t="n">
        <f aca="false">IF(R1268="-",1,0)</f>
        <v>0</v>
      </c>
    </row>
    <row r="1269" customFormat="false" ht="15" hidden="false" customHeight="false" outlineLevel="0" collapsed="false">
      <c r="A1269" s="0" t="s">
        <v>4856</v>
      </c>
      <c r="B1269" s="0" t="s">
        <v>4857</v>
      </c>
      <c r="C1269" s="0" t="s">
        <v>70</v>
      </c>
      <c r="D1269" s="0" t="s">
        <v>4871</v>
      </c>
      <c r="E1269" s="3" t="n">
        <v>46276</v>
      </c>
      <c r="F1269" s="4" t="s">
        <v>4872</v>
      </c>
      <c r="G1269" s="5" t="n">
        <v>0.368206018518519</v>
      </c>
      <c r="H1269" s="5" t="n">
        <v>0.344583333333333</v>
      </c>
      <c r="I1269" s="5" t="n">
        <v>2.31481481481482E-005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5" t="n">
        <v>0</v>
      </c>
      <c r="P1269" s="5" t="n">
        <v>0</v>
      </c>
      <c r="Q1269" s="4" t="s">
        <v>4873</v>
      </c>
      <c r="R1269" s="4" t="s">
        <v>570</v>
      </c>
      <c r="S1269" s="5" t="n">
        <v>0</v>
      </c>
      <c r="T1269" s="5" t="n">
        <v>0.0550925925925926</v>
      </c>
      <c r="U1269" s="5" t="n">
        <v>0.249421296296296</v>
      </c>
      <c r="V1269" s="5" t="n">
        <v>0.0244212962962963</v>
      </c>
      <c r="W1269" s="5" t="n">
        <v>0.000115740740740741</v>
      </c>
      <c r="X1269" s="5" t="n">
        <v>0</v>
      </c>
      <c r="Y1269" s="5" t="n">
        <v>0</v>
      </c>
      <c r="Z1269" s="0" t="n">
        <v>0</v>
      </c>
      <c r="AA1269" s="0" t="n">
        <v>0</v>
      </c>
      <c r="AB1269" s="0" t="n">
        <v>0</v>
      </c>
      <c r="AC1269" s="4" t="s">
        <v>4616</v>
      </c>
      <c r="AD1269" s="4" t="s">
        <v>1026</v>
      </c>
      <c r="AE1269" s="4" t="s">
        <v>4870</v>
      </c>
      <c r="AF1269" s="4" t="s">
        <v>4874</v>
      </c>
      <c r="AG1269" s="5" t="n">
        <v>0.302719907407407</v>
      </c>
      <c r="AH1269" s="5" t="n">
        <v>0.112592592592593</v>
      </c>
      <c r="AI1269" s="5" t="n">
        <v>0</v>
      </c>
      <c r="AJ1269" s="5" t="n">
        <v>0</v>
      </c>
      <c r="AK1269" s="5" t="n">
        <v>0</v>
      </c>
      <c r="AL1269" s="5" t="n">
        <v>0</v>
      </c>
      <c r="AM1269" s="4" t="s">
        <v>78</v>
      </c>
      <c r="AN1269" s="0" t="n">
        <v>0</v>
      </c>
      <c r="AO1269" s="0" t="n">
        <v>0</v>
      </c>
      <c r="AP1269" s="0" t="n">
        <v>0</v>
      </c>
      <c r="AQ1269" s="0" t="n">
        <v>0</v>
      </c>
      <c r="AR1269" s="0" t="n">
        <v>0</v>
      </c>
      <c r="AS1269" s="0" t="n">
        <v>0</v>
      </c>
      <c r="AT1269" s="0" t="n">
        <v>0</v>
      </c>
      <c r="AU1269" s="0" t="n">
        <v>0</v>
      </c>
      <c r="AV1269" s="0" t="n">
        <v>0</v>
      </c>
      <c r="AW1269" s="0" t="n">
        <v>0</v>
      </c>
      <c r="AX1269" s="0" t="n">
        <v>0</v>
      </c>
      <c r="AY1269" s="0" t="n">
        <v>0</v>
      </c>
      <c r="AZ1269" s="0" t="n">
        <v>0</v>
      </c>
      <c r="BA1269" s="0" t="n">
        <v>0</v>
      </c>
      <c r="BB1269" s="0" t="n">
        <v>0</v>
      </c>
      <c r="BC1269" s="0" t="n">
        <v>0</v>
      </c>
      <c r="BD1269" s="0" t="n">
        <v>0</v>
      </c>
      <c r="BE1269" s="0" t="n">
        <v>0</v>
      </c>
      <c r="BF1269" s="0" t="n">
        <v>0</v>
      </c>
      <c r="BG1269" s="0" t="n">
        <v>0</v>
      </c>
      <c r="BH1269" s="0" t="n">
        <v>0</v>
      </c>
      <c r="BI1269" s="0" t="n">
        <v>0</v>
      </c>
      <c r="BJ1269" s="0" t="n">
        <v>0</v>
      </c>
      <c r="BK1269" s="0" t="n">
        <v>0</v>
      </c>
      <c r="BM1269" s="6" t="n">
        <f aca="false">IFERROR(VALUE(F1269),"")</f>
        <v>450.27</v>
      </c>
      <c r="BN1269" s="6" t="n">
        <f aca="false">IF(R1269="-","",IFERROR(VALUE(LEFT(Q1269,LEN(Q1269)-2)),""))</f>
        <v>125.24</v>
      </c>
      <c r="BO1269" s="6" t="n">
        <f aca="false">IF(R1269="-","",IFERROR(VALUE(LEFT(R1269,LEN(R1269)-5)),""))</f>
        <v>3.6</v>
      </c>
      <c r="BP1269" s="6" t="n">
        <f aca="false">IF(R1269="-","",IFERROR(VALUE(F1269),""))</f>
        <v>450.27</v>
      </c>
      <c r="BQ1269" s="4" t="n">
        <f aca="false">IF(R1269="-",1,0)</f>
        <v>0</v>
      </c>
    </row>
    <row r="1270" customFormat="false" ht="15" hidden="false" customHeight="false" outlineLevel="0" collapsed="false">
      <c r="A1270" s="0" t="s">
        <v>4856</v>
      </c>
      <c r="B1270" s="0" t="s">
        <v>4857</v>
      </c>
      <c r="C1270" s="0" t="s">
        <v>70</v>
      </c>
      <c r="D1270" s="0" t="s">
        <v>4875</v>
      </c>
      <c r="E1270" s="3" t="n">
        <v>46277</v>
      </c>
      <c r="F1270" s="4" t="s">
        <v>4876</v>
      </c>
      <c r="G1270" s="5" t="n">
        <v>0.247881944444444</v>
      </c>
      <c r="H1270" s="5" t="n">
        <v>0.2434375</v>
      </c>
      <c r="I1270" s="5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5" t="n">
        <v>0</v>
      </c>
      <c r="P1270" s="5" t="n">
        <v>0.00711805555555556</v>
      </c>
      <c r="Q1270" s="4" t="s">
        <v>4877</v>
      </c>
      <c r="R1270" s="4" t="s">
        <v>3712</v>
      </c>
      <c r="S1270" s="5" t="n">
        <v>0.000115740740740741</v>
      </c>
      <c r="T1270" s="5" t="n">
        <v>0.0478009259259259</v>
      </c>
      <c r="U1270" s="5" t="n">
        <v>0.170601851851852</v>
      </c>
      <c r="V1270" s="5" t="n">
        <v>0.00590277777777778</v>
      </c>
      <c r="W1270" s="5" t="n">
        <v>0</v>
      </c>
      <c r="X1270" s="5" t="n">
        <v>0</v>
      </c>
      <c r="Y1270" s="5" t="n">
        <v>0</v>
      </c>
      <c r="Z1270" s="0" t="n">
        <v>0</v>
      </c>
      <c r="AA1270" s="0" t="n">
        <v>0</v>
      </c>
      <c r="AB1270" s="0" t="n">
        <v>0</v>
      </c>
      <c r="AC1270" s="4" t="s">
        <v>1026</v>
      </c>
      <c r="AD1270" s="4" t="s">
        <v>4878</v>
      </c>
      <c r="AE1270" s="4" t="s">
        <v>4874</v>
      </c>
      <c r="AF1270" s="4" t="s">
        <v>4879</v>
      </c>
      <c r="AG1270" s="5" t="n">
        <v>0.196469907407407</v>
      </c>
      <c r="AH1270" s="5" t="n">
        <v>0.0784375</v>
      </c>
      <c r="AI1270" s="5" t="n">
        <v>0</v>
      </c>
      <c r="AJ1270" s="5" t="n">
        <v>0</v>
      </c>
      <c r="AK1270" s="5" t="n">
        <v>0</v>
      </c>
      <c r="AL1270" s="5" t="n">
        <v>0</v>
      </c>
      <c r="AM1270" s="4" t="s">
        <v>78</v>
      </c>
      <c r="AN1270" s="0" t="n">
        <v>0</v>
      </c>
      <c r="AO1270" s="0" t="n">
        <v>0</v>
      </c>
      <c r="AP1270" s="0" t="n">
        <v>0</v>
      </c>
      <c r="AQ1270" s="0" t="n">
        <v>0</v>
      </c>
      <c r="AR1270" s="0" t="n">
        <v>0</v>
      </c>
      <c r="AS1270" s="0" t="n">
        <v>0</v>
      </c>
      <c r="AT1270" s="0" t="n">
        <v>0</v>
      </c>
      <c r="AU1270" s="0" t="n">
        <v>0</v>
      </c>
      <c r="AV1270" s="0" t="n">
        <v>0</v>
      </c>
      <c r="AW1270" s="0" t="n">
        <v>0</v>
      </c>
      <c r="AX1270" s="0" t="n">
        <v>0</v>
      </c>
      <c r="AY1270" s="0" t="n">
        <v>0</v>
      </c>
      <c r="AZ1270" s="0" t="n">
        <v>0</v>
      </c>
      <c r="BA1270" s="0" t="n">
        <v>0</v>
      </c>
      <c r="BB1270" s="0" t="n">
        <v>0</v>
      </c>
      <c r="BC1270" s="0" t="n">
        <v>0</v>
      </c>
      <c r="BD1270" s="0" t="n">
        <v>0</v>
      </c>
      <c r="BE1270" s="0" t="n">
        <v>0</v>
      </c>
      <c r="BF1270" s="0" t="n">
        <v>0</v>
      </c>
      <c r="BG1270" s="0" t="n">
        <v>0</v>
      </c>
      <c r="BH1270" s="0" t="n">
        <v>0</v>
      </c>
      <c r="BI1270" s="0" t="n">
        <v>0</v>
      </c>
      <c r="BJ1270" s="0" t="n">
        <v>0</v>
      </c>
      <c r="BK1270" s="0" t="n">
        <v>0</v>
      </c>
      <c r="BM1270" s="6" t="n">
        <f aca="false">IFERROR(VALUE(F1270),"")</f>
        <v>310.85</v>
      </c>
      <c r="BN1270" s="6" t="n">
        <f aca="false">IF(R1270="-","",IFERROR(VALUE(LEFT(Q1270,LEN(Q1270)-2)),""))</f>
        <v>83.89</v>
      </c>
      <c r="BO1270" s="6" t="n">
        <f aca="false">IF(R1270="-","",IFERROR(VALUE(LEFT(R1270,LEN(R1270)-5)),""))</f>
        <v>3.71</v>
      </c>
      <c r="BP1270" s="6" t="n">
        <f aca="false">IF(R1270="-","",IFERROR(VALUE(F1270),""))</f>
        <v>310.85</v>
      </c>
      <c r="BQ1270" s="4" t="n">
        <f aca="false">IF(R1270="-",1,0)</f>
        <v>0</v>
      </c>
    </row>
    <row r="1271" customFormat="false" ht="15" hidden="false" customHeight="false" outlineLevel="0" collapsed="false">
      <c r="A1271" s="0" t="s">
        <v>4856</v>
      </c>
      <c r="B1271" s="0" t="s">
        <v>4857</v>
      </c>
      <c r="C1271" s="0" t="s">
        <v>70</v>
      </c>
      <c r="D1271" s="0" t="s">
        <v>4880</v>
      </c>
      <c r="E1271" s="3" t="n">
        <v>46278</v>
      </c>
      <c r="F1271" s="4" t="s">
        <v>4881</v>
      </c>
      <c r="G1271" s="5" t="n">
        <v>0.658344907407407</v>
      </c>
      <c r="H1271" s="5" t="n">
        <v>0.5734375</v>
      </c>
      <c r="I1271" s="5" t="n">
        <v>0.00284722222222222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5" t="n">
        <v>0</v>
      </c>
      <c r="P1271" s="5" t="n">
        <v>0.00881944444444444</v>
      </c>
      <c r="Q1271" s="4" t="s">
        <v>4882</v>
      </c>
      <c r="R1271" s="4" t="s">
        <v>4509</v>
      </c>
      <c r="S1271" s="5" t="n">
        <v>0.000810185185185185</v>
      </c>
      <c r="T1271" s="5" t="n">
        <v>0.101273148148148</v>
      </c>
      <c r="U1271" s="5" t="n">
        <v>0.415520833333333</v>
      </c>
      <c r="V1271" s="5" t="n">
        <v>0.0276967592592593</v>
      </c>
      <c r="W1271" s="5" t="n">
        <v>5.78703703703704E-005</v>
      </c>
      <c r="X1271" s="5" t="n">
        <v>0</v>
      </c>
      <c r="Y1271" s="5" t="n">
        <v>5.78703703703704E-005</v>
      </c>
      <c r="Z1271" s="0" t="n">
        <v>0</v>
      </c>
      <c r="AA1271" s="0" t="n">
        <v>0</v>
      </c>
      <c r="AB1271" s="0" t="n">
        <v>0</v>
      </c>
      <c r="AC1271" s="4" t="s">
        <v>4878</v>
      </c>
      <c r="AD1271" s="4" t="s">
        <v>4616</v>
      </c>
      <c r="AE1271" s="4" t="s">
        <v>4883</v>
      </c>
      <c r="AF1271" s="4" t="s">
        <v>4884</v>
      </c>
      <c r="AG1271" s="5" t="n">
        <v>0.479143518518519</v>
      </c>
      <c r="AH1271" s="5" t="n">
        <v>0.290335648148148</v>
      </c>
      <c r="AI1271" s="5" t="n">
        <v>0</v>
      </c>
      <c r="AJ1271" s="5" t="n">
        <v>0</v>
      </c>
      <c r="AK1271" s="5" t="n">
        <v>0</v>
      </c>
      <c r="AL1271" s="5" t="n">
        <v>0</v>
      </c>
      <c r="AM1271" s="4" t="s">
        <v>78</v>
      </c>
      <c r="AN1271" s="0" t="n">
        <v>0</v>
      </c>
      <c r="AO1271" s="0" t="n">
        <v>0</v>
      </c>
      <c r="AP1271" s="0" t="n">
        <v>0</v>
      </c>
      <c r="AQ1271" s="0" t="n">
        <v>0</v>
      </c>
      <c r="AR1271" s="0" t="n">
        <v>0</v>
      </c>
      <c r="AS1271" s="0" t="n">
        <v>0</v>
      </c>
      <c r="AT1271" s="0" t="n">
        <v>0</v>
      </c>
      <c r="AU1271" s="0" t="n">
        <v>2</v>
      </c>
      <c r="AV1271" s="0" t="n">
        <v>0</v>
      </c>
      <c r="AW1271" s="0" t="n">
        <v>0</v>
      </c>
      <c r="AX1271" s="0" t="n">
        <v>0</v>
      </c>
      <c r="AY1271" s="0" t="n">
        <v>0</v>
      </c>
      <c r="AZ1271" s="0" t="n">
        <v>0</v>
      </c>
      <c r="BA1271" s="0" t="n">
        <v>0</v>
      </c>
      <c r="BB1271" s="0" t="n">
        <v>0</v>
      </c>
      <c r="BC1271" s="0" t="n">
        <v>0</v>
      </c>
      <c r="BD1271" s="0" t="n">
        <v>0</v>
      </c>
      <c r="BE1271" s="0" t="n">
        <v>0</v>
      </c>
      <c r="BF1271" s="0" t="n">
        <v>0</v>
      </c>
      <c r="BG1271" s="0" t="n">
        <v>0</v>
      </c>
      <c r="BH1271" s="0" t="n">
        <v>0</v>
      </c>
      <c r="BI1271" s="0" t="n">
        <v>0</v>
      </c>
      <c r="BJ1271" s="0" t="n">
        <v>0</v>
      </c>
      <c r="BK1271" s="0" t="n">
        <v>0</v>
      </c>
      <c r="BM1271" s="6" t="n">
        <f aca="false">IFERROR(VALUE(F1271),"")</f>
        <v>725.14</v>
      </c>
      <c r="BN1271" s="6" t="n">
        <f aca="false">IF(R1271="-","",IFERROR(VALUE(LEFT(Q1271,LEN(Q1271)-2)),""))</f>
        <v>210.34</v>
      </c>
      <c r="BO1271" s="6" t="n">
        <f aca="false">IF(R1271="-","",IFERROR(VALUE(LEFT(R1271,LEN(R1271)-5)),""))</f>
        <v>3.45</v>
      </c>
      <c r="BP1271" s="6" t="n">
        <f aca="false">IF(R1271="-","",IFERROR(VALUE(F1271),""))</f>
        <v>725.14</v>
      </c>
      <c r="BQ1271" s="4" t="n">
        <f aca="false">IF(R1271="-",1,0)</f>
        <v>0</v>
      </c>
    </row>
    <row r="1272" customFormat="false" ht="15" hidden="false" customHeight="false" outlineLevel="0" collapsed="false">
      <c r="A1272" s="0" t="s">
        <v>4856</v>
      </c>
      <c r="B1272" s="0" t="s">
        <v>4857</v>
      </c>
      <c r="C1272" s="0" t="s">
        <v>70</v>
      </c>
      <c r="D1272" s="0" t="s">
        <v>4885</v>
      </c>
      <c r="E1272" s="3" t="n">
        <v>46279</v>
      </c>
      <c r="F1272" s="4" t="s">
        <v>4886</v>
      </c>
      <c r="G1272" s="5" t="n">
        <v>0.769525462962963</v>
      </c>
      <c r="H1272" s="5" t="n">
        <v>0.662719907407407</v>
      </c>
      <c r="I1272" s="5" t="n">
        <v>0.00170138888888889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5" t="n">
        <v>0</v>
      </c>
      <c r="P1272" s="5" t="n">
        <v>0</v>
      </c>
      <c r="Q1272" s="4" t="s">
        <v>4887</v>
      </c>
      <c r="R1272" s="4" t="s">
        <v>4888</v>
      </c>
      <c r="S1272" s="5" t="n">
        <v>0.000347222222222222</v>
      </c>
      <c r="T1272" s="5" t="n">
        <v>0.104861111111111</v>
      </c>
      <c r="U1272" s="5" t="n">
        <v>0.566550925925926</v>
      </c>
      <c r="V1272" s="5" t="n">
        <v>0.0275462962962963</v>
      </c>
      <c r="W1272" s="5" t="n">
        <v>0</v>
      </c>
      <c r="X1272" s="5" t="n">
        <v>0</v>
      </c>
      <c r="Y1272" s="5" t="n">
        <v>0</v>
      </c>
      <c r="Z1272" s="0" t="n">
        <v>0</v>
      </c>
      <c r="AA1272" s="0" t="n">
        <v>0</v>
      </c>
      <c r="AB1272" s="0" t="n">
        <v>0</v>
      </c>
      <c r="AC1272" s="4" t="s">
        <v>4616</v>
      </c>
      <c r="AD1272" s="4" t="s">
        <v>4594</v>
      </c>
      <c r="AE1272" s="4" t="s">
        <v>4884</v>
      </c>
      <c r="AF1272" s="4" t="s">
        <v>4889</v>
      </c>
      <c r="AG1272" s="5" t="n">
        <v>0.66462962962963</v>
      </c>
      <c r="AH1272" s="5" t="n">
        <v>0.149293981481482</v>
      </c>
      <c r="AI1272" s="5" t="n">
        <v>0</v>
      </c>
      <c r="AJ1272" s="5" t="n">
        <v>0</v>
      </c>
      <c r="AK1272" s="5" t="n">
        <v>0</v>
      </c>
      <c r="AL1272" s="5" t="n">
        <v>0</v>
      </c>
      <c r="AM1272" s="4" t="s">
        <v>78</v>
      </c>
      <c r="AN1272" s="0" t="n">
        <v>0</v>
      </c>
      <c r="AO1272" s="0" t="n">
        <v>0</v>
      </c>
      <c r="AP1272" s="0" t="n">
        <v>0</v>
      </c>
      <c r="AQ1272" s="0" t="n">
        <v>0</v>
      </c>
      <c r="AR1272" s="0" t="n">
        <v>1</v>
      </c>
      <c r="AS1272" s="0" t="n">
        <v>1</v>
      </c>
      <c r="AT1272" s="0" t="n">
        <v>0</v>
      </c>
      <c r="AU1272" s="0" t="n">
        <v>0</v>
      </c>
      <c r="AV1272" s="0" t="n">
        <v>0</v>
      </c>
      <c r="AW1272" s="0" t="n">
        <v>0</v>
      </c>
      <c r="AX1272" s="0" t="n">
        <v>0</v>
      </c>
      <c r="AY1272" s="0" t="n">
        <v>0</v>
      </c>
      <c r="AZ1272" s="0" t="n">
        <v>0</v>
      </c>
      <c r="BA1272" s="0" t="n">
        <v>0</v>
      </c>
      <c r="BB1272" s="0" t="n">
        <v>0</v>
      </c>
      <c r="BC1272" s="0" t="n">
        <v>0</v>
      </c>
      <c r="BD1272" s="0" t="n">
        <v>0</v>
      </c>
      <c r="BE1272" s="0" t="n">
        <v>0</v>
      </c>
      <c r="BF1272" s="0" t="n">
        <v>0</v>
      </c>
      <c r="BG1272" s="0" t="n">
        <v>0</v>
      </c>
      <c r="BH1272" s="0" t="n">
        <v>0</v>
      </c>
      <c r="BI1272" s="0" t="n">
        <v>0</v>
      </c>
      <c r="BJ1272" s="0" t="n">
        <v>0</v>
      </c>
      <c r="BK1272" s="0" t="n">
        <v>0</v>
      </c>
      <c r="BM1272" s="6" t="n">
        <f aca="false">IFERROR(VALUE(F1272),"")</f>
        <v>1010.48</v>
      </c>
      <c r="BN1272" s="6" t="n">
        <f aca="false">IF(R1272="-","",IFERROR(VALUE(LEFT(Q1272,LEN(Q1272)-2)),""))</f>
        <v>266.9</v>
      </c>
      <c r="BO1272" s="6" t="n">
        <f aca="false">IF(R1272="-","",IFERROR(VALUE(LEFT(R1272,LEN(R1272)-5)),""))</f>
        <v>3.79</v>
      </c>
      <c r="BP1272" s="6" t="n">
        <f aca="false">IF(R1272="-","",IFERROR(VALUE(F1272),""))</f>
        <v>1010.48</v>
      </c>
      <c r="BQ1272" s="4" t="n">
        <f aca="false">IF(R1272="-",1,0)</f>
        <v>0</v>
      </c>
    </row>
    <row r="1273" customFormat="false" ht="15" hidden="false" customHeight="false" outlineLevel="0" collapsed="false">
      <c r="A1273" s="0" t="s">
        <v>4890</v>
      </c>
      <c r="B1273" s="0" t="s">
        <v>4891</v>
      </c>
      <c r="C1273" s="0" t="s">
        <v>70</v>
      </c>
      <c r="D1273" s="0" t="s">
        <v>4892</v>
      </c>
      <c r="E1273" s="3" t="n">
        <v>46273</v>
      </c>
      <c r="F1273" s="4" t="s">
        <v>4893</v>
      </c>
      <c r="G1273" s="5" t="n">
        <v>0.508993055555556</v>
      </c>
      <c r="H1273" s="5" t="n">
        <v>0.43125</v>
      </c>
      <c r="I1273" s="5" t="n">
        <v>0.000208333333333333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5" t="n">
        <v>0</v>
      </c>
      <c r="P1273" s="5" t="n">
        <v>0.00716435185185185</v>
      </c>
      <c r="Q1273" s="4" t="s">
        <v>4894</v>
      </c>
      <c r="R1273" s="4" t="s">
        <v>454</v>
      </c>
      <c r="S1273" s="5" t="n">
        <v>0</v>
      </c>
      <c r="T1273" s="5" t="n">
        <v>0.18275462962963</v>
      </c>
      <c r="U1273" s="5" t="n">
        <v>0.284837962962963</v>
      </c>
      <c r="V1273" s="5" t="n">
        <v>0.0305555555555556</v>
      </c>
      <c r="W1273" s="5" t="n">
        <v>0</v>
      </c>
      <c r="X1273" s="5" t="n">
        <v>0</v>
      </c>
      <c r="Y1273" s="5" t="n">
        <v>0</v>
      </c>
      <c r="Z1273" s="0" t="n">
        <v>0</v>
      </c>
      <c r="AA1273" s="0" t="n">
        <v>0</v>
      </c>
      <c r="AB1273" s="0" t="n">
        <v>0</v>
      </c>
      <c r="AC1273" s="4" t="s">
        <v>228</v>
      </c>
      <c r="AD1273" s="4" t="s">
        <v>3485</v>
      </c>
      <c r="AE1273" s="4" t="s">
        <v>4895</v>
      </c>
      <c r="AF1273" s="4" t="s">
        <v>4896</v>
      </c>
      <c r="AG1273" s="5" t="n">
        <v>0.410752314814815</v>
      </c>
      <c r="AH1273" s="5" t="n">
        <v>0.150023148148148</v>
      </c>
      <c r="AI1273" s="5" t="n">
        <v>0</v>
      </c>
      <c r="AJ1273" s="5" t="n">
        <v>0</v>
      </c>
      <c r="AK1273" s="5" t="n">
        <v>0</v>
      </c>
      <c r="AL1273" s="5" t="n">
        <v>0</v>
      </c>
      <c r="AM1273" s="4" t="s">
        <v>78</v>
      </c>
      <c r="AN1273" s="0" t="n">
        <v>0</v>
      </c>
      <c r="AO1273" s="0" t="n">
        <v>0</v>
      </c>
      <c r="AP1273" s="0" t="n">
        <v>0</v>
      </c>
      <c r="AQ1273" s="0" t="n">
        <v>0</v>
      </c>
      <c r="AR1273" s="0" t="n">
        <v>0</v>
      </c>
      <c r="AS1273" s="0" t="n">
        <v>0</v>
      </c>
      <c r="AT1273" s="0" t="n">
        <v>0</v>
      </c>
      <c r="AU1273" s="0" t="n">
        <v>0</v>
      </c>
      <c r="AV1273" s="0" t="n">
        <v>0</v>
      </c>
      <c r="AW1273" s="0" t="n">
        <v>0</v>
      </c>
      <c r="AX1273" s="0" t="n">
        <v>0</v>
      </c>
      <c r="AY1273" s="0" t="n">
        <v>0</v>
      </c>
      <c r="AZ1273" s="0" t="n">
        <v>0</v>
      </c>
      <c r="BA1273" s="0" t="n">
        <v>0</v>
      </c>
      <c r="BB1273" s="0" t="n">
        <v>0</v>
      </c>
      <c r="BC1273" s="0" t="n">
        <v>0</v>
      </c>
      <c r="BD1273" s="0" t="n">
        <v>0</v>
      </c>
      <c r="BE1273" s="0" t="n">
        <v>0</v>
      </c>
      <c r="BF1273" s="0" t="n">
        <v>0</v>
      </c>
      <c r="BG1273" s="0" t="n">
        <v>0</v>
      </c>
      <c r="BH1273" s="0" t="n">
        <v>0</v>
      </c>
      <c r="BI1273" s="0" t="n">
        <v>0</v>
      </c>
      <c r="BJ1273" s="0" t="n">
        <v>0</v>
      </c>
      <c r="BK1273" s="0" t="n">
        <v>0</v>
      </c>
      <c r="BM1273" s="6" t="n">
        <f aca="false">IFERROR(VALUE(F1273),"")</f>
        <v>0.09</v>
      </c>
      <c r="BN1273" s="6" t="n">
        <f aca="false">IF(R1273="-","",IFERROR(VALUE(LEFT(Q1273,LEN(Q1273)-2)),""))</f>
        <v>176.4</v>
      </c>
      <c r="BO1273" s="6" t="n">
        <f aca="false">IF(R1273="-","",IFERROR(VALUE(LEFT(R1273,LEN(R1273)-5)),""))</f>
        <v>0</v>
      </c>
      <c r="BP1273" s="6" t="n">
        <f aca="false">IF(R1273="-","",IFERROR(VALUE(F1273),""))</f>
        <v>0.09</v>
      </c>
      <c r="BQ1273" s="4" t="n">
        <f aca="false">IF(R1273="-",1,0)</f>
        <v>0</v>
      </c>
    </row>
    <row r="1274" customFormat="false" ht="15" hidden="false" customHeight="false" outlineLevel="0" collapsed="false">
      <c r="A1274" s="0" t="s">
        <v>4890</v>
      </c>
      <c r="B1274" s="0" t="s">
        <v>4891</v>
      </c>
      <c r="C1274" s="0" t="s">
        <v>70</v>
      </c>
      <c r="D1274" s="0" t="s">
        <v>4897</v>
      </c>
      <c r="E1274" s="3" t="n">
        <v>46274</v>
      </c>
      <c r="F1274" s="4" t="s">
        <v>4898</v>
      </c>
      <c r="G1274" s="5" t="n">
        <v>0.481724537037037</v>
      </c>
      <c r="H1274" s="5" t="n">
        <v>0.431608796296296</v>
      </c>
      <c r="I1274" s="5" t="n">
        <v>0.000625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1</v>
      </c>
      <c r="O1274" s="5" t="n">
        <v>0</v>
      </c>
      <c r="P1274" s="5" t="n">
        <v>0</v>
      </c>
      <c r="Q1274" s="4" t="s">
        <v>4899</v>
      </c>
      <c r="R1274" s="4" t="s">
        <v>1160</v>
      </c>
      <c r="S1274" s="5" t="n">
        <v>0</v>
      </c>
      <c r="T1274" s="5" t="n">
        <v>0.13912037037037</v>
      </c>
      <c r="U1274" s="5" t="n">
        <v>0.282060185185185</v>
      </c>
      <c r="V1274" s="5" t="n">
        <v>0.0186342592592593</v>
      </c>
      <c r="W1274" s="5" t="n">
        <v>0</v>
      </c>
      <c r="X1274" s="5" t="n">
        <v>0</v>
      </c>
      <c r="Y1274" s="5" t="n">
        <v>0</v>
      </c>
      <c r="Z1274" s="0" t="n">
        <v>0</v>
      </c>
      <c r="AA1274" s="0" t="n">
        <v>0</v>
      </c>
      <c r="AB1274" s="0" t="n">
        <v>0</v>
      </c>
      <c r="AC1274" s="4" t="s">
        <v>842</v>
      </c>
      <c r="AD1274" s="4" t="s">
        <v>75</v>
      </c>
      <c r="AE1274" s="4" t="s">
        <v>4896</v>
      </c>
      <c r="AF1274" s="4" t="s">
        <v>4900</v>
      </c>
      <c r="AG1274" s="5" t="n">
        <v>0.397395833333333</v>
      </c>
      <c r="AH1274" s="5" t="n">
        <v>0.159074074074074</v>
      </c>
      <c r="AI1274" s="5" t="n">
        <v>0</v>
      </c>
      <c r="AJ1274" s="5" t="n">
        <v>0</v>
      </c>
      <c r="AK1274" s="5" t="n">
        <v>0</v>
      </c>
      <c r="AL1274" s="5" t="n">
        <v>0</v>
      </c>
      <c r="AM1274" s="4" t="s">
        <v>78</v>
      </c>
      <c r="AN1274" s="0" t="n">
        <v>0</v>
      </c>
      <c r="AO1274" s="0" t="n">
        <v>0</v>
      </c>
      <c r="AP1274" s="0" t="n">
        <v>0</v>
      </c>
      <c r="AQ1274" s="0" t="n">
        <v>0</v>
      </c>
      <c r="AR1274" s="0" t="n">
        <v>0</v>
      </c>
      <c r="AS1274" s="0" t="n">
        <v>0</v>
      </c>
      <c r="AT1274" s="0" t="n">
        <v>0</v>
      </c>
      <c r="AU1274" s="0" t="n">
        <v>5</v>
      </c>
      <c r="AV1274" s="0" t="n">
        <v>0</v>
      </c>
      <c r="AW1274" s="0" t="n">
        <v>0</v>
      </c>
      <c r="AX1274" s="0" t="n">
        <v>0</v>
      </c>
      <c r="AY1274" s="0" t="n">
        <v>0</v>
      </c>
      <c r="AZ1274" s="0" t="n">
        <v>0</v>
      </c>
      <c r="BA1274" s="0" t="n">
        <v>0</v>
      </c>
      <c r="BB1274" s="0" t="n">
        <v>0</v>
      </c>
      <c r="BC1274" s="0" t="n">
        <v>0</v>
      </c>
      <c r="BD1274" s="0" t="n">
        <v>0</v>
      </c>
      <c r="BE1274" s="0" t="n">
        <v>0</v>
      </c>
      <c r="BF1274" s="0" t="n">
        <v>0</v>
      </c>
      <c r="BG1274" s="0" t="n">
        <v>0</v>
      </c>
      <c r="BH1274" s="0" t="n">
        <v>0</v>
      </c>
      <c r="BI1274" s="0" t="n">
        <v>0</v>
      </c>
      <c r="BJ1274" s="0" t="n">
        <v>0</v>
      </c>
      <c r="BK1274" s="0" t="n">
        <v>0</v>
      </c>
      <c r="BM1274" s="6" t="n">
        <f aca="false">IFERROR(VALUE(F1274),"")</f>
        <v>1.04</v>
      </c>
      <c r="BN1274" s="6" t="n">
        <f aca="false">IF(R1274="-","",IFERROR(VALUE(LEFT(Q1274,LEN(Q1274)-2)),""))</f>
        <v>149.52</v>
      </c>
      <c r="BO1274" s="6" t="n">
        <f aca="false">IF(R1274="-","",IFERROR(VALUE(LEFT(R1274,LEN(R1274)-5)),""))</f>
        <v>0.01</v>
      </c>
      <c r="BP1274" s="6" t="n">
        <f aca="false">IF(R1274="-","",IFERROR(VALUE(F1274),""))</f>
        <v>1.04</v>
      </c>
      <c r="BQ1274" s="4" t="n">
        <f aca="false">IF(R1274="-",1,0)</f>
        <v>0</v>
      </c>
    </row>
    <row r="1275" customFormat="false" ht="15" hidden="false" customHeight="false" outlineLevel="0" collapsed="false">
      <c r="A1275" s="0" t="s">
        <v>4890</v>
      </c>
      <c r="B1275" s="0" t="s">
        <v>4891</v>
      </c>
      <c r="C1275" s="0" t="s">
        <v>70</v>
      </c>
      <c r="D1275" s="0" t="s">
        <v>4901</v>
      </c>
      <c r="E1275" s="3" t="n">
        <v>46275</v>
      </c>
      <c r="F1275" s="4" t="s">
        <v>95</v>
      </c>
      <c r="G1275" s="5" t="n">
        <v>0.451458333333333</v>
      </c>
      <c r="H1275" s="5" t="n">
        <v>0.330740740740741</v>
      </c>
      <c r="I1275" s="5" t="n">
        <v>0.000335648148148148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5</v>
      </c>
      <c r="O1275" s="5" t="n">
        <v>0</v>
      </c>
      <c r="P1275" s="5" t="n">
        <v>0.0197106481481482</v>
      </c>
      <c r="Q1275" s="4" t="s">
        <v>4902</v>
      </c>
      <c r="R1275" s="4" t="s">
        <v>454</v>
      </c>
      <c r="S1275" s="5" t="n">
        <v>0</v>
      </c>
      <c r="T1275" s="5" t="n">
        <v>0.161574074074074</v>
      </c>
      <c r="U1275" s="5" t="n">
        <v>0.267013888888889</v>
      </c>
      <c r="V1275" s="5" t="n">
        <v>0.00868055555555556</v>
      </c>
      <c r="W1275" s="5" t="n">
        <v>0</v>
      </c>
      <c r="X1275" s="5" t="n">
        <v>0</v>
      </c>
      <c r="Y1275" s="5" t="n">
        <v>0</v>
      </c>
      <c r="Z1275" s="0" t="n">
        <v>0</v>
      </c>
      <c r="AA1275" s="0" t="n">
        <v>0</v>
      </c>
      <c r="AB1275" s="0" t="n">
        <v>0</v>
      </c>
      <c r="AC1275" s="4" t="s">
        <v>4903</v>
      </c>
      <c r="AD1275" s="4" t="s">
        <v>4220</v>
      </c>
      <c r="AE1275" s="4" t="s">
        <v>4900</v>
      </c>
      <c r="AF1275" s="4" t="s">
        <v>4900</v>
      </c>
      <c r="AG1275" s="5" t="n">
        <v>0.38287037037037</v>
      </c>
      <c r="AH1275" s="5" t="n">
        <v>0.135266203703704</v>
      </c>
      <c r="AI1275" s="5" t="n">
        <v>0</v>
      </c>
      <c r="AJ1275" s="5" t="n">
        <v>0</v>
      </c>
      <c r="AK1275" s="5" t="n">
        <v>0</v>
      </c>
      <c r="AL1275" s="5" t="n">
        <v>0</v>
      </c>
      <c r="AM1275" s="4" t="s">
        <v>78</v>
      </c>
      <c r="AN1275" s="0" t="n">
        <v>0</v>
      </c>
      <c r="AO1275" s="0" t="n">
        <v>0</v>
      </c>
      <c r="AP1275" s="0" t="n">
        <v>0</v>
      </c>
      <c r="AQ1275" s="0" t="n">
        <v>0</v>
      </c>
      <c r="AR1275" s="0" t="n">
        <v>0</v>
      </c>
      <c r="AS1275" s="0" t="n">
        <v>0</v>
      </c>
      <c r="AT1275" s="0" t="n">
        <v>0</v>
      </c>
      <c r="AU1275" s="0" t="n">
        <v>0</v>
      </c>
      <c r="AV1275" s="0" t="n">
        <v>0</v>
      </c>
      <c r="AW1275" s="0" t="n">
        <v>0</v>
      </c>
      <c r="AX1275" s="0" t="n">
        <v>0</v>
      </c>
      <c r="AY1275" s="0" t="n">
        <v>0</v>
      </c>
      <c r="AZ1275" s="0" t="n">
        <v>0</v>
      </c>
      <c r="BA1275" s="0" t="n">
        <v>0</v>
      </c>
      <c r="BB1275" s="0" t="n">
        <v>0</v>
      </c>
      <c r="BC1275" s="0" t="n">
        <v>0</v>
      </c>
      <c r="BD1275" s="0" t="n">
        <v>0</v>
      </c>
      <c r="BE1275" s="0" t="n">
        <v>0</v>
      </c>
      <c r="BF1275" s="0" t="n">
        <v>0</v>
      </c>
      <c r="BG1275" s="0" t="n">
        <v>0</v>
      </c>
      <c r="BH1275" s="0" t="n">
        <v>0</v>
      </c>
      <c r="BI1275" s="0" t="n">
        <v>0</v>
      </c>
      <c r="BJ1275" s="0" t="n">
        <v>0</v>
      </c>
      <c r="BK1275" s="0" t="n">
        <v>0</v>
      </c>
      <c r="BM1275" s="6" t="n">
        <f aca="false">IFERROR(VALUE(F1275),"")</f>
        <v>0</v>
      </c>
      <c r="BN1275" s="6" t="n">
        <f aca="false">IF(R1275="-","",IFERROR(VALUE(LEFT(Q1275,LEN(Q1275)-2)),""))</f>
        <v>140.2</v>
      </c>
      <c r="BO1275" s="6" t="n">
        <f aca="false">IF(R1275="-","",IFERROR(VALUE(LEFT(R1275,LEN(R1275)-5)),""))</f>
        <v>0</v>
      </c>
      <c r="BP1275" s="6" t="n">
        <f aca="false">IF(R1275="-","",IFERROR(VALUE(F1275),""))</f>
        <v>0</v>
      </c>
      <c r="BQ1275" s="4" t="n">
        <f aca="false">IF(R1275="-",1,0)</f>
        <v>0</v>
      </c>
    </row>
    <row r="1276" customFormat="false" ht="15" hidden="false" customHeight="false" outlineLevel="0" collapsed="false">
      <c r="A1276" s="0" t="s">
        <v>4890</v>
      </c>
      <c r="B1276" s="0" t="s">
        <v>4891</v>
      </c>
      <c r="C1276" s="0" t="s">
        <v>70</v>
      </c>
      <c r="D1276" s="0" t="s">
        <v>4904</v>
      </c>
      <c r="E1276" s="3" t="n">
        <v>46276</v>
      </c>
      <c r="F1276" s="4" t="s">
        <v>95</v>
      </c>
      <c r="G1276" s="5" t="n">
        <v>0.371701388888889</v>
      </c>
      <c r="H1276" s="5" t="n">
        <v>0.341446759259259</v>
      </c>
      <c r="I1276" s="5" t="n">
        <v>5.78703703703704E-005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1</v>
      </c>
      <c r="O1276" s="5" t="n">
        <v>0</v>
      </c>
      <c r="P1276" s="5" t="n">
        <v>0.0560648148148148</v>
      </c>
      <c r="Q1276" s="4" t="s">
        <v>4905</v>
      </c>
      <c r="R1276" s="4" t="s">
        <v>454</v>
      </c>
      <c r="S1276" s="5" t="n">
        <v>0.000231481481481482</v>
      </c>
      <c r="T1276" s="5" t="n">
        <v>0.128356481481482</v>
      </c>
      <c r="U1276" s="5" t="n">
        <v>0.204398148148148</v>
      </c>
      <c r="V1276" s="5" t="n">
        <v>0.0136574074074074</v>
      </c>
      <c r="W1276" s="5" t="n">
        <v>0</v>
      </c>
      <c r="X1276" s="5" t="n">
        <v>0</v>
      </c>
      <c r="Y1276" s="5" t="n">
        <v>0</v>
      </c>
      <c r="Z1276" s="0" t="n">
        <v>0</v>
      </c>
      <c r="AA1276" s="0" t="n">
        <v>0</v>
      </c>
      <c r="AB1276" s="0" t="n">
        <v>0</v>
      </c>
      <c r="AC1276" s="4" t="s">
        <v>4220</v>
      </c>
      <c r="AD1276" s="4" t="s">
        <v>75</v>
      </c>
      <c r="AE1276" s="4" t="s">
        <v>4900</v>
      </c>
      <c r="AF1276" s="4" t="s">
        <v>4900</v>
      </c>
      <c r="AG1276" s="5" t="n">
        <v>0.266018518518519</v>
      </c>
      <c r="AH1276" s="5" t="n">
        <v>0.149421296296296</v>
      </c>
      <c r="AI1276" s="5" t="n">
        <v>0</v>
      </c>
      <c r="AJ1276" s="5" t="n">
        <v>0</v>
      </c>
      <c r="AK1276" s="5" t="n">
        <v>0</v>
      </c>
      <c r="AL1276" s="5" t="n">
        <v>0</v>
      </c>
      <c r="AM1276" s="4" t="s">
        <v>78</v>
      </c>
      <c r="AN1276" s="0" t="n">
        <v>0</v>
      </c>
      <c r="AO1276" s="0" t="n">
        <v>0</v>
      </c>
      <c r="AP1276" s="0" t="n">
        <v>0</v>
      </c>
      <c r="AQ1276" s="0" t="n">
        <v>0</v>
      </c>
      <c r="AR1276" s="0" t="n">
        <v>0</v>
      </c>
      <c r="AS1276" s="0" t="n">
        <v>0</v>
      </c>
      <c r="AT1276" s="0" t="n">
        <v>0</v>
      </c>
      <c r="AU1276" s="0" t="n">
        <v>2</v>
      </c>
      <c r="AV1276" s="0" t="n">
        <v>0</v>
      </c>
      <c r="AW1276" s="0" t="n">
        <v>0</v>
      </c>
      <c r="AX1276" s="0" t="n">
        <v>0</v>
      </c>
      <c r="AY1276" s="0" t="n">
        <v>0</v>
      </c>
      <c r="AZ1276" s="0" t="n">
        <v>0</v>
      </c>
      <c r="BA1276" s="0" t="n">
        <v>0</v>
      </c>
      <c r="BB1276" s="0" t="n">
        <v>0</v>
      </c>
      <c r="BC1276" s="0" t="n">
        <v>0</v>
      </c>
      <c r="BD1276" s="0" t="n">
        <v>0</v>
      </c>
      <c r="BE1276" s="0" t="n">
        <v>0</v>
      </c>
      <c r="BF1276" s="0" t="n">
        <v>0</v>
      </c>
      <c r="BG1276" s="0" t="n">
        <v>0</v>
      </c>
      <c r="BH1276" s="0" t="n">
        <v>0</v>
      </c>
      <c r="BI1276" s="0" t="n">
        <v>0</v>
      </c>
      <c r="BJ1276" s="0" t="n">
        <v>0</v>
      </c>
      <c r="BK1276" s="0" t="n">
        <v>0</v>
      </c>
      <c r="BM1276" s="6" t="n">
        <f aca="false">IFERROR(VALUE(F1276),"")</f>
        <v>0</v>
      </c>
      <c r="BN1276" s="6" t="n">
        <f aca="false">IF(R1276="-","",IFERROR(VALUE(LEFT(Q1276,LEN(Q1276)-2)),""))</f>
        <v>109.29</v>
      </c>
      <c r="BO1276" s="6" t="n">
        <f aca="false">IF(R1276="-","",IFERROR(VALUE(LEFT(R1276,LEN(R1276)-5)),""))</f>
        <v>0</v>
      </c>
      <c r="BP1276" s="6" t="n">
        <f aca="false">IF(R1276="-","",IFERROR(VALUE(F1276),""))</f>
        <v>0</v>
      </c>
      <c r="BQ1276" s="4" t="n">
        <f aca="false">IF(R1276="-",1,0)</f>
        <v>0</v>
      </c>
    </row>
    <row r="1277" customFormat="false" ht="15" hidden="false" customHeight="false" outlineLevel="0" collapsed="false">
      <c r="A1277" s="0" t="s">
        <v>4890</v>
      </c>
      <c r="B1277" s="0" t="s">
        <v>4891</v>
      </c>
      <c r="C1277" s="0" t="s">
        <v>70</v>
      </c>
      <c r="D1277" s="0" t="s">
        <v>4906</v>
      </c>
      <c r="E1277" s="3" t="n">
        <v>46277</v>
      </c>
      <c r="F1277" s="4" t="s">
        <v>95</v>
      </c>
      <c r="G1277" s="5" t="n">
        <v>0.641539351851852</v>
      </c>
      <c r="H1277" s="5" t="n">
        <v>0.290428240740741</v>
      </c>
      <c r="I1277" s="5" t="n">
        <v>0.00105324074074074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5" t="n">
        <v>0</v>
      </c>
      <c r="P1277" s="5" t="n">
        <v>0.00832175925925926</v>
      </c>
      <c r="Q1277" s="4" t="s">
        <v>4907</v>
      </c>
      <c r="R1277" s="4" t="s">
        <v>454</v>
      </c>
      <c r="S1277" s="5" t="n">
        <v>0</v>
      </c>
      <c r="T1277" s="5" t="n">
        <v>0.0777777777777778</v>
      </c>
      <c r="U1277" s="5" t="n">
        <v>0.201273148148148</v>
      </c>
      <c r="V1277" s="5" t="n">
        <v>0.0180555555555556</v>
      </c>
      <c r="W1277" s="5" t="n">
        <v>0</v>
      </c>
      <c r="X1277" s="5" t="n">
        <v>0</v>
      </c>
      <c r="Y1277" s="5" t="n">
        <v>0</v>
      </c>
      <c r="Z1277" s="0" t="n">
        <v>0</v>
      </c>
      <c r="AA1277" s="0" t="n">
        <v>0</v>
      </c>
      <c r="AB1277" s="0" t="n">
        <v>0</v>
      </c>
      <c r="AC1277" s="4" t="s">
        <v>228</v>
      </c>
      <c r="AD1277" s="4" t="s">
        <v>4908</v>
      </c>
      <c r="AE1277" s="4" t="s">
        <v>4900</v>
      </c>
      <c r="AF1277" s="4" t="s">
        <v>4900</v>
      </c>
      <c r="AG1277" s="5" t="n">
        <v>0.2678125</v>
      </c>
      <c r="AH1277" s="5" t="n">
        <v>0.157361111111111</v>
      </c>
      <c r="AI1277" s="5" t="n">
        <v>0</v>
      </c>
      <c r="AJ1277" s="5" t="n">
        <v>0</v>
      </c>
      <c r="AK1277" s="5" t="n">
        <v>0</v>
      </c>
      <c r="AL1277" s="5" t="n">
        <v>0</v>
      </c>
      <c r="AM1277" s="4" t="s">
        <v>78</v>
      </c>
      <c r="AN1277" s="0" t="n">
        <v>0</v>
      </c>
      <c r="AO1277" s="0" t="n">
        <v>0</v>
      </c>
      <c r="AP1277" s="0" t="n">
        <v>0</v>
      </c>
      <c r="AQ1277" s="0" t="n">
        <v>0</v>
      </c>
      <c r="AR1277" s="0" t="n">
        <v>0</v>
      </c>
      <c r="AS1277" s="0" t="n">
        <v>0</v>
      </c>
      <c r="AT1277" s="0" t="n">
        <v>0</v>
      </c>
      <c r="AU1277" s="0" t="n">
        <v>0</v>
      </c>
      <c r="AV1277" s="0" t="n">
        <v>0</v>
      </c>
      <c r="AW1277" s="0" t="n">
        <v>0</v>
      </c>
      <c r="AX1277" s="0" t="n">
        <v>0</v>
      </c>
      <c r="AY1277" s="0" t="n">
        <v>0</v>
      </c>
      <c r="AZ1277" s="0" t="n">
        <v>0</v>
      </c>
      <c r="BA1277" s="0" t="n">
        <v>0</v>
      </c>
      <c r="BB1277" s="0" t="n">
        <v>0</v>
      </c>
      <c r="BC1277" s="0" t="n">
        <v>0</v>
      </c>
      <c r="BD1277" s="0" t="n">
        <v>0</v>
      </c>
      <c r="BE1277" s="0" t="n">
        <v>0</v>
      </c>
      <c r="BF1277" s="0" t="n">
        <v>0</v>
      </c>
      <c r="BG1277" s="0" t="n">
        <v>0</v>
      </c>
      <c r="BH1277" s="0" t="n">
        <v>0</v>
      </c>
      <c r="BI1277" s="0" t="n">
        <v>0</v>
      </c>
      <c r="BJ1277" s="0" t="n">
        <v>0</v>
      </c>
      <c r="BK1277" s="0" t="n">
        <v>0</v>
      </c>
      <c r="BM1277" s="6" t="n">
        <f aca="false">IFERROR(VALUE(F1277),"")</f>
        <v>0</v>
      </c>
      <c r="BN1277" s="6" t="n">
        <f aca="false">IF(R1277="-","",IFERROR(VALUE(LEFT(Q1277,LEN(Q1277)-2)),""))</f>
        <v>110.93</v>
      </c>
      <c r="BO1277" s="6" t="n">
        <f aca="false">IF(R1277="-","",IFERROR(VALUE(LEFT(R1277,LEN(R1277)-5)),""))</f>
        <v>0</v>
      </c>
      <c r="BP1277" s="6" t="n">
        <f aca="false">IF(R1277="-","",IFERROR(VALUE(F1277),""))</f>
        <v>0</v>
      </c>
      <c r="BQ1277" s="4" t="n">
        <f aca="false">IF(R1277="-",1,0)</f>
        <v>0</v>
      </c>
    </row>
    <row r="1278" customFormat="false" ht="15" hidden="false" customHeight="false" outlineLevel="0" collapsed="false">
      <c r="A1278" s="0" t="s">
        <v>4890</v>
      </c>
      <c r="B1278" s="0" t="s">
        <v>4891</v>
      </c>
      <c r="C1278" s="0" t="s">
        <v>70</v>
      </c>
      <c r="D1278" s="0" t="s">
        <v>4909</v>
      </c>
      <c r="E1278" s="3" t="n">
        <v>46278</v>
      </c>
      <c r="F1278" s="4" t="s">
        <v>95</v>
      </c>
      <c r="G1278" s="5" t="n">
        <v>0.11212962962963</v>
      </c>
      <c r="H1278" s="5" t="n">
        <v>0.102638888888889</v>
      </c>
      <c r="I1278" s="5" t="n">
        <v>0.000428240740740741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5" t="n">
        <v>0</v>
      </c>
      <c r="P1278" s="5" t="n">
        <v>0.0152314814814815</v>
      </c>
      <c r="Q1278" s="4" t="s">
        <v>4910</v>
      </c>
      <c r="R1278" s="4" t="s">
        <v>454</v>
      </c>
      <c r="S1278" s="5" t="n">
        <v>0</v>
      </c>
      <c r="T1278" s="5" t="n">
        <v>0.0547453703703704</v>
      </c>
      <c r="U1278" s="5" t="n">
        <v>0.0520833333333333</v>
      </c>
      <c r="V1278" s="5" t="n">
        <v>0.0025462962962963</v>
      </c>
      <c r="W1278" s="5" t="n">
        <v>0</v>
      </c>
      <c r="X1278" s="5" t="n">
        <v>0</v>
      </c>
      <c r="Y1278" s="5" t="n">
        <v>0</v>
      </c>
      <c r="Z1278" s="0" t="n">
        <v>0</v>
      </c>
      <c r="AA1278" s="0" t="n">
        <v>0</v>
      </c>
      <c r="AB1278" s="0" t="n">
        <v>0</v>
      </c>
      <c r="AC1278" s="4" t="s">
        <v>4911</v>
      </c>
      <c r="AD1278" s="4" t="s">
        <v>3575</v>
      </c>
      <c r="AE1278" s="4" t="s">
        <v>4900</v>
      </c>
      <c r="AF1278" s="4" t="s">
        <v>4900</v>
      </c>
      <c r="AG1278" s="5" t="n">
        <v>0.0791087962962963</v>
      </c>
      <c r="AH1278" s="5" t="n">
        <v>0.0527199074074074</v>
      </c>
      <c r="AI1278" s="5" t="n">
        <v>0</v>
      </c>
      <c r="AJ1278" s="5" t="n">
        <v>0</v>
      </c>
      <c r="AK1278" s="5" t="n">
        <v>0</v>
      </c>
      <c r="AL1278" s="5" t="n">
        <v>0</v>
      </c>
      <c r="AM1278" s="4" t="s">
        <v>78</v>
      </c>
      <c r="AN1278" s="0" t="n">
        <v>0</v>
      </c>
      <c r="AO1278" s="0" t="n">
        <v>0</v>
      </c>
      <c r="AP1278" s="0" t="n">
        <v>0</v>
      </c>
      <c r="AQ1278" s="0" t="n">
        <v>0</v>
      </c>
      <c r="AR1278" s="0" t="n">
        <v>1</v>
      </c>
      <c r="AS1278" s="0" t="n">
        <v>0</v>
      </c>
      <c r="AT1278" s="0" t="n">
        <v>0</v>
      </c>
      <c r="AU1278" s="0" t="n">
        <v>0</v>
      </c>
      <c r="AV1278" s="0" t="n">
        <v>0</v>
      </c>
      <c r="AW1278" s="0" t="n">
        <v>0</v>
      </c>
      <c r="AX1278" s="0" t="n">
        <v>0</v>
      </c>
      <c r="AY1278" s="0" t="n">
        <v>0</v>
      </c>
      <c r="AZ1278" s="0" t="n">
        <v>0</v>
      </c>
      <c r="BA1278" s="0" t="n">
        <v>0</v>
      </c>
      <c r="BB1278" s="0" t="n">
        <v>0</v>
      </c>
      <c r="BC1278" s="0" t="n">
        <v>0</v>
      </c>
      <c r="BD1278" s="0" t="n">
        <v>0</v>
      </c>
      <c r="BE1278" s="0" t="n">
        <v>0</v>
      </c>
      <c r="BF1278" s="0" t="n">
        <v>0</v>
      </c>
      <c r="BG1278" s="0" t="n">
        <v>0</v>
      </c>
      <c r="BH1278" s="0" t="n">
        <v>0</v>
      </c>
      <c r="BI1278" s="0" t="n">
        <v>0</v>
      </c>
      <c r="BJ1278" s="0" t="n">
        <v>0</v>
      </c>
      <c r="BK1278" s="0" t="n">
        <v>0</v>
      </c>
      <c r="BM1278" s="6" t="n">
        <f aca="false">IFERROR(VALUE(F1278),"")</f>
        <v>0</v>
      </c>
      <c r="BN1278" s="6" t="n">
        <f aca="false">IF(R1278="-","",IFERROR(VALUE(LEFT(Q1278,LEN(Q1278)-2)),""))</f>
        <v>22.75</v>
      </c>
      <c r="BO1278" s="6" t="n">
        <f aca="false">IF(R1278="-","",IFERROR(VALUE(LEFT(R1278,LEN(R1278)-5)),""))</f>
        <v>0</v>
      </c>
      <c r="BP1278" s="6" t="n">
        <f aca="false">IF(R1278="-","",IFERROR(VALUE(F1278),""))</f>
        <v>0</v>
      </c>
      <c r="BQ1278" s="4" t="n">
        <f aca="false">IF(R1278="-",1,0)</f>
        <v>0</v>
      </c>
    </row>
    <row r="1279" customFormat="false" ht="15" hidden="false" customHeight="false" outlineLevel="0" collapsed="false">
      <c r="A1279" s="0" t="s">
        <v>4890</v>
      </c>
      <c r="B1279" s="0" t="s">
        <v>4891</v>
      </c>
      <c r="C1279" s="0" t="s">
        <v>70</v>
      </c>
      <c r="D1279" s="0" t="s">
        <v>4912</v>
      </c>
      <c r="E1279" s="3" t="n">
        <v>46279</v>
      </c>
      <c r="F1279" s="4" t="s">
        <v>2556</v>
      </c>
      <c r="G1279" s="5" t="n">
        <v>0.457060185185185</v>
      </c>
      <c r="H1279" s="5" t="n">
        <v>0.407789351851852</v>
      </c>
      <c r="I1279" s="5" t="n">
        <v>0.000590277777777778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2</v>
      </c>
      <c r="O1279" s="5" t="n">
        <v>0</v>
      </c>
      <c r="P1279" s="5" t="n">
        <v>0.0422800925925926</v>
      </c>
      <c r="Q1279" s="4" t="s">
        <v>4913</v>
      </c>
      <c r="R1279" s="4" t="s">
        <v>454</v>
      </c>
      <c r="S1279" s="5" t="n">
        <v>0</v>
      </c>
      <c r="T1279" s="5" t="n">
        <v>0.161574074074074</v>
      </c>
      <c r="U1279" s="5" t="n">
        <v>0.241319444444444</v>
      </c>
      <c r="V1279" s="5" t="n">
        <v>0.0173611111111111</v>
      </c>
      <c r="W1279" s="5" t="n">
        <v>0</v>
      </c>
      <c r="X1279" s="5" t="n">
        <v>0</v>
      </c>
      <c r="Y1279" s="5" t="n">
        <v>0</v>
      </c>
      <c r="Z1279" s="0" t="n">
        <v>0</v>
      </c>
      <c r="AA1279" s="0" t="n">
        <v>0</v>
      </c>
      <c r="AB1279" s="0" t="n">
        <v>0</v>
      </c>
      <c r="AC1279" s="4" t="s">
        <v>3575</v>
      </c>
      <c r="AD1279" s="4" t="s">
        <v>774</v>
      </c>
      <c r="AE1279" s="4" t="s">
        <v>4900</v>
      </c>
      <c r="AF1279" s="4" t="s">
        <v>4914</v>
      </c>
      <c r="AG1279" s="5" t="n">
        <v>0.358784722222222</v>
      </c>
      <c r="AH1279" s="5" t="n">
        <v>0.186087962962963</v>
      </c>
      <c r="AI1279" s="5" t="n">
        <v>0</v>
      </c>
      <c r="AJ1279" s="5" t="n">
        <v>0</v>
      </c>
      <c r="AK1279" s="5" t="n">
        <v>0</v>
      </c>
      <c r="AL1279" s="5" t="n">
        <v>0</v>
      </c>
      <c r="AM1279" s="4" t="s">
        <v>78</v>
      </c>
      <c r="AN1279" s="0" t="n">
        <v>0</v>
      </c>
      <c r="AO1279" s="0" t="n">
        <v>1</v>
      </c>
      <c r="AP1279" s="0" t="n">
        <v>0</v>
      </c>
      <c r="AQ1279" s="0" t="n">
        <v>0</v>
      </c>
      <c r="AR1279" s="0" t="n">
        <v>5</v>
      </c>
      <c r="AS1279" s="0" t="n">
        <v>0</v>
      </c>
      <c r="AT1279" s="0" t="n">
        <v>0</v>
      </c>
      <c r="AU1279" s="0" t="n">
        <v>1</v>
      </c>
      <c r="AV1279" s="0" t="n">
        <v>0</v>
      </c>
      <c r="AW1279" s="0" t="n">
        <v>0</v>
      </c>
      <c r="AX1279" s="0" t="n">
        <v>0</v>
      </c>
      <c r="AY1279" s="0" t="n">
        <v>0</v>
      </c>
      <c r="AZ1279" s="0" t="n">
        <v>0</v>
      </c>
      <c r="BA1279" s="0" t="n">
        <v>0</v>
      </c>
      <c r="BB1279" s="0" t="n">
        <v>0</v>
      </c>
      <c r="BC1279" s="0" t="n">
        <v>0</v>
      </c>
      <c r="BD1279" s="0" t="n">
        <v>0</v>
      </c>
      <c r="BE1279" s="0" t="n">
        <v>0</v>
      </c>
      <c r="BF1279" s="0" t="n">
        <v>0</v>
      </c>
      <c r="BG1279" s="0" t="n">
        <v>0</v>
      </c>
      <c r="BH1279" s="0" t="n">
        <v>0</v>
      </c>
      <c r="BI1279" s="0" t="n">
        <v>0</v>
      </c>
      <c r="BJ1279" s="0" t="n">
        <v>0</v>
      </c>
      <c r="BK1279" s="0" t="n">
        <v>0</v>
      </c>
      <c r="BM1279" s="6" t="n">
        <f aca="false">IFERROR(VALUE(F1279),"")</f>
        <v>0.24</v>
      </c>
      <c r="BN1279" s="6" t="n">
        <f aca="false">IF(R1279="-","",IFERROR(VALUE(LEFT(Q1279,LEN(Q1279)-2)),""))</f>
        <v>125.33</v>
      </c>
      <c r="BO1279" s="6" t="n">
        <f aca="false">IF(R1279="-","",IFERROR(VALUE(LEFT(R1279,LEN(R1279)-5)),""))</f>
        <v>0</v>
      </c>
      <c r="BP1279" s="6" t="n">
        <f aca="false">IF(R1279="-","",IFERROR(VALUE(F1279),""))</f>
        <v>0.24</v>
      </c>
      <c r="BQ1279" s="4" t="n">
        <f aca="false">IF(R1279="-",1,0)</f>
        <v>0</v>
      </c>
    </row>
    <row r="1280" customFormat="false" ht="15" hidden="false" customHeight="false" outlineLevel="0" collapsed="false">
      <c r="A1280" s="0" t="s">
        <v>4915</v>
      </c>
      <c r="B1280" s="0" t="s">
        <v>4916</v>
      </c>
      <c r="C1280" s="0" t="s">
        <v>70</v>
      </c>
      <c r="E1280" s="3" t="n">
        <v>46273</v>
      </c>
      <c r="F1280" s="4" t="s">
        <v>4917</v>
      </c>
      <c r="G1280" s="5" t="n">
        <v>0.386273148148148</v>
      </c>
      <c r="H1280" s="5" t="n">
        <v>0</v>
      </c>
      <c r="I1280" s="5" t="n">
        <v>0.0019212962962963</v>
      </c>
      <c r="J1280" s="0" t="n">
        <v>0</v>
      </c>
      <c r="K1280" s="0" t="n">
        <v>1</v>
      </c>
      <c r="L1280" s="0" t="n">
        <v>0</v>
      </c>
      <c r="M1280" s="0" t="n">
        <v>0</v>
      </c>
      <c r="N1280" s="0" t="n">
        <v>1</v>
      </c>
      <c r="O1280" s="5" t="n">
        <v>0</v>
      </c>
      <c r="P1280" s="5" t="n">
        <v>0</v>
      </c>
      <c r="Q1280" s="4" t="s">
        <v>4918</v>
      </c>
      <c r="R1280" s="4" t="s">
        <v>369</v>
      </c>
      <c r="S1280" s="5" t="n">
        <v>0.000347222222222222</v>
      </c>
      <c r="T1280" s="5" t="n">
        <v>0.118402777777778</v>
      </c>
      <c r="U1280" s="5" t="n">
        <v>0.142824074074074</v>
      </c>
      <c r="V1280" s="5" t="n">
        <v>0.0789351851851852</v>
      </c>
      <c r="W1280" s="5" t="n">
        <v>0.000231481481481482</v>
      </c>
      <c r="X1280" s="5" t="n">
        <v>0</v>
      </c>
      <c r="Y1280" s="5" t="n">
        <v>0</v>
      </c>
      <c r="Z1280" s="0" t="n">
        <v>0</v>
      </c>
      <c r="AA1280" s="0" t="n">
        <v>0</v>
      </c>
      <c r="AB1280" s="0" t="n">
        <v>0</v>
      </c>
      <c r="AC1280" s="4" t="s">
        <v>1090</v>
      </c>
      <c r="AD1280" s="4" t="s">
        <v>1090</v>
      </c>
      <c r="AE1280" s="4" t="s">
        <v>4919</v>
      </c>
      <c r="AF1280" s="4" t="s">
        <v>4920</v>
      </c>
      <c r="AG1280" s="5" t="n">
        <v>0.292673611111111</v>
      </c>
      <c r="AH1280" s="5" t="n">
        <v>0.189224537037037</v>
      </c>
      <c r="AI1280" s="5" t="n">
        <v>0</v>
      </c>
      <c r="AJ1280" s="5" t="n">
        <v>0</v>
      </c>
      <c r="AK1280" s="5" t="n">
        <v>0</v>
      </c>
      <c r="AL1280" s="5" t="n">
        <v>0</v>
      </c>
      <c r="AM1280" s="4" t="s">
        <v>78</v>
      </c>
      <c r="AN1280" s="0" t="n">
        <v>0</v>
      </c>
      <c r="AO1280" s="0" t="n">
        <v>0</v>
      </c>
      <c r="AP1280" s="0" t="n">
        <v>0</v>
      </c>
      <c r="AQ1280" s="0" t="n">
        <v>0</v>
      </c>
      <c r="AR1280" s="0" t="n">
        <v>0</v>
      </c>
      <c r="AS1280" s="0" t="n">
        <v>0</v>
      </c>
      <c r="AT1280" s="0" t="n">
        <v>0</v>
      </c>
      <c r="AU1280" s="0" t="n">
        <v>0</v>
      </c>
      <c r="AV1280" s="0" t="n">
        <v>0</v>
      </c>
      <c r="AW1280" s="0" t="n">
        <v>0</v>
      </c>
      <c r="AX1280" s="0" t="n">
        <v>0</v>
      </c>
      <c r="AY1280" s="0" t="n">
        <v>0</v>
      </c>
      <c r="AZ1280" s="0" t="n">
        <v>0</v>
      </c>
      <c r="BA1280" s="0" t="n">
        <v>0</v>
      </c>
      <c r="BB1280" s="0" t="n">
        <v>0</v>
      </c>
      <c r="BC1280" s="0" t="n">
        <v>0</v>
      </c>
      <c r="BD1280" s="0" t="n">
        <v>0</v>
      </c>
      <c r="BE1280" s="0" t="n">
        <v>0</v>
      </c>
      <c r="BF1280" s="0" t="n">
        <v>0</v>
      </c>
      <c r="BG1280" s="0" t="n">
        <v>0</v>
      </c>
      <c r="BH1280" s="0" t="n">
        <v>0</v>
      </c>
      <c r="BI1280" s="0" t="n">
        <v>0</v>
      </c>
      <c r="BJ1280" s="0" t="n">
        <v>0</v>
      </c>
      <c r="BK1280" s="0" t="n">
        <v>0</v>
      </c>
      <c r="BM1280" s="6" t="n">
        <f aca="false">IFERROR(VALUE(F1280),"")</f>
        <v>204.06</v>
      </c>
      <c r="BN1280" s="6" t="n">
        <f aca="false">IF(R1280="-","",IFERROR(VALUE(LEFT(Q1280,LEN(Q1280)-2)),""))</f>
        <v>65.99</v>
      </c>
      <c r="BO1280" s="6" t="n">
        <f aca="false">IF(R1280="-","",IFERROR(VALUE(LEFT(R1280,LEN(R1280)-5)),""))</f>
        <v>3.09</v>
      </c>
      <c r="BP1280" s="6" t="n">
        <f aca="false">IF(R1280="-","",IFERROR(VALUE(F1280),""))</f>
        <v>204.06</v>
      </c>
      <c r="BQ1280" s="4" t="n">
        <f aca="false">IF(R1280="-",1,0)</f>
        <v>0</v>
      </c>
    </row>
    <row r="1281" customFormat="false" ht="15" hidden="false" customHeight="false" outlineLevel="0" collapsed="false">
      <c r="A1281" s="0" t="s">
        <v>4915</v>
      </c>
      <c r="B1281" s="0" t="s">
        <v>4916</v>
      </c>
      <c r="C1281" s="0" t="s">
        <v>70</v>
      </c>
      <c r="E1281" s="3" t="n">
        <v>46274</v>
      </c>
      <c r="F1281" s="4" t="s">
        <v>4921</v>
      </c>
      <c r="G1281" s="5" t="n">
        <v>0.157650462962963</v>
      </c>
      <c r="H1281" s="5" t="n">
        <v>0</v>
      </c>
      <c r="I1281" s="5" t="n">
        <v>0.000266203703703704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1</v>
      </c>
      <c r="O1281" s="5" t="n">
        <v>0</v>
      </c>
      <c r="P1281" s="5" t="n">
        <v>0</v>
      </c>
      <c r="Q1281" s="4" t="s">
        <v>4922</v>
      </c>
      <c r="R1281" s="4" t="s">
        <v>1341</v>
      </c>
      <c r="S1281" s="5" t="n">
        <v>0.000347222222222222</v>
      </c>
      <c r="T1281" s="5" t="n">
        <v>0.0540509259259259</v>
      </c>
      <c r="U1281" s="5" t="n">
        <v>0.0591435185185185</v>
      </c>
      <c r="V1281" s="5" t="n">
        <v>0.0251157407407407</v>
      </c>
      <c r="W1281" s="5" t="n">
        <v>0</v>
      </c>
      <c r="X1281" s="5" t="n">
        <v>0</v>
      </c>
      <c r="Y1281" s="5" t="n">
        <v>0</v>
      </c>
      <c r="Z1281" s="0" t="n">
        <v>0</v>
      </c>
      <c r="AA1281" s="0" t="n">
        <v>0</v>
      </c>
      <c r="AB1281" s="0" t="n">
        <v>0</v>
      </c>
      <c r="AC1281" s="4" t="s">
        <v>1090</v>
      </c>
      <c r="AD1281" s="4" t="s">
        <v>208</v>
      </c>
      <c r="AE1281" s="4" t="s">
        <v>4923</v>
      </c>
      <c r="AF1281" s="4" t="s">
        <v>4924</v>
      </c>
      <c r="AG1281" s="5" t="n">
        <v>0.116585648148148</v>
      </c>
      <c r="AH1281" s="5" t="n">
        <v>0.216689814814815</v>
      </c>
      <c r="AI1281" s="5" t="n">
        <v>0</v>
      </c>
      <c r="AJ1281" s="5" t="n">
        <v>0</v>
      </c>
      <c r="AK1281" s="5" t="n">
        <v>0</v>
      </c>
      <c r="AL1281" s="5" t="n">
        <v>0</v>
      </c>
      <c r="AM1281" s="4" t="s">
        <v>78</v>
      </c>
      <c r="AN1281" s="0" t="n">
        <v>0</v>
      </c>
      <c r="AO1281" s="0" t="n">
        <v>0</v>
      </c>
      <c r="AP1281" s="0" t="n">
        <v>0</v>
      </c>
      <c r="AQ1281" s="0" t="n">
        <v>0</v>
      </c>
      <c r="AR1281" s="0" t="n">
        <v>0</v>
      </c>
      <c r="AS1281" s="0" t="n">
        <v>0</v>
      </c>
      <c r="AT1281" s="0" t="n">
        <v>0</v>
      </c>
      <c r="AU1281" s="0" t="n">
        <v>0</v>
      </c>
      <c r="AV1281" s="0" t="n">
        <v>0</v>
      </c>
      <c r="AW1281" s="0" t="n">
        <v>0</v>
      </c>
      <c r="AX1281" s="0" t="n">
        <v>0</v>
      </c>
      <c r="AY1281" s="0" t="n">
        <v>0</v>
      </c>
      <c r="AZ1281" s="0" t="n">
        <v>0</v>
      </c>
      <c r="BA1281" s="0" t="n">
        <v>0</v>
      </c>
      <c r="BB1281" s="0" t="n">
        <v>0</v>
      </c>
      <c r="BC1281" s="0" t="n">
        <v>0</v>
      </c>
      <c r="BD1281" s="0" t="n">
        <v>0</v>
      </c>
      <c r="BE1281" s="0" t="n">
        <v>0</v>
      </c>
      <c r="BF1281" s="0" t="n">
        <v>0</v>
      </c>
      <c r="BG1281" s="0" t="n">
        <v>0</v>
      </c>
      <c r="BH1281" s="0" t="n">
        <v>0</v>
      </c>
      <c r="BI1281" s="0" t="n">
        <v>0</v>
      </c>
      <c r="BJ1281" s="0" t="n">
        <v>0</v>
      </c>
      <c r="BK1281" s="0" t="n">
        <v>0</v>
      </c>
      <c r="BM1281" s="6" t="n">
        <f aca="false">IFERROR(VALUE(F1281),"")</f>
        <v>69.98</v>
      </c>
      <c r="BN1281" s="6" t="n">
        <f aca="false">IF(R1281="-","",IFERROR(VALUE(LEFT(Q1281,LEN(Q1281)-2)),""))</f>
        <v>23.34</v>
      </c>
      <c r="BO1281" s="6" t="n">
        <f aca="false">IF(R1281="-","",IFERROR(VALUE(LEFT(R1281,LEN(R1281)-5)),""))</f>
        <v>3</v>
      </c>
      <c r="BP1281" s="6" t="n">
        <f aca="false">IF(R1281="-","",IFERROR(VALUE(F1281),""))</f>
        <v>69.98</v>
      </c>
      <c r="BQ1281" s="4" t="n">
        <f aca="false">IF(R1281="-",1,0)</f>
        <v>0</v>
      </c>
    </row>
    <row r="1282" customFormat="false" ht="15" hidden="false" customHeight="false" outlineLevel="0" collapsed="false">
      <c r="A1282" s="0" t="s">
        <v>4915</v>
      </c>
      <c r="B1282" s="0" t="s">
        <v>4916</v>
      </c>
      <c r="C1282" s="0" t="s">
        <v>70</v>
      </c>
      <c r="E1282" s="3" t="n">
        <v>46275</v>
      </c>
      <c r="F1282" s="4" t="s">
        <v>4925</v>
      </c>
      <c r="G1282" s="5" t="n">
        <v>0.265810185185185</v>
      </c>
      <c r="H1282" s="5" t="n">
        <v>0</v>
      </c>
      <c r="I1282" s="5" t="n">
        <v>0.000381944444444445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1</v>
      </c>
      <c r="O1282" s="5" t="n">
        <v>0</v>
      </c>
      <c r="P1282" s="5" t="n">
        <v>0.0075</v>
      </c>
      <c r="Q1282" s="4" t="s">
        <v>4926</v>
      </c>
      <c r="R1282" s="4" t="s">
        <v>1400</v>
      </c>
      <c r="S1282" s="5" t="n">
        <v>0.000231481481481482</v>
      </c>
      <c r="T1282" s="5" t="n">
        <v>0.0766203703703704</v>
      </c>
      <c r="U1282" s="5" t="n">
        <v>0.0982638888888889</v>
      </c>
      <c r="V1282" s="5" t="n">
        <v>0.043287037037037</v>
      </c>
      <c r="W1282" s="5" t="n">
        <v>0.000115740740740741</v>
      </c>
      <c r="X1282" s="5" t="n">
        <v>0</v>
      </c>
      <c r="Y1282" s="5" t="n">
        <v>0</v>
      </c>
      <c r="Z1282" s="0" t="n">
        <v>0</v>
      </c>
      <c r="AA1282" s="0" t="n">
        <v>0</v>
      </c>
      <c r="AB1282" s="0" t="n">
        <v>0</v>
      </c>
      <c r="AC1282" s="4" t="s">
        <v>208</v>
      </c>
      <c r="AD1282" s="4" t="s">
        <v>208</v>
      </c>
      <c r="AE1282" s="4" t="s">
        <v>4924</v>
      </c>
      <c r="AF1282" s="4" t="s">
        <v>4927</v>
      </c>
      <c r="AG1282" s="5" t="n">
        <v>0.185694444444444</v>
      </c>
      <c r="AH1282" s="5" t="n">
        <v>0.18375</v>
      </c>
      <c r="AI1282" s="5" t="n">
        <v>0</v>
      </c>
      <c r="AJ1282" s="5" t="n">
        <v>0</v>
      </c>
      <c r="AK1282" s="5" t="n">
        <v>0</v>
      </c>
      <c r="AL1282" s="5" t="n">
        <v>0</v>
      </c>
      <c r="AM1282" s="4" t="s">
        <v>78</v>
      </c>
      <c r="AN1282" s="0" t="n">
        <v>0</v>
      </c>
      <c r="AO1282" s="0" t="n">
        <v>0</v>
      </c>
      <c r="AP1282" s="0" t="n">
        <v>0</v>
      </c>
      <c r="AQ1282" s="0" t="n">
        <v>0</v>
      </c>
      <c r="AR1282" s="0" t="n">
        <v>0</v>
      </c>
      <c r="AS1282" s="0" t="n">
        <v>0</v>
      </c>
      <c r="AT1282" s="0" t="n">
        <v>0</v>
      </c>
      <c r="AU1282" s="0" t="n">
        <v>0</v>
      </c>
      <c r="AV1282" s="0" t="n">
        <v>0</v>
      </c>
      <c r="AW1282" s="0" t="n">
        <v>0</v>
      </c>
      <c r="AX1282" s="0" t="n">
        <v>0</v>
      </c>
      <c r="AY1282" s="0" t="n">
        <v>0</v>
      </c>
      <c r="AZ1282" s="0" t="n">
        <v>0</v>
      </c>
      <c r="BA1282" s="0" t="n">
        <v>0</v>
      </c>
      <c r="BB1282" s="0" t="n">
        <v>0</v>
      </c>
      <c r="BC1282" s="0" t="n">
        <v>0</v>
      </c>
      <c r="BD1282" s="0" t="n">
        <v>0</v>
      </c>
      <c r="BE1282" s="0" t="n">
        <v>0</v>
      </c>
      <c r="BF1282" s="0" t="n">
        <v>0</v>
      </c>
      <c r="BG1282" s="0" t="n">
        <v>0</v>
      </c>
      <c r="BH1282" s="0" t="n">
        <v>0</v>
      </c>
      <c r="BI1282" s="0" t="n">
        <v>0</v>
      </c>
      <c r="BJ1282" s="0" t="n">
        <v>0</v>
      </c>
      <c r="BK1282" s="0" t="n">
        <v>0</v>
      </c>
      <c r="BM1282" s="6" t="n">
        <f aca="false">IFERROR(VALUE(F1282),"")</f>
        <v>121.99</v>
      </c>
      <c r="BN1282" s="6" t="n">
        <f aca="false">IF(R1282="-","",IFERROR(VALUE(LEFT(Q1282,LEN(Q1282)-2)),""))</f>
        <v>38.61</v>
      </c>
      <c r="BO1282" s="6" t="n">
        <f aca="false">IF(R1282="-","",IFERROR(VALUE(LEFT(R1282,LEN(R1282)-5)),""))</f>
        <v>3.16</v>
      </c>
      <c r="BP1282" s="6" t="n">
        <f aca="false">IF(R1282="-","",IFERROR(VALUE(F1282),""))</f>
        <v>121.99</v>
      </c>
      <c r="BQ1282" s="4" t="n">
        <f aca="false">IF(R1282="-",1,0)</f>
        <v>0</v>
      </c>
    </row>
    <row r="1283" customFormat="false" ht="15" hidden="false" customHeight="false" outlineLevel="0" collapsed="false">
      <c r="A1283" s="0" t="s">
        <v>4915</v>
      </c>
      <c r="B1283" s="0" t="s">
        <v>4916</v>
      </c>
      <c r="C1283" s="0" t="s">
        <v>70</v>
      </c>
      <c r="E1283" s="3" t="n">
        <v>46276</v>
      </c>
      <c r="F1283" s="4" t="s">
        <v>4928</v>
      </c>
      <c r="G1283" s="5" t="n">
        <v>0.381157407407407</v>
      </c>
      <c r="H1283" s="5" t="n">
        <v>0</v>
      </c>
      <c r="I1283" s="5" t="n">
        <v>0.00744212962962963</v>
      </c>
      <c r="J1283" s="0" t="n">
        <v>0</v>
      </c>
      <c r="K1283" s="0" t="n">
        <v>1</v>
      </c>
      <c r="L1283" s="0" t="n">
        <v>0</v>
      </c>
      <c r="M1283" s="0" t="n">
        <v>0</v>
      </c>
      <c r="N1283" s="0" t="n">
        <v>5</v>
      </c>
      <c r="O1283" s="5" t="n">
        <v>0</v>
      </c>
      <c r="P1283" s="5" t="n">
        <v>0</v>
      </c>
      <c r="Q1283" s="4" t="s">
        <v>4929</v>
      </c>
      <c r="R1283" s="4" t="s">
        <v>2964</v>
      </c>
      <c r="S1283" s="5" t="n">
        <v>0.000347222222222222</v>
      </c>
      <c r="T1283" s="5" t="n">
        <v>0.0857638888888889</v>
      </c>
      <c r="U1283" s="5" t="n">
        <v>0.132986111111111</v>
      </c>
      <c r="V1283" s="5" t="n">
        <v>0.0763888888888889</v>
      </c>
      <c r="W1283" s="5" t="n">
        <v>0</v>
      </c>
      <c r="X1283" s="5" t="n">
        <v>0</v>
      </c>
      <c r="Y1283" s="5" t="n">
        <v>0</v>
      </c>
      <c r="Z1283" s="0" t="n">
        <v>0</v>
      </c>
      <c r="AA1283" s="0" t="n">
        <v>0</v>
      </c>
      <c r="AB1283" s="0" t="n">
        <v>0</v>
      </c>
      <c r="AC1283" s="4" t="s">
        <v>208</v>
      </c>
      <c r="AD1283" s="4" t="s">
        <v>1090</v>
      </c>
      <c r="AE1283" s="4" t="s">
        <v>4927</v>
      </c>
      <c r="AF1283" s="4" t="s">
        <v>4930</v>
      </c>
      <c r="AG1283" s="5" t="n">
        <v>0.276851851851852</v>
      </c>
      <c r="AH1283" s="5" t="n">
        <v>0.146898148148148</v>
      </c>
      <c r="AI1283" s="5" t="n">
        <v>0</v>
      </c>
      <c r="AJ1283" s="5" t="n">
        <v>0</v>
      </c>
      <c r="AK1283" s="5" t="n">
        <v>0</v>
      </c>
      <c r="AL1283" s="5" t="n">
        <v>0</v>
      </c>
      <c r="AM1283" s="4" t="s">
        <v>78</v>
      </c>
      <c r="AN1283" s="0" t="n">
        <v>0</v>
      </c>
      <c r="AO1283" s="0" t="n">
        <v>0</v>
      </c>
      <c r="AP1283" s="0" t="n">
        <v>0</v>
      </c>
      <c r="AQ1283" s="0" t="n">
        <v>0</v>
      </c>
      <c r="AR1283" s="0" t="n">
        <v>0</v>
      </c>
      <c r="AS1283" s="0" t="n">
        <v>0</v>
      </c>
      <c r="AT1283" s="0" t="n">
        <v>0</v>
      </c>
      <c r="AU1283" s="0" t="n">
        <v>0</v>
      </c>
      <c r="AV1283" s="0" t="n">
        <v>0</v>
      </c>
      <c r="AW1283" s="0" t="n">
        <v>0</v>
      </c>
      <c r="AX1283" s="0" t="n">
        <v>0</v>
      </c>
      <c r="AY1283" s="0" t="n">
        <v>0</v>
      </c>
      <c r="AZ1283" s="0" t="n">
        <v>0</v>
      </c>
      <c r="BA1283" s="0" t="n">
        <v>0</v>
      </c>
      <c r="BB1283" s="0" t="n">
        <v>0</v>
      </c>
      <c r="BC1283" s="0" t="n">
        <v>0</v>
      </c>
      <c r="BD1283" s="0" t="n">
        <v>0</v>
      </c>
      <c r="BE1283" s="0" t="n">
        <v>0</v>
      </c>
      <c r="BF1283" s="0" t="n">
        <v>0</v>
      </c>
      <c r="BG1283" s="0" t="n">
        <v>0</v>
      </c>
      <c r="BH1283" s="0" t="n">
        <v>0</v>
      </c>
      <c r="BI1283" s="0" t="n">
        <v>0</v>
      </c>
      <c r="BJ1283" s="0" t="n">
        <v>0</v>
      </c>
      <c r="BK1283" s="0" t="n">
        <v>0</v>
      </c>
      <c r="BM1283" s="6" t="n">
        <f aca="false">IFERROR(VALUE(F1283),"")</f>
        <v>216.48</v>
      </c>
      <c r="BN1283" s="6" t="n">
        <f aca="false">IF(R1283="-","",IFERROR(VALUE(LEFT(Q1283,LEN(Q1283)-2)),""))</f>
        <v>67.25</v>
      </c>
      <c r="BO1283" s="6" t="n">
        <f aca="false">IF(R1283="-","",IFERROR(VALUE(LEFT(R1283,LEN(R1283)-5)),""))</f>
        <v>3.22</v>
      </c>
      <c r="BP1283" s="6" t="n">
        <f aca="false">IF(R1283="-","",IFERROR(VALUE(F1283),""))</f>
        <v>216.48</v>
      </c>
      <c r="BQ1283" s="4" t="n">
        <f aca="false">IF(R1283="-",1,0)</f>
        <v>0</v>
      </c>
    </row>
    <row r="1284" customFormat="false" ht="15" hidden="false" customHeight="false" outlineLevel="0" collapsed="false">
      <c r="A1284" s="0" t="s">
        <v>4915</v>
      </c>
      <c r="B1284" s="0" t="s">
        <v>4916</v>
      </c>
      <c r="C1284" s="0" t="s">
        <v>70</v>
      </c>
      <c r="E1284" s="3" t="n">
        <v>46277</v>
      </c>
      <c r="F1284" s="4" t="s">
        <v>4931</v>
      </c>
      <c r="G1284" s="5" t="n">
        <v>0.335740740740741</v>
      </c>
      <c r="H1284" s="5" t="n">
        <v>0</v>
      </c>
      <c r="I1284" s="5" t="n">
        <v>0.000381944444444445</v>
      </c>
      <c r="J1284" s="0" t="n">
        <v>0</v>
      </c>
      <c r="K1284" s="0" t="n">
        <v>1</v>
      </c>
      <c r="L1284" s="0" t="n">
        <v>0</v>
      </c>
      <c r="M1284" s="0" t="n">
        <v>0</v>
      </c>
      <c r="N1284" s="0" t="n">
        <v>1</v>
      </c>
      <c r="O1284" s="5" t="n">
        <v>0</v>
      </c>
      <c r="P1284" s="5" t="n">
        <v>0</v>
      </c>
      <c r="Q1284" s="4" t="s">
        <v>4932</v>
      </c>
      <c r="R1284" s="4" t="s">
        <v>340</v>
      </c>
      <c r="S1284" s="5" t="n">
        <v>0.000231481481481482</v>
      </c>
      <c r="T1284" s="5" t="n">
        <v>0.1</v>
      </c>
      <c r="U1284" s="5" t="n">
        <v>0.115972222222222</v>
      </c>
      <c r="V1284" s="5" t="n">
        <v>0.0876157407407407</v>
      </c>
      <c r="W1284" s="5" t="n">
        <v>0</v>
      </c>
      <c r="X1284" s="5" t="n">
        <v>0</v>
      </c>
      <c r="Y1284" s="5" t="n">
        <v>0</v>
      </c>
      <c r="Z1284" s="0" t="n">
        <v>0</v>
      </c>
      <c r="AA1284" s="0" t="n">
        <v>0</v>
      </c>
      <c r="AB1284" s="0" t="n">
        <v>0</v>
      </c>
      <c r="AC1284" s="4" t="s">
        <v>1090</v>
      </c>
      <c r="AD1284" s="4" t="s">
        <v>1090</v>
      </c>
      <c r="AE1284" s="4" t="s">
        <v>4933</v>
      </c>
      <c r="AF1284" s="4" t="s">
        <v>4934</v>
      </c>
      <c r="AG1284" s="5" t="n">
        <v>0.259768518518519</v>
      </c>
      <c r="AH1284" s="5" t="n">
        <v>0.171018518518519</v>
      </c>
      <c r="AI1284" s="5" t="n">
        <v>0</v>
      </c>
      <c r="AJ1284" s="5" t="n">
        <v>0</v>
      </c>
      <c r="AK1284" s="5" t="n">
        <v>0</v>
      </c>
      <c r="AL1284" s="5" t="n">
        <v>0</v>
      </c>
      <c r="AM1284" s="4" t="s">
        <v>78</v>
      </c>
      <c r="AN1284" s="0" t="n">
        <v>0</v>
      </c>
      <c r="AO1284" s="0" t="n">
        <v>0</v>
      </c>
      <c r="AP1284" s="0" t="n">
        <v>0</v>
      </c>
      <c r="AQ1284" s="0" t="n">
        <v>0</v>
      </c>
      <c r="AR1284" s="0" t="n">
        <v>0</v>
      </c>
      <c r="AS1284" s="0" t="n">
        <v>0</v>
      </c>
      <c r="AT1284" s="0" t="n">
        <v>0</v>
      </c>
      <c r="AU1284" s="0" t="n">
        <v>0</v>
      </c>
      <c r="AV1284" s="0" t="n">
        <v>0</v>
      </c>
      <c r="AW1284" s="0" t="n">
        <v>0</v>
      </c>
      <c r="AX1284" s="0" t="n">
        <v>0</v>
      </c>
      <c r="AY1284" s="0" t="n">
        <v>0</v>
      </c>
      <c r="AZ1284" s="0" t="n">
        <v>0</v>
      </c>
      <c r="BA1284" s="0" t="n">
        <v>0</v>
      </c>
      <c r="BB1284" s="0" t="n">
        <v>0</v>
      </c>
      <c r="BC1284" s="0" t="n">
        <v>0</v>
      </c>
      <c r="BD1284" s="0" t="n">
        <v>0</v>
      </c>
      <c r="BE1284" s="0" t="n">
        <v>0</v>
      </c>
      <c r="BF1284" s="0" t="n">
        <v>0</v>
      </c>
      <c r="BG1284" s="0" t="n">
        <v>0</v>
      </c>
      <c r="BH1284" s="0" t="n">
        <v>0</v>
      </c>
      <c r="BI1284" s="0" t="n">
        <v>0</v>
      </c>
      <c r="BJ1284" s="0" t="n">
        <v>0</v>
      </c>
      <c r="BK1284" s="0" t="n">
        <v>0</v>
      </c>
      <c r="BM1284" s="6" t="n">
        <f aca="false">IFERROR(VALUE(F1284),"")</f>
        <v>198.53</v>
      </c>
      <c r="BN1284" s="6" t="n">
        <f aca="false">IF(R1284="-","",IFERROR(VALUE(LEFT(Q1284,LEN(Q1284)-2)),""))</f>
        <v>68.92</v>
      </c>
      <c r="BO1284" s="6" t="n">
        <f aca="false">IF(R1284="-","",IFERROR(VALUE(LEFT(R1284,LEN(R1284)-5)),""))</f>
        <v>2.88</v>
      </c>
      <c r="BP1284" s="6" t="n">
        <f aca="false">IF(R1284="-","",IFERROR(VALUE(F1284),""))</f>
        <v>198.53</v>
      </c>
      <c r="BQ1284" s="4" t="n">
        <f aca="false">IF(R1284="-",1,0)</f>
        <v>0</v>
      </c>
    </row>
    <row r="1285" customFormat="false" ht="15" hidden="false" customHeight="false" outlineLevel="0" collapsed="false">
      <c r="A1285" s="0" t="s">
        <v>4915</v>
      </c>
      <c r="B1285" s="0" t="s">
        <v>4916</v>
      </c>
      <c r="C1285" s="0" t="s">
        <v>70</v>
      </c>
      <c r="E1285" s="3" t="n">
        <v>46278</v>
      </c>
      <c r="F1285" s="4" t="s">
        <v>4935</v>
      </c>
      <c r="G1285" s="5" t="n">
        <v>0.307430555555556</v>
      </c>
      <c r="H1285" s="5" t="n">
        <v>0</v>
      </c>
      <c r="I1285" s="5" t="n">
        <v>0.00375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1</v>
      </c>
      <c r="O1285" s="5" t="n">
        <v>0</v>
      </c>
      <c r="P1285" s="5" t="n">
        <v>0.0143171296296296</v>
      </c>
      <c r="Q1285" s="4" t="s">
        <v>4936</v>
      </c>
      <c r="R1285" s="4" t="s">
        <v>395</v>
      </c>
      <c r="S1285" s="5" t="n">
        <v>0.000347222222222222</v>
      </c>
      <c r="T1285" s="5" t="n">
        <v>0.0831018518518519</v>
      </c>
      <c r="U1285" s="5" t="n">
        <v>0.130439814814815</v>
      </c>
      <c r="V1285" s="5" t="n">
        <v>0.0746527777777778</v>
      </c>
      <c r="W1285" s="5" t="n">
        <v>0</v>
      </c>
      <c r="X1285" s="5" t="n">
        <v>0</v>
      </c>
      <c r="Y1285" s="5" t="n">
        <v>0</v>
      </c>
      <c r="Z1285" s="0" t="n">
        <v>0</v>
      </c>
      <c r="AA1285" s="0" t="n">
        <v>0</v>
      </c>
      <c r="AB1285" s="0" t="n">
        <v>0</v>
      </c>
      <c r="AC1285" s="4" t="s">
        <v>1090</v>
      </c>
      <c r="AD1285" s="4" t="s">
        <v>1090</v>
      </c>
      <c r="AE1285" s="4" t="s">
        <v>4937</v>
      </c>
      <c r="AF1285" s="4" t="s">
        <v>4938</v>
      </c>
      <c r="AG1285" s="5" t="n">
        <v>0.263090277777778</v>
      </c>
      <c r="AH1285" s="5" t="n">
        <v>0.17193287037037</v>
      </c>
      <c r="AI1285" s="5" t="n">
        <v>0</v>
      </c>
      <c r="AJ1285" s="5" t="n">
        <v>0</v>
      </c>
      <c r="AK1285" s="5" t="n">
        <v>0</v>
      </c>
      <c r="AL1285" s="5" t="n">
        <v>0</v>
      </c>
      <c r="AM1285" s="4" t="s">
        <v>78</v>
      </c>
      <c r="AN1285" s="0" t="n">
        <v>0</v>
      </c>
      <c r="AO1285" s="0" t="n">
        <v>0</v>
      </c>
      <c r="AP1285" s="0" t="n">
        <v>0</v>
      </c>
      <c r="AQ1285" s="0" t="n">
        <v>0</v>
      </c>
      <c r="AR1285" s="0" t="n">
        <v>0</v>
      </c>
      <c r="AS1285" s="0" t="n">
        <v>0</v>
      </c>
      <c r="AT1285" s="0" t="n">
        <v>0</v>
      </c>
      <c r="AU1285" s="0" t="n">
        <v>0</v>
      </c>
      <c r="AV1285" s="0" t="n">
        <v>0</v>
      </c>
      <c r="AW1285" s="0" t="n">
        <v>0</v>
      </c>
      <c r="AX1285" s="0" t="n">
        <v>0</v>
      </c>
      <c r="AY1285" s="0" t="n">
        <v>0</v>
      </c>
      <c r="AZ1285" s="0" t="n">
        <v>0</v>
      </c>
      <c r="BA1285" s="0" t="n">
        <v>0</v>
      </c>
      <c r="BB1285" s="0" t="n">
        <v>0</v>
      </c>
      <c r="BC1285" s="0" t="n">
        <v>0</v>
      </c>
      <c r="BD1285" s="0" t="n">
        <v>0</v>
      </c>
      <c r="BE1285" s="0" t="n">
        <v>0</v>
      </c>
      <c r="BF1285" s="0" t="n">
        <v>0</v>
      </c>
      <c r="BG1285" s="0" t="n">
        <v>0</v>
      </c>
      <c r="BH1285" s="0" t="n">
        <v>0</v>
      </c>
      <c r="BI1285" s="0" t="n">
        <v>0</v>
      </c>
      <c r="BJ1285" s="0" t="n">
        <v>0</v>
      </c>
      <c r="BK1285" s="0" t="n">
        <v>0</v>
      </c>
      <c r="BM1285" s="6" t="n">
        <f aca="false">IFERROR(VALUE(F1285),"")</f>
        <v>201.3</v>
      </c>
      <c r="BN1285" s="6" t="n">
        <f aca="false">IF(R1285="-","",IFERROR(VALUE(LEFT(Q1285,LEN(Q1285)-2)),""))</f>
        <v>68.46</v>
      </c>
      <c r="BO1285" s="6" t="n">
        <f aca="false">IF(R1285="-","",IFERROR(VALUE(LEFT(R1285,LEN(R1285)-5)),""))</f>
        <v>2.94</v>
      </c>
      <c r="BP1285" s="6" t="n">
        <f aca="false">IF(R1285="-","",IFERROR(VALUE(F1285),""))</f>
        <v>201.3</v>
      </c>
      <c r="BQ1285" s="4" t="n">
        <f aca="false">IF(R1285="-",1,0)</f>
        <v>0</v>
      </c>
    </row>
    <row r="1286" customFormat="false" ht="15" hidden="false" customHeight="false" outlineLevel="0" collapsed="false">
      <c r="A1286" s="0" t="s">
        <v>4915</v>
      </c>
      <c r="B1286" s="0" t="s">
        <v>4916</v>
      </c>
      <c r="C1286" s="0" t="s">
        <v>70</v>
      </c>
      <c r="E1286" s="3" t="n">
        <v>46279</v>
      </c>
      <c r="F1286" s="4" t="s">
        <v>4939</v>
      </c>
      <c r="G1286" s="5" t="n">
        <v>0.362025462962963</v>
      </c>
      <c r="H1286" s="5" t="n">
        <v>0</v>
      </c>
      <c r="I1286" s="5" t="n">
        <v>0.00200231481481482</v>
      </c>
      <c r="J1286" s="0" t="n">
        <v>0</v>
      </c>
      <c r="K1286" s="0" t="n">
        <v>1</v>
      </c>
      <c r="L1286" s="0" t="n">
        <v>0</v>
      </c>
      <c r="M1286" s="0" t="n">
        <v>0</v>
      </c>
      <c r="N1286" s="0" t="n">
        <v>0</v>
      </c>
      <c r="O1286" s="5" t="n">
        <v>0</v>
      </c>
      <c r="P1286" s="5" t="n">
        <v>0</v>
      </c>
      <c r="Q1286" s="4" t="s">
        <v>4940</v>
      </c>
      <c r="R1286" s="4" t="s">
        <v>492</v>
      </c>
      <c r="S1286" s="5" t="n">
        <v>0.000115740740740741</v>
      </c>
      <c r="T1286" s="5" t="n">
        <v>0.115740740740741</v>
      </c>
      <c r="U1286" s="5" t="n">
        <v>0.13587962962963</v>
      </c>
      <c r="V1286" s="5" t="n">
        <v>0.0825231481481482</v>
      </c>
      <c r="W1286" s="5" t="n">
        <v>0</v>
      </c>
      <c r="X1286" s="5" t="n">
        <v>0</v>
      </c>
      <c r="Y1286" s="5" t="n">
        <v>0</v>
      </c>
      <c r="Z1286" s="0" t="n">
        <v>0</v>
      </c>
      <c r="AA1286" s="0" t="n">
        <v>0</v>
      </c>
      <c r="AB1286" s="0" t="n">
        <v>0</v>
      </c>
      <c r="AC1286" s="4" t="s">
        <v>1090</v>
      </c>
      <c r="AD1286" s="4" t="s">
        <v>1090</v>
      </c>
      <c r="AE1286" s="4" t="s">
        <v>4941</v>
      </c>
      <c r="AF1286" s="4" t="s">
        <v>4942</v>
      </c>
      <c r="AG1286" s="5" t="n">
        <v>0.291493055555556</v>
      </c>
      <c r="AH1286" s="5" t="n">
        <v>0.14787037037037</v>
      </c>
      <c r="AI1286" s="5" t="n">
        <v>0</v>
      </c>
      <c r="AJ1286" s="5" t="n">
        <v>0</v>
      </c>
      <c r="AK1286" s="5" t="n">
        <v>0</v>
      </c>
      <c r="AL1286" s="5" t="n">
        <v>0</v>
      </c>
      <c r="AM1286" s="4" t="s">
        <v>78</v>
      </c>
      <c r="AN1286" s="0" t="n">
        <v>0</v>
      </c>
      <c r="AO1286" s="0" t="n">
        <v>0</v>
      </c>
      <c r="AP1286" s="0" t="n">
        <v>0</v>
      </c>
      <c r="AQ1286" s="0" t="n">
        <v>0</v>
      </c>
      <c r="AR1286" s="0" t="n">
        <v>0</v>
      </c>
      <c r="AS1286" s="0" t="n">
        <v>0</v>
      </c>
      <c r="AT1286" s="0" t="n">
        <v>0</v>
      </c>
      <c r="AU1286" s="0" t="n">
        <v>0</v>
      </c>
      <c r="AV1286" s="0" t="n">
        <v>0</v>
      </c>
      <c r="AW1286" s="0" t="n">
        <v>0</v>
      </c>
      <c r="AX1286" s="0" t="n">
        <v>0</v>
      </c>
      <c r="AY1286" s="0" t="n">
        <v>0</v>
      </c>
      <c r="AZ1286" s="0" t="n">
        <v>0</v>
      </c>
      <c r="BA1286" s="0" t="n">
        <v>0</v>
      </c>
      <c r="BB1286" s="0" t="n">
        <v>0</v>
      </c>
      <c r="BC1286" s="0" t="n">
        <v>0</v>
      </c>
      <c r="BD1286" s="0" t="n">
        <v>0</v>
      </c>
      <c r="BE1286" s="0" t="n">
        <v>0</v>
      </c>
      <c r="BF1286" s="0" t="n">
        <v>0</v>
      </c>
      <c r="BG1286" s="0" t="n">
        <v>0</v>
      </c>
      <c r="BH1286" s="0" t="n">
        <v>0</v>
      </c>
      <c r="BI1286" s="0" t="n">
        <v>0</v>
      </c>
      <c r="BJ1286" s="0" t="n">
        <v>0</v>
      </c>
      <c r="BK1286" s="0" t="n">
        <v>0</v>
      </c>
      <c r="BM1286" s="6" t="n">
        <f aca="false">IFERROR(VALUE(F1286),"")</f>
        <v>190.33</v>
      </c>
      <c r="BN1286" s="6" t="n">
        <f aca="false">IF(R1286="-","",IFERROR(VALUE(LEFT(Q1286,LEN(Q1286)-2)),""))</f>
        <v>66.71</v>
      </c>
      <c r="BO1286" s="6" t="n">
        <f aca="false">IF(R1286="-","",IFERROR(VALUE(LEFT(R1286,LEN(R1286)-5)),""))</f>
        <v>2.85</v>
      </c>
      <c r="BP1286" s="6" t="n">
        <f aca="false">IF(R1286="-","",IFERROR(VALUE(F1286),""))</f>
        <v>190.33</v>
      </c>
      <c r="BQ1286" s="4" t="n">
        <f aca="false">IF(R1286="-",1,0)</f>
        <v>0</v>
      </c>
    </row>
    <row r="1287" customFormat="false" ht="15" hidden="false" customHeight="false" outlineLevel="0" collapsed="false">
      <c r="A1287" s="0" t="s">
        <v>4943</v>
      </c>
      <c r="B1287" s="0" t="s">
        <v>4944</v>
      </c>
      <c r="C1287" s="0" t="s">
        <v>70</v>
      </c>
      <c r="D1287" s="0" t="s">
        <v>4945</v>
      </c>
      <c r="E1287" s="3" t="n">
        <v>46273</v>
      </c>
      <c r="F1287" s="4" t="s">
        <v>4946</v>
      </c>
      <c r="G1287" s="5" t="n">
        <v>0.289178240740741</v>
      </c>
      <c r="H1287" s="5" t="n">
        <v>0.260335648148148</v>
      </c>
      <c r="I1287" s="5" t="n">
        <v>0.000706018518518519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1</v>
      </c>
      <c r="O1287" s="5" t="n">
        <v>0</v>
      </c>
      <c r="P1287" s="5" t="n">
        <v>0</v>
      </c>
      <c r="Q1287" s="4" t="s">
        <v>4947</v>
      </c>
      <c r="R1287" s="4" t="s">
        <v>943</v>
      </c>
      <c r="S1287" s="5" t="n">
        <v>0.000231481481481482</v>
      </c>
      <c r="T1287" s="5" t="n">
        <v>0.0900462962962963</v>
      </c>
      <c r="U1287" s="5" t="n">
        <v>0.129976851851852</v>
      </c>
      <c r="V1287" s="5" t="n">
        <v>0.0636574074074074</v>
      </c>
      <c r="W1287" s="5" t="n">
        <v>0</v>
      </c>
      <c r="X1287" s="5" t="n">
        <v>0</v>
      </c>
      <c r="Y1287" s="5" t="n">
        <v>0</v>
      </c>
      <c r="Z1287" s="0" t="n">
        <v>0</v>
      </c>
      <c r="AA1287" s="0" t="n">
        <v>0</v>
      </c>
      <c r="AB1287" s="0" t="n">
        <v>0</v>
      </c>
      <c r="AC1287" s="4" t="s">
        <v>208</v>
      </c>
      <c r="AD1287" s="4" t="s">
        <v>208</v>
      </c>
      <c r="AE1287" s="4" t="s">
        <v>4948</v>
      </c>
      <c r="AF1287" s="4" t="s">
        <v>4949</v>
      </c>
      <c r="AG1287" s="5" t="n">
        <v>0.264131944444444</v>
      </c>
      <c r="AH1287" s="5" t="n">
        <v>0.0750231481481481</v>
      </c>
      <c r="AI1287" s="5" t="n">
        <v>0</v>
      </c>
      <c r="AJ1287" s="5" t="n">
        <v>0</v>
      </c>
      <c r="AK1287" s="5" t="n">
        <v>0</v>
      </c>
      <c r="AL1287" s="5" t="n">
        <v>0</v>
      </c>
      <c r="AM1287" s="4" t="s">
        <v>78</v>
      </c>
      <c r="AN1287" s="0" t="n">
        <v>0</v>
      </c>
      <c r="AO1287" s="0" t="n">
        <v>0</v>
      </c>
      <c r="AP1287" s="0" t="n">
        <v>0</v>
      </c>
      <c r="AQ1287" s="0" t="n">
        <v>0</v>
      </c>
      <c r="AR1287" s="0" t="n">
        <v>0</v>
      </c>
      <c r="AS1287" s="0" t="n">
        <v>0</v>
      </c>
      <c r="AT1287" s="0" t="n">
        <v>0</v>
      </c>
      <c r="AU1287" s="0" t="n">
        <v>8</v>
      </c>
      <c r="AV1287" s="0" t="n">
        <v>0</v>
      </c>
      <c r="AW1287" s="0" t="n">
        <v>0</v>
      </c>
      <c r="AX1287" s="0" t="n">
        <v>0</v>
      </c>
      <c r="AY1287" s="0" t="n">
        <v>0</v>
      </c>
      <c r="AZ1287" s="0" t="n">
        <v>0</v>
      </c>
      <c r="BA1287" s="0" t="n">
        <v>0</v>
      </c>
      <c r="BB1287" s="0" t="n">
        <v>0</v>
      </c>
      <c r="BC1287" s="0" t="n">
        <v>0</v>
      </c>
      <c r="BD1287" s="0" t="n">
        <v>0</v>
      </c>
      <c r="BE1287" s="0" t="n">
        <v>0</v>
      </c>
      <c r="BF1287" s="0" t="n">
        <v>0</v>
      </c>
      <c r="BG1287" s="0" t="n">
        <v>0</v>
      </c>
      <c r="BH1287" s="0" t="n">
        <v>0</v>
      </c>
      <c r="BI1287" s="0" t="n">
        <v>0</v>
      </c>
      <c r="BJ1287" s="0" t="n">
        <v>0</v>
      </c>
      <c r="BK1287" s="0" t="n">
        <v>0</v>
      </c>
      <c r="BM1287" s="6" t="n">
        <f aca="false">IFERROR(VALUE(F1287),"")</f>
        <v>169.86</v>
      </c>
      <c r="BN1287" s="6" t="n">
        <f aca="false">IF(R1287="-","",IFERROR(VALUE(LEFT(Q1287,LEN(Q1287)-2)),""))</f>
        <v>52.66</v>
      </c>
      <c r="BO1287" s="6" t="n">
        <f aca="false">IF(R1287="-","",IFERROR(VALUE(LEFT(R1287,LEN(R1287)-5)),""))</f>
        <v>3.23</v>
      </c>
      <c r="BP1287" s="6" t="n">
        <f aca="false">IF(R1287="-","",IFERROR(VALUE(F1287),""))</f>
        <v>169.86</v>
      </c>
      <c r="BQ1287" s="4" t="n">
        <f aca="false">IF(R1287="-",1,0)</f>
        <v>0</v>
      </c>
    </row>
    <row r="1288" customFormat="false" ht="15" hidden="false" customHeight="false" outlineLevel="0" collapsed="false">
      <c r="A1288" s="0" t="s">
        <v>4943</v>
      </c>
      <c r="B1288" s="0" t="s">
        <v>4944</v>
      </c>
      <c r="C1288" s="0" t="s">
        <v>70</v>
      </c>
      <c r="D1288" s="0" t="s">
        <v>4950</v>
      </c>
      <c r="E1288" s="3" t="n">
        <v>46274</v>
      </c>
      <c r="F1288" s="4" t="s">
        <v>4951</v>
      </c>
      <c r="G1288" s="5" t="n">
        <v>0.377743055555556</v>
      </c>
      <c r="H1288" s="5" t="n">
        <v>0.374282407407407</v>
      </c>
      <c r="I1288" s="5" t="n">
        <v>0.000543981481481481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3</v>
      </c>
      <c r="O1288" s="5" t="n">
        <v>0</v>
      </c>
      <c r="P1288" s="5" t="n">
        <v>0</v>
      </c>
      <c r="Q1288" s="4" t="s">
        <v>4952</v>
      </c>
      <c r="R1288" s="4" t="s">
        <v>2910</v>
      </c>
      <c r="S1288" s="5" t="n">
        <v>0</v>
      </c>
      <c r="T1288" s="5" t="n">
        <v>0.108449074074074</v>
      </c>
      <c r="U1288" s="5" t="n">
        <v>0.160416666666667</v>
      </c>
      <c r="V1288" s="5" t="n">
        <v>0.0965277777777778</v>
      </c>
      <c r="W1288" s="5" t="n">
        <v>0</v>
      </c>
      <c r="X1288" s="5" t="n">
        <v>0</v>
      </c>
      <c r="Y1288" s="5" t="n">
        <v>0</v>
      </c>
      <c r="Z1288" s="0" t="n">
        <v>0</v>
      </c>
      <c r="AA1288" s="0" t="n">
        <v>0</v>
      </c>
      <c r="AB1288" s="0" t="n">
        <v>0</v>
      </c>
      <c r="AC1288" s="4" t="s">
        <v>208</v>
      </c>
      <c r="AD1288" s="4" t="s">
        <v>1090</v>
      </c>
      <c r="AE1288" s="4" t="s">
        <v>4949</v>
      </c>
      <c r="AF1288" s="4" t="s">
        <v>4953</v>
      </c>
      <c r="AG1288" s="5" t="n">
        <v>0.341898148148148</v>
      </c>
      <c r="AH1288" s="5" t="n">
        <v>0.0983449074074074</v>
      </c>
      <c r="AI1288" s="5" t="n">
        <v>0</v>
      </c>
      <c r="AJ1288" s="5" t="n">
        <v>0</v>
      </c>
      <c r="AK1288" s="5" t="n">
        <v>0</v>
      </c>
      <c r="AL1288" s="5" t="n">
        <v>0</v>
      </c>
      <c r="AM1288" s="4" t="s">
        <v>78</v>
      </c>
      <c r="AN1288" s="0" t="n">
        <v>0</v>
      </c>
      <c r="AO1288" s="0" t="n">
        <v>0</v>
      </c>
      <c r="AP1288" s="0" t="n">
        <v>0</v>
      </c>
      <c r="AQ1288" s="0" t="n">
        <v>0</v>
      </c>
      <c r="AR1288" s="0" t="n">
        <v>1</v>
      </c>
      <c r="AS1288" s="0" t="n">
        <v>0</v>
      </c>
      <c r="AT1288" s="0" t="n">
        <v>0</v>
      </c>
      <c r="AU1288" s="0" t="n">
        <v>10</v>
      </c>
      <c r="AV1288" s="0" t="n">
        <v>0</v>
      </c>
      <c r="AW1288" s="0" t="n">
        <v>0</v>
      </c>
      <c r="AX1288" s="0" t="n">
        <v>0</v>
      </c>
      <c r="AY1288" s="0" t="n">
        <v>0</v>
      </c>
      <c r="AZ1288" s="0" t="n">
        <v>0</v>
      </c>
      <c r="BA1288" s="0" t="n">
        <v>0</v>
      </c>
      <c r="BB1288" s="0" t="n">
        <v>0</v>
      </c>
      <c r="BC1288" s="0" t="n">
        <v>0</v>
      </c>
      <c r="BD1288" s="0" t="n">
        <v>0</v>
      </c>
      <c r="BE1288" s="0" t="n">
        <v>0</v>
      </c>
      <c r="BF1288" s="0" t="n">
        <v>0</v>
      </c>
      <c r="BG1288" s="0" t="n">
        <v>0</v>
      </c>
      <c r="BH1288" s="0" t="n">
        <v>0</v>
      </c>
      <c r="BI1288" s="0" t="n">
        <v>0</v>
      </c>
      <c r="BJ1288" s="0" t="n">
        <v>0</v>
      </c>
      <c r="BK1288" s="0" t="n">
        <v>0</v>
      </c>
      <c r="BM1288" s="6" t="n">
        <f aca="false">IFERROR(VALUE(F1288),"")</f>
        <v>240.41</v>
      </c>
      <c r="BN1288" s="6" t="n">
        <f aca="false">IF(R1288="-","",IFERROR(VALUE(LEFT(Q1288,LEN(Q1288)-2)),""))</f>
        <v>77.58</v>
      </c>
      <c r="BO1288" s="6" t="n">
        <f aca="false">IF(R1288="-","",IFERROR(VALUE(LEFT(R1288,LEN(R1288)-5)),""))</f>
        <v>3.1</v>
      </c>
      <c r="BP1288" s="6" t="n">
        <f aca="false">IF(R1288="-","",IFERROR(VALUE(F1288),""))</f>
        <v>240.41</v>
      </c>
      <c r="BQ1288" s="4" t="n">
        <f aca="false">IF(R1288="-",1,0)</f>
        <v>0</v>
      </c>
    </row>
    <row r="1289" customFormat="false" ht="15" hidden="false" customHeight="false" outlineLevel="0" collapsed="false">
      <c r="A1289" s="0" t="s">
        <v>4943</v>
      </c>
      <c r="B1289" s="0" t="s">
        <v>4944</v>
      </c>
      <c r="C1289" s="0" t="s">
        <v>70</v>
      </c>
      <c r="D1289" s="0" t="s">
        <v>4954</v>
      </c>
      <c r="E1289" s="3" t="n">
        <v>46275</v>
      </c>
      <c r="F1289" s="4" t="s">
        <v>4955</v>
      </c>
      <c r="G1289" s="5" t="n">
        <v>0.473935185185185</v>
      </c>
      <c r="H1289" s="5" t="n">
        <v>0.448854166666667</v>
      </c>
      <c r="I1289" s="5" t="n">
        <v>0.00162037037037037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11</v>
      </c>
      <c r="O1289" s="5" t="n">
        <v>0</v>
      </c>
      <c r="P1289" s="5" t="n">
        <v>0.0137384259259259</v>
      </c>
      <c r="Q1289" s="4" t="s">
        <v>4956</v>
      </c>
      <c r="R1289" s="4" t="s">
        <v>876</v>
      </c>
      <c r="S1289" s="5" t="n">
        <v>0.000115740740740741</v>
      </c>
      <c r="T1289" s="5" t="n">
        <v>0.12962962962963</v>
      </c>
      <c r="U1289" s="5" t="n">
        <v>0.216898148148148</v>
      </c>
      <c r="V1289" s="5" t="n">
        <v>0.124652777777778</v>
      </c>
      <c r="W1289" s="5" t="n">
        <v>0</v>
      </c>
      <c r="X1289" s="5" t="n">
        <v>0</v>
      </c>
      <c r="Y1289" s="5" t="n">
        <v>0</v>
      </c>
      <c r="Z1289" s="0" t="n">
        <v>0</v>
      </c>
      <c r="AA1289" s="0" t="n">
        <v>0</v>
      </c>
      <c r="AB1289" s="0" t="n">
        <v>0</v>
      </c>
      <c r="AC1289" s="4" t="s">
        <v>1090</v>
      </c>
      <c r="AD1289" s="4" t="s">
        <v>4957</v>
      </c>
      <c r="AE1289" s="4" t="s">
        <v>4958</v>
      </c>
      <c r="AF1289" s="4" t="s">
        <v>4959</v>
      </c>
      <c r="AG1289" s="5" t="n">
        <v>0.435150462962963</v>
      </c>
      <c r="AH1289" s="5" t="n">
        <v>0.125659722222222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4" t="s">
        <v>78</v>
      </c>
      <c r="AN1289" s="0" t="n">
        <v>0</v>
      </c>
      <c r="AO1289" s="0" t="n">
        <v>0</v>
      </c>
      <c r="AP1289" s="0" t="n">
        <v>0</v>
      </c>
      <c r="AQ1289" s="0" t="n">
        <v>0</v>
      </c>
      <c r="AR1289" s="0" t="n">
        <v>0</v>
      </c>
      <c r="AS1289" s="0" t="n">
        <v>0</v>
      </c>
      <c r="AT1289" s="0" t="n">
        <v>0</v>
      </c>
      <c r="AU1289" s="0" t="n">
        <v>5</v>
      </c>
      <c r="AV1289" s="0" t="n">
        <v>0</v>
      </c>
      <c r="AW1289" s="0" t="n">
        <v>0</v>
      </c>
      <c r="AX1289" s="0" t="n">
        <v>0</v>
      </c>
      <c r="AY1289" s="0" t="n">
        <v>0</v>
      </c>
      <c r="AZ1289" s="0" t="n">
        <v>0</v>
      </c>
      <c r="BA1289" s="0" t="n">
        <v>0</v>
      </c>
      <c r="BB1289" s="0" t="n">
        <v>0</v>
      </c>
      <c r="BC1289" s="0" t="n">
        <v>0</v>
      </c>
      <c r="BD1289" s="0" t="n">
        <v>0</v>
      </c>
      <c r="BE1289" s="0" t="n">
        <v>0</v>
      </c>
      <c r="BF1289" s="0" t="n">
        <v>0</v>
      </c>
      <c r="BG1289" s="0" t="n">
        <v>0</v>
      </c>
      <c r="BH1289" s="0" t="n">
        <v>0</v>
      </c>
      <c r="BI1289" s="0" t="n">
        <v>0</v>
      </c>
      <c r="BJ1289" s="0" t="n">
        <v>0</v>
      </c>
      <c r="BK1289" s="0" t="n">
        <v>0</v>
      </c>
      <c r="BM1289" s="6" t="n">
        <f aca="false">IFERROR(VALUE(F1289),"")</f>
        <v>275.56</v>
      </c>
      <c r="BN1289" s="6" t="n">
        <f aca="false">IF(R1289="-","",IFERROR(VALUE(LEFT(Q1289,LEN(Q1289)-2)),""))</f>
        <v>90.84</v>
      </c>
      <c r="BO1289" s="6" t="n">
        <f aca="false">IF(R1289="-","",IFERROR(VALUE(LEFT(R1289,LEN(R1289)-5)),""))</f>
        <v>3.03</v>
      </c>
      <c r="BP1289" s="6" t="n">
        <f aca="false">IF(R1289="-","",IFERROR(VALUE(F1289),""))</f>
        <v>275.56</v>
      </c>
      <c r="BQ1289" s="4" t="n">
        <f aca="false">IF(R1289="-",1,0)</f>
        <v>0</v>
      </c>
    </row>
    <row r="1290" customFormat="false" ht="15" hidden="false" customHeight="false" outlineLevel="0" collapsed="false">
      <c r="A1290" s="0" t="s">
        <v>4943</v>
      </c>
      <c r="B1290" s="0" t="s">
        <v>4944</v>
      </c>
      <c r="C1290" s="0" t="s">
        <v>70</v>
      </c>
      <c r="D1290" s="0" t="s">
        <v>4960</v>
      </c>
      <c r="E1290" s="3" t="n">
        <v>46276</v>
      </c>
      <c r="F1290" s="4" t="s">
        <v>4961</v>
      </c>
      <c r="G1290" s="5" t="n">
        <v>0.393101851851852</v>
      </c>
      <c r="H1290" s="5" t="n">
        <v>0.385555555555556</v>
      </c>
      <c r="I1290" s="5" t="n">
        <v>0.00118055555555556</v>
      </c>
      <c r="J1290" s="0" t="n">
        <v>0</v>
      </c>
      <c r="K1290" s="0" t="n">
        <v>2</v>
      </c>
      <c r="L1290" s="0" t="n">
        <v>0</v>
      </c>
      <c r="M1290" s="0" t="n">
        <v>0</v>
      </c>
      <c r="N1290" s="0" t="n">
        <v>6</v>
      </c>
      <c r="O1290" s="5" t="n">
        <v>0</v>
      </c>
      <c r="P1290" s="5" t="n">
        <v>0</v>
      </c>
      <c r="Q1290" s="4" t="s">
        <v>4962</v>
      </c>
      <c r="R1290" s="4" t="s">
        <v>943</v>
      </c>
      <c r="S1290" s="5" t="n">
        <v>0.000231481481481482</v>
      </c>
      <c r="T1290" s="5" t="n">
        <v>0.119560185185185</v>
      </c>
      <c r="U1290" s="5" t="n">
        <v>0.169675925925926</v>
      </c>
      <c r="V1290" s="5" t="n">
        <v>0.08125</v>
      </c>
      <c r="W1290" s="5" t="n">
        <v>0</v>
      </c>
      <c r="X1290" s="5" t="n">
        <v>0</v>
      </c>
      <c r="Y1290" s="5" t="n">
        <v>0</v>
      </c>
      <c r="Z1290" s="0" t="n">
        <v>0</v>
      </c>
      <c r="AA1290" s="0" t="n">
        <v>0</v>
      </c>
      <c r="AB1290" s="0" t="n">
        <v>0</v>
      </c>
      <c r="AC1290" s="4" t="s">
        <v>4957</v>
      </c>
      <c r="AD1290" s="4" t="s">
        <v>208</v>
      </c>
      <c r="AE1290" s="4" t="s">
        <v>4963</v>
      </c>
      <c r="AF1290" s="4" t="s">
        <v>4964</v>
      </c>
      <c r="AG1290" s="5" t="n">
        <v>0.342546296296296</v>
      </c>
      <c r="AH1290" s="5" t="n">
        <v>0.140416666666667</v>
      </c>
      <c r="AI1290" s="5" t="n">
        <v>0</v>
      </c>
      <c r="AJ1290" s="5" t="n">
        <v>0</v>
      </c>
      <c r="AK1290" s="5" t="n">
        <v>0</v>
      </c>
      <c r="AL1290" s="5" t="n">
        <v>0</v>
      </c>
      <c r="AM1290" s="4" t="s">
        <v>78</v>
      </c>
      <c r="AN1290" s="0" t="n">
        <v>0</v>
      </c>
      <c r="AO1290" s="0" t="n">
        <v>0</v>
      </c>
      <c r="AP1290" s="0" t="n">
        <v>0</v>
      </c>
      <c r="AQ1290" s="0" t="n">
        <v>0</v>
      </c>
      <c r="AR1290" s="0" t="n">
        <v>0</v>
      </c>
      <c r="AS1290" s="0" t="n">
        <v>0</v>
      </c>
      <c r="AT1290" s="0" t="n">
        <v>0</v>
      </c>
      <c r="AU1290" s="0" t="n">
        <v>12</v>
      </c>
      <c r="AV1290" s="0" t="n">
        <v>0</v>
      </c>
      <c r="AW1290" s="0" t="n">
        <v>0</v>
      </c>
      <c r="AX1290" s="0" t="n">
        <v>0</v>
      </c>
      <c r="AY1290" s="0" t="n">
        <v>0</v>
      </c>
      <c r="AZ1290" s="0" t="n">
        <v>0</v>
      </c>
      <c r="BA1290" s="0" t="n">
        <v>0</v>
      </c>
      <c r="BB1290" s="0" t="n">
        <v>0</v>
      </c>
      <c r="BC1290" s="0" t="n">
        <v>0</v>
      </c>
      <c r="BD1290" s="0" t="n">
        <v>0</v>
      </c>
      <c r="BE1290" s="0" t="n">
        <v>0</v>
      </c>
      <c r="BF1290" s="0" t="n">
        <v>0</v>
      </c>
      <c r="BG1290" s="0" t="n">
        <v>0</v>
      </c>
      <c r="BH1290" s="0" t="n">
        <v>0</v>
      </c>
      <c r="BI1290" s="0" t="n">
        <v>0</v>
      </c>
      <c r="BJ1290" s="0" t="n">
        <v>0</v>
      </c>
      <c r="BK1290" s="0" t="n">
        <v>0</v>
      </c>
      <c r="BM1290" s="6" t="n">
        <f aca="false">IFERROR(VALUE(F1290),"")</f>
        <v>240.8</v>
      </c>
      <c r="BN1290" s="6" t="n">
        <f aca="false">IF(R1290="-","",IFERROR(VALUE(LEFT(Q1290,LEN(Q1290)-2)),""))</f>
        <v>74.52</v>
      </c>
      <c r="BO1290" s="6" t="n">
        <f aca="false">IF(R1290="-","",IFERROR(VALUE(LEFT(R1290,LEN(R1290)-5)),""))</f>
        <v>3.23</v>
      </c>
      <c r="BP1290" s="6" t="n">
        <f aca="false">IF(R1290="-","",IFERROR(VALUE(F1290),""))</f>
        <v>240.8</v>
      </c>
      <c r="BQ1290" s="4" t="n">
        <f aca="false">IF(R1290="-",1,0)</f>
        <v>0</v>
      </c>
    </row>
    <row r="1291" customFormat="false" ht="15" hidden="false" customHeight="false" outlineLevel="0" collapsed="false">
      <c r="A1291" s="0" t="s">
        <v>4943</v>
      </c>
      <c r="B1291" s="0" t="s">
        <v>4944</v>
      </c>
      <c r="C1291" s="0" t="s">
        <v>70</v>
      </c>
      <c r="D1291" s="0" t="s">
        <v>4965</v>
      </c>
      <c r="E1291" s="3" t="n">
        <v>46277</v>
      </c>
      <c r="F1291" s="4" t="s">
        <v>4966</v>
      </c>
      <c r="G1291" s="5" t="n">
        <v>0.128784722222222</v>
      </c>
      <c r="H1291" s="5" t="n">
        <v>0.094525462962963</v>
      </c>
      <c r="I1291" s="5" t="n">
        <v>3.47222222222222E-005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3</v>
      </c>
      <c r="O1291" s="5" t="n">
        <v>0</v>
      </c>
      <c r="P1291" s="5" t="n">
        <v>0.00703703703703704</v>
      </c>
      <c r="Q1291" s="4" t="s">
        <v>4967</v>
      </c>
      <c r="R1291" s="4" t="s">
        <v>870</v>
      </c>
      <c r="S1291" s="5" t="n">
        <v>0</v>
      </c>
      <c r="T1291" s="5" t="n">
        <v>0.034837962962963</v>
      </c>
      <c r="U1291" s="5" t="n">
        <v>0.0385416666666667</v>
      </c>
      <c r="V1291" s="5" t="n">
        <v>0.0524305555555556</v>
      </c>
      <c r="W1291" s="5" t="n">
        <v>0</v>
      </c>
      <c r="X1291" s="5" t="n">
        <v>0</v>
      </c>
      <c r="Y1291" s="5" t="n">
        <v>0</v>
      </c>
      <c r="Z1291" s="0" t="n">
        <v>0</v>
      </c>
      <c r="AA1291" s="0" t="n">
        <v>0</v>
      </c>
      <c r="AB1291" s="0" t="n">
        <v>0</v>
      </c>
      <c r="AC1291" s="4" t="s">
        <v>208</v>
      </c>
      <c r="AD1291" s="4" t="s">
        <v>208</v>
      </c>
      <c r="AE1291" s="4" t="s">
        <v>4964</v>
      </c>
      <c r="AF1291" s="4" t="s">
        <v>4968</v>
      </c>
      <c r="AG1291" s="5" t="n">
        <v>0.110659722222222</v>
      </c>
      <c r="AH1291" s="5" t="n">
        <v>0.0571643518518519</v>
      </c>
      <c r="AI1291" s="5" t="n">
        <v>0</v>
      </c>
      <c r="AJ1291" s="5" t="n">
        <v>0</v>
      </c>
      <c r="AK1291" s="5" t="n">
        <v>0</v>
      </c>
      <c r="AL1291" s="5" t="n">
        <v>0</v>
      </c>
      <c r="AM1291" s="4" t="s">
        <v>78</v>
      </c>
      <c r="AN1291" s="0" t="n">
        <v>0</v>
      </c>
      <c r="AO1291" s="0" t="n">
        <v>0</v>
      </c>
      <c r="AP1291" s="0" t="n">
        <v>0</v>
      </c>
      <c r="AQ1291" s="0" t="n">
        <v>0</v>
      </c>
      <c r="AR1291" s="0" t="n">
        <v>0</v>
      </c>
      <c r="AS1291" s="0" t="n">
        <v>0</v>
      </c>
      <c r="AT1291" s="0" t="n">
        <v>0</v>
      </c>
      <c r="AU1291" s="0" t="n">
        <v>4</v>
      </c>
      <c r="AV1291" s="0" t="n">
        <v>0</v>
      </c>
      <c r="AW1291" s="0" t="n">
        <v>0</v>
      </c>
      <c r="AX1291" s="0" t="n">
        <v>0</v>
      </c>
      <c r="AY1291" s="0" t="n">
        <v>0</v>
      </c>
      <c r="AZ1291" s="0" t="n">
        <v>0</v>
      </c>
      <c r="BA1291" s="0" t="n">
        <v>0</v>
      </c>
      <c r="BB1291" s="0" t="n">
        <v>0</v>
      </c>
      <c r="BC1291" s="0" t="n">
        <v>0</v>
      </c>
      <c r="BD1291" s="0" t="n">
        <v>0</v>
      </c>
      <c r="BE1291" s="0" t="n">
        <v>0</v>
      </c>
      <c r="BF1291" s="0" t="n">
        <v>0</v>
      </c>
      <c r="BG1291" s="0" t="n">
        <v>0</v>
      </c>
      <c r="BH1291" s="0" t="n">
        <v>0</v>
      </c>
      <c r="BI1291" s="0" t="n">
        <v>0</v>
      </c>
      <c r="BJ1291" s="0" t="n">
        <v>0</v>
      </c>
      <c r="BK1291" s="0" t="n">
        <v>0</v>
      </c>
      <c r="BM1291" s="6" t="n">
        <f aca="false">IFERROR(VALUE(F1291),"")</f>
        <v>81.46</v>
      </c>
      <c r="BN1291" s="6" t="n">
        <f aca="false">IF(R1291="-","",IFERROR(VALUE(LEFT(Q1291,LEN(Q1291)-2)),""))</f>
        <v>27.43</v>
      </c>
      <c r="BO1291" s="6" t="n">
        <f aca="false">IF(R1291="-","",IFERROR(VALUE(LEFT(R1291,LEN(R1291)-5)),""))</f>
        <v>2.97</v>
      </c>
      <c r="BP1291" s="6" t="n">
        <f aca="false">IF(R1291="-","",IFERROR(VALUE(F1291),""))</f>
        <v>81.46</v>
      </c>
      <c r="BQ1291" s="4" t="n">
        <f aca="false">IF(R1291="-",1,0)</f>
        <v>0</v>
      </c>
    </row>
    <row r="1292" customFormat="false" ht="15" hidden="false" customHeight="false" outlineLevel="0" collapsed="false">
      <c r="A1292" s="0" t="s">
        <v>4943</v>
      </c>
      <c r="B1292" s="0" t="s">
        <v>4944</v>
      </c>
      <c r="C1292" s="0" t="s">
        <v>70</v>
      </c>
      <c r="D1292" s="0" t="s">
        <v>4969</v>
      </c>
      <c r="E1292" s="3" t="n">
        <v>46278</v>
      </c>
      <c r="F1292" s="4" t="s">
        <v>4970</v>
      </c>
      <c r="G1292" s="5" t="n">
        <v>0.187210648148148</v>
      </c>
      <c r="H1292" s="5" t="n">
        <v>0.166041666666667</v>
      </c>
      <c r="I1292" s="5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11</v>
      </c>
      <c r="O1292" s="5" t="n">
        <v>0</v>
      </c>
      <c r="P1292" s="5" t="n">
        <v>0.0213888888888889</v>
      </c>
      <c r="Q1292" s="4" t="s">
        <v>4533</v>
      </c>
      <c r="R1292" s="4" t="s">
        <v>332</v>
      </c>
      <c r="S1292" s="5" t="n">
        <v>0</v>
      </c>
      <c r="T1292" s="5" t="n">
        <v>0.0634259259259259</v>
      </c>
      <c r="U1292" s="5" t="n">
        <v>0.0689814814814815</v>
      </c>
      <c r="V1292" s="5" t="n">
        <v>0.0456018518518519</v>
      </c>
      <c r="W1292" s="5" t="n">
        <v>0.000115740740740741</v>
      </c>
      <c r="X1292" s="5" t="n">
        <v>0</v>
      </c>
      <c r="Y1292" s="5" t="n">
        <v>0</v>
      </c>
      <c r="Z1292" s="0" t="n">
        <v>0</v>
      </c>
      <c r="AA1292" s="0" t="n">
        <v>0</v>
      </c>
      <c r="AB1292" s="0" t="n">
        <v>0</v>
      </c>
      <c r="AC1292" s="4" t="s">
        <v>208</v>
      </c>
      <c r="AD1292" s="4" t="s">
        <v>1090</v>
      </c>
      <c r="AE1292" s="4" t="s">
        <v>4968</v>
      </c>
      <c r="AF1292" s="4" t="s">
        <v>4971</v>
      </c>
      <c r="AG1292" s="5" t="n">
        <v>0.153194444444444</v>
      </c>
      <c r="AH1292" s="5" t="n">
        <v>0.0924421296296296</v>
      </c>
      <c r="AI1292" s="5" t="n">
        <v>0</v>
      </c>
      <c r="AJ1292" s="5" t="n">
        <v>0</v>
      </c>
      <c r="AK1292" s="5" t="n">
        <v>0</v>
      </c>
      <c r="AL1292" s="5" t="n">
        <v>0</v>
      </c>
      <c r="AM1292" s="4" t="s">
        <v>78</v>
      </c>
      <c r="AN1292" s="0" t="n">
        <v>0</v>
      </c>
      <c r="AO1292" s="0" t="n">
        <v>0</v>
      </c>
      <c r="AP1292" s="0" t="n">
        <v>0</v>
      </c>
      <c r="AQ1292" s="0" t="n">
        <v>0</v>
      </c>
      <c r="AR1292" s="0" t="n">
        <v>0</v>
      </c>
      <c r="AS1292" s="0" t="n">
        <v>0</v>
      </c>
      <c r="AT1292" s="0" t="n">
        <v>0</v>
      </c>
      <c r="AU1292" s="0" t="n">
        <v>1</v>
      </c>
      <c r="AV1292" s="0" t="n">
        <v>0</v>
      </c>
      <c r="AW1292" s="0" t="n">
        <v>0</v>
      </c>
      <c r="AX1292" s="0" t="n">
        <v>0</v>
      </c>
      <c r="AY1292" s="0" t="n">
        <v>0</v>
      </c>
      <c r="AZ1292" s="0" t="n">
        <v>0</v>
      </c>
      <c r="BA1292" s="0" t="n">
        <v>0</v>
      </c>
      <c r="BB1292" s="0" t="n">
        <v>0</v>
      </c>
      <c r="BC1292" s="0" t="n">
        <v>0</v>
      </c>
      <c r="BD1292" s="0" t="n">
        <v>0</v>
      </c>
      <c r="BE1292" s="0" t="n">
        <v>0</v>
      </c>
      <c r="BF1292" s="0" t="n">
        <v>0</v>
      </c>
      <c r="BG1292" s="0" t="n">
        <v>0</v>
      </c>
      <c r="BH1292" s="0" t="n">
        <v>0</v>
      </c>
      <c r="BI1292" s="0" t="n">
        <v>0</v>
      </c>
      <c r="BJ1292" s="0" t="n">
        <v>0</v>
      </c>
      <c r="BK1292" s="0" t="n">
        <v>0</v>
      </c>
      <c r="BM1292" s="6" t="n">
        <f aca="false">IFERROR(VALUE(F1292),"")</f>
        <v>122.25</v>
      </c>
      <c r="BN1292" s="6" t="n">
        <f aca="false">IF(R1292="-","",IFERROR(VALUE(LEFT(Q1292,LEN(Q1292)-2)),""))</f>
        <v>43.06</v>
      </c>
      <c r="BO1292" s="6" t="n">
        <f aca="false">IF(R1292="-","",IFERROR(VALUE(LEFT(R1292,LEN(R1292)-5)),""))</f>
        <v>2.84</v>
      </c>
      <c r="BP1292" s="6" t="n">
        <f aca="false">IF(R1292="-","",IFERROR(VALUE(F1292),""))</f>
        <v>122.25</v>
      </c>
      <c r="BQ1292" s="4" t="n">
        <f aca="false">IF(R1292="-",1,0)</f>
        <v>0</v>
      </c>
    </row>
    <row r="1293" customFormat="false" ht="15" hidden="false" customHeight="false" outlineLevel="0" collapsed="false">
      <c r="A1293" s="0" t="s">
        <v>4943</v>
      </c>
      <c r="B1293" s="0" t="s">
        <v>4944</v>
      </c>
      <c r="C1293" s="0" t="s">
        <v>70</v>
      </c>
      <c r="D1293" s="0" t="s">
        <v>4972</v>
      </c>
      <c r="E1293" s="3" t="n">
        <v>46279</v>
      </c>
      <c r="F1293" s="4" t="s">
        <v>4973</v>
      </c>
      <c r="G1293" s="5" t="n">
        <v>0.480659722222222</v>
      </c>
      <c r="H1293" s="5" t="n">
        <v>0.299976851851852</v>
      </c>
      <c r="I1293" s="5" t="n">
        <v>0.000439814814814815</v>
      </c>
      <c r="J1293" s="0" t="n">
        <v>0</v>
      </c>
      <c r="K1293" s="0" t="n">
        <v>2</v>
      </c>
      <c r="L1293" s="0" t="n">
        <v>0</v>
      </c>
      <c r="M1293" s="0" t="n">
        <v>0</v>
      </c>
      <c r="N1293" s="0" t="n">
        <v>3</v>
      </c>
      <c r="O1293" s="5" t="n">
        <v>0</v>
      </c>
      <c r="P1293" s="5" t="n">
        <v>0</v>
      </c>
      <c r="Q1293" s="4" t="s">
        <v>4974</v>
      </c>
      <c r="R1293" s="4" t="s">
        <v>1317</v>
      </c>
      <c r="S1293" s="5" t="n">
        <v>0.000810185185185185</v>
      </c>
      <c r="T1293" s="5" t="n">
        <v>0.145138888888889</v>
      </c>
      <c r="U1293" s="5" t="n">
        <v>0.195833333333333</v>
      </c>
      <c r="V1293" s="5" t="n">
        <v>0.115439814814815</v>
      </c>
      <c r="W1293" s="5" t="n">
        <v>9.25925925925926E-005</v>
      </c>
      <c r="X1293" s="5" t="n">
        <v>0</v>
      </c>
      <c r="Y1293" s="5" t="n">
        <v>9.25925925925926E-005</v>
      </c>
      <c r="Z1293" s="0" t="n">
        <v>0</v>
      </c>
      <c r="AA1293" s="0" t="n">
        <v>0</v>
      </c>
      <c r="AB1293" s="0" t="n">
        <v>0</v>
      </c>
      <c r="AC1293" s="4" t="s">
        <v>1090</v>
      </c>
      <c r="AD1293" s="4" t="s">
        <v>208</v>
      </c>
      <c r="AE1293" s="4" t="s">
        <v>4975</v>
      </c>
      <c r="AF1293" s="4" t="s">
        <v>4976</v>
      </c>
      <c r="AG1293" s="5" t="n">
        <v>0.407268518518519</v>
      </c>
      <c r="AH1293" s="5" t="n">
        <v>0.121180555555556</v>
      </c>
      <c r="AI1293" s="5" t="n">
        <v>0</v>
      </c>
      <c r="AJ1293" s="5" t="n">
        <v>0</v>
      </c>
      <c r="AK1293" s="5" t="n">
        <v>0</v>
      </c>
      <c r="AL1293" s="5" t="n">
        <v>0</v>
      </c>
      <c r="AM1293" s="4" t="s">
        <v>78</v>
      </c>
      <c r="AN1293" s="0" t="n">
        <v>0</v>
      </c>
      <c r="AO1293" s="0" t="n">
        <v>12</v>
      </c>
      <c r="AP1293" s="0" t="n">
        <v>0</v>
      </c>
      <c r="AQ1293" s="0" t="n">
        <v>0</v>
      </c>
      <c r="AR1293" s="0" t="n">
        <v>0</v>
      </c>
      <c r="AS1293" s="0" t="n">
        <v>0</v>
      </c>
      <c r="AT1293" s="0" t="n">
        <v>0</v>
      </c>
      <c r="AU1293" s="0" t="n">
        <v>11</v>
      </c>
      <c r="AV1293" s="0" t="n">
        <v>0</v>
      </c>
      <c r="AW1293" s="0" t="n">
        <v>0</v>
      </c>
      <c r="AX1293" s="0" t="n">
        <v>0</v>
      </c>
      <c r="AY1293" s="0" t="n">
        <v>0</v>
      </c>
      <c r="AZ1293" s="0" t="n">
        <v>0</v>
      </c>
      <c r="BA1293" s="0" t="n">
        <v>0</v>
      </c>
      <c r="BB1293" s="0" t="n">
        <v>0</v>
      </c>
      <c r="BC1293" s="0" t="n">
        <v>0</v>
      </c>
      <c r="BD1293" s="0" t="n">
        <v>0</v>
      </c>
      <c r="BE1293" s="0" t="n">
        <v>0</v>
      </c>
      <c r="BF1293" s="0" t="n">
        <v>0</v>
      </c>
      <c r="BG1293" s="0" t="n">
        <v>0</v>
      </c>
      <c r="BH1293" s="0" t="n">
        <v>0</v>
      </c>
      <c r="BI1293" s="0" t="n">
        <v>0</v>
      </c>
      <c r="BJ1293" s="0" t="n">
        <v>0</v>
      </c>
      <c r="BK1293" s="0" t="n">
        <v>0</v>
      </c>
      <c r="BM1293" s="6" t="n">
        <f aca="false">IFERROR(VALUE(F1293),"")</f>
        <v>275.47</v>
      </c>
      <c r="BN1293" s="6" t="n">
        <f aca="false">IF(R1293="-","",IFERROR(VALUE(LEFT(Q1293,LEN(Q1293)-2)),""))</f>
        <v>91.18</v>
      </c>
      <c r="BO1293" s="6" t="n">
        <f aca="false">IF(R1293="-","",IFERROR(VALUE(LEFT(R1293,LEN(R1293)-5)),""))</f>
        <v>3.02</v>
      </c>
      <c r="BP1293" s="6" t="n">
        <f aca="false">IF(R1293="-","",IFERROR(VALUE(F1293),""))</f>
        <v>275.47</v>
      </c>
      <c r="BQ1293" s="4" t="n">
        <f aca="false">IF(R1293="-",1,0)</f>
        <v>0</v>
      </c>
    </row>
    <row r="1294" customFormat="false" ht="15" hidden="false" customHeight="false" outlineLevel="0" collapsed="false">
      <c r="A1294" s="0" t="s">
        <v>4977</v>
      </c>
      <c r="B1294" s="0" t="s">
        <v>4978</v>
      </c>
      <c r="C1294" s="0" t="s">
        <v>70</v>
      </c>
      <c r="E1294" s="3" t="n">
        <v>46273</v>
      </c>
      <c r="F1294" s="4" t="s">
        <v>4979</v>
      </c>
      <c r="G1294" s="5" t="n">
        <v>0.36537037037037</v>
      </c>
      <c r="H1294" s="5" t="n">
        <v>0</v>
      </c>
      <c r="I1294" s="5" t="n">
        <v>0.00260416666666667</v>
      </c>
      <c r="J1294" s="0" t="n">
        <v>0</v>
      </c>
      <c r="K1294" s="0" t="n">
        <v>1</v>
      </c>
      <c r="L1294" s="0" t="n">
        <v>0</v>
      </c>
      <c r="M1294" s="0" t="n">
        <v>0</v>
      </c>
      <c r="N1294" s="0" t="n">
        <v>3</v>
      </c>
      <c r="O1294" s="5" t="n">
        <v>0</v>
      </c>
      <c r="P1294" s="5" t="n">
        <v>0</v>
      </c>
      <c r="Q1294" s="4" t="s">
        <v>4980</v>
      </c>
      <c r="R1294" s="4" t="s">
        <v>953</v>
      </c>
      <c r="S1294" s="5" t="n">
        <v>0.000462962962962963</v>
      </c>
      <c r="T1294" s="5" t="n">
        <v>0.112152777777778</v>
      </c>
      <c r="U1294" s="5" t="n">
        <v>0.171875</v>
      </c>
      <c r="V1294" s="5" t="n">
        <v>0.0640046296296296</v>
      </c>
      <c r="W1294" s="5" t="n">
        <v>0.000115740740740741</v>
      </c>
      <c r="X1294" s="5" t="n">
        <v>0</v>
      </c>
      <c r="Y1294" s="5" t="n">
        <v>0</v>
      </c>
      <c r="Z1294" s="0" t="n">
        <v>0</v>
      </c>
      <c r="AA1294" s="0" t="n">
        <v>0</v>
      </c>
      <c r="AB1294" s="0" t="n">
        <v>0</v>
      </c>
      <c r="AC1294" s="4" t="s">
        <v>208</v>
      </c>
      <c r="AD1294" s="4" t="s">
        <v>208</v>
      </c>
      <c r="AE1294" s="4" t="s">
        <v>4981</v>
      </c>
      <c r="AF1294" s="4" t="s">
        <v>4982</v>
      </c>
      <c r="AG1294" s="5" t="n">
        <v>0.322662037037037</v>
      </c>
      <c r="AH1294" s="5" t="n">
        <v>0.10068287037037</v>
      </c>
      <c r="AI1294" s="5" t="n">
        <v>0</v>
      </c>
      <c r="AJ1294" s="5" t="n">
        <v>0</v>
      </c>
      <c r="AK1294" s="5" t="n">
        <v>0</v>
      </c>
      <c r="AL1294" s="5" t="n">
        <v>0</v>
      </c>
      <c r="AM1294" s="4" t="s">
        <v>78</v>
      </c>
      <c r="AN1294" s="0" t="n">
        <v>0</v>
      </c>
      <c r="AO1294" s="0" t="n">
        <v>0</v>
      </c>
      <c r="AP1294" s="0" t="n">
        <v>0</v>
      </c>
      <c r="AQ1294" s="0" t="n">
        <v>0</v>
      </c>
      <c r="AR1294" s="0" t="n">
        <v>0</v>
      </c>
      <c r="AS1294" s="0" t="n">
        <v>0</v>
      </c>
      <c r="AT1294" s="0" t="n">
        <v>0</v>
      </c>
      <c r="AU1294" s="0" t="n">
        <v>0</v>
      </c>
      <c r="AV1294" s="0" t="n">
        <v>0</v>
      </c>
      <c r="AW1294" s="0" t="n">
        <v>0</v>
      </c>
      <c r="AX1294" s="0" t="n">
        <v>0</v>
      </c>
      <c r="AY1294" s="0" t="n">
        <v>0</v>
      </c>
      <c r="AZ1294" s="0" t="n">
        <v>0</v>
      </c>
      <c r="BA1294" s="0" t="n">
        <v>0</v>
      </c>
      <c r="BB1294" s="0" t="n">
        <v>0</v>
      </c>
      <c r="BC1294" s="0" t="n">
        <v>0</v>
      </c>
      <c r="BD1294" s="0" t="n">
        <v>0</v>
      </c>
      <c r="BE1294" s="0" t="n">
        <v>0</v>
      </c>
      <c r="BF1294" s="0" t="n">
        <v>0</v>
      </c>
      <c r="BG1294" s="0" t="n">
        <v>0</v>
      </c>
      <c r="BH1294" s="0" t="n">
        <v>0</v>
      </c>
      <c r="BI1294" s="0" t="n">
        <v>0</v>
      </c>
      <c r="BJ1294" s="0" t="n">
        <v>0</v>
      </c>
      <c r="BK1294" s="0" t="n">
        <v>0</v>
      </c>
      <c r="BM1294" s="6" t="n">
        <f aca="false">IFERROR(VALUE(F1294),"")</f>
        <v>236.97</v>
      </c>
      <c r="BN1294" s="6" t="n">
        <f aca="false">IF(R1294="-","",IFERROR(VALUE(LEFT(Q1294,LEN(Q1294)-2)),""))</f>
        <v>69.73</v>
      </c>
      <c r="BO1294" s="6" t="n">
        <f aca="false">IF(R1294="-","",IFERROR(VALUE(LEFT(R1294,LEN(R1294)-5)),""))</f>
        <v>3.4</v>
      </c>
      <c r="BP1294" s="6" t="n">
        <f aca="false">IF(R1294="-","",IFERROR(VALUE(F1294),""))</f>
        <v>236.97</v>
      </c>
      <c r="BQ1294" s="4" t="n">
        <f aca="false">IF(R1294="-",1,0)</f>
        <v>0</v>
      </c>
    </row>
    <row r="1295" customFormat="false" ht="15" hidden="false" customHeight="false" outlineLevel="0" collapsed="false">
      <c r="A1295" s="0" t="s">
        <v>4977</v>
      </c>
      <c r="B1295" s="0" t="s">
        <v>4978</v>
      </c>
      <c r="C1295" s="0" t="s">
        <v>70</v>
      </c>
      <c r="E1295" s="3" t="n">
        <v>46274</v>
      </c>
      <c r="F1295" s="4" t="s">
        <v>4983</v>
      </c>
      <c r="G1295" s="5" t="n">
        <v>0.38625</v>
      </c>
      <c r="H1295" s="5" t="n">
        <v>0</v>
      </c>
      <c r="I1295" s="5" t="n">
        <v>0.00391203703703704</v>
      </c>
      <c r="J1295" s="0" t="n">
        <v>0</v>
      </c>
      <c r="K1295" s="0" t="n">
        <v>2</v>
      </c>
      <c r="L1295" s="0" t="n">
        <v>0</v>
      </c>
      <c r="M1295" s="0" t="n">
        <v>0</v>
      </c>
      <c r="N1295" s="0" t="n">
        <v>0</v>
      </c>
      <c r="O1295" s="5" t="n">
        <v>0</v>
      </c>
      <c r="P1295" s="5" t="n">
        <v>0</v>
      </c>
      <c r="Q1295" s="4" t="s">
        <v>4984</v>
      </c>
      <c r="R1295" s="4" t="s">
        <v>4509</v>
      </c>
      <c r="S1295" s="5" t="n">
        <v>0.000925925925925926</v>
      </c>
      <c r="T1295" s="5" t="n">
        <v>0.0993055555555556</v>
      </c>
      <c r="U1295" s="5" t="n">
        <v>0.143171296296296</v>
      </c>
      <c r="V1295" s="5" t="n">
        <v>0.0731481481481481</v>
      </c>
      <c r="W1295" s="5" t="n">
        <v>0</v>
      </c>
      <c r="X1295" s="5" t="n">
        <v>0</v>
      </c>
      <c r="Y1295" s="5" t="n">
        <v>0</v>
      </c>
      <c r="Z1295" s="0" t="n">
        <v>0</v>
      </c>
      <c r="AA1295" s="0" t="n">
        <v>0</v>
      </c>
      <c r="AB1295" s="0" t="n">
        <v>0</v>
      </c>
      <c r="AC1295" s="4" t="s">
        <v>208</v>
      </c>
      <c r="AD1295" s="4" t="s">
        <v>1090</v>
      </c>
      <c r="AE1295" s="4" t="s">
        <v>4982</v>
      </c>
      <c r="AF1295" s="4" t="s">
        <v>4985</v>
      </c>
      <c r="AG1295" s="5" t="n">
        <v>0.285127314814815</v>
      </c>
      <c r="AH1295" s="5" t="n">
        <v>0.184641203703704</v>
      </c>
      <c r="AI1295" s="5" t="n">
        <v>0</v>
      </c>
      <c r="AJ1295" s="5" t="n">
        <v>0</v>
      </c>
      <c r="AK1295" s="5" t="n">
        <v>0</v>
      </c>
      <c r="AL1295" s="5" t="n">
        <v>0</v>
      </c>
      <c r="AM1295" s="4" t="s">
        <v>78</v>
      </c>
      <c r="AN1295" s="0" t="n">
        <v>0</v>
      </c>
      <c r="AO1295" s="0" t="n">
        <v>0</v>
      </c>
      <c r="AP1295" s="0" t="n">
        <v>0</v>
      </c>
      <c r="AQ1295" s="0" t="n">
        <v>0</v>
      </c>
      <c r="AR1295" s="0" t="n">
        <v>0</v>
      </c>
      <c r="AS1295" s="0" t="n">
        <v>0</v>
      </c>
      <c r="AT1295" s="0" t="n">
        <v>0</v>
      </c>
      <c r="AU1295" s="0" t="n">
        <v>0</v>
      </c>
      <c r="AV1295" s="0" t="n">
        <v>0</v>
      </c>
      <c r="AW1295" s="0" t="n">
        <v>0</v>
      </c>
      <c r="AX1295" s="0" t="n">
        <v>0</v>
      </c>
      <c r="AY1295" s="0" t="n">
        <v>0</v>
      </c>
      <c r="AZ1295" s="0" t="n">
        <v>0</v>
      </c>
      <c r="BA1295" s="0" t="n">
        <v>0</v>
      </c>
      <c r="BB1295" s="0" t="n">
        <v>0</v>
      </c>
      <c r="BC1295" s="0" t="n">
        <v>0</v>
      </c>
      <c r="BD1295" s="0" t="n">
        <v>0</v>
      </c>
      <c r="BE1295" s="0" t="n">
        <v>0</v>
      </c>
      <c r="BF1295" s="0" t="n">
        <v>0</v>
      </c>
      <c r="BG1295" s="0" t="n">
        <v>0</v>
      </c>
      <c r="BH1295" s="0" t="n">
        <v>0</v>
      </c>
      <c r="BI1295" s="0" t="n">
        <v>0</v>
      </c>
      <c r="BJ1295" s="0" t="n">
        <v>0</v>
      </c>
      <c r="BK1295" s="0" t="n">
        <v>0</v>
      </c>
      <c r="BM1295" s="6" t="n">
        <f aca="false">IFERROR(VALUE(F1295),"")</f>
        <v>229.51</v>
      </c>
      <c r="BN1295" s="6" t="n">
        <f aca="false">IF(R1295="-","",IFERROR(VALUE(LEFT(Q1295,LEN(Q1295)-2)),""))</f>
        <v>66.55</v>
      </c>
      <c r="BO1295" s="6" t="n">
        <f aca="false">IF(R1295="-","",IFERROR(VALUE(LEFT(R1295,LEN(R1295)-5)),""))</f>
        <v>3.45</v>
      </c>
      <c r="BP1295" s="6" t="n">
        <f aca="false">IF(R1295="-","",IFERROR(VALUE(F1295),""))</f>
        <v>229.51</v>
      </c>
      <c r="BQ1295" s="4" t="n">
        <f aca="false">IF(R1295="-",1,0)</f>
        <v>0</v>
      </c>
    </row>
    <row r="1296" customFormat="false" ht="15" hidden="false" customHeight="false" outlineLevel="0" collapsed="false">
      <c r="A1296" s="0" t="s">
        <v>4977</v>
      </c>
      <c r="B1296" s="0" t="s">
        <v>4978</v>
      </c>
      <c r="C1296" s="0" t="s">
        <v>70</v>
      </c>
      <c r="E1296" s="3" t="n">
        <v>46275</v>
      </c>
      <c r="F1296" s="4" t="s">
        <v>4986</v>
      </c>
      <c r="G1296" s="5" t="n">
        <v>0.355428240740741</v>
      </c>
      <c r="H1296" s="5" t="n">
        <v>0</v>
      </c>
      <c r="I1296" s="5" t="n">
        <v>0.000590277777777778</v>
      </c>
      <c r="J1296" s="0" t="n">
        <v>0</v>
      </c>
      <c r="K1296" s="0" t="n">
        <v>1</v>
      </c>
      <c r="L1296" s="0" t="n">
        <v>0</v>
      </c>
      <c r="M1296" s="0" t="n">
        <v>0</v>
      </c>
      <c r="N1296" s="0" t="n">
        <v>1</v>
      </c>
      <c r="O1296" s="5" t="n">
        <v>0</v>
      </c>
      <c r="P1296" s="5" t="n">
        <v>0</v>
      </c>
      <c r="Q1296" s="4" t="s">
        <v>4987</v>
      </c>
      <c r="R1296" s="4" t="s">
        <v>3125</v>
      </c>
      <c r="S1296" s="5" t="n">
        <v>0.000115740740740741</v>
      </c>
      <c r="T1296" s="5" t="n">
        <v>0.114699074074074</v>
      </c>
      <c r="U1296" s="5" t="n">
        <v>0.151388888888889</v>
      </c>
      <c r="V1296" s="5" t="n">
        <v>0.0480324074074074</v>
      </c>
      <c r="W1296" s="5" t="n">
        <v>0.000115740740740741</v>
      </c>
      <c r="X1296" s="5" t="n">
        <v>0</v>
      </c>
      <c r="Y1296" s="5" t="n">
        <v>0</v>
      </c>
      <c r="Z1296" s="0" t="n">
        <v>0</v>
      </c>
      <c r="AA1296" s="0" t="n">
        <v>0</v>
      </c>
      <c r="AB1296" s="0" t="n">
        <v>0</v>
      </c>
      <c r="AC1296" s="4" t="s">
        <v>1090</v>
      </c>
      <c r="AD1296" s="4" t="s">
        <v>208</v>
      </c>
      <c r="AE1296" s="4" t="s">
        <v>4988</v>
      </c>
      <c r="AF1296" s="4" t="s">
        <v>4989</v>
      </c>
      <c r="AG1296" s="5" t="n">
        <v>0.279421296296296</v>
      </c>
      <c r="AH1296" s="5" t="n">
        <v>0.142372685185185</v>
      </c>
      <c r="AI1296" s="5" t="n">
        <v>0</v>
      </c>
      <c r="AJ1296" s="5" t="n">
        <v>0</v>
      </c>
      <c r="AK1296" s="5" t="n">
        <v>0</v>
      </c>
      <c r="AL1296" s="5" t="n">
        <v>0</v>
      </c>
      <c r="AM1296" s="4" t="s">
        <v>78</v>
      </c>
      <c r="AN1296" s="0" t="n">
        <v>0</v>
      </c>
      <c r="AO1296" s="0" t="n">
        <v>0</v>
      </c>
      <c r="AP1296" s="0" t="n">
        <v>0</v>
      </c>
      <c r="AQ1296" s="0" t="n">
        <v>0</v>
      </c>
      <c r="AR1296" s="0" t="n">
        <v>0</v>
      </c>
      <c r="AS1296" s="0" t="n">
        <v>0</v>
      </c>
      <c r="AT1296" s="0" t="n">
        <v>0</v>
      </c>
      <c r="AU1296" s="0" t="n">
        <v>0</v>
      </c>
      <c r="AV1296" s="0" t="n">
        <v>0</v>
      </c>
      <c r="AW1296" s="0" t="n">
        <v>0</v>
      </c>
      <c r="AX1296" s="0" t="n">
        <v>0</v>
      </c>
      <c r="AY1296" s="0" t="n">
        <v>0</v>
      </c>
      <c r="AZ1296" s="0" t="n">
        <v>0</v>
      </c>
      <c r="BA1296" s="0" t="n">
        <v>0</v>
      </c>
      <c r="BB1296" s="0" t="n">
        <v>0</v>
      </c>
      <c r="BC1296" s="0" t="n">
        <v>0</v>
      </c>
      <c r="BD1296" s="0" t="n">
        <v>0</v>
      </c>
      <c r="BE1296" s="0" t="n">
        <v>0</v>
      </c>
      <c r="BF1296" s="0" t="n">
        <v>0</v>
      </c>
      <c r="BG1296" s="0" t="n">
        <v>0</v>
      </c>
      <c r="BH1296" s="0" t="n">
        <v>0</v>
      </c>
      <c r="BI1296" s="0" t="n">
        <v>0</v>
      </c>
      <c r="BJ1296" s="0" t="n">
        <v>0</v>
      </c>
      <c r="BK1296" s="0" t="n">
        <v>0</v>
      </c>
      <c r="BM1296" s="6" t="n">
        <f aca="false">IFERROR(VALUE(F1296),"")</f>
        <v>193.74</v>
      </c>
      <c r="BN1296" s="6" t="n">
        <f aca="false">IF(R1296="-","",IFERROR(VALUE(LEFT(Q1296,LEN(Q1296)-2)),""))</f>
        <v>55.08</v>
      </c>
      <c r="BO1296" s="6" t="n">
        <f aca="false">IF(R1296="-","",IFERROR(VALUE(LEFT(R1296,LEN(R1296)-5)),""))</f>
        <v>3.52</v>
      </c>
      <c r="BP1296" s="6" t="n">
        <f aca="false">IF(R1296="-","",IFERROR(VALUE(F1296),""))</f>
        <v>193.74</v>
      </c>
      <c r="BQ1296" s="4" t="n">
        <f aca="false">IF(R1296="-",1,0)</f>
        <v>0</v>
      </c>
    </row>
    <row r="1297" customFormat="false" ht="15" hidden="false" customHeight="false" outlineLevel="0" collapsed="false">
      <c r="A1297" s="0" t="s">
        <v>4977</v>
      </c>
      <c r="B1297" s="0" t="s">
        <v>4978</v>
      </c>
      <c r="C1297" s="0" t="s">
        <v>70</v>
      </c>
      <c r="E1297" s="3" t="n">
        <v>46276</v>
      </c>
      <c r="F1297" s="4" t="s">
        <v>95</v>
      </c>
      <c r="G1297" s="5" t="n">
        <v>0.011724537037037</v>
      </c>
      <c r="H1297" s="5" t="n">
        <v>0</v>
      </c>
      <c r="I1297" s="5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5" t="n">
        <v>0</v>
      </c>
      <c r="P1297" s="5" t="n">
        <v>0</v>
      </c>
      <c r="Q1297" s="4" t="s">
        <v>73</v>
      </c>
      <c r="R1297" s="4" t="s">
        <v>73</v>
      </c>
      <c r="S1297" s="5" t="n">
        <v>0</v>
      </c>
      <c r="T1297" s="5" t="n">
        <v>0</v>
      </c>
      <c r="U1297" s="5" t="n">
        <v>0</v>
      </c>
      <c r="V1297" s="5" t="n">
        <v>0</v>
      </c>
      <c r="W1297" s="5" t="n">
        <v>0</v>
      </c>
      <c r="X1297" s="5" t="n">
        <v>0</v>
      </c>
      <c r="Y1297" s="5" t="n">
        <v>0</v>
      </c>
      <c r="Z1297" s="0" t="n">
        <v>0</v>
      </c>
      <c r="AA1297" s="0" t="n">
        <v>0</v>
      </c>
      <c r="AB1297" s="0" t="n">
        <v>0</v>
      </c>
      <c r="AC1297" s="4" t="s">
        <v>208</v>
      </c>
      <c r="AD1297" s="4" t="s">
        <v>208</v>
      </c>
      <c r="AE1297" s="4" t="s">
        <v>4989</v>
      </c>
      <c r="AF1297" s="4" t="s">
        <v>4989</v>
      </c>
      <c r="AG1297" s="5" t="n">
        <v>0</v>
      </c>
      <c r="AH1297" s="5" t="n">
        <v>0.0233680555555556</v>
      </c>
      <c r="AI1297" s="5" t="n">
        <v>0</v>
      </c>
      <c r="AJ1297" s="5" t="n">
        <v>0</v>
      </c>
      <c r="AK1297" s="5" t="n">
        <v>0</v>
      </c>
      <c r="AL1297" s="5" t="n">
        <v>0</v>
      </c>
      <c r="AM1297" s="4" t="s">
        <v>78</v>
      </c>
      <c r="AN1297" s="0" t="n">
        <v>0</v>
      </c>
      <c r="AO1297" s="0" t="n">
        <v>0</v>
      </c>
      <c r="AP1297" s="0" t="n">
        <v>0</v>
      </c>
      <c r="AQ1297" s="0" t="n">
        <v>0</v>
      </c>
      <c r="AR1297" s="0" t="n">
        <v>0</v>
      </c>
      <c r="AS1297" s="0" t="n">
        <v>0</v>
      </c>
      <c r="AT1297" s="0" t="n">
        <v>0</v>
      </c>
      <c r="AU1297" s="0" t="n">
        <v>0</v>
      </c>
      <c r="AV1297" s="0" t="n">
        <v>0</v>
      </c>
      <c r="AW1297" s="0" t="n">
        <v>0</v>
      </c>
      <c r="AX1297" s="0" t="n">
        <v>0</v>
      </c>
      <c r="AY1297" s="0" t="n">
        <v>0</v>
      </c>
      <c r="AZ1297" s="0" t="n">
        <v>0</v>
      </c>
      <c r="BA1297" s="0" t="n">
        <v>0</v>
      </c>
      <c r="BB1297" s="0" t="n">
        <v>0</v>
      </c>
      <c r="BC1297" s="0" t="n">
        <v>0</v>
      </c>
      <c r="BD1297" s="0" t="n">
        <v>0</v>
      </c>
      <c r="BE1297" s="0" t="n">
        <v>0</v>
      </c>
      <c r="BF1297" s="0" t="n">
        <v>0</v>
      </c>
      <c r="BG1297" s="0" t="n">
        <v>0</v>
      </c>
      <c r="BH1297" s="0" t="n">
        <v>0</v>
      </c>
      <c r="BI1297" s="0" t="n">
        <v>0</v>
      </c>
      <c r="BJ1297" s="0" t="n">
        <v>0</v>
      </c>
      <c r="BK1297" s="0" t="n">
        <v>0</v>
      </c>
      <c r="BM1297" s="6" t="n">
        <f aca="false">IFERROR(VALUE(F1297),"")</f>
        <v>0</v>
      </c>
      <c r="BN1297" s="6" t="str">
        <f aca="false">IF(R1297="-","",IFERROR(VALUE(LEFT(Q1297,LEN(Q1297)-2)),""))</f>
        <v/>
      </c>
      <c r="BO1297" s="6" t="str">
        <f aca="false">IF(R1297="-","",IFERROR(VALUE(LEFT(R1297,LEN(R1297)-5)),""))</f>
        <v/>
      </c>
      <c r="BP1297" s="6" t="str">
        <f aca="false">IF(R1297="-","",IFERROR(VALUE(F1297),""))</f>
        <v/>
      </c>
      <c r="BQ1297" s="4" t="n">
        <f aca="false">IF(R1297="-",1,0)</f>
        <v>1</v>
      </c>
    </row>
    <row r="1298" customFormat="false" ht="15" hidden="false" customHeight="false" outlineLevel="0" collapsed="false">
      <c r="A1298" s="0" t="s">
        <v>4990</v>
      </c>
      <c r="B1298" s="0" t="s">
        <v>4991</v>
      </c>
      <c r="C1298" s="0" t="s">
        <v>70</v>
      </c>
      <c r="D1298" s="0" t="s">
        <v>4992</v>
      </c>
      <c r="E1298" s="3" t="n">
        <v>46273</v>
      </c>
      <c r="F1298" s="4" t="s">
        <v>4993</v>
      </c>
      <c r="G1298" s="5" t="n">
        <v>0.292013888888889</v>
      </c>
      <c r="H1298" s="5" t="n">
        <v>0.290810185185185</v>
      </c>
      <c r="I1298" s="5" t="n">
        <v>0.0133912037037037</v>
      </c>
      <c r="J1298" s="0" t="n">
        <v>4</v>
      </c>
      <c r="K1298" s="0" t="n">
        <v>18</v>
      </c>
      <c r="L1298" s="0" t="n">
        <v>0</v>
      </c>
      <c r="M1298" s="0" t="n">
        <v>0</v>
      </c>
      <c r="N1298" s="0" t="n">
        <v>21</v>
      </c>
      <c r="O1298" s="5" t="n">
        <v>0</v>
      </c>
      <c r="P1298" s="5" t="n">
        <v>0</v>
      </c>
      <c r="Q1298" s="4" t="s">
        <v>73</v>
      </c>
      <c r="R1298" s="4" t="s">
        <v>73</v>
      </c>
      <c r="S1298" s="5" t="n">
        <v>0</v>
      </c>
      <c r="T1298" s="5" t="n">
        <v>0.00173611111111111</v>
      </c>
      <c r="U1298" s="5" t="n">
        <v>0.153564814814815</v>
      </c>
      <c r="V1298" s="5" t="n">
        <v>0.0621064814814815</v>
      </c>
      <c r="W1298" s="5" t="n">
        <v>0.0369560185185185</v>
      </c>
      <c r="X1298" s="5" t="n">
        <v>0.019525462962963</v>
      </c>
      <c r="Y1298" s="5" t="n">
        <v>0.0546875</v>
      </c>
      <c r="Z1298" s="0" t="n">
        <v>0</v>
      </c>
      <c r="AA1298" s="0" t="n">
        <v>0</v>
      </c>
      <c r="AB1298" s="0" t="n">
        <v>0</v>
      </c>
      <c r="AC1298" s="4" t="s">
        <v>81</v>
      </c>
      <c r="AD1298" s="4" t="s">
        <v>74</v>
      </c>
      <c r="AE1298" s="4" t="s">
        <v>4994</v>
      </c>
      <c r="AF1298" s="4" t="s">
        <v>4995</v>
      </c>
      <c r="AG1298" s="5" t="n">
        <v>0.258680555555556</v>
      </c>
      <c r="AH1298" s="5" t="n">
        <v>0.169351851851852</v>
      </c>
      <c r="AI1298" s="5" t="n">
        <v>0</v>
      </c>
      <c r="AJ1298" s="5" t="n">
        <v>0</v>
      </c>
      <c r="AK1298" s="5" t="n">
        <v>0</v>
      </c>
      <c r="AL1298" s="5" t="n">
        <v>0</v>
      </c>
      <c r="AM1298" s="4" t="s">
        <v>78</v>
      </c>
      <c r="AN1298" s="0" t="n">
        <v>0</v>
      </c>
      <c r="AO1298" s="0" t="n">
        <v>0</v>
      </c>
      <c r="AP1298" s="0" t="n">
        <v>0</v>
      </c>
      <c r="AQ1298" s="0" t="n">
        <v>0</v>
      </c>
      <c r="AR1298" s="0" t="n">
        <v>0</v>
      </c>
      <c r="AS1298" s="0" t="n">
        <v>0</v>
      </c>
      <c r="AT1298" s="0" t="n">
        <v>1</v>
      </c>
      <c r="AU1298" s="0" t="n">
        <v>0</v>
      </c>
      <c r="AV1298" s="0" t="n">
        <v>0</v>
      </c>
      <c r="AW1298" s="0" t="n">
        <v>0</v>
      </c>
      <c r="AX1298" s="0" t="n">
        <v>0</v>
      </c>
      <c r="AY1298" s="0" t="n">
        <v>0</v>
      </c>
      <c r="AZ1298" s="0" t="n">
        <v>0</v>
      </c>
      <c r="BA1298" s="0" t="n">
        <v>0</v>
      </c>
      <c r="BB1298" s="0" t="n">
        <v>0</v>
      </c>
      <c r="BC1298" s="0" t="n">
        <v>0</v>
      </c>
      <c r="BD1298" s="0" t="n">
        <v>0</v>
      </c>
      <c r="BE1298" s="0" t="n">
        <v>0</v>
      </c>
      <c r="BF1298" s="0" t="n">
        <v>0</v>
      </c>
      <c r="BG1298" s="0" t="n">
        <v>0</v>
      </c>
      <c r="BH1298" s="0" t="n">
        <v>0</v>
      </c>
      <c r="BI1298" s="0" t="n">
        <v>0</v>
      </c>
      <c r="BJ1298" s="0" t="n">
        <v>0</v>
      </c>
      <c r="BK1298" s="0" t="n">
        <v>0</v>
      </c>
      <c r="BM1298" s="6" t="n">
        <f aca="false">IFERROR(VALUE(F1298),"")</f>
        <v>156.43</v>
      </c>
      <c r="BN1298" s="6" t="str">
        <f aca="false">IF(R1298="-","",IFERROR(VALUE(LEFT(Q1298,LEN(Q1298)-2)),""))</f>
        <v/>
      </c>
      <c r="BO1298" s="6" t="str">
        <f aca="false">IF(R1298="-","",IFERROR(VALUE(LEFT(R1298,LEN(R1298)-5)),""))</f>
        <v/>
      </c>
      <c r="BP1298" s="6" t="str">
        <f aca="false">IF(R1298="-","",IFERROR(VALUE(F1298),""))</f>
        <v/>
      </c>
      <c r="BQ1298" s="4" t="n">
        <f aca="false">IF(R1298="-",1,0)</f>
        <v>1</v>
      </c>
    </row>
    <row r="1299" customFormat="false" ht="15" hidden="false" customHeight="false" outlineLevel="0" collapsed="false">
      <c r="A1299" s="0" t="s">
        <v>4990</v>
      </c>
      <c r="B1299" s="0" t="s">
        <v>4991</v>
      </c>
      <c r="C1299" s="0" t="s">
        <v>70</v>
      </c>
      <c r="D1299" s="0" t="s">
        <v>4996</v>
      </c>
      <c r="E1299" s="3" t="n">
        <v>46274</v>
      </c>
      <c r="F1299" s="4" t="s">
        <v>4997</v>
      </c>
      <c r="G1299" s="5" t="n">
        <v>0.217731481481482</v>
      </c>
      <c r="H1299" s="5" t="n">
        <v>0.207662037037037</v>
      </c>
      <c r="I1299" s="5" t="n">
        <v>0.0165972222222222</v>
      </c>
      <c r="J1299" s="0" t="n">
        <v>1</v>
      </c>
      <c r="K1299" s="0" t="n">
        <v>15</v>
      </c>
      <c r="L1299" s="0" t="n">
        <v>0</v>
      </c>
      <c r="M1299" s="0" t="n">
        <v>0</v>
      </c>
      <c r="N1299" s="0" t="n">
        <v>21</v>
      </c>
      <c r="O1299" s="5" t="n">
        <v>0</v>
      </c>
      <c r="P1299" s="5" t="n">
        <v>0</v>
      </c>
      <c r="Q1299" s="4" t="s">
        <v>73</v>
      </c>
      <c r="R1299" s="4" t="s">
        <v>73</v>
      </c>
      <c r="S1299" s="5" t="n">
        <v>0</v>
      </c>
      <c r="T1299" s="5" t="n">
        <v>0.000810185185185185</v>
      </c>
      <c r="U1299" s="5" t="n">
        <v>0.102175925925926</v>
      </c>
      <c r="V1299" s="5" t="n">
        <v>0.0504861111111111</v>
      </c>
      <c r="W1299" s="5" t="n">
        <v>0.0293287037037037</v>
      </c>
      <c r="X1299" s="5" t="n">
        <v>0.0193634259259259</v>
      </c>
      <c r="Y1299" s="5" t="n">
        <v>0.0494212962962963</v>
      </c>
      <c r="Z1299" s="0" t="n">
        <v>0</v>
      </c>
      <c r="AA1299" s="0" t="n">
        <v>0</v>
      </c>
      <c r="AB1299" s="0" t="n">
        <v>0</v>
      </c>
      <c r="AC1299" s="4" t="s">
        <v>81</v>
      </c>
      <c r="AD1299" s="4" t="s">
        <v>75</v>
      </c>
      <c r="AE1299" s="4" t="s">
        <v>4995</v>
      </c>
      <c r="AF1299" s="4" t="s">
        <v>4998</v>
      </c>
      <c r="AG1299" s="5" t="n">
        <v>0.183113425925926</v>
      </c>
      <c r="AH1299" s="5" t="n">
        <v>0.186331018518519</v>
      </c>
      <c r="AI1299" s="5" t="n">
        <v>0</v>
      </c>
      <c r="AJ1299" s="5" t="n">
        <v>0</v>
      </c>
      <c r="AK1299" s="5" t="n">
        <v>0</v>
      </c>
      <c r="AL1299" s="5" t="n">
        <v>0</v>
      </c>
      <c r="AM1299" s="4" t="s">
        <v>78</v>
      </c>
      <c r="AN1299" s="0" t="n">
        <v>0</v>
      </c>
      <c r="AO1299" s="0" t="n">
        <v>3</v>
      </c>
      <c r="AP1299" s="0" t="n">
        <v>0</v>
      </c>
      <c r="AQ1299" s="0" t="n">
        <v>0</v>
      </c>
      <c r="AR1299" s="0" t="n">
        <v>0</v>
      </c>
      <c r="AS1299" s="0" t="n">
        <v>0</v>
      </c>
      <c r="AT1299" s="0" t="n">
        <v>0</v>
      </c>
      <c r="AU1299" s="0" t="n">
        <v>0</v>
      </c>
      <c r="AV1299" s="0" t="n">
        <v>0</v>
      </c>
      <c r="AW1299" s="0" t="n">
        <v>0</v>
      </c>
      <c r="AX1299" s="0" t="n">
        <v>0</v>
      </c>
      <c r="AY1299" s="0" t="n">
        <v>0</v>
      </c>
      <c r="AZ1299" s="0" t="n">
        <v>0</v>
      </c>
      <c r="BA1299" s="0" t="n">
        <v>0</v>
      </c>
      <c r="BB1299" s="0" t="n">
        <v>0</v>
      </c>
      <c r="BC1299" s="0" t="n">
        <v>0</v>
      </c>
      <c r="BD1299" s="0" t="n">
        <v>0</v>
      </c>
      <c r="BE1299" s="0" t="n">
        <v>0</v>
      </c>
      <c r="BF1299" s="0" t="n">
        <v>0</v>
      </c>
      <c r="BG1299" s="0" t="n">
        <v>0</v>
      </c>
      <c r="BH1299" s="0" t="n">
        <v>0</v>
      </c>
      <c r="BI1299" s="0" t="n">
        <v>0</v>
      </c>
      <c r="BJ1299" s="0" t="n">
        <v>0</v>
      </c>
      <c r="BK1299" s="0" t="n">
        <v>0</v>
      </c>
      <c r="BM1299" s="6" t="n">
        <f aca="false">IFERROR(VALUE(F1299),"")</f>
        <v>145.65</v>
      </c>
      <c r="BN1299" s="6" t="str">
        <f aca="false">IF(R1299="-","",IFERROR(VALUE(LEFT(Q1299,LEN(Q1299)-2)),""))</f>
        <v/>
      </c>
      <c r="BO1299" s="6" t="str">
        <f aca="false">IF(R1299="-","",IFERROR(VALUE(LEFT(R1299,LEN(R1299)-5)),""))</f>
        <v/>
      </c>
      <c r="BP1299" s="6" t="str">
        <f aca="false">IF(R1299="-","",IFERROR(VALUE(F1299),""))</f>
        <v/>
      </c>
      <c r="BQ1299" s="4" t="n">
        <f aca="false">IF(R1299="-",1,0)</f>
        <v>1</v>
      </c>
    </row>
    <row r="1300" customFormat="false" ht="15" hidden="false" customHeight="false" outlineLevel="0" collapsed="false">
      <c r="A1300" s="0" t="s">
        <v>4990</v>
      </c>
      <c r="B1300" s="0" t="s">
        <v>4991</v>
      </c>
      <c r="C1300" s="0" t="s">
        <v>70</v>
      </c>
      <c r="D1300" s="0" t="s">
        <v>4999</v>
      </c>
      <c r="E1300" s="3" t="n">
        <v>46275</v>
      </c>
      <c r="F1300" s="4" t="s">
        <v>5000</v>
      </c>
      <c r="G1300" s="5" t="n">
        <v>0.258958333333333</v>
      </c>
      <c r="H1300" s="5" t="n">
        <v>0.233356481481482</v>
      </c>
      <c r="I1300" s="5" t="n">
        <v>0.0303356481481482</v>
      </c>
      <c r="J1300" s="0" t="n">
        <v>0</v>
      </c>
      <c r="K1300" s="0" t="n">
        <v>23</v>
      </c>
      <c r="L1300" s="0" t="n">
        <v>0</v>
      </c>
      <c r="M1300" s="0" t="n">
        <v>0</v>
      </c>
      <c r="N1300" s="0" t="n">
        <v>16</v>
      </c>
      <c r="O1300" s="5" t="n">
        <v>0</v>
      </c>
      <c r="P1300" s="5" t="n">
        <v>0</v>
      </c>
      <c r="Q1300" s="4" t="s">
        <v>73</v>
      </c>
      <c r="R1300" s="4" t="s">
        <v>73</v>
      </c>
      <c r="S1300" s="5" t="n">
        <v>0</v>
      </c>
      <c r="T1300" s="5" t="n">
        <v>0.000358796296296296</v>
      </c>
      <c r="U1300" s="5" t="n">
        <v>0.12375</v>
      </c>
      <c r="V1300" s="5" t="n">
        <v>0.0532175925925926</v>
      </c>
      <c r="W1300" s="5" t="n">
        <v>0.0289814814814815</v>
      </c>
      <c r="X1300" s="5" t="n">
        <v>0.0286342592592593</v>
      </c>
      <c r="Y1300" s="5" t="n">
        <v>0.067349537037037</v>
      </c>
      <c r="Z1300" s="0" t="n">
        <v>0</v>
      </c>
      <c r="AA1300" s="0" t="n">
        <v>0</v>
      </c>
      <c r="AB1300" s="0" t="n">
        <v>0</v>
      </c>
      <c r="AC1300" s="4" t="s">
        <v>81</v>
      </c>
      <c r="AD1300" s="4" t="s">
        <v>228</v>
      </c>
      <c r="AE1300" s="4" t="s">
        <v>4998</v>
      </c>
      <c r="AF1300" s="4" t="s">
        <v>5001</v>
      </c>
      <c r="AG1300" s="5" t="n">
        <v>0.18974537037037</v>
      </c>
      <c r="AH1300" s="5" t="n">
        <v>0.222986111111111</v>
      </c>
      <c r="AI1300" s="5" t="n">
        <v>0</v>
      </c>
      <c r="AJ1300" s="5" t="n">
        <v>0</v>
      </c>
      <c r="AK1300" s="5" t="n">
        <v>0</v>
      </c>
      <c r="AL1300" s="5" t="n">
        <v>0</v>
      </c>
      <c r="AM1300" s="4" t="s">
        <v>78</v>
      </c>
      <c r="AN1300" s="0" t="n">
        <v>0</v>
      </c>
      <c r="AO1300" s="0" t="n">
        <v>0</v>
      </c>
      <c r="AP1300" s="0" t="n">
        <v>0</v>
      </c>
      <c r="AQ1300" s="0" t="n">
        <v>0</v>
      </c>
      <c r="AR1300" s="0" t="n">
        <v>0</v>
      </c>
      <c r="AS1300" s="0" t="n">
        <v>0</v>
      </c>
      <c r="AT1300" s="0" t="n">
        <v>0</v>
      </c>
      <c r="AU1300" s="0" t="n">
        <v>0</v>
      </c>
      <c r="AV1300" s="0" t="n">
        <v>0</v>
      </c>
      <c r="AW1300" s="0" t="n">
        <v>0</v>
      </c>
      <c r="AX1300" s="0" t="n">
        <v>0</v>
      </c>
      <c r="AY1300" s="0" t="n">
        <v>0</v>
      </c>
      <c r="AZ1300" s="0" t="n">
        <v>0</v>
      </c>
      <c r="BA1300" s="0" t="n">
        <v>0</v>
      </c>
      <c r="BB1300" s="0" t="n">
        <v>0</v>
      </c>
      <c r="BC1300" s="0" t="n">
        <v>0</v>
      </c>
      <c r="BD1300" s="0" t="n">
        <v>0</v>
      </c>
      <c r="BE1300" s="0" t="n">
        <v>0</v>
      </c>
      <c r="BF1300" s="0" t="n">
        <v>0</v>
      </c>
      <c r="BG1300" s="0" t="n">
        <v>0</v>
      </c>
      <c r="BH1300" s="0" t="n">
        <v>0</v>
      </c>
      <c r="BI1300" s="0" t="n">
        <v>0</v>
      </c>
      <c r="BJ1300" s="0" t="n">
        <v>0</v>
      </c>
      <c r="BK1300" s="0" t="n">
        <v>0</v>
      </c>
      <c r="BM1300" s="6" t="n">
        <f aca="false">IFERROR(VALUE(F1300),"")</f>
        <v>181.19</v>
      </c>
      <c r="BN1300" s="6" t="str">
        <f aca="false">IF(R1300="-","",IFERROR(VALUE(LEFT(Q1300,LEN(Q1300)-2)),""))</f>
        <v/>
      </c>
      <c r="BO1300" s="6" t="str">
        <f aca="false">IF(R1300="-","",IFERROR(VALUE(LEFT(R1300,LEN(R1300)-5)),""))</f>
        <v/>
      </c>
      <c r="BP1300" s="6" t="str">
        <f aca="false">IF(R1300="-","",IFERROR(VALUE(F1300),""))</f>
        <v/>
      </c>
      <c r="BQ1300" s="4" t="n">
        <f aca="false">IF(R1300="-",1,0)</f>
        <v>1</v>
      </c>
    </row>
    <row r="1301" customFormat="false" ht="15" hidden="false" customHeight="false" outlineLevel="0" collapsed="false">
      <c r="A1301" s="0" t="s">
        <v>4990</v>
      </c>
      <c r="B1301" s="0" t="s">
        <v>4991</v>
      </c>
      <c r="C1301" s="0" t="s">
        <v>70</v>
      </c>
      <c r="D1301" s="0" t="s">
        <v>5002</v>
      </c>
      <c r="E1301" s="3" t="n">
        <v>46276</v>
      </c>
      <c r="F1301" s="4" t="s">
        <v>5003</v>
      </c>
      <c r="G1301" s="5" t="n">
        <v>0.286111111111111</v>
      </c>
      <c r="H1301" s="5" t="n">
        <v>0.272824074074074</v>
      </c>
      <c r="I1301" s="5" t="n">
        <v>0.00975694444444445</v>
      </c>
      <c r="J1301" s="0" t="n">
        <v>0</v>
      </c>
      <c r="K1301" s="0" t="n">
        <v>9</v>
      </c>
      <c r="L1301" s="0" t="n">
        <v>0</v>
      </c>
      <c r="M1301" s="0" t="n">
        <v>0</v>
      </c>
      <c r="N1301" s="0" t="n">
        <v>19</v>
      </c>
      <c r="O1301" s="5" t="n">
        <v>0</v>
      </c>
      <c r="P1301" s="5" t="n">
        <v>0</v>
      </c>
      <c r="Q1301" s="4" t="s">
        <v>73</v>
      </c>
      <c r="R1301" s="4" t="s">
        <v>73</v>
      </c>
      <c r="S1301" s="5" t="n">
        <v>0</v>
      </c>
      <c r="T1301" s="5" t="n">
        <v>0.00150462962962963</v>
      </c>
      <c r="U1301" s="5" t="n">
        <v>0.148368055555556</v>
      </c>
      <c r="V1301" s="5" t="n">
        <v>0.0676851851851852</v>
      </c>
      <c r="W1301" s="5" t="n">
        <v>0.0332523148148148</v>
      </c>
      <c r="X1301" s="5" t="n">
        <v>0.022037037037037</v>
      </c>
      <c r="Y1301" s="5" t="n">
        <v>0.0465972222222222</v>
      </c>
      <c r="Z1301" s="0" t="n">
        <v>0</v>
      </c>
      <c r="AA1301" s="0" t="n">
        <v>0</v>
      </c>
      <c r="AB1301" s="0" t="n">
        <v>0</v>
      </c>
      <c r="AC1301" s="4" t="s">
        <v>81</v>
      </c>
      <c r="AD1301" s="4" t="s">
        <v>75</v>
      </c>
      <c r="AE1301" s="4" t="s">
        <v>5001</v>
      </c>
      <c r="AF1301" s="4" t="s">
        <v>5004</v>
      </c>
      <c r="AG1301" s="5" t="n">
        <v>0.24994212962963</v>
      </c>
      <c r="AH1301" s="5" t="n">
        <v>0.122511574074074</v>
      </c>
      <c r="AI1301" s="5" t="n">
        <v>0</v>
      </c>
      <c r="AJ1301" s="5" t="n">
        <v>0</v>
      </c>
      <c r="AK1301" s="5" t="n">
        <v>0</v>
      </c>
      <c r="AL1301" s="5" t="n">
        <v>0</v>
      </c>
      <c r="AM1301" s="4" t="s">
        <v>78</v>
      </c>
      <c r="AN1301" s="0" t="n">
        <v>0</v>
      </c>
      <c r="AO1301" s="0" t="n">
        <v>0</v>
      </c>
      <c r="AP1301" s="0" t="n">
        <v>0</v>
      </c>
      <c r="AQ1301" s="0" t="n">
        <v>0</v>
      </c>
      <c r="AR1301" s="0" t="n">
        <v>2</v>
      </c>
      <c r="AS1301" s="0" t="n">
        <v>0</v>
      </c>
      <c r="AT1301" s="0" t="n">
        <v>0</v>
      </c>
      <c r="AU1301" s="0" t="n">
        <v>0</v>
      </c>
      <c r="AV1301" s="0" t="n">
        <v>0</v>
      </c>
      <c r="AW1301" s="0" t="n">
        <v>0</v>
      </c>
      <c r="AX1301" s="0" t="n">
        <v>0</v>
      </c>
      <c r="AY1301" s="0" t="n">
        <v>0</v>
      </c>
      <c r="AZ1301" s="0" t="n">
        <v>0</v>
      </c>
      <c r="BA1301" s="0" t="n">
        <v>0</v>
      </c>
      <c r="BB1301" s="0" t="n">
        <v>0</v>
      </c>
      <c r="BC1301" s="0" t="n">
        <v>0</v>
      </c>
      <c r="BD1301" s="0" t="n">
        <v>0</v>
      </c>
      <c r="BE1301" s="0" t="n">
        <v>0</v>
      </c>
      <c r="BF1301" s="0" t="n">
        <v>0</v>
      </c>
      <c r="BG1301" s="0" t="n">
        <v>0</v>
      </c>
      <c r="BH1301" s="0" t="n">
        <v>0</v>
      </c>
      <c r="BI1301" s="0" t="n">
        <v>0</v>
      </c>
      <c r="BJ1301" s="0" t="n">
        <v>0</v>
      </c>
      <c r="BK1301" s="0" t="n">
        <v>0</v>
      </c>
      <c r="BM1301" s="6" t="n">
        <f aca="false">IFERROR(VALUE(F1301),"")</f>
        <v>162.77</v>
      </c>
      <c r="BN1301" s="6" t="str">
        <f aca="false">IF(R1301="-","",IFERROR(VALUE(LEFT(Q1301,LEN(Q1301)-2)),""))</f>
        <v/>
      </c>
      <c r="BO1301" s="6" t="str">
        <f aca="false">IF(R1301="-","",IFERROR(VALUE(LEFT(R1301,LEN(R1301)-5)),""))</f>
        <v/>
      </c>
      <c r="BP1301" s="6" t="str">
        <f aca="false">IF(R1301="-","",IFERROR(VALUE(F1301),""))</f>
        <v/>
      </c>
      <c r="BQ1301" s="4" t="n">
        <f aca="false">IF(R1301="-",1,0)</f>
        <v>1</v>
      </c>
    </row>
    <row r="1302" customFormat="false" ht="15" hidden="false" customHeight="false" outlineLevel="0" collapsed="false">
      <c r="A1302" s="0" t="s">
        <v>4990</v>
      </c>
      <c r="B1302" s="0" t="s">
        <v>4991</v>
      </c>
      <c r="C1302" s="0" t="s">
        <v>70</v>
      </c>
      <c r="E1302" s="3" t="n">
        <v>46277</v>
      </c>
      <c r="F1302" s="4" t="s">
        <v>2574</v>
      </c>
      <c r="G1302" s="5" t="n">
        <v>0.00332175925925926</v>
      </c>
      <c r="H1302" s="5" t="n">
        <v>0</v>
      </c>
      <c r="I1302" s="5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5" t="n">
        <v>0</v>
      </c>
      <c r="P1302" s="5" t="n">
        <v>0</v>
      </c>
      <c r="Q1302" s="4" t="s">
        <v>73</v>
      </c>
      <c r="R1302" s="4" t="s">
        <v>73</v>
      </c>
      <c r="S1302" s="5" t="n">
        <v>0</v>
      </c>
      <c r="T1302" s="5" t="n">
        <v>0</v>
      </c>
      <c r="U1302" s="5" t="n">
        <v>0.00300925925925926</v>
      </c>
      <c r="V1302" s="5" t="n">
        <v>0.000578703703703704</v>
      </c>
      <c r="W1302" s="5" t="n">
        <v>0</v>
      </c>
      <c r="X1302" s="5" t="n">
        <v>0</v>
      </c>
      <c r="Y1302" s="5" t="n">
        <v>0</v>
      </c>
      <c r="Z1302" s="0" t="n">
        <v>0</v>
      </c>
      <c r="AA1302" s="0" t="n">
        <v>0</v>
      </c>
      <c r="AB1302" s="0" t="n">
        <v>0</v>
      </c>
      <c r="AC1302" s="4" t="s">
        <v>81</v>
      </c>
      <c r="AD1302" s="4" t="s">
        <v>81</v>
      </c>
      <c r="AE1302" s="4" t="s">
        <v>5004</v>
      </c>
      <c r="AF1302" s="4" t="s">
        <v>5005</v>
      </c>
      <c r="AG1302" s="5" t="n">
        <v>0.00364583333333333</v>
      </c>
      <c r="AH1302" s="5" t="n">
        <v>0.0266203703703704</v>
      </c>
      <c r="AI1302" s="5" t="n">
        <v>0</v>
      </c>
      <c r="AJ1302" s="5" t="n">
        <v>0</v>
      </c>
      <c r="AK1302" s="5" t="n">
        <v>0</v>
      </c>
      <c r="AL1302" s="5" t="n">
        <v>0</v>
      </c>
      <c r="AM1302" s="4" t="s">
        <v>78</v>
      </c>
      <c r="AN1302" s="0" t="n">
        <v>0</v>
      </c>
      <c r="AO1302" s="0" t="n">
        <v>0</v>
      </c>
      <c r="AP1302" s="0" t="n">
        <v>0</v>
      </c>
      <c r="AQ1302" s="0" t="n">
        <v>0</v>
      </c>
      <c r="AR1302" s="0" t="n">
        <v>0</v>
      </c>
      <c r="AS1302" s="0" t="n">
        <v>0</v>
      </c>
      <c r="AT1302" s="0" t="n">
        <v>0</v>
      </c>
      <c r="AU1302" s="0" t="n">
        <v>0</v>
      </c>
      <c r="AV1302" s="0" t="n">
        <v>0</v>
      </c>
      <c r="AW1302" s="0" t="n">
        <v>0</v>
      </c>
      <c r="AX1302" s="0" t="n">
        <v>0</v>
      </c>
      <c r="AY1302" s="0" t="n">
        <v>0</v>
      </c>
      <c r="AZ1302" s="0" t="n">
        <v>0</v>
      </c>
      <c r="BA1302" s="0" t="n">
        <v>0</v>
      </c>
      <c r="BB1302" s="0" t="n">
        <v>0</v>
      </c>
      <c r="BC1302" s="0" t="n">
        <v>0</v>
      </c>
      <c r="BD1302" s="0" t="n">
        <v>0</v>
      </c>
      <c r="BE1302" s="0" t="n">
        <v>0</v>
      </c>
      <c r="BF1302" s="0" t="n">
        <v>0</v>
      </c>
      <c r="BG1302" s="0" t="n">
        <v>0</v>
      </c>
      <c r="BH1302" s="0" t="n">
        <v>0</v>
      </c>
      <c r="BI1302" s="0" t="n">
        <v>0</v>
      </c>
      <c r="BJ1302" s="0" t="n">
        <v>0</v>
      </c>
      <c r="BK1302" s="0" t="n">
        <v>0</v>
      </c>
      <c r="BM1302" s="6" t="n">
        <f aca="false">IFERROR(VALUE(F1302),"")</f>
        <v>0.4</v>
      </c>
      <c r="BN1302" s="6" t="str">
        <f aca="false">IF(R1302="-","",IFERROR(VALUE(LEFT(Q1302,LEN(Q1302)-2)),""))</f>
        <v/>
      </c>
      <c r="BO1302" s="6" t="str">
        <f aca="false">IF(R1302="-","",IFERROR(VALUE(LEFT(R1302,LEN(R1302)-5)),""))</f>
        <v/>
      </c>
      <c r="BP1302" s="6" t="str">
        <f aca="false">IF(R1302="-","",IFERROR(VALUE(F1302),""))</f>
        <v/>
      </c>
      <c r="BQ1302" s="4" t="n">
        <f aca="false">IF(R1302="-",1,0)</f>
        <v>1</v>
      </c>
    </row>
    <row r="1303" customFormat="false" ht="15" hidden="false" customHeight="false" outlineLevel="0" collapsed="false">
      <c r="A1303" s="0" t="s">
        <v>5006</v>
      </c>
      <c r="B1303" s="0" t="s">
        <v>5007</v>
      </c>
      <c r="C1303" s="0" t="s">
        <v>70</v>
      </c>
      <c r="E1303" s="3" t="n">
        <v>46273</v>
      </c>
      <c r="F1303" s="4" t="s">
        <v>5008</v>
      </c>
      <c r="G1303" s="5" t="n">
        <v>0.519212962962963</v>
      </c>
      <c r="H1303" s="5" t="n">
        <v>0</v>
      </c>
      <c r="I1303" s="5" t="n">
        <v>0.00293981481481482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5" t="n">
        <v>0</v>
      </c>
      <c r="P1303" s="5" t="n">
        <v>0.00707175925925926</v>
      </c>
      <c r="Q1303" s="4" t="s">
        <v>5009</v>
      </c>
      <c r="R1303" s="4" t="s">
        <v>4605</v>
      </c>
      <c r="S1303" s="5" t="n">
        <v>0.000231481481481482</v>
      </c>
      <c r="T1303" s="5" t="n">
        <v>0.105324074074074</v>
      </c>
      <c r="U1303" s="5" t="n">
        <v>0.360763888888889</v>
      </c>
      <c r="V1303" s="5" t="n">
        <v>0.0349537037037037</v>
      </c>
      <c r="W1303" s="5" t="n">
        <v>0</v>
      </c>
      <c r="X1303" s="5" t="n">
        <v>0</v>
      </c>
      <c r="Y1303" s="5" t="n">
        <v>0</v>
      </c>
      <c r="Z1303" s="0" t="n">
        <v>0</v>
      </c>
      <c r="AA1303" s="0" t="n">
        <v>0</v>
      </c>
      <c r="AB1303" s="0" t="n">
        <v>0</v>
      </c>
      <c r="AC1303" s="4" t="s">
        <v>1026</v>
      </c>
      <c r="AD1303" s="4" t="s">
        <v>852</v>
      </c>
      <c r="AE1303" s="4" t="s">
        <v>5010</v>
      </c>
      <c r="AF1303" s="4" t="s">
        <v>5011</v>
      </c>
      <c r="AG1303" s="5" t="n">
        <v>0.469479166666667</v>
      </c>
      <c r="AH1303" s="5" t="n">
        <v>0.10849537037037</v>
      </c>
      <c r="AI1303" s="5" t="n">
        <v>0</v>
      </c>
      <c r="AJ1303" s="5" t="n">
        <v>0</v>
      </c>
      <c r="AK1303" s="5" t="n">
        <v>0</v>
      </c>
      <c r="AL1303" s="5" t="n">
        <v>0</v>
      </c>
      <c r="AM1303" s="4" t="s">
        <v>78</v>
      </c>
      <c r="AN1303" s="0" t="n">
        <v>0</v>
      </c>
      <c r="AO1303" s="0" t="n">
        <v>0</v>
      </c>
      <c r="AP1303" s="0" t="n">
        <v>0</v>
      </c>
      <c r="AQ1303" s="0" t="n">
        <v>0</v>
      </c>
      <c r="AR1303" s="0" t="n">
        <v>0</v>
      </c>
      <c r="AS1303" s="0" t="n">
        <v>0</v>
      </c>
      <c r="AT1303" s="0" t="n">
        <v>0</v>
      </c>
      <c r="AU1303" s="0" t="n">
        <v>0</v>
      </c>
      <c r="AV1303" s="0" t="n">
        <v>0</v>
      </c>
      <c r="AW1303" s="0" t="n">
        <v>0</v>
      </c>
      <c r="AX1303" s="0" t="n">
        <v>0</v>
      </c>
      <c r="AY1303" s="0" t="n">
        <v>0</v>
      </c>
      <c r="AZ1303" s="0" t="n">
        <v>0</v>
      </c>
      <c r="BA1303" s="0" t="n">
        <v>0</v>
      </c>
      <c r="BB1303" s="0" t="n">
        <v>0</v>
      </c>
      <c r="BC1303" s="0" t="n">
        <v>0</v>
      </c>
      <c r="BD1303" s="0" t="n">
        <v>0</v>
      </c>
      <c r="BE1303" s="0" t="n">
        <v>0</v>
      </c>
      <c r="BF1303" s="0" t="n">
        <v>0</v>
      </c>
      <c r="BG1303" s="0" t="n">
        <v>0</v>
      </c>
      <c r="BH1303" s="0" t="n">
        <v>0</v>
      </c>
      <c r="BI1303" s="0" t="n">
        <v>0</v>
      </c>
      <c r="BJ1303" s="0" t="n">
        <v>0</v>
      </c>
      <c r="BK1303" s="0" t="n">
        <v>0</v>
      </c>
      <c r="BM1303" s="6" t="n">
        <f aca="false">IFERROR(VALUE(F1303),"")</f>
        <v>723.2</v>
      </c>
      <c r="BN1303" s="6" t="n">
        <f aca="false">IF(R1303="-","",IFERROR(VALUE(LEFT(Q1303,LEN(Q1303)-2)),""))</f>
        <v>192.49</v>
      </c>
      <c r="BO1303" s="6" t="n">
        <f aca="false">IF(R1303="-","",IFERROR(VALUE(LEFT(R1303,LEN(R1303)-5)),""))</f>
        <v>3.76</v>
      </c>
      <c r="BP1303" s="6" t="n">
        <f aca="false">IF(R1303="-","",IFERROR(VALUE(F1303),""))</f>
        <v>723.2</v>
      </c>
      <c r="BQ1303" s="4" t="n">
        <f aca="false">IF(R1303="-",1,0)</f>
        <v>0</v>
      </c>
    </row>
    <row r="1304" customFormat="false" ht="15" hidden="false" customHeight="false" outlineLevel="0" collapsed="false">
      <c r="A1304" s="0" t="s">
        <v>5006</v>
      </c>
      <c r="B1304" s="0" t="s">
        <v>5007</v>
      </c>
      <c r="C1304" s="0" t="s">
        <v>70</v>
      </c>
      <c r="D1304" s="0" t="s">
        <v>5012</v>
      </c>
      <c r="E1304" s="3" t="n">
        <v>46274</v>
      </c>
      <c r="F1304" s="4" t="s">
        <v>5013</v>
      </c>
      <c r="G1304" s="5" t="n">
        <v>0.0961342592592593</v>
      </c>
      <c r="H1304" s="5" t="n">
        <v>0.0146759259259259</v>
      </c>
      <c r="I1304" s="5" t="n">
        <v>9.25925925925926E-005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5" t="n">
        <v>0</v>
      </c>
      <c r="P1304" s="5" t="n">
        <v>0.018599537037037</v>
      </c>
      <c r="Q1304" s="4" t="s">
        <v>5014</v>
      </c>
      <c r="R1304" s="4" t="s">
        <v>5015</v>
      </c>
      <c r="S1304" s="5" t="n">
        <v>0.000231481481481482</v>
      </c>
      <c r="T1304" s="5" t="n">
        <v>0.0611111111111111</v>
      </c>
      <c r="U1304" s="5" t="n">
        <v>0.0195601851851852</v>
      </c>
      <c r="V1304" s="5" t="n">
        <v>0.000694444444444445</v>
      </c>
      <c r="W1304" s="5" t="n">
        <v>0</v>
      </c>
      <c r="X1304" s="5" t="n">
        <v>0</v>
      </c>
      <c r="Y1304" s="5" t="n">
        <v>0</v>
      </c>
      <c r="Z1304" s="0" t="n">
        <v>0</v>
      </c>
      <c r="AA1304" s="0" t="n">
        <v>0</v>
      </c>
      <c r="AB1304" s="0" t="n">
        <v>0</v>
      </c>
      <c r="AC1304" s="4" t="s">
        <v>852</v>
      </c>
      <c r="AD1304" s="4" t="s">
        <v>159</v>
      </c>
      <c r="AE1304" s="4" t="s">
        <v>5016</v>
      </c>
      <c r="AF1304" s="4" t="s">
        <v>5017</v>
      </c>
      <c r="AG1304" s="5" t="n">
        <v>0.0405671296296296</v>
      </c>
      <c r="AH1304" s="5" t="n">
        <v>0.148888888888889</v>
      </c>
      <c r="AI1304" s="5" t="n">
        <v>1.15740740740741E-005</v>
      </c>
      <c r="AJ1304" s="5" t="n">
        <v>0</v>
      </c>
      <c r="AK1304" s="5" t="n">
        <v>0</v>
      </c>
      <c r="AL1304" s="5" t="n">
        <v>0</v>
      </c>
      <c r="AM1304" s="4" t="s">
        <v>78</v>
      </c>
      <c r="AN1304" s="0" t="n">
        <v>0</v>
      </c>
      <c r="AO1304" s="0" t="n">
        <v>0</v>
      </c>
      <c r="AP1304" s="0" t="n">
        <v>0</v>
      </c>
      <c r="AQ1304" s="0" t="n">
        <v>0</v>
      </c>
      <c r="AR1304" s="0" t="n">
        <v>0</v>
      </c>
      <c r="AS1304" s="0" t="n">
        <v>0</v>
      </c>
      <c r="AT1304" s="0" t="n">
        <v>0</v>
      </c>
      <c r="AU1304" s="0" t="n">
        <v>0</v>
      </c>
      <c r="AV1304" s="0" t="n">
        <v>0</v>
      </c>
      <c r="AW1304" s="0" t="n">
        <v>0</v>
      </c>
      <c r="AX1304" s="0" t="n">
        <v>0</v>
      </c>
      <c r="AY1304" s="0" t="n">
        <v>0</v>
      </c>
      <c r="AZ1304" s="0" t="n">
        <v>0</v>
      </c>
      <c r="BA1304" s="0" t="n">
        <v>0</v>
      </c>
      <c r="BB1304" s="0" t="n">
        <v>0</v>
      </c>
      <c r="BC1304" s="0" t="n">
        <v>0</v>
      </c>
      <c r="BD1304" s="0" t="n">
        <v>0</v>
      </c>
      <c r="BE1304" s="0" t="n">
        <v>0</v>
      </c>
      <c r="BF1304" s="0" t="n">
        <v>0</v>
      </c>
      <c r="BG1304" s="0" t="n">
        <v>0</v>
      </c>
      <c r="BH1304" s="0" t="n">
        <v>0</v>
      </c>
      <c r="BI1304" s="0" t="n">
        <v>0</v>
      </c>
      <c r="BJ1304" s="0" t="n">
        <v>0</v>
      </c>
      <c r="BK1304" s="0" t="n">
        <v>0</v>
      </c>
      <c r="BM1304" s="6" t="n">
        <f aca="false">IFERROR(VALUE(F1304),"")</f>
        <v>17.25</v>
      </c>
      <c r="BN1304" s="6" t="n">
        <f aca="false">IF(R1304="-","",IFERROR(VALUE(LEFT(Q1304,LEN(Q1304)-2)),""))</f>
        <v>9.65</v>
      </c>
      <c r="BO1304" s="6" t="n">
        <f aca="false">IF(R1304="-","",IFERROR(VALUE(LEFT(R1304,LEN(R1304)-5)),""))</f>
        <v>1.79</v>
      </c>
      <c r="BP1304" s="6" t="n">
        <f aca="false">IF(R1304="-","",IFERROR(VALUE(F1304),""))</f>
        <v>17.25</v>
      </c>
      <c r="BQ1304" s="4" t="n">
        <f aca="false">IF(R1304="-",1,0)</f>
        <v>0</v>
      </c>
    </row>
    <row r="1305" customFormat="false" ht="15" hidden="false" customHeight="false" outlineLevel="0" collapsed="false">
      <c r="A1305" s="0" t="s">
        <v>5006</v>
      </c>
      <c r="B1305" s="0" t="s">
        <v>5007</v>
      </c>
      <c r="C1305" s="0" t="s">
        <v>70</v>
      </c>
      <c r="D1305" s="0" t="s">
        <v>5018</v>
      </c>
      <c r="E1305" s="3" t="n">
        <v>46275</v>
      </c>
      <c r="F1305" s="4" t="s">
        <v>5019</v>
      </c>
      <c r="G1305" s="5" t="n">
        <v>0.564363425925926</v>
      </c>
      <c r="H1305" s="5" t="n">
        <v>0.268854166666667</v>
      </c>
      <c r="I1305" s="5" t="n">
        <v>0.00208333333333333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5" t="n">
        <v>0</v>
      </c>
      <c r="P1305" s="5" t="n">
        <v>0</v>
      </c>
      <c r="Q1305" s="4" t="s">
        <v>5020</v>
      </c>
      <c r="R1305" s="4" t="s">
        <v>5021</v>
      </c>
      <c r="S1305" s="5" t="n">
        <v>0.000115740740740741</v>
      </c>
      <c r="T1305" s="5" t="n">
        <v>0.115972222222222</v>
      </c>
      <c r="U1305" s="5" t="n">
        <v>0.379513888888889</v>
      </c>
      <c r="V1305" s="5" t="n">
        <v>0.0384259259259259</v>
      </c>
      <c r="W1305" s="5" t="n">
        <v>0</v>
      </c>
      <c r="X1305" s="5" t="n">
        <v>0</v>
      </c>
      <c r="Y1305" s="5" t="n">
        <v>0</v>
      </c>
      <c r="Z1305" s="0" t="n">
        <v>0</v>
      </c>
      <c r="AA1305" s="0" t="n">
        <v>0</v>
      </c>
      <c r="AB1305" s="0" t="n">
        <v>0</v>
      </c>
      <c r="AC1305" s="4" t="s">
        <v>159</v>
      </c>
      <c r="AD1305" s="4" t="s">
        <v>1026</v>
      </c>
      <c r="AE1305" s="4" t="s">
        <v>5022</v>
      </c>
      <c r="AF1305" s="4" t="s">
        <v>5023</v>
      </c>
      <c r="AG1305" s="5" t="n">
        <v>0.489826388888889</v>
      </c>
      <c r="AH1305" s="5" t="n">
        <v>0.176840277777778</v>
      </c>
      <c r="AI1305" s="5" t="n">
        <v>0</v>
      </c>
      <c r="AJ1305" s="5" t="n">
        <v>0</v>
      </c>
      <c r="AK1305" s="5" t="n">
        <v>0</v>
      </c>
      <c r="AL1305" s="5" t="n">
        <v>0</v>
      </c>
      <c r="AM1305" s="4" t="s">
        <v>78</v>
      </c>
      <c r="AN1305" s="0" t="n">
        <v>0</v>
      </c>
      <c r="AO1305" s="0" t="n">
        <v>0</v>
      </c>
      <c r="AP1305" s="0" t="n">
        <v>0</v>
      </c>
      <c r="AQ1305" s="0" t="n">
        <v>0</v>
      </c>
      <c r="AR1305" s="0" t="n">
        <v>0</v>
      </c>
      <c r="AS1305" s="0" t="n">
        <v>0</v>
      </c>
      <c r="AT1305" s="0" t="n">
        <v>0</v>
      </c>
      <c r="AU1305" s="0" t="n">
        <v>0</v>
      </c>
      <c r="AV1305" s="0" t="n">
        <v>0</v>
      </c>
      <c r="AW1305" s="0" t="n">
        <v>0</v>
      </c>
      <c r="AX1305" s="0" t="n">
        <v>0</v>
      </c>
      <c r="AY1305" s="0" t="n">
        <v>0</v>
      </c>
      <c r="AZ1305" s="0" t="n">
        <v>0</v>
      </c>
      <c r="BA1305" s="0" t="n">
        <v>0</v>
      </c>
      <c r="BB1305" s="0" t="n">
        <v>0</v>
      </c>
      <c r="BC1305" s="0" t="n">
        <v>0</v>
      </c>
      <c r="BD1305" s="0" t="n">
        <v>0</v>
      </c>
      <c r="BE1305" s="0" t="n">
        <v>0</v>
      </c>
      <c r="BF1305" s="0" t="n">
        <v>0</v>
      </c>
      <c r="BG1305" s="0" t="n">
        <v>0</v>
      </c>
      <c r="BH1305" s="0" t="n">
        <v>0</v>
      </c>
      <c r="BI1305" s="0" t="n">
        <v>0</v>
      </c>
      <c r="BJ1305" s="0" t="n">
        <v>0</v>
      </c>
      <c r="BK1305" s="0" t="n">
        <v>0</v>
      </c>
      <c r="BM1305" s="6" t="n">
        <f aca="false">IFERROR(VALUE(F1305),"")</f>
        <v>730.75</v>
      </c>
      <c r="BN1305" s="6" t="n">
        <f aca="false">IF(R1305="-","",IFERROR(VALUE(LEFT(Q1305,LEN(Q1305)-2)),""))</f>
        <v>177.12</v>
      </c>
      <c r="BO1305" s="6" t="n">
        <f aca="false">IF(R1305="-","",IFERROR(VALUE(LEFT(R1305,LEN(R1305)-5)),""))</f>
        <v>4.13</v>
      </c>
      <c r="BP1305" s="6" t="n">
        <f aca="false">IF(R1305="-","",IFERROR(VALUE(F1305),""))</f>
        <v>730.75</v>
      </c>
      <c r="BQ1305" s="4" t="n">
        <f aca="false">IF(R1305="-",1,0)</f>
        <v>0</v>
      </c>
    </row>
    <row r="1306" customFormat="false" ht="15" hidden="false" customHeight="false" outlineLevel="0" collapsed="false">
      <c r="A1306" s="0" t="s">
        <v>5006</v>
      </c>
      <c r="B1306" s="0" t="s">
        <v>5007</v>
      </c>
      <c r="C1306" s="0" t="s">
        <v>70</v>
      </c>
      <c r="D1306" s="0" t="s">
        <v>5012</v>
      </c>
      <c r="E1306" s="3" t="n">
        <v>46276</v>
      </c>
      <c r="F1306" s="4" t="s">
        <v>5024</v>
      </c>
      <c r="G1306" s="5" t="n">
        <v>0.531296296296296</v>
      </c>
      <c r="H1306" s="5" t="n">
        <v>0.267997685185185</v>
      </c>
      <c r="I1306" s="5" t="n">
        <v>0.00266203703703704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5" t="n">
        <v>0</v>
      </c>
      <c r="P1306" s="5" t="n">
        <v>0.00709490740740741</v>
      </c>
      <c r="Q1306" s="4" t="s">
        <v>5025</v>
      </c>
      <c r="R1306" s="4" t="s">
        <v>3645</v>
      </c>
      <c r="S1306" s="5" t="n">
        <v>0</v>
      </c>
      <c r="T1306" s="5" t="n">
        <v>0.124074074074074</v>
      </c>
      <c r="U1306" s="5" t="n">
        <v>0.361111111111111</v>
      </c>
      <c r="V1306" s="5" t="n">
        <v>0.0322916666666667</v>
      </c>
      <c r="W1306" s="5" t="n">
        <v>0</v>
      </c>
      <c r="X1306" s="5" t="n">
        <v>0</v>
      </c>
      <c r="Y1306" s="5" t="n">
        <v>0</v>
      </c>
      <c r="Z1306" s="0" t="n">
        <v>0</v>
      </c>
      <c r="AA1306" s="0" t="n">
        <v>0</v>
      </c>
      <c r="AB1306" s="0" t="n">
        <v>0</v>
      </c>
      <c r="AC1306" s="4" t="s">
        <v>2377</v>
      </c>
      <c r="AD1306" s="4" t="s">
        <v>852</v>
      </c>
      <c r="AE1306" s="4" t="s">
        <v>5023</v>
      </c>
      <c r="AF1306" s="4" t="s">
        <v>5026</v>
      </c>
      <c r="AG1306" s="5" t="n">
        <v>0.482534722222222</v>
      </c>
      <c r="AH1306" s="5" t="n">
        <v>0.0994212962962963</v>
      </c>
      <c r="AI1306" s="5" t="n">
        <v>0</v>
      </c>
      <c r="AJ1306" s="5" t="n">
        <v>0</v>
      </c>
      <c r="AK1306" s="5" t="n">
        <v>0</v>
      </c>
      <c r="AL1306" s="5" t="n">
        <v>0</v>
      </c>
      <c r="AM1306" s="4" t="s">
        <v>78</v>
      </c>
      <c r="AN1306" s="0" t="n">
        <v>0</v>
      </c>
      <c r="AO1306" s="0" t="n">
        <v>0</v>
      </c>
      <c r="AP1306" s="0" t="n">
        <v>0</v>
      </c>
      <c r="AQ1306" s="0" t="n">
        <v>0</v>
      </c>
      <c r="AR1306" s="0" t="n">
        <v>0</v>
      </c>
      <c r="AS1306" s="0" t="n">
        <v>0</v>
      </c>
      <c r="AT1306" s="0" t="n">
        <v>0</v>
      </c>
      <c r="AU1306" s="0" t="n">
        <v>0</v>
      </c>
      <c r="AV1306" s="0" t="n">
        <v>0</v>
      </c>
      <c r="AW1306" s="0" t="n">
        <v>0</v>
      </c>
      <c r="AX1306" s="0" t="n">
        <v>0</v>
      </c>
      <c r="AY1306" s="0" t="n">
        <v>0</v>
      </c>
      <c r="AZ1306" s="0" t="n">
        <v>0</v>
      </c>
      <c r="BA1306" s="0" t="n">
        <v>0</v>
      </c>
      <c r="BB1306" s="0" t="n">
        <v>0</v>
      </c>
      <c r="BC1306" s="0" t="n">
        <v>0</v>
      </c>
      <c r="BD1306" s="0" t="n">
        <v>0</v>
      </c>
      <c r="BE1306" s="0" t="n">
        <v>0</v>
      </c>
      <c r="BF1306" s="0" t="n">
        <v>0</v>
      </c>
      <c r="BG1306" s="0" t="n">
        <v>0</v>
      </c>
      <c r="BH1306" s="0" t="n">
        <v>0</v>
      </c>
      <c r="BI1306" s="0" t="n">
        <v>0</v>
      </c>
      <c r="BJ1306" s="0" t="n">
        <v>0</v>
      </c>
      <c r="BK1306" s="0" t="n">
        <v>0</v>
      </c>
      <c r="BM1306" s="6" t="n">
        <f aca="false">IFERROR(VALUE(F1306),"")</f>
        <v>684.49</v>
      </c>
      <c r="BN1306" s="6" t="n">
        <f aca="false">IF(R1306="-","",IFERROR(VALUE(LEFT(Q1306,LEN(Q1306)-2)),""))</f>
        <v>183.21</v>
      </c>
      <c r="BO1306" s="6" t="n">
        <f aca="false">IF(R1306="-","",IFERROR(VALUE(LEFT(R1306,LEN(R1306)-5)),""))</f>
        <v>3.74</v>
      </c>
      <c r="BP1306" s="6" t="n">
        <f aca="false">IF(R1306="-","",IFERROR(VALUE(F1306),""))</f>
        <v>684.49</v>
      </c>
      <c r="BQ1306" s="4" t="n">
        <f aca="false">IF(R1306="-",1,0)</f>
        <v>0</v>
      </c>
    </row>
    <row r="1307" customFormat="false" ht="15" hidden="false" customHeight="false" outlineLevel="0" collapsed="false">
      <c r="A1307" s="0" t="s">
        <v>5006</v>
      </c>
      <c r="B1307" s="0" t="s">
        <v>5007</v>
      </c>
      <c r="C1307" s="0" t="s">
        <v>70</v>
      </c>
      <c r="D1307" s="0" t="s">
        <v>5027</v>
      </c>
      <c r="E1307" s="3" t="n">
        <v>46277</v>
      </c>
      <c r="F1307" s="4" t="s">
        <v>5028</v>
      </c>
      <c r="G1307" s="5" t="n">
        <v>0.133587962962963</v>
      </c>
      <c r="H1307" s="5" t="n">
        <v>0.101469907407407</v>
      </c>
      <c r="I1307" s="5" t="n">
        <v>0.00275462962962963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5" t="n">
        <v>0</v>
      </c>
      <c r="P1307" s="5" t="n">
        <v>0</v>
      </c>
      <c r="Q1307" s="4" t="s">
        <v>5029</v>
      </c>
      <c r="R1307" s="4" t="s">
        <v>3509</v>
      </c>
      <c r="S1307" s="5" t="n">
        <v>0.000347222222222222</v>
      </c>
      <c r="T1307" s="5" t="n">
        <v>0.0591435185185185</v>
      </c>
      <c r="U1307" s="5" t="n">
        <v>0.0523148148148148</v>
      </c>
      <c r="V1307" s="5" t="n">
        <v>0.00381944444444444</v>
      </c>
      <c r="W1307" s="5" t="n">
        <v>0</v>
      </c>
      <c r="X1307" s="5" t="n">
        <v>0</v>
      </c>
      <c r="Y1307" s="5" t="n">
        <v>0</v>
      </c>
      <c r="Z1307" s="0" t="n">
        <v>0</v>
      </c>
      <c r="AA1307" s="0" t="n">
        <v>0</v>
      </c>
      <c r="AB1307" s="0" t="n">
        <v>0</v>
      </c>
      <c r="AC1307" s="4" t="s">
        <v>852</v>
      </c>
      <c r="AD1307" s="4" t="s">
        <v>152</v>
      </c>
      <c r="AE1307" s="4" t="s">
        <v>5030</v>
      </c>
      <c r="AF1307" s="4" t="s">
        <v>5031</v>
      </c>
      <c r="AG1307" s="5" t="n">
        <v>0.0903587962962963</v>
      </c>
      <c r="AH1307" s="5" t="n">
        <v>0.129178240740741</v>
      </c>
      <c r="AI1307" s="5" t="n">
        <v>0</v>
      </c>
      <c r="AJ1307" s="5" t="n">
        <v>0</v>
      </c>
      <c r="AK1307" s="5" t="n">
        <v>0</v>
      </c>
      <c r="AL1307" s="5" t="n">
        <v>0</v>
      </c>
      <c r="AM1307" s="4" t="s">
        <v>78</v>
      </c>
      <c r="AN1307" s="0" t="n">
        <v>0</v>
      </c>
      <c r="AO1307" s="0" t="n">
        <v>0</v>
      </c>
      <c r="AP1307" s="0" t="n">
        <v>0</v>
      </c>
      <c r="AQ1307" s="0" t="n">
        <v>0</v>
      </c>
      <c r="AR1307" s="0" t="n">
        <v>0</v>
      </c>
      <c r="AS1307" s="0" t="n">
        <v>0</v>
      </c>
      <c r="AT1307" s="0" t="n">
        <v>0</v>
      </c>
      <c r="AU1307" s="0" t="n">
        <v>0</v>
      </c>
      <c r="AV1307" s="0" t="n">
        <v>0</v>
      </c>
      <c r="AW1307" s="0" t="n">
        <v>0</v>
      </c>
      <c r="AX1307" s="0" t="n">
        <v>0</v>
      </c>
      <c r="AY1307" s="0" t="n">
        <v>0</v>
      </c>
      <c r="AZ1307" s="0" t="n">
        <v>0</v>
      </c>
      <c r="BA1307" s="0" t="n">
        <v>0</v>
      </c>
      <c r="BB1307" s="0" t="n">
        <v>0</v>
      </c>
      <c r="BC1307" s="0" t="n">
        <v>0</v>
      </c>
      <c r="BD1307" s="0" t="n">
        <v>0</v>
      </c>
      <c r="BE1307" s="0" t="n">
        <v>0</v>
      </c>
      <c r="BF1307" s="0" t="n">
        <v>0</v>
      </c>
      <c r="BG1307" s="0" t="n">
        <v>0</v>
      </c>
      <c r="BH1307" s="0" t="n">
        <v>0</v>
      </c>
      <c r="BI1307" s="0" t="n">
        <v>0</v>
      </c>
      <c r="BJ1307" s="0" t="n">
        <v>0</v>
      </c>
      <c r="BK1307" s="0" t="n">
        <v>0</v>
      </c>
      <c r="BM1307" s="6" t="n">
        <f aca="false">IFERROR(VALUE(F1307),"")</f>
        <v>88.56</v>
      </c>
      <c r="BN1307" s="6" t="n">
        <f aca="false">IF(R1307="-","",IFERROR(VALUE(LEFT(Q1307,LEN(Q1307)-2)),""))</f>
        <v>25.08</v>
      </c>
      <c r="BO1307" s="6" t="n">
        <f aca="false">IF(R1307="-","",IFERROR(VALUE(LEFT(R1307,LEN(R1307)-5)),""))</f>
        <v>3.53</v>
      </c>
      <c r="BP1307" s="6" t="n">
        <f aca="false">IF(R1307="-","",IFERROR(VALUE(F1307),""))</f>
        <v>88.56</v>
      </c>
      <c r="BQ1307" s="4" t="n">
        <f aca="false">IF(R1307="-",1,0)</f>
        <v>0</v>
      </c>
    </row>
    <row r="1308" customFormat="false" ht="15" hidden="false" customHeight="false" outlineLevel="0" collapsed="false">
      <c r="A1308" s="0" t="s">
        <v>5006</v>
      </c>
      <c r="B1308" s="0" t="s">
        <v>5007</v>
      </c>
      <c r="C1308" s="0" t="s">
        <v>70</v>
      </c>
      <c r="D1308" s="0" t="s">
        <v>5012</v>
      </c>
      <c r="E1308" s="3" t="n">
        <v>46278</v>
      </c>
      <c r="F1308" s="4" t="s">
        <v>5032</v>
      </c>
      <c r="G1308" s="5" t="n">
        <v>0.0256944444444444</v>
      </c>
      <c r="H1308" s="5" t="n">
        <v>0.00546296296296296</v>
      </c>
      <c r="I1308" s="5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5" t="n">
        <v>0</v>
      </c>
      <c r="P1308" s="5" t="n">
        <v>0</v>
      </c>
      <c r="Q1308" s="4" t="s">
        <v>5033</v>
      </c>
      <c r="R1308" s="4" t="s">
        <v>5034</v>
      </c>
      <c r="S1308" s="5" t="n">
        <v>0</v>
      </c>
      <c r="T1308" s="5" t="n">
        <v>0.0143518518518519</v>
      </c>
      <c r="U1308" s="5" t="n">
        <v>0.00196759259259259</v>
      </c>
      <c r="V1308" s="5" t="n">
        <v>0.000231481481481482</v>
      </c>
      <c r="W1308" s="5" t="n">
        <v>0</v>
      </c>
      <c r="X1308" s="5" t="n">
        <v>0</v>
      </c>
      <c r="Y1308" s="5" t="n">
        <v>0</v>
      </c>
      <c r="Z1308" s="0" t="n">
        <v>0</v>
      </c>
      <c r="AA1308" s="0" t="n">
        <v>0</v>
      </c>
      <c r="AB1308" s="0" t="n">
        <v>0</v>
      </c>
      <c r="AC1308" s="4" t="s">
        <v>152</v>
      </c>
      <c r="AD1308" s="4" t="s">
        <v>159</v>
      </c>
      <c r="AE1308" s="4" t="s">
        <v>5031</v>
      </c>
      <c r="AF1308" s="4" t="s">
        <v>5035</v>
      </c>
      <c r="AG1308" s="5" t="n">
        <v>0.0107523148148148</v>
      </c>
      <c r="AH1308" s="5" t="n">
        <v>0.0228819444444444</v>
      </c>
      <c r="AI1308" s="5" t="n">
        <v>0</v>
      </c>
      <c r="AJ1308" s="5" t="n">
        <v>0</v>
      </c>
      <c r="AK1308" s="5" t="n">
        <v>0</v>
      </c>
      <c r="AL1308" s="5" t="n">
        <v>0</v>
      </c>
      <c r="AM1308" s="4" t="s">
        <v>78</v>
      </c>
      <c r="AN1308" s="0" t="n">
        <v>0</v>
      </c>
      <c r="AO1308" s="0" t="n">
        <v>0</v>
      </c>
      <c r="AP1308" s="0" t="n">
        <v>0</v>
      </c>
      <c r="AQ1308" s="0" t="n">
        <v>0</v>
      </c>
      <c r="AR1308" s="0" t="n">
        <v>0</v>
      </c>
      <c r="AS1308" s="0" t="n">
        <v>0</v>
      </c>
      <c r="AT1308" s="0" t="n">
        <v>0</v>
      </c>
      <c r="AU1308" s="0" t="n">
        <v>0</v>
      </c>
      <c r="AV1308" s="0" t="n">
        <v>0</v>
      </c>
      <c r="AW1308" s="0" t="n">
        <v>0</v>
      </c>
      <c r="AX1308" s="0" t="n">
        <v>0</v>
      </c>
      <c r="AY1308" s="0" t="n">
        <v>0</v>
      </c>
      <c r="AZ1308" s="0" t="n">
        <v>0</v>
      </c>
      <c r="BA1308" s="0" t="n">
        <v>0</v>
      </c>
      <c r="BB1308" s="0" t="n">
        <v>0</v>
      </c>
      <c r="BC1308" s="0" t="n">
        <v>0</v>
      </c>
      <c r="BD1308" s="0" t="n">
        <v>0</v>
      </c>
      <c r="BE1308" s="0" t="n">
        <v>0</v>
      </c>
      <c r="BF1308" s="0" t="n">
        <v>0</v>
      </c>
      <c r="BG1308" s="0" t="n">
        <v>0</v>
      </c>
      <c r="BH1308" s="0" t="n">
        <v>0</v>
      </c>
      <c r="BI1308" s="0" t="n">
        <v>0</v>
      </c>
      <c r="BJ1308" s="0" t="n">
        <v>0</v>
      </c>
      <c r="BK1308" s="0" t="n">
        <v>0</v>
      </c>
      <c r="BM1308" s="6" t="n">
        <f aca="false">IFERROR(VALUE(F1308),"")</f>
        <v>3.64</v>
      </c>
      <c r="BN1308" s="6" t="n">
        <f aca="false">IF(R1308="-","",IFERROR(VALUE(LEFT(Q1308,LEN(Q1308)-2)),""))</f>
        <v>3.04</v>
      </c>
      <c r="BO1308" s="6" t="n">
        <f aca="false">IF(R1308="-","",IFERROR(VALUE(LEFT(R1308,LEN(R1308)-5)),""))</f>
        <v>1.2</v>
      </c>
      <c r="BP1308" s="6" t="n">
        <f aca="false">IF(R1308="-","",IFERROR(VALUE(F1308),""))</f>
        <v>3.64</v>
      </c>
      <c r="BQ1308" s="4" t="n">
        <f aca="false">IF(R1308="-",1,0)</f>
        <v>0</v>
      </c>
    </row>
    <row r="1309" customFormat="false" ht="15" hidden="false" customHeight="false" outlineLevel="0" collapsed="false">
      <c r="A1309" s="0" t="s">
        <v>5006</v>
      </c>
      <c r="B1309" s="0" t="s">
        <v>5007</v>
      </c>
      <c r="C1309" s="0" t="s">
        <v>70</v>
      </c>
      <c r="D1309" s="0" t="s">
        <v>5036</v>
      </c>
      <c r="E1309" s="3" t="n">
        <v>46279</v>
      </c>
      <c r="F1309" s="4" t="s">
        <v>5037</v>
      </c>
      <c r="G1309" s="5" t="n">
        <v>0.584479166666667</v>
      </c>
      <c r="H1309" s="5" t="n">
        <v>0.528946759259259</v>
      </c>
      <c r="I1309" s="5" t="n">
        <v>0.00608796296296296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5" t="n">
        <v>0</v>
      </c>
      <c r="P1309" s="5" t="n">
        <v>0.0255671296296296</v>
      </c>
      <c r="Q1309" s="4" t="s">
        <v>5038</v>
      </c>
      <c r="R1309" s="4" t="s">
        <v>3906</v>
      </c>
      <c r="S1309" s="5" t="n">
        <v>0.000925925925925926</v>
      </c>
      <c r="T1309" s="5" t="n">
        <v>0.139583333333333</v>
      </c>
      <c r="U1309" s="5" t="n">
        <v>0.398958333333333</v>
      </c>
      <c r="V1309" s="5" t="n">
        <v>0.0212962962962963</v>
      </c>
      <c r="W1309" s="5" t="n">
        <v>0</v>
      </c>
      <c r="X1309" s="5" t="n">
        <v>0</v>
      </c>
      <c r="Y1309" s="5" t="n">
        <v>0</v>
      </c>
      <c r="Z1309" s="0" t="n">
        <v>0</v>
      </c>
      <c r="AA1309" s="0" t="n">
        <v>0</v>
      </c>
      <c r="AB1309" s="0" t="n">
        <v>0</v>
      </c>
      <c r="AC1309" s="4" t="s">
        <v>5039</v>
      </c>
      <c r="AD1309" s="4" t="s">
        <v>1026</v>
      </c>
      <c r="AE1309" s="4" t="s">
        <v>5040</v>
      </c>
      <c r="AF1309" s="4" t="s">
        <v>5041</v>
      </c>
      <c r="AG1309" s="5" t="n">
        <v>0.495671296296296</v>
      </c>
      <c r="AH1309" s="5" t="n">
        <v>0.154895833333333</v>
      </c>
      <c r="AI1309" s="5" t="n">
        <v>0</v>
      </c>
      <c r="AJ1309" s="5" t="n">
        <v>0</v>
      </c>
      <c r="AK1309" s="5" t="n">
        <v>0</v>
      </c>
      <c r="AL1309" s="5" t="n">
        <v>0</v>
      </c>
      <c r="AM1309" s="4" t="s">
        <v>78</v>
      </c>
      <c r="AN1309" s="0" t="n">
        <v>0</v>
      </c>
      <c r="AO1309" s="0" t="n">
        <v>0</v>
      </c>
      <c r="AP1309" s="0" t="n">
        <v>0</v>
      </c>
      <c r="AQ1309" s="0" t="n">
        <v>0</v>
      </c>
      <c r="AR1309" s="0" t="n">
        <v>0</v>
      </c>
      <c r="AS1309" s="0" t="n">
        <v>0</v>
      </c>
      <c r="AT1309" s="0" t="n">
        <v>0</v>
      </c>
      <c r="AU1309" s="0" t="n">
        <v>0</v>
      </c>
      <c r="AV1309" s="0" t="n">
        <v>0</v>
      </c>
      <c r="AW1309" s="0" t="n">
        <v>0</v>
      </c>
      <c r="AX1309" s="0" t="n">
        <v>0</v>
      </c>
      <c r="AY1309" s="0" t="n">
        <v>0</v>
      </c>
      <c r="AZ1309" s="0" t="n">
        <v>0</v>
      </c>
      <c r="BA1309" s="0" t="n">
        <v>0</v>
      </c>
      <c r="BB1309" s="0" t="n">
        <v>0</v>
      </c>
      <c r="BC1309" s="0" t="n">
        <v>0</v>
      </c>
      <c r="BD1309" s="0" t="n">
        <v>0</v>
      </c>
      <c r="BE1309" s="0" t="n">
        <v>0</v>
      </c>
      <c r="BF1309" s="0" t="n">
        <v>0</v>
      </c>
      <c r="BG1309" s="0" t="n">
        <v>0</v>
      </c>
      <c r="BH1309" s="0" t="n">
        <v>0</v>
      </c>
      <c r="BI1309" s="0" t="n">
        <v>0</v>
      </c>
      <c r="BJ1309" s="0" t="n">
        <v>0</v>
      </c>
      <c r="BK1309" s="0" t="n">
        <v>0</v>
      </c>
      <c r="BM1309" s="6" t="n">
        <f aca="false">IFERROR(VALUE(F1309),"")</f>
        <v>727.96</v>
      </c>
      <c r="BN1309" s="6" t="n">
        <f aca="false">IF(R1309="-","",IFERROR(VALUE(LEFT(Q1309,LEN(Q1309)-2)),""))</f>
        <v>170.3</v>
      </c>
      <c r="BO1309" s="6" t="n">
        <f aca="false">IF(R1309="-","",IFERROR(VALUE(LEFT(R1309,LEN(R1309)-5)),""))</f>
        <v>4.27</v>
      </c>
      <c r="BP1309" s="6" t="n">
        <f aca="false">IF(R1309="-","",IFERROR(VALUE(F1309),""))</f>
        <v>727.96</v>
      </c>
      <c r="BQ1309" s="4" t="n">
        <f aca="false">IF(R1309="-",1,0)</f>
        <v>0</v>
      </c>
    </row>
    <row r="1310" customFormat="false" ht="15" hidden="false" customHeight="false" outlineLevel="0" collapsed="false">
      <c r="A1310" s="0" t="s">
        <v>5042</v>
      </c>
      <c r="B1310" s="0" t="s">
        <v>5043</v>
      </c>
      <c r="C1310" s="0" t="s">
        <v>70</v>
      </c>
      <c r="E1310" s="3" t="n">
        <v>46273</v>
      </c>
      <c r="F1310" s="4" t="s">
        <v>5044</v>
      </c>
      <c r="G1310" s="5" t="n">
        <v>0.462696759259259</v>
      </c>
      <c r="H1310" s="5" t="n">
        <v>0</v>
      </c>
      <c r="I1310" s="5" t="n">
        <v>0.000231481481481482</v>
      </c>
      <c r="J1310" s="0" t="n">
        <v>1</v>
      </c>
      <c r="K1310" s="0" t="n">
        <v>1</v>
      </c>
      <c r="L1310" s="0" t="n">
        <v>0</v>
      </c>
      <c r="M1310" s="0" t="n">
        <v>0</v>
      </c>
      <c r="N1310" s="0" t="n">
        <v>0</v>
      </c>
      <c r="O1310" s="5" t="n">
        <v>0</v>
      </c>
      <c r="P1310" s="5" t="n">
        <v>0</v>
      </c>
      <c r="Q1310" s="4" t="s">
        <v>73</v>
      </c>
      <c r="R1310" s="4" t="s">
        <v>73</v>
      </c>
      <c r="S1310" s="5" t="n">
        <v>0</v>
      </c>
      <c r="T1310" s="5" t="n">
        <v>0.000231481481481482</v>
      </c>
      <c r="U1310" s="5" t="n">
        <v>0.000578703703703704</v>
      </c>
      <c r="V1310" s="5" t="n">
        <v>0.000115740740740741</v>
      </c>
      <c r="W1310" s="5" t="n">
        <v>0</v>
      </c>
      <c r="X1310" s="5" t="n">
        <v>0</v>
      </c>
      <c r="Y1310" s="5" t="n">
        <v>0</v>
      </c>
      <c r="Z1310" s="0" t="n">
        <v>0</v>
      </c>
      <c r="AA1310" s="0" t="n">
        <v>0</v>
      </c>
      <c r="AB1310" s="0" t="n">
        <v>0</v>
      </c>
      <c r="AC1310" s="4" t="s">
        <v>5045</v>
      </c>
      <c r="AD1310" s="4" t="s">
        <v>208</v>
      </c>
      <c r="AE1310" s="4" t="s">
        <v>5046</v>
      </c>
      <c r="AF1310" s="4" t="s">
        <v>5047</v>
      </c>
      <c r="AG1310" s="5" t="n">
        <v>0.342025462962963</v>
      </c>
      <c r="AH1310" s="5" t="n">
        <v>0.203587962962963</v>
      </c>
      <c r="AI1310" s="5" t="n">
        <v>0</v>
      </c>
      <c r="AJ1310" s="5" t="n">
        <v>0</v>
      </c>
      <c r="AK1310" s="5" t="n">
        <v>0</v>
      </c>
      <c r="AL1310" s="5" t="n">
        <v>0</v>
      </c>
      <c r="AM1310" s="4" t="s">
        <v>78</v>
      </c>
      <c r="AN1310" s="0" t="n">
        <v>0</v>
      </c>
      <c r="AO1310" s="0" t="n">
        <v>0</v>
      </c>
      <c r="AP1310" s="0" t="n">
        <v>0</v>
      </c>
      <c r="AQ1310" s="0" t="n">
        <v>0</v>
      </c>
      <c r="AR1310" s="0" t="n">
        <v>0</v>
      </c>
      <c r="AS1310" s="0" t="n">
        <v>0</v>
      </c>
      <c r="AT1310" s="0" t="n">
        <v>0</v>
      </c>
      <c r="AU1310" s="0" t="n">
        <v>0</v>
      </c>
      <c r="AV1310" s="0" t="n">
        <v>0</v>
      </c>
      <c r="AW1310" s="0" t="n">
        <v>0</v>
      </c>
      <c r="AX1310" s="0" t="n">
        <v>0</v>
      </c>
      <c r="AY1310" s="0" t="n">
        <v>0</v>
      </c>
      <c r="AZ1310" s="0" t="n">
        <v>0</v>
      </c>
      <c r="BA1310" s="0" t="n">
        <v>0</v>
      </c>
      <c r="BB1310" s="0" t="n">
        <v>0</v>
      </c>
      <c r="BC1310" s="0" t="n">
        <v>0</v>
      </c>
      <c r="BD1310" s="0" t="n">
        <v>0</v>
      </c>
      <c r="BE1310" s="0" t="n">
        <v>0</v>
      </c>
      <c r="BF1310" s="0" t="n">
        <v>0</v>
      </c>
      <c r="BG1310" s="0" t="n">
        <v>0</v>
      </c>
      <c r="BH1310" s="0" t="n">
        <v>0</v>
      </c>
      <c r="BI1310" s="0" t="n">
        <v>0</v>
      </c>
      <c r="BJ1310" s="0" t="n">
        <v>0</v>
      </c>
      <c r="BK1310" s="0" t="n">
        <v>0</v>
      </c>
      <c r="BM1310" s="6" t="n">
        <f aca="false">IFERROR(VALUE(F1310),"")</f>
        <v>425.35</v>
      </c>
      <c r="BN1310" s="6" t="str">
        <f aca="false">IF(R1310="-","",IFERROR(VALUE(LEFT(Q1310,LEN(Q1310)-2)),""))</f>
        <v/>
      </c>
      <c r="BO1310" s="6" t="str">
        <f aca="false">IF(R1310="-","",IFERROR(VALUE(LEFT(R1310,LEN(R1310)-5)),""))</f>
        <v/>
      </c>
      <c r="BP1310" s="6" t="str">
        <f aca="false">IF(R1310="-","",IFERROR(VALUE(F1310),""))</f>
        <v/>
      </c>
      <c r="BQ1310" s="4" t="n">
        <f aca="false">IF(R1310="-",1,0)</f>
        <v>1</v>
      </c>
    </row>
    <row r="1311" customFormat="false" ht="15" hidden="false" customHeight="false" outlineLevel="0" collapsed="false">
      <c r="A1311" s="0" t="s">
        <v>5042</v>
      </c>
      <c r="B1311" s="0" t="s">
        <v>5043</v>
      </c>
      <c r="C1311" s="0" t="s">
        <v>70</v>
      </c>
      <c r="E1311" s="3" t="n">
        <v>46274</v>
      </c>
      <c r="F1311" s="4" t="s">
        <v>5048</v>
      </c>
      <c r="G1311" s="5" t="n">
        <v>0.329918981481482</v>
      </c>
      <c r="H1311" s="5" t="n">
        <v>0</v>
      </c>
      <c r="I1311" s="5" t="n">
        <v>0.00106481481481482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1</v>
      </c>
      <c r="O1311" s="5" t="n">
        <v>0</v>
      </c>
      <c r="P1311" s="5" t="n">
        <v>0</v>
      </c>
      <c r="Q1311" s="4" t="s">
        <v>5049</v>
      </c>
      <c r="R1311" s="4" t="s">
        <v>5050</v>
      </c>
      <c r="S1311" s="5" t="n">
        <v>0</v>
      </c>
      <c r="T1311" s="5" t="n">
        <v>0.0240740740740741</v>
      </c>
      <c r="U1311" s="5" t="n">
        <v>0.096875</v>
      </c>
      <c r="V1311" s="5" t="n">
        <v>0.0142361111111111</v>
      </c>
      <c r="W1311" s="5" t="n">
        <v>0</v>
      </c>
      <c r="X1311" s="5" t="n">
        <v>0</v>
      </c>
      <c r="Y1311" s="5" t="n">
        <v>0</v>
      </c>
      <c r="Z1311" s="0" t="n">
        <v>0</v>
      </c>
      <c r="AA1311" s="0" t="n">
        <v>0</v>
      </c>
      <c r="AB1311" s="0" t="n">
        <v>0</v>
      </c>
      <c r="AC1311" s="4" t="s">
        <v>208</v>
      </c>
      <c r="AD1311" s="4" t="s">
        <v>994</v>
      </c>
      <c r="AE1311" s="4" t="s">
        <v>5047</v>
      </c>
      <c r="AF1311" s="4" t="s">
        <v>5051</v>
      </c>
      <c r="AG1311" s="5" t="n">
        <v>0.380740740740741</v>
      </c>
      <c r="AH1311" s="5" t="n">
        <v>0.17818287037037</v>
      </c>
      <c r="AI1311" s="5" t="n">
        <v>0</v>
      </c>
      <c r="AJ1311" s="5" t="n">
        <v>0</v>
      </c>
      <c r="AK1311" s="5" t="n">
        <v>0</v>
      </c>
      <c r="AL1311" s="5" t="n">
        <v>0</v>
      </c>
      <c r="AM1311" s="4" t="s">
        <v>78</v>
      </c>
      <c r="AN1311" s="0" t="n">
        <v>0</v>
      </c>
      <c r="AO1311" s="0" t="n">
        <v>0</v>
      </c>
      <c r="AP1311" s="0" t="n">
        <v>0</v>
      </c>
      <c r="AQ1311" s="0" t="n">
        <v>0</v>
      </c>
      <c r="AR1311" s="0" t="n">
        <v>1</v>
      </c>
      <c r="AS1311" s="0" t="n">
        <v>0</v>
      </c>
      <c r="AT1311" s="0" t="n">
        <v>0</v>
      </c>
      <c r="AU1311" s="0" t="n">
        <v>0</v>
      </c>
      <c r="AV1311" s="0" t="n">
        <v>0</v>
      </c>
      <c r="AW1311" s="0" t="n">
        <v>0</v>
      </c>
      <c r="AX1311" s="0" t="n">
        <v>0</v>
      </c>
      <c r="AY1311" s="0" t="n">
        <v>0</v>
      </c>
      <c r="AZ1311" s="0" t="n">
        <v>0</v>
      </c>
      <c r="BA1311" s="0" t="n">
        <v>0</v>
      </c>
      <c r="BB1311" s="0" t="n">
        <v>0</v>
      </c>
      <c r="BC1311" s="0" t="n">
        <v>0</v>
      </c>
      <c r="BD1311" s="0" t="n">
        <v>0</v>
      </c>
      <c r="BE1311" s="0" t="n">
        <v>0</v>
      </c>
      <c r="BF1311" s="0" t="n">
        <v>0</v>
      </c>
      <c r="BG1311" s="0" t="n">
        <v>0</v>
      </c>
      <c r="BH1311" s="0" t="n">
        <v>0</v>
      </c>
      <c r="BI1311" s="0" t="n">
        <v>0</v>
      </c>
      <c r="BJ1311" s="0" t="n">
        <v>0</v>
      </c>
      <c r="BK1311" s="0" t="n">
        <v>0</v>
      </c>
      <c r="BM1311" s="6" t="n">
        <f aca="false">IFERROR(VALUE(F1311),"")</f>
        <v>489.52</v>
      </c>
      <c r="BN1311" s="6" t="n">
        <f aca="false">IF(R1311="-","",IFERROR(VALUE(LEFT(Q1311,LEN(Q1311)-2)),""))</f>
        <v>50.35</v>
      </c>
      <c r="BO1311" s="6" t="n">
        <f aca="false">IF(R1311="-","",IFERROR(VALUE(LEFT(R1311,LEN(R1311)-5)),""))</f>
        <v>9.72</v>
      </c>
      <c r="BP1311" s="6" t="n">
        <f aca="false">IF(R1311="-","",IFERROR(VALUE(F1311),""))</f>
        <v>489.52</v>
      </c>
      <c r="BQ1311" s="4" t="n">
        <f aca="false">IF(R1311="-",1,0)</f>
        <v>0</v>
      </c>
    </row>
    <row r="1312" customFormat="false" ht="15" hidden="false" customHeight="false" outlineLevel="0" collapsed="false">
      <c r="A1312" s="0" t="s">
        <v>5042</v>
      </c>
      <c r="B1312" s="0" t="s">
        <v>5043</v>
      </c>
      <c r="C1312" s="0" t="s">
        <v>70</v>
      </c>
      <c r="E1312" s="3" t="n">
        <v>46275</v>
      </c>
      <c r="F1312" s="4" t="s">
        <v>5052</v>
      </c>
      <c r="G1312" s="5" t="n">
        <v>0.756412037037037</v>
      </c>
      <c r="H1312" s="5" t="n">
        <v>0</v>
      </c>
      <c r="I1312" s="5" t="n">
        <v>0.00121527777777778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3</v>
      </c>
      <c r="O1312" s="5" t="n">
        <v>0</v>
      </c>
      <c r="P1312" s="5" t="n">
        <v>0</v>
      </c>
      <c r="Q1312" s="4" t="s">
        <v>5053</v>
      </c>
      <c r="R1312" s="4" t="s">
        <v>5054</v>
      </c>
      <c r="S1312" s="5" t="n">
        <v>0</v>
      </c>
      <c r="T1312" s="5" t="n">
        <v>0.000810185185185185</v>
      </c>
      <c r="U1312" s="5" t="n">
        <v>0.00416666666666667</v>
      </c>
      <c r="V1312" s="5" t="n">
        <v>0</v>
      </c>
      <c r="W1312" s="5" t="n">
        <v>0</v>
      </c>
      <c r="X1312" s="5" t="n">
        <v>0</v>
      </c>
      <c r="Y1312" s="5" t="n">
        <v>0</v>
      </c>
      <c r="Z1312" s="0" t="n">
        <v>0</v>
      </c>
      <c r="AA1312" s="0" t="n">
        <v>0</v>
      </c>
      <c r="AB1312" s="0" t="n">
        <v>0</v>
      </c>
      <c r="AC1312" s="4" t="s">
        <v>994</v>
      </c>
      <c r="AD1312" s="4" t="s">
        <v>5055</v>
      </c>
      <c r="AE1312" s="4" t="s">
        <v>5056</v>
      </c>
      <c r="AF1312" s="4" t="s">
        <v>5057</v>
      </c>
      <c r="AG1312" s="5" t="n">
        <v>0.596875</v>
      </c>
      <c r="AH1312" s="5" t="n">
        <v>0.230104166666667</v>
      </c>
      <c r="AI1312" s="5" t="n">
        <v>0</v>
      </c>
      <c r="AJ1312" s="5" t="n">
        <v>0</v>
      </c>
      <c r="AK1312" s="5" t="n">
        <v>0</v>
      </c>
      <c r="AL1312" s="5" t="n">
        <v>0</v>
      </c>
      <c r="AM1312" s="4" t="s">
        <v>78</v>
      </c>
      <c r="AN1312" s="0" t="n">
        <v>0</v>
      </c>
      <c r="AO1312" s="0" t="n">
        <v>0</v>
      </c>
      <c r="AP1312" s="0" t="n">
        <v>0</v>
      </c>
      <c r="AQ1312" s="0" t="n">
        <v>0</v>
      </c>
      <c r="AR1312" s="0" t="n">
        <v>1</v>
      </c>
      <c r="AS1312" s="0" t="n">
        <v>0</v>
      </c>
      <c r="AT1312" s="0" t="n">
        <v>0</v>
      </c>
      <c r="AU1312" s="0" t="n">
        <v>0</v>
      </c>
      <c r="AV1312" s="0" t="n">
        <v>0</v>
      </c>
      <c r="AW1312" s="0" t="n">
        <v>0</v>
      </c>
      <c r="AX1312" s="0" t="n">
        <v>0</v>
      </c>
      <c r="AY1312" s="0" t="n">
        <v>0</v>
      </c>
      <c r="AZ1312" s="0" t="n">
        <v>0</v>
      </c>
      <c r="BA1312" s="0" t="n">
        <v>0</v>
      </c>
      <c r="BB1312" s="0" t="n">
        <v>0</v>
      </c>
      <c r="BC1312" s="0" t="n">
        <v>0</v>
      </c>
      <c r="BD1312" s="0" t="n">
        <v>0</v>
      </c>
      <c r="BE1312" s="0" t="n">
        <v>0</v>
      </c>
      <c r="BF1312" s="0" t="n">
        <v>0</v>
      </c>
      <c r="BG1312" s="0" t="n">
        <v>0</v>
      </c>
      <c r="BH1312" s="0" t="n">
        <v>0</v>
      </c>
      <c r="BI1312" s="0" t="n">
        <v>0</v>
      </c>
      <c r="BJ1312" s="0" t="n">
        <v>0</v>
      </c>
      <c r="BK1312" s="0" t="n">
        <v>0</v>
      </c>
      <c r="BM1312" s="6" t="n">
        <f aca="false">IFERROR(VALUE(F1312),"")</f>
        <v>787.73</v>
      </c>
      <c r="BN1312" s="6" t="n">
        <f aca="false">IF(R1312="-","",IFERROR(VALUE(LEFT(Q1312,LEN(Q1312)-2)),""))</f>
        <v>0.4</v>
      </c>
      <c r="BO1312" s="6" t="n">
        <f aca="false">IF(R1312="-","",IFERROR(VALUE(LEFT(R1312,LEN(R1312)-5)),""))</f>
        <v>1949.83</v>
      </c>
      <c r="BP1312" s="6" t="n">
        <f aca="false">IF(R1312="-","",IFERROR(VALUE(F1312),""))</f>
        <v>787.73</v>
      </c>
      <c r="BQ1312" s="4" t="n">
        <f aca="false">IF(R1312="-",1,0)</f>
        <v>0</v>
      </c>
    </row>
    <row r="1313" customFormat="false" ht="15" hidden="false" customHeight="false" outlineLevel="0" collapsed="false">
      <c r="A1313" s="0" t="s">
        <v>5042</v>
      </c>
      <c r="B1313" s="0" t="s">
        <v>5043</v>
      </c>
      <c r="C1313" s="0" t="s">
        <v>70</v>
      </c>
      <c r="E1313" s="3" t="n">
        <v>46276</v>
      </c>
      <c r="F1313" s="4" t="s">
        <v>5058</v>
      </c>
      <c r="G1313" s="5" t="n">
        <v>0.582002314814815</v>
      </c>
      <c r="H1313" s="5" t="n">
        <v>0</v>
      </c>
      <c r="I1313" s="5" t="n">
        <v>0.000162037037037037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5" t="n">
        <v>0</v>
      </c>
      <c r="P1313" s="5" t="n">
        <v>0</v>
      </c>
      <c r="Q1313" s="4" t="s">
        <v>73</v>
      </c>
      <c r="R1313" s="4" t="s">
        <v>73</v>
      </c>
      <c r="S1313" s="5" t="n">
        <v>0</v>
      </c>
      <c r="T1313" s="5" t="n">
        <v>0</v>
      </c>
      <c r="U1313" s="5" t="n">
        <v>0.00115740740740741</v>
      </c>
      <c r="V1313" s="5" t="n">
        <v>0</v>
      </c>
      <c r="W1313" s="5" t="n">
        <v>0</v>
      </c>
      <c r="X1313" s="5" t="n">
        <v>0</v>
      </c>
      <c r="Y1313" s="5" t="n">
        <v>0</v>
      </c>
      <c r="Z1313" s="0" t="n">
        <v>0</v>
      </c>
      <c r="AA1313" s="0" t="n">
        <v>0</v>
      </c>
      <c r="AB1313" s="0" t="n">
        <v>0</v>
      </c>
      <c r="AC1313" s="4" t="s">
        <v>5045</v>
      </c>
      <c r="AD1313" s="4" t="s">
        <v>994</v>
      </c>
      <c r="AE1313" s="4" t="s">
        <v>5057</v>
      </c>
      <c r="AF1313" s="4" t="s">
        <v>5059</v>
      </c>
      <c r="AG1313" s="5" t="n">
        <v>0.416516203703704</v>
      </c>
      <c r="AH1313" s="5" t="n">
        <v>0.230289351851852</v>
      </c>
      <c r="AI1313" s="5" t="n">
        <v>1.15740740740741E-005</v>
      </c>
      <c r="AJ1313" s="5" t="n">
        <v>0</v>
      </c>
      <c r="AK1313" s="5" t="n">
        <v>0</v>
      </c>
      <c r="AL1313" s="5" t="n">
        <v>0</v>
      </c>
      <c r="AM1313" s="4" t="s">
        <v>78</v>
      </c>
      <c r="AN1313" s="0" t="n">
        <v>0</v>
      </c>
      <c r="AO1313" s="0" t="n">
        <v>0</v>
      </c>
      <c r="AP1313" s="0" t="n">
        <v>0</v>
      </c>
      <c r="AQ1313" s="0" t="n">
        <v>0</v>
      </c>
      <c r="AR1313" s="0" t="n">
        <v>0</v>
      </c>
      <c r="AS1313" s="0" t="n">
        <v>0</v>
      </c>
      <c r="AT1313" s="0" t="n">
        <v>0</v>
      </c>
      <c r="AU1313" s="0" t="n">
        <v>0</v>
      </c>
      <c r="AV1313" s="0" t="n">
        <v>0</v>
      </c>
      <c r="AW1313" s="0" t="n">
        <v>0</v>
      </c>
      <c r="AX1313" s="0" t="n">
        <v>0</v>
      </c>
      <c r="AY1313" s="0" t="n">
        <v>0</v>
      </c>
      <c r="AZ1313" s="0" t="n">
        <v>0</v>
      </c>
      <c r="BA1313" s="0" t="n">
        <v>0</v>
      </c>
      <c r="BB1313" s="0" t="n">
        <v>0</v>
      </c>
      <c r="BC1313" s="0" t="n">
        <v>0</v>
      </c>
      <c r="BD1313" s="0" t="n">
        <v>0</v>
      </c>
      <c r="BE1313" s="0" t="n">
        <v>0</v>
      </c>
      <c r="BF1313" s="0" t="n">
        <v>0</v>
      </c>
      <c r="BG1313" s="0" t="n">
        <v>0</v>
      </c>
      <c r="BH1313" s="0" t="n">
        <v>0</v>
      </c>
      <c r="BI1313" s="0" t="n">
        <v>0</v>
      </c>
      <c r="BJ1313" s="0" t="n">
        <v>0</v>
      </c>
      <c r="BK1313" s="0" t="n">
        <v>0</v>
      </c>
      <c r="BM1313" s="6" t="n">
        <f aca="false">IFERROR(VALUE(F1313),"")</f>
        <v>513.66</v>
      </c>
      <c r="BN1313" s="6" t="str">
        <f aca="false">IF(R1313="-","",IFERROR(VALUE(LEFT(Q1313,LEN(Q1313)-2)),""))</f>
        <v/>
      </c>
      <c r="BO1313" s="6" t="str">
        <f aca="false">IF(R1313="-","",IFERROR(VALUE(LEFT(R1313,LEN(R1313)-5)),""))</f>
        <v/>
      </c>
      <c r="BP1313" s="6" t="str">
        <f aca="false">IF(R1313="-","",IFERROR(VALUE(F1313),""))</f>
        <v/>
      </c>
      <c r="BQ1313" s="4" t="n">
        <f aca="false">IF(R1313="-",1,0)</f>
        <v>1</v>
      </c>
    </row>
    <row r="1314" customFormat="false" ht="15" hidden="false" customHeight="false" outlineLevel="0" collapsed="false">
      <c r="A1314" s="0" t="s">
        <v>5042</v>
      </c>
      <c r="B1314" s="0" t="s">
        <v>5043</v>
      </c>
      <c r="C1314" s="0" t="s">
        <v>70</v>
      </c>
      <c r="E1314" s="3" t="n">
        <v>46277</v>
      </c>
      <c r="F1314" s="4" t="s">
        <v>5060</v>
      </c>
      <c r="G1314" s="5" t="n">
        <v>0.666261574074074</v>
      </c>
      <c r="H1314" s="5" t="n">
        <v>0</v>
      </c>
      <c r="I1314" s="5" t="n">
        <v>0.000243055555555556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5" t="n">
        <v>0</v>
      </c>
      <c r="P1314" s="5" t="n">
        <v>0.0107060185185185</v>
      </c>
      <c r="Q1314" s="4" t="s">
        <v>5061</v>
      </c>
      <c r="R1314" s="4" t="s">
        <v>5062</v>
      </c>
      <c r="S1314" s="5" t="n">
        <v>0.000231481481481482</v>
      </c>
      <c r="T1314" s="5" t="n">
        <v>0.114583333333333</v>
      </c>
      <c r="U1314" s="5" t="n">
        <v>0.304398148148148</v>
      </c>
      <c r="V1314" s="5" t="n">
        <v>0.0165509259259259</v>
      </c>
      <c r="W1314" s="5" t="n">
        <v>0</v>
      </c>
      <c r="X1314" s="5" t="n">
        <v>0</v>
      </c>
      <c r="Y1314" s="5" t="n">
        <v>0</v>
      </c>
      <c r="Z1314" s="0" t="n">
        <v>0</v>
      </c>
      <c r="AA1314" s="0" t="n">
        <v>0</v>
      </c>
      <c r="AB1314" s="0" t="n">
        <v>0</v>
      </c>
      <c r="AC1314" s="4" t="s">
        <v>994</v>
      </c>
      <c r="AD1314" s="4" t="s">
        <v>208</v>
      </c>
      <c r="AE1314" s="4" t="s">
        <v>5063</v>
      </c>
      <c r="AF1314" s="4" t="s">
        <v>5064</v>
      </c>
      <c r="AG1314" s="5" t="n">
        <v>0.560115740740741</v>
      </c>
      <c r="AH1314" s="5" t="n">
        <v>0.202719907407407</v>
      </c>
      <c r="AI1314" s="5" t="n">
        <v>0</v>
      </c>
      <c r="AJ1314" s="5" t="n">
        <v>0</v>
      </c>
      <c r="AK1314" s="5" t="n">
        <v>0</v>
      </c>
      <c r="AL1314" s="5" t="n">
        <v>0</v>
      </c>
      <c r="AM1314" s="4" t="s">
        <v>78</v>
      </c>
      <c r="AN1314" s="0" t="n">
        <v>0</v>
      </c>
      <c r="AO1314" s="0" t="n">
        <v>0</v>
      </c>
      <c r="AP1314" s="0" t="n">
        <v>0</v>
      </c>
      <c r="AQ1314" s="0" t="n">
        <v>0</v>
      </c>
      <c r="AR1314" s="0" t="n">
        <v>1</v>
      </c>
      <c r="AS1314" s="0" t="n">
        <v>0</v>
      </c>
      <c r="AT1314" s="0" t="n">
        <v>0</v>
      </c>
      <c r="AU1314" s="0" t="n">
        <v>0</v>
      </c>
      <c r="AV1314" s="0" t="n">
        <v>0</v>
      </c>
      <c r="AW1314" s="0" t="n">
        <v>0</v>
      </c>
      <c r="AX1314" s="0" t="n">
        <v>0</v>
      </c>
      <c r="AY1314" s="0" t="n">
        <v>0</v>
      </c>
      <c r="AZ1314" s="0" t="n">
        <v>0</v>
      </c>
      <c r="BA1314" s="0" t="n">
        <v>0</v>
      </c>
      <c r="BB1314" s="0" t="n">
        <v>0</v>
      </c>
      <c r="BC1314" s="0" t="n">
        <v>0</v>
      </c>
      <c r="BD1314" s="0" t="n">
        <v>0</v>
      </c>
      <c r="BE1314" s="0" t="n">
        <v>0</v>
      </c>
      <c r="BF1314" s="0" t="n">
        <v>0</v>
      </c>
      <c r="BG1314" s="0" t="n">
        <v>0</v>
      </c>
      <c r="BH1314" s="0" t="n">
        <v>0</v>
      </c>
      <c r="BI1314" s="0" t="n">
        <v>0</v>
      </c>
      <c r="BJ1314" s="0" t="n">
        <v>0</v>
      </c>
      <c r="BK1314" s="0" t="n">
        <v>0</v>
      </c>
      <c r="BM1314" s="6" t="n">
        <f aca="false">IFERROR(VALUE(F1314),"")</f>
        <v>764.55</v>
      </c>
      <c r="BN1314" s="6" t="n">
        <f aca="false">IF(R1314="-","",IFERROR(VALUE(LEFT(Q1314,LEN(Q1314)-2)),""))</f>
        <v>143.98</v>
      </c>
      <c r="BO1314" s="6" t="n">
        <f aca="false">IF(R1314="-","",IFERROR(VALUE(LEFT(R1314,LEN(R1314)-5)),""))</f>
        <v>5.31</v>
      </c>
      <c r="BP1314" s="6" t="n">
        <f aca="false">IF(R1314="-","",IFERROR(VALUE(F1314),""))</f>
        <v>764.55</v>
      </c>
      <c r="BQ1314" s="4" t="n">
        <f aca="false">IF(R1314="-",1,0)</f>
        <v>0</v>
      </c>
    </row>
    <row r="1315" customFormat="false" ht="15" hidden="false" customHeight="false" outlineLevel="0" collapsed="false">
      <c r="A1315" s="0" t="s">
        <v>5042</v>
      </c>
      <c r="B1315" s="0" t="s">
        <v>5043</v>
      </c>
      <c r="C1315" s="0" t="s">
        <v>70</v>
      </c>
      <c r="E1315" s="3" t="n">
        <v>46278</v>
      </c>
      <c r="F1315" s="4" t="s">
        <v>5065</v>
      </c>
      <c r="G1315" s="5" t="n">
        <v>0.410740740740741</v>
      </c>
      <c r="H1315" s="5" t="n">
        <v>0</v>
      </c>
      <c r="I1315" s="5" t="n">
        <v>0.000451388888888889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5" t="n">
        <v>0</v>
      </c>
      <c r="P1315" s="5" t="n">
        <v>0.00741898148148148</v>
      </c>
      <c r="Q1315" s="4" t="s">
        <v>5066</v>
      </c>
      <c r="R1315" s="4" t="s">
        <v>1997</v>
      </c>
      <c r="S1315" s="5" t="n">
        <v>0.000115740740740741</v>
      </c>
      <c r="T1315" s="5" t="n">
        <v>0.0859953703703704</v>
      </c>
      <c r="U1315" s="5" t="n">
        <v>0.268171296296296</v>
      </c>
      <c r="V1315" s="5" t="n">
        <v>0.0150462962962963</v>
      </c>
      <c r="W1315" s="5" t="n">
        <v>0</v>
      </c>
      <c r="X1315" s="5" t="n">
        <v>0</v>
      </c>
      <c r="Y1315" s="5" t="n">
        <v>0</v>
      </c>
      <c r="Z1315" s="0" t="n">
        <v>0</v>
      </c>
      <c r="AA1315" s="0" t="n">
        <v>0</v>
      </c>
      <c r="AB1315" s="0" t="n">
        <v>0</v>
      </c>
      <c r="AC1315" s="4" t="s">
        <v>208</v>
      </c>
      <c r="AD1315" s="4" t="s">
        <v>5055</v>
      </c>
      <c r="AE1315" s="4" t="s">
        <v>5064</v>
      </c>
      <c r="AF1315" s="4" t="s">
        <v>5067</v>
      </c>
      <c r="AG1315" s="5" t="n">
        <v>0.333125</v>
      </c>
      <c r="AH1315" s="5" t="n">
        <v>0.113923611111111</v>
      </c>
      <c r="AI1315" s="5" t="n">
        <v>0</v>
      </c>
      <c r="AJ1315" s="5" t="n">
        <v>0</v>
      </c>
      <c r="AK1315" s="5" t="n">
        <v>0</v>
      </c>
      <c r="AL1315" s="5" t="n">
        <v>0</v>
      </c>
      <c r="AM1315" s="4" t="s">
        <v>78</v>
      </c>
      <c r="AN1315" s="0" t="n">
        <v>0</v>
      </c>
      <c r="AO1315" s="0" t="n">
        <v>0</v>
      </c>
      <c r="AP1315" s="0" t="n">
        <v>0</v>
      </c>
      <c r="AQ1315" s="0" t="n">
        <v>0</v>
      </c>
      <c r="AR1315" s="0" t="n">
        <v>0</v>
      </c>
      <c r="AS1315" s="0" t="n">
        <v>0</v>
      </c>
      <c r="AT1315" s="0" t="n">
        <v>0</v>
      </c>
      <c r="AU1315" s="0" t="n">
        <v>0</v>
      </c>
      <c r="AV1315" s="0" t="n">
        <v>0</v>
      </c>
      <c r="AW1315" s="0" t="n">
        <v>0</v>
      </c>
      <c r="AX1315" s="0" t="n">
        <v>0</v>
      </c>
      <c r="AY1315" s="0" t="n">
        <v>0</v>
      </c>
      <c r="AZ1315" s="0" t="n">
        <v>0</v>
      </c>
      <c r="BA1315" s="0" t="n">
        <v>0</v>
      </c>
      <c r="BB1315" s="0" t="n">
        <v>0</v>
      </c>
      <c r="BC1315" s="0" t="n">
        <v>0</v>
      </c>
      <c r="BD1315" s="0" t="n">
        <v>0</v>
      </c>
      <c r="BE1315" s="0" t="n">
        <v>0</v>
      </c>
      <c r="BF1315" s="0" t="n">
        <v>0</v>
      </c>
      <c r="BG1315" s="0" t="n">
        <v>0</v>
      </c>
      <c r="BH1315" s="0" t="n">
        <v>0</v>
      </c>
      <c r="BI1315" s="0" t="n">
        <v>0</v>
      </c>
      <c r="BJ1315" s="0" t="n">
        <v>0</v>
      </c>
      <c r="BK1315" s="0" t="n">
        <v>0</v>
      </c>
      <c r="BM1315" s="6" t="n">
        <f aca="false">IFERROR(VALUE(F1315),"")</f>
        <v>427.52</v>
      </c>
      <c r="BN1315" s="6" t="n">
        <f aca="false">IF(R1315="-","",IFERROR(VALUE(LEFT(Q1315,LEN(Q1315)-2)),""))</f>
        <v>122.38</v>
      </c>
      <c r="BO1315" s="6" t="n">
        <f aca="false">IF(R1315="-","",IFERROR(VALUE(LEFT(R1315,LEN(R1315)-5)),""))</f>
        <v>3.49</v>
      </c>
      <c r="BP1315" s="6" t="n">
        <f aca="false">IF(R1315="-","",IFERROR(VALUE(F1315),""))</f>
        <v>427.52</v>
      </c>
      <c r="BQ1315" s="4" t="n">
        <f aca="false">IF(R1315="-",1,0)</f>
        <v>0</v>
      </c>
    </row>
    <row r="1316" customFormat="false" ht="15" hidden="false" customHeight="false" outlineLevel="0" collapsed="false">
      <c r="A1316" s="0" t="s">
        <v>5042</v>
      </c>
      <c r="B1316" s="0" t="s">
        <v>5043</v>
      </c>
      <c r="C1316" s="0" t="s">
        <v>70</v>
      </c>
      <c r="E1316" s="3" t="n">
        <v>46279</v>
      </c>
      <c r="F1316" s="4" t="s">
        <v>5068</v>
      </c>
      <c r="G1316" s="5" t="n">
        <v>0.497939814814815</v>
      </c>
      <c r="H1316" s="5" t="n">
        <v>0</v>
      </c>
      <c r="I1316" s="5" t="n">
        <v>0.000844907407407407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1</v>
      </c>
      <c r="O1316" s="5" t="n">
        <v>0</v>
      </c>
      <c r="P1316" s="5" t="n">
        <v>0.0081712962962963</v>
      </c>
      <c r="Q1316" s="4" t="s">
        <v>5069</v>
      </c>
      <c r="R1316" s="4" t="s">
        <v>2942</v>
      </c>
      <c r="S1316" s="5" t="n">
        <v>0.000347222222222222</v>
      </c>
      <c r="T1316" s="5" t="n">
        <v>0.108217592592593</v>
      </c>
      <c r="U1316" s="5" t="n">
        <v>0.329050925925926</v>
      </c>
      <c r="V1316" s="5" t="n">
        <v>0.0133101851851852</v>
      </c>
      <c r="W1316" s="5" t="n">
        <v>0</v>
      </c>
      <c r="X1316" s="5" t="n">
        <v>0</v>
      </c>
      <c r="Y1316" s="5" t="n">
        <v>0</v>
      </c>
      <c r="Z1316" s="0" t="n">
        <v>0</v>
      </c>
      <c r="AA1316" s="0" t="n">
        <v>0</v>
      </c>
      <c r="AB1316" s="0" t="n">
        <v>0</v>
      </c>
      <c r="AC1316" s="4" t="s">
        <v>5045</v>
      </c>
      <c r="AD1316" s="4" t="s">
        <v>994</v>
      </c>
      <c r="AE1316" s="4" t="s">
        <v>5067</v>
      </c>
      <c r="AF1316" s="4" t="s">
        <v>5070</v>
      </c>
      <c r="AG1316" s="5" t="n">
        <v>0.416018518518519</v>
      </c>
      <c r="AH1316" s="5" t="n">
        <v>0.225219907407407</v>
      </c>
      <c r="AI1316" s="5" t="n">
        <v>0</v>
      </c>
      <c r="AJ1316" s="5" t="n">
        <v>0</v>
      </c>
      <c r="AK1316" s="5" t="n">
        <v>0</v>
      </c>
      <c r="AL1316" s="5" t="n">
        <v>0</v>
      </c>
      <c r="AM1316" s="4" t="s">
        <v>78</v>
      </c>
      <c r="AN1316" s="0" t="n">
        <v>0</v>
      </c>
      <c r="AO1316" s="0" t="n">
        <v>0</v>
      </c>
      <c r="AP1316" s="0" t="n">
        <v>0</v>
      </c>
      <c r="AQ1316" s="0" t="n">
        <v>0</v>
      </c>
      <c r="AR1316" s="0" t="n">
        <v>0</v>
      </c>
      <c r="AS1316" s="0" t="n">
        <v>0</v>
      </c>
      <c r="AT1316" s="0" t="n">
        <v>0</v>
      </c>
      <c r="AU1316" s="0" t="n">
        <v>0</v>
      </c>
      <c r="AV1316" s="0" t="n">
        <v>0</v>
      </c>
      <c r="AW1316" s="0" t="n">
        <v>0</v>
      </c>
      <c r="AX1316" s="0" t="n">
        <v>0</v>
      </c>
      <c r="AY1316" s="0" t="n">
        <v>0</v>
      </c>
      <c r="AZ1316" s="0" t="n">
        <v>0</v>
      </c>
      <c r="BA1316" s="0" t="n">
        <v>0</v>
      </c>
      <c r="BB1316" s="0" t="n">
        <v>0</v>
      </c>
      <c r="BC1316" s="0" t="n">
        <v>0</v>
      </c>
      <c r="BD1316" s="0" t="n">
        <v>0</v>
      </c>
      <c r="BE1316" s="0" t="n">
        <v>0</v>
      </c>
      <c r="BF1316" s="0" t="n">
        <v>0</v>
      </c>
      <c r="BG1316" s="0" t="n">
        <v>0</v>
      </c>
      <c r="BH1316" s="0" t="n">
        <v>0</v>
      </c>
      <c r="BI1316" s="0" t="n">
        <v>0</v>
      </c>
      <c r="BJ1316" s="0" t="n">
        <v>0</v>
      </c>
      <c r="BK1316" s="0" t="n">
        <v>0</v>
      </c>
      <c r="BM1316" s="6" t="n">
        <f aca="false">IFERROR(VALUE(F1316),"")</f>
        <v>519.3</v>
      </c>
      <c r="BN1316" s="6" t="n">
        <f aca="false">IF(R1316="-","",IFERROR(VALUE(LEFT(Q1316,LEN(Q1316)-2)),""))</f>
        <v>148.37</v>
      </c>
      <c r="BO1316" s="6" t="n">
        <f aca="false">IF(R1316="-","",IFERROR(VALUE(LEFT(R1316,LEN(R1316)-5)),""))</f>
        <v>3.5</v>
      </c>
      <c r="BP1316" s="6" t="n">
        <f aca="false">IF(R1316="-","",IFERROR(VALUE(F1316),""))</f>
        <v>519.3</v>
      </c>
      <c r="BQ1316" s="4" t="n">
        <f aca="false">IF(R1316="-",1,0)</f>
        <v>0</v>
      </c>
    </row>
    <row r="1317" customFormat="false" ht="15" hidden="false" customHeight="false" outlineLevel="0" collapsed="false">
      <c r="A1317" s="0" t="s">
        <v>5071</v>
      </c>
      <c r="B1317" s="0" t="s">
        <v>5072</v>
      </c>
      <c r="C1317" s="0" t="s">
        <v>70</v>
      </c>
      <c r="E1317" s="3" t="n">
        <v>46273</v>
      </c>
      <c r="F1317" s="4" t="s">
        <v>557</v>
      </c>
      <c r="G1317" s="5" t="n">
        <v>0.00344907407407407</v>
      </c>
      <c r="H1317" s="5" t="n">
        <v>0</v>
      </c>
      <c r="I1317" s="5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5" t="n">
        <v>0</v>
      </c>
      <c r="P1317" s="5" t="n">
        <v>0</v>
      </c>
      <c r="Q1317" s="4" t="s">
        <v>2105</v>
      </c>
      <c r="R1317" s="4" t="s">
        <v>3633</v>
      </c>
      <c r="S1317" s="5" t="n">
        <v>0</v>
      </c>
      <c r="T1317" s="5" t="n">
        <v>0.003125</v>
      </c>
      <c r="U1317" s="5" t="n">
        <v>0</v>
      </c>
      <c r="V1317" s="5" t="n">
        <v>0</v>
      </c>
      <c r="W1317" s="5" t="n">
        <v>0</v>
      </c>
      <c r="X1317" s="5" t="n">
        <v>0</v>
      </c>
      <c r="Y1317" s="5" t="n">
        <v>0</v>
      </c>
      <c r="Z1317" s="0" t="n">
        <v>0</v>
      </c>
      <c r="AA1317" s="0" t="n">
        <v>0</v>
      </c>
      <c r="AB1317" s="0" t="n">
        <v>0</v>
      </c>
      <c r="AC1317" s="4" t="s">
        <v>74</v>
      </c>
      <c r="AD1317" s="4" t="s">
        <v>74</v>
      </c>
      <c r="AE1317" s="4" t="s">
        <v>5073</v>
      </c>
      <c r="AF1317" s="4" t="s">
        <v>5074</v>
      </c>
      <c r="AG1317" s="5" t="n">
        <v>0.00193287037037037</v>
      </c>
      <c r="AH1317" s="5" t="n">
        <v>0.0246990740740741</v>
      </c>
      <c r="AI1317" s="5" t="n">
        <v>0</v>
      </c>
      <c r="AJ1317" s="5" t="n">
        <v>0</v>
      </c>
      <c r="AK1317" s="5" t="n">
        <v>0</v>
      </c>
      <c r="AL1317" s="5" t="n">
        <v>0</v>
      </c>
      <c r="AM1317" s="4" t="s">
        <v>78</v>
      </c>
      <c r="AN1317" s="0" t="n">
        <v>0</v>
      </c>
      <c r="AO1317" s="0" t="n">
        <v>0</v>
      </c>
      <c r="AP1317" s="0" t="n">
        <v>0</v>
      </c>
      <c r="AQ1317" s="0" t="n">
        <v>0</v>
      </c>
      <c r="AR1317" s="0" t="n">
        <v>0</v>
      </c>
      <c r="AS1317" s="0" t="n">
        <v>0</v>
      </c>
      <c r="AT1317" s="0" t="n">
        <v>0</v>
      </c>
      <c r="AU1317" s="0" t="n">
        <v>0</v>
      </c>
      <c r="AV1317" s="0" t="n">
        <v>0</v>
      </c>
      <c r="AW1317" s="0" t="n">
        <v>0</v>
      </c>
      <c r="AX1317" s="0" t="n">
        <v>0</v>
      </c>
      <c r="AY1317" s="0" t="n">
        <v>0</v>
      </c>
      <c r="AZ1317" s="0" t="n">
        <v>0</v>
      </c>
      <c r="BA1317" s="0" t="n">
        <v>0</v>
      </c>
      <c r="BB1317" s="0" t="n">
        <v>0</v>
      </c>
      <c r="BC1317" s="0" t="n">
        <v>0</v>
      </c>
      <c r="BD1317" s="0" t="n">
        <v>0</v>
      </c>
      <c r="BE1317" s="0" t="n">
        <v>0</v>
      </c>
      <c r="BF1317" s="0" t="n">
        <v>0</v>
      </c>
      <c r="BG1317" s="0" t="n">
        <v>0</v>
      </c>
      <c r="BH1317" s="0" t="n">
        <v>0</v>
      </c>
      <c r="BI1317" s="0" t="n">
        <v>0</v>
      </c>
      <c r="BJ1317" s="0" t="n">
        <v>0</v>
      </c>
      <c r="BK1317" s="0" t="n">
        <v>0</v>
      </c>
      <c r="BM1317" s="6" t="n">
        <f aca="false">IFERROR(VALUE(F1317),"")</f>
        <v>0.1</v>
      </c>
      <c r="BN1317" s="6" t="n">
        <f aca="false">IF(R1317="-","",IFERROR(VALUE(LEFT(Q1317,LEN(Q1317)-2)),""))</f>
        <v>0.19</v>
      </c>
      <c r="BO1317" s="6" t="n">
        <f aca="false">IF(R1317="-","",IFERROR(VALUE(LEFT(R1317,LEN(R1317)-5)),""))</f>
        <v>0.53</v>
      </c>
      <c r="BP1317" s="6" t="n">
        <f aca="false">IF(R1317="-","",IFERROR(VALUE(F1317),""))</f>
        <v>0.1</v>
      </c>
      <c r="BQ1317" s="4" t="n">
        <f aca="false">IF(R1317="-",1,0)</f>
        <v>0</v>
      </c>
    </row>
    <row r="1318" customFormat="false" ht="15" hidden="false" customHeight="false" outlineLevel="0" collapsed="false">
      <c r="A1318" s="0" t="s">
        <v>5071</v>
      </c>
      <c r="B1318" s="0" t="s">
        <v>5072</v>
      </c>
      <c r="C1318" s="0" t="s">
        <v>70</v>
      </c>
      <c r="E1318" s="3" t="n">
        <v>46274</v>
      </c>
      <c r="F1318" s="4" t="s">
        <v>95</v>
      </c>
      <c r="G1318" s="5" t="n">
        <v>0.00596064814814815</v>
      </c>
      <c r="H1318" s="5" t="n">
        <v>0</v>
      </c>
      <c r="I1318" s="5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5" t="n">
        <v>0</v>
      </c>
      <c r="P1318" s="5" t="n">
        <v>0</v>
      </c>
      <c r="Q1318" s="4" t="s">
        <v>4059</v>
      </c>
      <c r="R1318" s="4" t="s">
        <v>454</v>
      </c>
      <c r="S1318" s="5" t="n">
        <v>0</v>
      </c>
      <c r="T1318" s="5" t="n">
        <v>0.00578703703703704</v>
      </c>
      <c r="U1318" s="5" t="n">
        <v>0</v>
      </c>
      <c r="V1318" s="5" t="n">
        <v>0</v>
      </c>
      <c r="W1318" s="5" t="n">
        <v>0</v>
      </c>
      <c r="X1318" s="5" t="n">
        <v>0</v>
      </c>
      <c r="Y1318" s="5" t="n">
        <v>0</v>
      </c>
      <c r="Z1318" s="0" t="n">
        <v>0</v>
      </c>
      <c r="AA1318" s="0" t="n">
        <v>0</v>
      </c>
      <c r="AB1318" s="0" t="n">
        <v>0</v>
      </c>
      <c r="AC1318" s="4" t="s">
        <v>74</v>
      </c>
      <c r="AD1318" s="4" t="s">
        <v>74</v>
      </c>
      <c r="AE1318" s="4" t="s">
        <v>5074</v>
      </c>
      <c r="AF1318" s="4" t="s">
        <v>5074</v>
      </c>
      <c r="AG1318" s="5" t="n">
        <v>0</v>
      </c>
      <c r="AH1318" s="5" t="n">
        <v>0.00645833333333333</v>
      </c>
      <c r="AI1318" s="5" t="n">
        <v>0</v>
      </c>
      <c r="AJ1318" s="5" t="n">
        <v>0</v>
      </c>
      <c r="AK1318" s="5" t="n">
        <v>0</v>
      </c>
      <c r="AL1318" s="5" t="n">
        <v>0</v>
      </c>
      <c r="AM1318" s="4" t="s">
        <v>78</v>
      </c>
      <c r="AN1318" s="0" t="n">
        <v>0</v>
      </c>
      <c r="AO1318" s="0" t="n">
        <v>0</v>
      </c>
      <c r="AP1318" s="0" t="n">
        <v>0</v>
      </c>
      <c r="AQ1318" s="0" t="n">
        <v>0</v>
      </c>
      <c r="AR1318" s="0" t="n">
        <v>0</v>
      </c>
      <c r="AS1318" s="0" t="n">
        <v>0</v>
      </c>
      <c r="AT1318" s="0" t="n">
        <v>0</v>
      </c>
      <c r="AU1318" s="0" t="n">
        <v>0</v>
      </c>
      <c r="AV1318" s="0" t="n">
        <v>0</v>
      </c>
      <c r="AW1318" s="0" t="n">
        <v>0</v>
      </c>
      <c r="AX1318" s="0" t="n">
        <v>0</v>
      </c>
      <c r="AY1318" s="0" t="n">
        <v>0</v>
      </c>
      <c r="AZ1318" s="0" t="n">
        <v>0</v>
      </c>
      <c r="BA1318" s="0" t="n">
        <v>0</v>
      </c>
      <c r="BB1318" s="0" t="n">
        <v>0</v>
      </c>
      <c r="BC1318" s="0" t="n">
        <v>0</v>
      </c>
      <c r="BD1318" s="0" t="n">
        <v>0</v>
      </c>
      <c r="BE1318" s="0" t="n">
        <v>0</v>
      </c>
      <c r="BF1318" s="0" t="n">
        <v>0</v>
      </c>
      <c r="BG1318" s="0" t="n">
        <v>0</v>
      </c>
      <c r="BH1318" s="0" t="n">
        <v>0</v>
      </c>
      <c r="BI1318" s="0" t="n">
        <v>0</v>
      </c>
      <c r="BJ1318" s="0" t="n">
        <v>0</v>
      </c>
      <c r="BK1318" s="0" t="n">
        <v>0</v>
      </c>
      <c r="BM1318" s="6" t="n">
        <f aca="false">IFERROR(VALUE(F1318),"")</f>
        <v>0</v>
      </c>
      <c r="BN1318" s="6" t="n">
        <f aca="false">IF(R1318="-","",IFERROR(VALUE(LEFT(Q1318,LEN(Q1318)-2)),""))</f>
        <v>0.21</v>
      </c>
      <c r="BO1318" s="6" t="n">
        <f aca="false">IF(R1318="-","",IFERROR(VALUE(LEFT(R1318,LEN(R1318)-5)),""))</f>
        <v>0</v>
      </c>
      <c r="BP1318" s="6" t="n">
        <f aca="false">IF(R1318="-","",IFERROR(VALUE(F1318),""))</f>
        <v>0</v>
      </c>
      <c r="BQ1318" s="4" t="n">
        <f aca="false">IF(R1318="-",1,0)</f>
        <v>0</v>
      </c>
    </row>
    <row r="1319" customFormat="false" ht="15" hidden="false" customHeight="false" outlineLevel="0" collapsed="false">
      <c r="A1319" s="0" t="s">
        <v>5071</v>
      </c>
      <c r="B1319" s="0" t="s">
        <v>5072</v>
      </c>
      <c r="C1319" s="0" t="s">
        <v>70</v>
      </c>
      <c r="E1319" s="3" t="n">
        <v>46276</v>
      </c>
      <c r="F1319" s="4" t="s">
        <v>557</v>
      </c>
      <c r="G1319" s="5" t="n">
        <v>0.0259259259259259</v>
      </c>
      <c r="H1319" s="5" t="n">
        <v>0</v>
      </c>
      <c r="I1319" s="5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5" t="n">
        <v>0</v>
      </c>
      <c r="P1319" s="5" t="n">
        <v>0.0210069444444445</v>
      </c>
      <c r="Q1319" s="4" t="s">
        <v>5075</v>
      </c>
      <c r="R1319" s="4" t="s">
        <v>2359</v>
      </c>
      <c r="S1319" s="5" t="n">
        <v>0</v>
      </c>
      <c r="T1319" s="5" t="n">
        <v>0.0255787037037037</v>
      </c>
      <c r="U1319" s="5" t="n">
        <v>0</v>
      </c>
      <c r="V1319" s="5" t="n">
        <v>0</v>
      </c>
      <c r="W1319" s="5" t="n">
        <v>0</v>
      </c>
      <c r="X1319" s="5" t="n">
        <v>0</v>
      </c>
      <c r="Y1319" s="5" t="n">
        <v>0</v>
      </c>
      <c r="Z1319" s="0" t="n">
        <v>0</v>
      </c>
      <c r="AA1319" s="0" t="n">
        <v>0</v>
      </c>
      <c r="AB1319" s="0" t="n">
        <v>0</v>
      </c>
      <c r="AC1319" s="4" t="s">
        <v>74</v>
      </c>
      <c r="AD1319" s="4" t="s">
        <v>74</v>
      </c>
      <c r="AE1319" s="4" t="s">
        <v>5074</v>
      </c>
      <c r="AF1319" s="4" t="s">
        <v>5076</v>
      </c>
      <c r="AG1319" s="5" t="n">
        <v>0.00259259259259259</v>
      </c>
      <c r="AH1319" s="5" t="n">
        <v>0.0432986111111111</v>
      </c>
      <c r="AI1319" s="5" t="n">
        <v>0</v>
      </c>
      <c r="AJ1319" s="5" t="n">
        <v>0</v>
      </c>
      <c r="AK1319" s="5" t="n">
        <v>0</v>
      </c>
      <c r="AL1319" s="5" t="n">
        <v>0</v>
      </c>
      <c r="AM1319" s="4" t="s">
        <v>78</v>
      </c>
      <c r="AN1319" s="0" t="n">
        <v>0</v>
      </c>
      <c r="AO1319" s="0" t="n">
        <v>0</v>
      </c>
      <c r="AP1319" s="0" t="n">
        <v>0</v>
      </c>
      <c r="AQ1319" s="0" t="n">
        <v>0</v>
      </c>
      <c r="AR1319" s="0" t="n">
        <v>0</v>
      </c>
      <c r="AS1319" s="0" t="n">
        <v>0</v>
      </c>
      <c r="AT1319" s="0" t="n">
        <v>0</v>
      </c>
      <c r="AU1319" s="0" t="n">
        <v>0</v>
      </c>
      <c r="AV1319" s="0" t="n">
        <v>0</v>
      </c>
      <c r="AW1319" s="0" t="n">
        <v>0</v>
      </c>
      <c r="AX1319" s="0" t="n">
        <v>0</v>
      </c>
      <c r="AY1319" s="0" t="n">
        <v>0</v>
      </c>
      <c r="AZ1319" s="0" t="n">
        <v>0</v>
      </c>
      <c r="BA1319" s="0" t="n">
        <v>0</v>
      </c>
      <c r="BB1319" s="0" t="n">
        <v>0</v>
      </c>
      <c r="BC1319" s="0" t="n">
        <v>0</v>
      </c>
      <c r="BD1319" s="0" t="n">
        <v>0</v>
      </c>
      <c r="BE1319" s="0" t="n">
        <v>0</v>
      </c>
      <c r="BF1319" s="0" t="n">
        <v>0</v>
      </c>
      <c r="BG1319" s="0" t="n">
        <v>0</v>
      </c>
      <c r="BH1319" s="0" t="n">
        <v>0</v>
      </c>
      <c r="BI1319" s="0" t="n">
        <v>0</v>
      </c>
      <c r="BJ1319" s="0" t="n">
        <v>0</v>
      </c>
      <c r="BK1319" s="0" t="n">
        <v>0</v>
      </c>
      <c r="BM1319" s="6" t="n">
        <f aca="false">IFERROR(VALUE(F1319),"")</f>
        <v>0.1</v>
      </c>
      <c r="BN1319" s="6" t="n">
        <f aca="false">IF(R1319="-","",IFERROR(VALUE(LEFT(Q1319,LEN(Q1319)-2)),""))</f>
        <v>0.87</v>
      </c>
      <c r="BO1319" s="6" t="n">
        <f aca="false">IF(R1319="-","",IFERROR(VALUE(LEFT(R1319,LEN(R1319)-5)),""))</f>
        <v>0.11</v>
      </c>
      <c r="BP1319" s="6" t="n">
        <f aca="false">IF(R1319="-","",IFERROR(VALUE(F1319),""))</f>
        <v>0.1</v>
      </c>
      <c r="BQ1319" s="4" t="n">
        <f aca="false">IF(R1319="-",1,0)</f>
        <v>0</v>
      </c>
    </row>
    <row r="1320" customFormat="false" ht="15" hidden="false" customHeight="false" outlineLevel="0" collapsed="false">
      <c r="A1320" s="0" t="s">
        <v>5071</v>
      </c>
      <c r="B1320" s="0" t="s">
        <v>5072</v>
      </c>
      <c r="C1320" s="0" t="s">
        <v>70</v>
      </c>
      <c r="E1320" s="3" t="n">
        <v>46279</v>
      </c>
      <c r="F1320" s="4" t="s">
        <v>216</v>
      </c>
      <c r="G1320" s="5" t="n">
        <v>0.00337962962962963</v>
      </c>
      <c r="H1320" s="5" t="n">
        <v>0</v>
      </c>
      <c r="I1320" s="5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5" t="n">
        <v>0</v>
      </c>
      <c r="P1320" s="5" t="n">
        <v>0</v>
      </c>
      <c r="Q1320" s="4" t="s">
        <v>4448</v>
      </c>
      <c r="R1320" s="4" t="s">
        <v>5077</v>
      </c>
      <c r="S1320" s="5" t="n">
        <v>0</v>
      </c>
      <c r="T1320" s="5" t="n">
        <v>0.00289351851851852</v>
      </c>
      <c r="U1320" s="5" t="n">
        <v>0.000347222222222222</v>
      </c>
      <c r="V1320" s="5" t="n">
        <v>0</v>
      </c>
      <c r="W1320" s="5" t="n">
        <v>0</v>
      </c>
      <c r="X1320" s="5" t="n">
        <v>0</v>
      </c>
      <c r="Y1320" s="5" t="n">
        <v>0</v>
      </c>
      <c r="Z1320" s="0" t="n">
        <v>0</v>
      </c>
      <c r="AA1320" s="0" t="n">
        <v>0</v>
      </c>
      <c r="AB1320" s="0" t="n">
        <v>0</v>
      </c>
      <c r="AC1320" s="4" t="s">
        <v>74</v>
      </c>
      <c r="AD1320" s="4" t="s">
        <v>74</v>
      </c>
      <c r="AE1320" s="4" t="s">
        <v>5076</v>
      </c>
      <c r="AF1320" s="4" t="s">
        <v>5078</v>
      </c>
      <c r="AG1320" s="5" t="n">
        <v>0.00297453703703704</v>
      </c>
      <c r="AH1320" s="5" t="n">
        <v>0.0325462962962963</v>
      </c>
      <c r="AI1320" s="5" t="n">
        <v>0</v>
      </c>
      <c r="AJ1320" s="5" t="n">
        <v>0</v>
      </c>
      <c r="AK1320" s="5" t="n">
        <v>0</v>
      </c>
      <c r="AL1320" s="5" t="n">
        <v>0</v>
      </c>
      <c r="AM1320" s="4" t="s">
        <v>78</v>
      </c>
      <c r="AN1320" s="0" t="n">
        <v>0</v>
      </c>
      <c r="AO1320" s="0" t="n">
        <v>0</v>
      </c>
      <c r="AP1320" s="0" t="n">
        <v>0</v>
      </c>
      <c r="AQ1320" s="0" t="n">
        <v>0</v>
      </c>
      <c r="AR1320" s="0" t="n">
        <v>0</v>
      </c>
      <c r="AS1320" s="0" t="n">
        <v>0</v>
      </c>
      <c r="AT1320" s="0" t="n">
        <v>0</v>
      </c>
      <c r="AU1320" s="0" t="n">
        <v>0</v>
      </c>
      <c r="AV1320" s="0" t="n">
        <v>0</v>
      </c>
      <c r="AW1320" s="0" t="n">
        <v>0</v>
      </c>
      <c r="AX1320" s="0" t="n">
        <v>0</v>
      </c>
      <c r="AY1320" s="0" t="n">
        <v>0</v>
      </c>
      <c r="AZ1320" s="0" t="n">
        <v>0</v>
      </c>
      <c r="BA1320" s="0" t="n">
        <v>0</v>
      </c>
      <c r="BB1320" s="0" t="n">
        <v>0</v>
      </c>
      <c r="BC1320" s="0" t="n">
        <v>0</v>
      </c>
      <c r="BD1320" s="0" t="n">
        <v>0</v>
      </c>
      <c r="BE1320" s="0" t="n">
        <v>0</v>
      </c>
      <c r="BF1320" s="0" t="n">
        <v>0</v>
      </c>
      <c r="BG1320" s="0" t="n">
        <v>0</v>
      </c>
      <c r="BH1320" s="0" t="n">
        <v>0</v>
      </c>
      <c r="BI1320" s="0" t="n">
        <v>0</v>
      </c>
      <c r="BJ1320" s="0" t="n">
        <v>0</v>
      </c>
      <c r="BK1320" s="0" t="n">
        <v>0</v>
      </c>
      <c r="BM1320" s="6" t="n">
        <f aca="false">IFERROR(VALUE(F1320),"")</f>
        <v>0.19</v>
      </c>
      <c r="BN1320" s="6" t="n">
        <f aca="false">IF(R1320="-","",IFERROR(VALUE(LEFT(Q1320,LEN(Q1320)-2)),""))</f>
        <v>0.23</v>
      </c>
      <c r="BO1320" s="6" t="n">
        <f aca="false">IF(R1320="-","",IFERROR(VALUE(LEFT(R1320,LEN(R1320)-5)),""))</f>
        <v>0.83</v>
      </c>
      <c r="BP1320" s="6" t="n">
        <f aca="false">IF(R1320="-","",IFERROR(VALUE(F1320),""))</f>
        <v>0.19</v>
      </c>
      <c r="BQ1320" s="4" t="n">
        <f aca="false">IF(R1320="-",1,0)</f>
        <v>0</v>
      </c>
    </row>
    <row r="1321" customFormat="false" ht="15" hidden="false" customHeight="false" outlineLevel="0" collapsed="false">
      <c r="A1321" s="0" t="s">
        <v>5079</v>
      </c>
      <c r="B1321" s="0" t="s">
        <v>5080</v>
      </c>
      <c r="C1321" s="0" t="s">
        <v>70</v>
      </c>
      <c r="D1321" s="0" t="s">
        <v>5081</v>
      </c>
      <c r="E1321" s="3" t="n">
        <v>46273</v>
      </c>
      <c r="F1321" s="4" t="s">
        <v>5082</v>
      </c>
      <c r="G1321" s="5" t="n">
        <v>0.696724537037037</v>
      </c>
      <c r="H1321" s="5" t="n">
        <v>0.370706018518519</v>
      </c>
      <c r="I1321" s="5" t="n">
        <v>0.00162037037037037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5" t="n">
        <v>0</v>
      </c>
      <c r="P1321" s="5" t="n">
        <v>0.00903935185185185</v>
      </c>
      <c r="Q1321" s="4" t="s">
        <v>5083</v>
      </c>
      <c r="R1321" s="4" t="s">
        <v>3651</v>
      </c>
      <c r="S1321" s="5" t="n">
        <v>0.000115740740740741</v>
      </c>
      <c r="T1321" s="5" t="n">
        <v>0.151851851851852</v>
      </c>
      <c r="U1321" s="5" t="n">
        <v>0.464814814814815</v>
      </c>
      <c r="V1321" s="5" t="n">
        <v>0.0155092592592593</v>
      </c>
      <c r="W1321" s="5" t="n">
        <v>0</v>
      </c>
      <c r="X1321" s="5" t="n">
        <v>0</v>
      </c>
      <c r="Y1321" s="5" t="n">
        <v>0</v>
      </c>
      <c r="Z1321" s="0" t="n">
        <v>0</v>
      </c>
      <c r="AA1321" s="0" t="n">
        <v>0</v>
      </c>
      <c r="AB1321" s="0" t="n">
        <v>0</v>
      </c>
      <c r="AC1321" s="4" t="s">
        <v>75</v>
      </c>
      <c r="AD1321" s="4" t="s">
        <v>5084</v>
      </c>
      <c r="AE1321" s="4" t="s">
        <v>5085</v>
      </c>
      <c r="AF1321" s="4" t="s">
        <v>5086</v>
      </c>
      <c r="AG1321" s="5" t="n">
        <v>0.586435185185185</v>
      </c>
      <c r="AH1321" s="5" t="n">
        <v>0.189270833333333</v>
      </c>
      <c r="AI1321" s="5" t="n">
        <v>0</v>
      </c>
      <c r="AJ1321" s="5" t="n">
        <v>0</v>
      </c>
      <c r="AK1321" s="5" t="n">
        <v>0</v>
      </c>
      <c r="AL1321" s="5" t="n">
        <v>0</v>
      </c>
      <c r="AM1321" s="4" t="s">
        <v>78</v>
      </c>
      <c r="AN1321" s="0" t="n">
        <v>0</v>
      </c>
      <c r="AO1321" s="0" t="n">
        <v>0</v>
      </c>
      <c r="AP1321" s="0" t="n">
        <v>0</v>
      </c>
      <c r="AQ1321" s="0" t="n">
        <v>0</v>
      </c>
      <c r="AR1321" s="0" t="n">
        <v>0</v>
      </c>
      <c r="AS1321" s="0" t="n">
        <v>0</v>
      </c>
      <c r="AT1321" s="0" t="n">
        <v>0</v>
      </c>
      <c r="AU1321" s="0" t="n">
        <v>2</v>
      </c>
      <c r="AV1321" s="0" t="n">
        <v>0</v>
      </c>
      <c r="AW1321" s="0" t="n">
        <v>0</v>
      </c>
      <c r="AX1321" s="0" t="n">
        <v>0</v>
      </c>
      <c r="AY1321" s="0" t="n">
        <v>0</v>
      </c>
      <c r="AZ1321" s="0" t="n">
        <v>0</v>
      </c>
      <c r="BA1321" s="0" t="n">
        <v>0</v>
      </c>
      <c r="BB1321" s="0" t="n">
        <v>0</v>
      </c>
      <c r="BC1321" s="0" t="n">
        <v>0</v>
      </c>
      <c r="BD1321" s="0" t="n">
        <v>0</v>
      </c>
      <c r="BE1321" s="0" t="n">
        <v>0</v>
      </c>
      <c r="BF1321" s="0" t="n">
        <v>0</v>
      </c>
      <c r="BG1321" s="0" t="n">
        <v>0</v>
      </c>
      <c r="BH1321" s="0" t="n">
        <v>0</v>
      </c>
      <c r="BI1321" s="0" t="n">
        <v>0</v>
      </c>
      <c r="BJ1321" s="0" t="n">
        <v>0</v>
      </c>
      <c r="BK1321" s="0" t="n">
        <v>0</v>
      </c>
      <c r="BM1321" s="6" t="n">
        <f aca="false">IFERROR(VALUE(F1321),"")</f>
        <v>819.4</v>
      </c>
      <c r="BN1321" s="6" t="n">
        <f aca="false">IF(R1321="-","",IFERROR(VALUE(LEFT(Q1321,LEN(Q1321)-2)),""))</f>
        <v>231.54</v>
      </c>
      <c r="BO1321" s="6" t="n">
        <f aca="false">IF(R1321="-","",IFERROR(VALUE(LEFT(R1321,LEN(R1321)-5)),""))</f>
        <v>3.54</v>
      </c>
      <c r="BP1321" s="6" t="n">
        <f aca="false">IF(R1321="-","",IFERROR(VALUE(F1321),""))</f>
        <v>819.4</v>
      </c>
      <c r="BQ1321" s="4" t="n">
        <f aca="false">IF(R1321="-",1,0)</f>
        <v>0</v>
      </c>
    </row>
    <row r="1322" customFormat="false" ht="15" hidden="false" customHeight="false" outlineLevel="0" collapsed="false">
      <c r="A1322" s="0" t="s">
        <v>5079</v>
      </c>
      <c r="B1322" s="0" t="s">
        <v>5080</v>
      </c>
      <c r="C1322" s="0" t="s">
        <v>70</v>
      </c>
      <c r="D1322" s="0" t="s">
        <v>5087</v>
      </c>
      <c r="E1322" s="3" t="n">
        <v>46274</v>
      </c>
      <c r="F1322" s="4" t="s">
        <v>5088</v>
      </c>
      <c r="G1322" s="5" t="n">
        <v>0.683344907407407</v>
      </c>
      <c r="H1322" s="5" t="n">
        <v>0.662164351851852</v>
      </c>
      <c r="I1322" s="5" t="n">
        <v>0.00383101851851852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6</v>
      </c>
      <c r="O1322" s="5" t="n">
        <v>0</v>
      </c>
      <c r="P1322" s="5" t="n">
        <v>0</v>
      </c>
      <c r="Q1322" s="4" t="s">
        <v>5089</v>
      </c>
      <c r="R1322" s="4" t="s">
        <v>4157</v>
      </c>
      <c r="S1322" s="5" t="n">
        <v>0.000115740740740741</v>
      </c>
      <c r="T1322" s="5" t="n">
        <v>0.146064814814815</v>
      </c>
      <c r="U1322" s="5" t="n">
        <v>0.452893518518519</v>
      </c>
      <c r="V1322" s="5" t="n">
        <v>0.0165509259259259</v>
      </c>
      <c r="W1322" s="5" t="n">
        <v>0</v>
      </c>
      <c r="X1322" s="5" t="n">
        <v>0</v>
      </c>
      <c r="Y1322" s="5" t="n">
        <v>0</v>
      </c>
      <c r="Z1322" s="0" t="n">
        <v>0</v>
      </c>
      <c r="AA1322" s="0" t="n">
        <v>0</v>
      </c>
      <c r="AB1322" s="0" t="n">
        <v>0</v>
      </c>
      <c r="AC1322" s="4" t="s">
        <v>5084</v>
      </c>
      <c r="AD1322" s="4" t="s">
        <v>994</v>
      </c>
      <c r="AE1322" s="4" t="s">
        <v>5090</v>
      </c>
      <c r="AF1322" s="4" t="s">
        <v>5091</v>
      </c>
      <c r="AG1322" s="5" t="n">
        <v>0.578622685185185</v>
      </c>
      <c r="AH1322" s="5" t="n">
        <v>0.193958333333333</v>
      </c>
      <c r="AI1322" s="5" t="n">
        <v>0</v>
      </c>
      <c r="AJ1322" s="5" t="n">
        <v>0</v>
      </c>
      <c r="AK1322" s="5" t="n">
        <v>0</v>
      </c>
      <c r="AL1322" s="5" t="n">
        <v>0</v>
      </c>
      <c r="AM1322" s="4" t="s">
        <v>78</v>
      </c>
      <c r="AN1322" s="0" t="n">
        <v>0</v>
      </c>
      <c r="AO1322" s="0" t="n">
        <v>0</v>
      </c>
      <c r="AP1322" s="0" t="n">
        <v>0</v>
      </c>
      <c r="AQ1322" s="0" t="n">
        <v>0</v>
      </c>
      <c r="AR1322" s="0" t="n">
        <v>0</v>
      </c>
      <c r="AS1322" s="0" t="n">
        <v>0</v>
      </c>
      <c r="AT1322" s="0" t="n">
        <v>0</v>
      </c>
      <c r="AU1322" s="0" t="n">
        <v>2</v>
      </c>
      <c r="AV1322" s="0" t="n">
        <v>0</v>
      </c>
      <c r="AW1322" s="0" t="n">
        <v>0</v>
      </c>
      <c r="AX1322" s="0" t="n">
        <v>0</v>
      </c>
      <c r="AY1322" s="0" t="n">
        <v>0</v>
      </c>
      <c r="AZ1322" s="0" t="n">
        <v>0</v>
      </c>
      <c r="BA1322" s="0" t="n">
        <v>0</v>
      </c>
      <c r="BB1322" s="0" t="n">
        <v>0</v>
      </c>
      <c r="BC1322" s="0" t="n">
        <v>0</v>
      </c>
      <c r="BD1322" s="0" t="n">
        <v>0</v>
      </c>
      <c r="BE1322" s="0" t="n">
        <v>0</v>
      </c>
      <c r="BF1322" s="0" t="n">
        <v>0</v>
      </c>
      <c r="BG1322" s="0" t="n">
        <v>0</v>
      </c>
      <c r="BH1322" s="0" t="n">
        <v>0</v>
      </c>
      <c r="BI1322" s="0" t="n">
        <v>0</v>
      </c>
      <c r="BJ1322" s="0" t="n">
        <v>0</v>
      </c>
      <c r="BK1322" s="0" t="n">
        <v>0</v>
      </c>
      <c r="BM1322" s="6" t="n">
        <f aca="false">IFERROR(VALUE(F1322),"")</f>
        <v>836.68</v>
      </c>
      <c r="BN1322" s="6" t="n">
        <f aca="false">IF(R1322="-","",IFERROR(VALUE(LEFT(Q1322,LEN(Q1322)-2)),""))</f>
        <v>224.28</v>
      </c>
      <c r="BO1322" s="6" t="n">
        <f aca="false">IF(R1322="-","",IFERROR(VALUE(LEFT(R1322,LEN(R1322)-5)),""))</f>
        <v>3.73</v>
      </c>
      <c r="BP1322" s="6" t="n">
        <f aca="false">IF(R1322="-","",IFERROR(VALUE(F1322),""))</f>
        <v>836.68</v>
      </c>
      <c r="BQ1322" s="4" t="n">
        <f aca="false">IF(R1322="-",1,0)</f>
        <v>0</v>
      </c>
    </row>
    <row r="1323" customFormat="false" ht="15" hidden="false" customHeight="false" outlineLevel="0" collapsed="false">
      <c r="A1323" s="0" t="s">
        <v>5079</v>
      </c>
      <c r="B1323" s="0" t="s">
        <v>5080</v>
      </c>
      <c r="C1323" s="0" t="s">
        <v>70</v>
      </c>
      <c r="D1323" s="0" t="s">
        <v>5092</v>
      </c>
      <c r="E1323" s="3" t="n">
        <v>46275</v>
      </c>
      <c r="F1323" s="4" t="s">
        <v>5093</v>
      </c>
      <c r="G1323" s="5" t="n">
        <v>0.659039351851852</v>
      </c>
      <c r="H1323" s="5" t="n">
        <v>0.297418981481482</v>
      </c>
      <c r="I1323" s="5" t="n">
        <v>0.000810185185185185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5" t="n">
        <v>0</v>
      </c>
      <c r="P1323" s="5" t="n">
        <v>0.0274652777777778</v>
      </c>
      <c r="Q1323" s="4" t="s">
        <v>5094</v>
      </c>
      <c r="R1323" s="4" t="s">
        <v>3712</v>
      </c>
      <c r="S1323" s="5" t="n">
        <v>0.000115740740740741</v>
      </c>
      <c r="T1323" s="5" t="n">
        <v>0.175347222222222</v>
      </c>
      <c r="U1323" s="5" t="n">
        <v>0.420717592592593</v>
      </c>
      <c r="V1323" s="5" t="n">
        <v>0.0212962962962963</v>
      </c>
      <c r="W1323" s="5" t="n">
        <v>0</v>
      </c>
      <c r="X1323" s="5" t="n">
        <v>0</v>
      </c>
      <c r="Y1323" s="5" t="n">
        <v>0</v>
      </c>
      <c r="Z1323" s="0" t="n">
        <v>0</v>
      </c>
      <c r="AA1323" s="0" t="n">
        <v>0</v>
      </c>
      <c r="AB1323" s="0" t="n">
        <v>0</v>
      </c>
      <c r="AC1323" s="4" t="s">
        <v>994</v>
      </c>
      <c r="AD1323" s="4" t="s">
        <v>5084</v>
      </c>
      <c r="AE1323" s="4" t="s">
        <v>5095</v>
      </c>
      <c r="AF1323" s="4" t="s">
        <v>5096</v>
      </c>
      <c r="AG1323" s="5" t="n">
        <v>0.559247685185185</v>
      </c>
      <c r="AH1323" s="5" t="n">
        <v>0.191122685185185</v>
      </c>
      <c r="AI1323" s="5" t="n">
        <v>0</v>
      </c>
      <c r="AJ1323" s="5" t="n">
        <v>0</v>
      </c>
      <c r="AK1323" s="5" t="n">
        <v>0</v>
      </c>
      <c r="AL1323" s="5" t="n">
        <v>0</v>
      </c>
      <c r="AM1323" s="4" t="s">
        <v>78</v>
      </c>
      <c r="AN1323" s="0" t="n">
        <v>0</v>
      </c>
      <c r="AO1323" s="0" t="n">
        <v>0</v>
      </c>
      <c r="AP1323" s="0" t="n">
        <v>0</v>
      </c>
      <c r="AQ1323" s="0" t="n">
        <v>0</v>
      </c>
      <c r="AR1323" s="0" t="n">
        <v>0</v>
      </c>
      <c r="AS1323" s="0" t="n">
        <v>0</v>
      </c>
      <c r="AT1323" s="0" t="n">
        <v>0</v>
      </c>
      <c r="AU1323" s="0" t="n">
        <v>4</v>
      </c>
      <c r="AV1323" s="0" t="n">
        <v>0</v>
      </c>
      <c r="AW1323" s="0" t="n">
        <v>0</v>
      </c>
      <c r="AX1323" s="0" t="n">
        <v>0</v>
      </c>
      <c r="AY1323" s="0" t="n">
        <v>0</v>
      </c>
      <c r="AZ1323" s="0" t="n">
        <v>0</v>
      </c>
      <c r="BA1323" s="0" t="n">
        <v>0</v>
      </c>
      <c r="BB1323" s="0" t="n">
        <v>0</v>
      </c>
      <c r="BC1323" s="0" t="n">
        <v>0</v>
      </c>
      <c r="BD1323" s="0" t="n">
        <v>0</v>
      </c>
      <c r="BE1323" s="0" t="n">
        <v>0</v>
      </c>
      <c r="BF1323" s="0" t="n">
        <v>0</v>
      </c>
      <c r="BG1323" s="0" t="n">
        <v>0</v>
      </c>
      <c r="BH1323" s="0" t="n">
        <v>0</v>
      </c>
      <c r="BI1323" s="0" t="n">
        <v>0</v>
      </c>
      <c r="BJ1323" s="0" t="n">
        <v>0</v>
      </c>
      <c r="BK1323" s="0" t="n">
        <v>0</v>
      </c>
      <c r="BM1323" s="6" t="n">
        <f aca="false">IFERROR(VALUE(F1323),"")</f>
        <v>794.92</v>
      </c>
      <c r="BN1323" s="6" t="n">
        <f aca="false">IF(R1323="-","",IFERROR(VALUE(LEFT(Q1323,LEN(Q1323)-2)),""))</f>
        <v>214.4</v>
      </c>
      <c r="BO1323" s="6" t="n">
        <f aca="false">IF(R1323="-","",IFERROR(VALUE(LEFT(R1323,LEN(R1323)-5)),""))</f>
        <v>3.71</v>
      </c>
      <c r="BP1323" s="6" t="n">
        <f aca="false">IF(R1323="-","",IFERROR(VALUE(F1323),""))</f>
        <v>794.92</v>
      </c>
      <c r="BQ1323" s="4" t="n">
        <f aca="false">IF(R1323="-",1,0)</f>
        <v>0</v>
      </c>
    </row>
    <row r="1324" customFormat="false" ht="15" hidden="false" customHeight="false" outlineLevel="0" collapsed="false">
      <c r="A1324" s="0" t="s">
        <v>5079</v>
      </c>
      <c r="B1324" s="0" t="s">
        <v>5080</v>
      </c>
      <c r="C1324" s="0" t="s">
        <v>70</v>
      </c>
      <c r="D1324" s="0" t="s">
        <v>5097</v>
      </c>
      <c r="E1324" s="3" t="n">
        <v>46276</v>
      </c>
      <c r="F1324" s="4" t="s">
        <v>5098</v>
      </c>
      <c r="G1324" s="5" t="n">
        <v>0.80900462962963</v>
      </c>
      <c r="H1324" s="5" t="n">
        <v>0.611458333333333</v>
      </c>
      <c r="I1324" s="5" t="n">
        <v>0.00628472222222222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8</v>
      </c>
      <c r="O1324" s="5" t="n">
        <v>0</v>
      </c>
      <c r="P1324" s="5" t="n">
        <v>0.0217361111111111</v>
      </c>
      <c r="Q1324" s="4" t="s">
        <v>5099</v>
      </c>
      <c r="R1324" s="4" t="s">
        <v>4605</v>
      </c>
      <c r="S1324" s="5" t="n">
        <v>0.000115740740740741</v>
      </c>
      <c r="T1324" s="5" t="n">
        <v>0.21099537037037</v>
      </c>
      <c r="U1324" s="5" t="n">
        <v>0.517013888888889</v>
      </c>
      <c r="V1324" s="5" t="n">
        <v>0.0239583333333333</v>
      </c>
      <c r="W1324" s="5" t="n">
        <v>0</v>
      </c>
      <c r="X1324" s="5" t="n">
        <v>0</v>
      </c>
      <c r="Y1324" s="5" t="n">
        <v>0</v>
      </c>
      <c r="Z1324" s="0" t="n">
        <v>0</v>
      </c>
      <c r="AA1324" s="0" t="n">
        <v>0</v>
      </c>
      <c r="AB1324" s="0" t="n">
        <v>0</v>
      </c>
      <c r="AC1324" s="4" t="s">
        <v>5084</v>
      </c>
      <c r="AD1324" s="4" t="s">
        <v>432</v>
      </c>
      <c r="AE1324" s="4" t="s">
        <v>5100</v>
      </c>
      <c r="AF1324" s="4" t="s">
        <v>5101</v>
      </c>
      <c r="AG1324" s="5" t="n">
        <v>0.687141203703704</v>
      </c>
      <c r="AH1324" s="5" t="n">
        <v>0.212719907407407</v>
      </c>
      <c r="AI1324" s="5" t="n">
        <v>0</v>
      </c>
      <c r="AJ1324" s="5" t="n">
        <v>0</v>
      </c>
      <c r="AK1324" s="5" t="n">
        <v>0</v>
      </c>
      <c r="AL1324" s="5" t="n">
        <v>0</v>
      </c>
      <c r="AM1324" s="4" t="s">
        <v>78</v>
      </c>
      <c r="AN1324" s="0" t="n">
        <v>0</v>
      </c>
      <c r="AO1324" s="0" t="n">
        <v>0</v>
      </c>
      <c r="AP1324" s="0" t="n">
        <v>0</v>
      </c>
      <c r="AQ1324" s="0" t="n">
        <v>0</v>
      </c>
      <c r="AR1324" s="0" t="n">
        <v>0</v>
      </c>
      <c r="AS1324" s="0" t="n">
        <v>0</v>
      </c>
      <c r="AT1324" s="0" t="n">
        <v>0</v>
      </c>
      <c r="AU1324" s="0" t="n">
        <v>11</v>
      </c>
      <c r="AV1324" s="0" t="n">
        <v>0</v>
      </c>
      <c r="AW1324" s="0" t="n">
        <v>0</v>
      </c>
      <c r="AX1324" s="0" t="n">
        <v>0</v>
      </c>
      <c r="AY1324" s="0" t="n">
        <v>0</v>
      </c>
      <c r="AZ1324" s="0" t="n">
        <v>0</v>
      </c>
      <c r="BA1324" s="0" t="n">
        <v>0</v>
      </c>
      <c r="BB1324" s="0" t="n">
        <v>0</v>
      </c>
      <c r="BC1324" s="0" t="n">
        <v>0</v>
      </c>
      <c r="BD1324" s="0" t="n">
        <v>0</v>
      </c>
      <c r="BE1324" s="0" t="n">
        <v>0</v>
      </c>
      <c r="BF1324" s="0" t="n">
        <v>0</v>
      </c>
      <c r="BG1324" s="0" t="n">
        <v>0</v>
      </c>
      <c r="BH1324" s="0" t="n">
        <v>0</v>
      </c>
      <c r="BI1324" s="0" t="n">
        <v>0</v>
      </c>
      <c r="BJ1324" s="0" t="n">
        <v>0</v>
      </c>
      <c r="BK1324" s="0" t="n">
        <v>0</v>
      </c>
      <c r="BM1324" s="6" t="n">
        <f aca="false">IFERROR(VALUE(F1324),"")</f>
        <v>1022.35</v>
      </c>
      <c r="BN1324" s="6" t="n">
        <f aca="false">IF(R1324="-","",IFERROR(VALUE(LEFT(Q1324,LEN(Q1324)-2)),""))</f>
        <v>271.86</v>
      </c>
      <c r="BO1324" s="6" t="n">
        <f aca="false">IF(R1324="-","",IFERROR(VALUE(LEFT(R1324,LEN(R1324)-5)),""))</f>
        <v>3.76</v>
      </c>
      <c r="BP1324" s="6" t="n">
        <f aca="false">IF(R1324="-","",IFERROR(VALUE(F1324),""))</f>
        <v>1022.35</v>
      </c>
      <c r="BQ1324" s="4" t="n">
        <f aca="false">IF(R1324="-",1,0)</f>
        <v>0</v>
      </c>
    </row>
    <row r="1325" customFormat="false" ht="15" hidden="false" customHeight="false" outlineLevel="0" collapsed="false">
      <c r="A1325" s="0" t="s">
        <v>5079</v>
      </c>
      <c r="B1325" s="0" t="s">
        <v>5080</v>
      </c>
      <c r="C1325" s="0" t="s">
        <v>70</v>
      </c>
      <c r="E1325" s="3" t="n">
        <v>46278</v>
      </c>
      <c r="F1325" s="4" t="s">
        <v>1821</v>
      </c>
      <c r="G1325" s="5" t="n">
        <v>0.00163194444444445</v>
      </c>
      <c r="H1325" s="5" t="n">
        <v>0</v>
      </c>
      <c r="I1325" s="5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5" t="n">
        <v>0</v>
      </c>
      <c r="P1325" s="5" t="n">
        <v>0</v>
      </c>
      <c r="Q1325" s="4" t="s">
        <v>4557</v>
      </c>
      <c r="R1325" s="4" t="s">
        <v>5102</v>
      </c>
      <c r="S1325" s="5" t="n">
        <v>0</v>
      </c>
      <c r="T1325" s="5" t="n">
        <v>0.00138888888888889</v>
      </c>
      <c r="U1325" s="5" t="n">
        <v>0.000115740740740741</v>
      </c>
      <c r="V1325" s="5" t="n">
        <v>0</v>
      </c>
      <c r="W1325" s="5" t="n">
        <v>0</v>
      </c>
      <c r="X1325" s="5" t="n">
        <v>0</v>
      </c>
      <c r="Y1325" s="5" t="n">
        <v>0</v>
      </c>
      <c r="Z1325" s="0" t="n">
        <v>0</v>
      </c>
      <c r="AA1325" s="0" t="n">
        <v>0</v>
      </c>
      <c r="AB1325" s="0" t="n">
        <v>0</v>
      </c>
      <c r="AC1325" s="4" t="s">
        <v>432</v>
      </c>
      <c r="AD1325" s="4" t="s">
        <v>432</v>
      </c>
      <c r="AE1325" s="4" t="s">
        <v>5101</v>
      </c>
      <c r="AF1325" s="4" t="s">
        <v>5103</v>
      </c>
      <c r="AG1325" s="5" t="n">
        <v>0.00118055555555556</v>
      </c>
      <c r="AH1325" s="5" t="n">
        <v>0.0213425925925926</v>
      </c>
      <c r="AI1325" s="5" t="n">
        <v>0</v>
      </c>
      <c r="AJ1325" s="5" t="n">
        <v>0</v>
      </c>
      <c r="AK1325" s="5" t="n">
        <v>0</v>
      </c>
      <c r="AL1325" s="5" t="n">
        <v>0</v>
      </c>
      <c r="AM1325" s="4" t="s">
        <v>78</v>
      </c>
      <c r="AN1325" s="0" t="n">
        <v>0</v>
      </c>
      <c r="AO1325" s="0" t="n">
        <v>0</v>
      </c>
      <c r="AP1325" s="0" t="n">
        <v>0</v>
      </c>
      <c r="AQ1325" s="0" t="n">
        <v>0</v>
      </c>
      <c r="AR1325" s="0" t="n">
        <v>0</v>
      </c>
      <c r="AS1325" s="0" t="n">
        <v>0</v>
      </c>
      <c r="AT1325" s="0" t="n">
        <v>0</v>
      </c>
      <c r="AU1325" s="0" t="n">
        <v>0</v>
      </c>
      <c r="AV1325" s="0" t="n">
        <v>0</v>
      </c>
      <c r="AW1325" s="0" t="n">
        <v>0</v>
      </c>
      <c r="AX1325" s="0" t="n">
        <v>0</v>
      </c>
      <c r="AY1325" s="0" t="n">
        <v>0</v>
      </c>
      <c r="AZ1325" s="0" t="n">
        <v>0</v>
      </c>
      <c r="BA1325" s="0" t="n">
        <v>0</v>
      </c>
      <c r="BB1325" s="0" t="n">
        <v>0</v>
      </c>
      <c r="BC1325" s="0" t="n">
        <v>0</v>
      </c>
      <c r="BD1325" s="0" t="n">
        <v>0</v>
      </c>
      <c r="BE1325" s="0" t="n">
        <v>0</v>
      </c>
      <c r="BF1325" s="0" t="n">
        <v>0</v>
      </c>
      <c r="BG1325" s="0" t="n">
        <v>0</v>
      </c>
      <c r="BH1325" s="0" t="n">
        <v>0</v>
      </c>
      <c r="BI1325" s="0" t="n">
        <v>0</v>
      </c>
      <c r="BJ1325" s="0" t="n">
        <v>0</v>
      </c>
      <c r="BK1325" s="0" t="n">
        <v>0</v>
      </c>
      <c r="BM1325" s="6" t="n">
        <f aca="false">IFERROR(VALUE(F1325),"")</f>
        <v>0.07</v>
      </c>
      <c r="BN1325" s="6" t="n">
        <f aca="false">IF(R1325="-","",IFERROR(VALUE(LEFT(Q1325,LEN(Q1325)-2)),""))</f>
        <v>0.15</v>
      </c>
      <c r="BO1325" s="6" t="n">
        <f aca="false">IF(R1325="-","",IFERROR(VALUE(LEFT(R1325,LEN(R1325)-5)),""))</f>
        <v>0.47</v>
      </c>
      <c r="BP1325" s="6" t="n">
        <f aca="false">IF(R1325="-","",IFERROR(VALUE(F1325),""))</f>
        <v>0.07</v>
      </c>
      <c r="BQ1325" s="4" t="n">
        <f aca="false">IF(R1325="-",1,0)</f>
        <v>0</v>
      </c>
    </row>
    <row r="1326" customFormat="false" ht="15" hidden="false" customHeight="false" outlineLevel="0" collapsed="false">
      <c r="A1326" s="0" t="s">
        <v>5079</v>
      </c>
      <c r="B1326" s="0" t="s">
        <v>5080</v>
      </c>
      <c r="C1326" s="0" t="s">
        <v>70</v>
      </c>
      <c r="D1326" s="0" t="s">
        <v>5104</v>
      </c>
      <c r="E1326" s="3" t="n">
        <v>46279</v>
      </c>
      <c r="F1326" s="4" t="s">
        <v>5105</v>
      </c>
      <c r="G1326" s="5" t="n">
        <v>0.300300925925926</v>
      </c>
      <c r="H1326" s="5" t="n">
        <v>0.299826388888889</v>
      </c>
      <c r="I1326" s="5" t="n">
        <v>0.00429398148148148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5" t="n">
        <v>0</v>
      </c>
      <c r="P1326" s="5" t="n">
        <v>0.0476273148148148</v>
      </c>
      <c r="Q1326" s="4" t="s">
        <v>5106</v>
      </c>
      <c r="R1326" s="4" t="s">
        <v>4499</v>
      </c>
      <c r="S1326" s="5" t="n">
        <v>0</v>
      </c>
      <c r="T1326" s="5" t="n">
        <v>0.114351851851852</v>
      </c>
      <c r="U1326" s="5" t="n">
        <v>0.169328703703704</v>
      </c>
      <c r="V1326" s="5" t="n">
        <v>0.00659722222222222</v>
      </c>
      <c r="W1326" s="5" t="n">
        <v>0</v>
      </c>
      <c r="X1326" s="5" t="n">
        <v>0</v>
      </c>
      <c r="Y1326" s="5" t="n">
        <v>0</v>
      </c>
      <c r="Z1326" s="0" t="n">
        <v>0</v>
      </c>
      <c r="AA1326" s="0" t="n">
        <v>0</v>
      </c>
      <c r="AB1326" s="0" t="n">
        <v>0</v>
      </c>
      <c r="AC1326" s="4" t="s">
        <v>432</v>
      </c>
      <c r="AD1326" s="4" t="s">
        <v>994</v>
      </c>
      <c r="AE1326" s="4" t="s">
        <v>5103</v>
      </c>
      <c r="AF1326" s="4" t="s">
        <v>5107</v>
      </c>
      <c r="AG1326" s="5" t="n">
        <v>0.225486111111111</v>
      </c>
      <c r="AH1326" s="5" t="n">
        <v>0.0939814814814815</v>
      </c>
      <c r="AI1326" s="5" t="n">
        <v>0</v>
      </c>
      <c r="AJ1326" s="5" t="n">
        <v>0</v>
      </c>
      <c r="AK1326" s="5" t="n">
        <v>0</v>
      </c>
      <c r="AL1326" s="5" t="n">
        <v>0</v>
      </c>
      <c r="AM1326" s="4" t="s">
        <v>78</v>
      </c>
      <c r="AN1326" s="0" t="n">
        <v>0</v>
      </c>
      <c r="AO1326" s="0" t="n">
        <v>0</v>
      </c>
      <c r="AP1326" s="0" t="n">
        <v>0</v>
      </c>
      <c r="AQ1326" s="0" t="n">
        <v>0</v>
      </c>
      <c r="AR1326" s="0" t="n">
        <v>0</v>
      </c>
      <c r="AS1326" s="0" t="n">
        <v>0</v>
      </c>
      <c r="AT1326" s="0" t="n">
        <v>0</v>
      </c>
      <c r="AU1326" s="0" t="n">
        <v>3</v>
      </c>
      <c r="AV1326" s="0" t="n">
        <v>0</v>
      </c>
      <c r="AW1326" s="0" t="n">
        <v>0</v>
      </c>
      <c r="AX1326" s="0" t="n">
        <v>0</v>
      </c>
      <c r="AY1326" s="0" t="n">
        <v>0</v>
      </c>
      <c r="AZ1326" s="0" t="n">
        <v>0</v>
      </c>
      <c r="BA1326" s="0" t="n">
        <v>0</v>
      </c>
      <c r="BB1326" s="0" t="n">
        <v>0</v>
      </c>
      <c r="BC1326" s="0" t="n">
        <v>0</v>
      </c>
      <c r="BD1326" s="0" t="n">
        <v>0</v>
      </c>
      <c r="BE1326" s="0" t="n">
        <v>0</v>
      </c>
      <c r="BF1326" s="0" t="n">
        <v>0</v>
      </c>
      <c r="BG1326" s="0" t="n">
        <v>0</v>
      </c>
      <c r="BH1326" s="0" t="n">
        <v>0</v>
      </c>
      <c r="BI1326" s="0" t="n">
        <v>0</v>
      </c>
      <c r="BJ1326" s="0" t="n">
        <v>0</v>
      </c>
      <c r="BK1326" s="0" t="n">
        <v>0</v>
      </c>
      <c r="BM1326" s="6" t="n">
        <f aca="false">IFERROR(VALUE(F1326),"")</f>
        <v>310.97</v>
      </c>
      <c r="BN1326" s="6" t="n">
        <f aca="false">IF(R1326="-","",IFERROR(VALUE(LEFT(Q1326,LEN(Q1326)-2)),""))</f>
        <v>94.75</v>
      </c>
      <c r="BO1326" s="6" t="n">
        <f aca="false">IF(R1326="-","",IFERROR(VALUE(LEFT(R1326,LEN(R1326)-5)),""))</f>
        <v>3.28</v>
      </c>
      <c r="BP1326" s="6" t="n">
        <f aca="false">IF(R1326="-","",IFERROR(VALUE(F1326),""))</f>
        <v>310.97</v>
      </c>
      <c r="BQ1326" s="4" t="n">
        <f aca="false">IF(R1326="-",1,0)</f>
        <v>0</v>
      </c>
    </row>
    <row r="1327" customFormat="false" ht="15" hidden="false" customHeight="false" outlineLevel="0" collapsed="false">
      <c r="A1327" s="0" t="s">
        <v>5108</v>
      </c>
      <c r="B1327" s="0" t="s">
        <v>5109</v>
      </c>
      <c r="C1327" s="0" t="s">
        <v>70</v>
      </c>
      <c r="E1327" s="3" t="n">
        <v>46274</v>
      </c>
      <c r="F1327" s="4" t="s">
        <v>5110</v>
      </c>
      <c r="G1327" s="5" t="n">
        <v>0.0881828703703704</v>
      </c>
      <c r="H1327" s="5" t="n">
        <v>0</v>
      </c>
      <c r="I1327" s="5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5" t="n">
        <v>0</v>
      </c>
      <c r="P1327" s="5" t="n">
        <v>0.0430902777777778</v>
      </c>
      <c r="Q1327" s="4" t="s">
        <v>5111</v>
      </c>
      <c r="R1327" s="4" t="s">
        <v>1160</v>
      </c>
      <c r="S1327" s="5" t="n">
        <v>0.000231481481481482</v>
      </c>
      <c r="T1327" s="5" t="n">
        <v>0.047337962962963</v>
      </c>
      <c r="U1327" s="5" t="n">
        <v>0</v>
      </c>
      <c r="V1327" s="5" t="n">
        <v>0</v>
      </c>
      <c r="W1327" s="5" t="n">
        <v>0</v>
      </c>
      <c r="X1327" s="5" t="n">
        <v>0</v>
      </c>
      <c r="Y1327" s="5" t="n">
        <v>0</v>
      </c>
      <c r="Z1327" s="0" t="n">
        <v>0</v>
      </c>
      <c r="AA1327" s="0" t="n">
        <v>0</v>
      </c>
      <c r="AB1327" s="0" t="n">
        <v>0</v>
      </c>
      <c r="AC1327" s="4" t="s">
        <v>75</v>
      </c>
      <c r="AD1327" s="4" t="s">
        <v>75</v>
      </c>
      <c r="AE1327" s="4" t="s">
        <v>5112</v>
      </c>
      <c r="AF1327" s="4" t="s">
        <v>5113</v>
      </c>
      <c r="AG1327" s="5" t="n">
        <v>0.0012037037037037</v>
      </c>
      <c r="AH1327" s="5" t="n">
        <v>0.115972222222222</v>
      </c>
      <c r="AI1327" s="5" t="n">
        <v>0</v>
      </c>
      <c r="AJ1327" s="5" t="n">
        <v>0</v>
      </c>
      <c r="AK1327" s="5" t="n">
        <v>0</v>
      </c>
      <c r="AL1327" s="5" t="n">
        <v>0</v>
      </c>
      <c r="AM1327" s="4" t="s">
        <v>78</v>
      </c>
      <c r="AN1327" s="0" t="n">
        <v>0</v>
      </c>
      <c r="AO1327" s="0" t="n">
        <v>0</v>
      </c>
      <c r="AP1327" s="0" t="n">
        <v>0</v>
      </c>
      <c r="AQ1327" s="0" t="n">
        <v>0</v>
      </c>
      <c r="AR1327" s="0" t="n">
        <v>0</v>
      </c>
      <c r="AS1327" s="0" t="n">
        <v>0</v>
      </c>
      <c r="AT1327" s="0" t="n">
        <v>0</v>
      </c>
      <c r="AU1327" s="0" t="n">
        <v>0</v>
      </c>
      <c r="AV1327" s="0" t="n">
        <v>0</v>
      </c>
      <c r="AW1327" s="0" t="n">
        <v>0</v>
      </c>
      <c r="AX1327" s="0" t="n">
        <v>0</v>
      </c>
      <c r="AY1327" s="0" t="n">
        <v>0</v>
      </c>
      <c r="AZ1327" s="0" t="n">
        <v>0</v>
      </c>
      <c r="BA1327" s="0" t="n">
        <v>0</v>
      </c>
      <c r="BB1327" s="0" t="n">
        <v>0</v>
      </c>
      <c r="BC1327" s="0" t="n">
        <v>0</v>
      </c>
      <c r="BD1327" s="0" t="n">
        <v>0</v>
      </c>
      <c r="BE1327" s="0" t="n">
        <v>0</v>
      </c>
      <c r="BF1327" s="0" t="n">
        <v>0</v>
      </c>
      <c r="BG1327" s="0" t="n">
        <v>0</v>
      </c>
      <c r="BH1327" s="0" t="n">
        <v>0</v>
      </c>
      <c r="BI1327" s="0" t="n">
        <v>0</v>
      </c>
      <c r="BJ1327" s="0" t="n">
        <v>0</v>
      </c>
      <c r="BK1327" s="0" t="n">
        <v>0</v>
      </c>
      <c r="BM1327" s="6" t="n">
        <f aca="false">IFERROR(VALUE(F1327),"")</f>
        <v>0.03</v>
      </c>
      <c r="BN1327" s="6" t="n">
        <f aca="false">IF(R1327="-","",IFERROR(VALUE(LEFT(Q1327,LEN(Q1327)-2)),""))</f>
        <v>4.09</v>
      </c>
      <c r="BO1327" s="6" t="n">
        <f aca="false">IF(R1327="-","",IFERROR(VALUE(LEFT(R1327,LEN(R1327)-5)),""))</f>
        <v>0.01</v>
      </c>
      <c r="BP1327" s="6" t="n">
        <f aca="false">IF(R1327="-","",IFERROR(VALUE(F1327),""))</f>
        <v>0.03</v>
      </c>
      <c r="BQ1327" s="4" t="n">
        <f aca="false">IF(R1327="-",1,0)</f>
        <v>0</v>
      </c>
    </row>
    <row r="1328" customFormat="false" ht="15" hidden="false" customHeight="false" outlineLevel="0" collapsed="false">
      <c r="A1328" s="0" t="s">
        <v>5108</v>
      </c>
      <c r="B1328" s="0" t="s">
        <v>5109</v>
      </c>
      <c r="C1328" s="0" t="s">
        <v>70</v>
      </c>
      <c r="D1328" s="0" t="s">
        <v>4146</v>
      </c>
      <c r="E1328" s="3" t="n">
        <v>46275</v>
      </c>
      <c r="F1328" s="4" t="s">
        <v>5114</v>
      </c>
      <c r="G1328" s="5" t="n">
        <v>0.368159722222222</v>
      </c>
      <c r="H1328" s="5" t="n">
        <v>0.293738425925926</v>
      </c>
      <c r="I1328" s="5" t="n">
        <v>0.000115740740740741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5" t="n">
        <v>0</v>
      </c>
      <c r="P1328" s="5" t="n">
        <v>0.0391087962962963</v>
      </c>
      <c r="Q1328" s="4" t="s">
        <v>5115</v>
      </c>
      <c r="R1328" s="4" t="s">
        <v>437</v>
      </c>
      <c r="S1328" s="5" t="n">
        <v>0.000231481481481482</v>
      </c>
      <c r="T1328" s="5" t="n">
        <v>0.14537037037037</v>
      </c>
      <c r="U1328" s="5" t="n">
        <v>0.161111111111111</v>
      </c>
      <c r="V1328" s="5" t="n">
        <v>0.00740740740740741</v>
      </c>
      <c r="W1328" s="5" t="n">
        <v>0</v>
      </c>
      <c r="X1328" s="5" t="n">
        <v>0</v>
      </c>
      <c r="Y1328" s="5" t="n">
        <v>0</v>
      </c>
      <c r="Z1328" s="0" t="n">
        <v>0</v>
      </c>
      <c r="AA1328" s="0" t="n">
        <v>0</v>
      </c>
      <c r="AB1328" s="0" t="n">
        <v>0</v>
      </c>
      <c r="AC1328" s="4" t="s">
        <v>75</v>
      </c>
      <c r="AD1328" s="4" t="s">
        <v>228</v>
      </c>
      <c r="AE1328" s="4" t="s">
        <v>5113</v>
      </c>
      <c r="AF1328" s="4" t="s">
        <v>5116</v>
      </c>
      <c r="AG1328" s="5" t="n">
        <v>0.243784722222222</v>
      </c>
      <c r="AH1328" s="5" t="n">
        <v>0.230543981481482</v>
      </c>
      <c r="AI1328" s="5" t="n">
        <v>0</v>
      </c>
      <c r="AJ1328" s="5" t="n">
        <v>0</v>
      </c>
      <c r="AK1328" s="5" t="n">
        <v>0</v>
      </c>
      <c r="AL1328" s="5" t="n">
        <v>0</v>
      </c>
      <c r="AM1328" s="4" t="s">
        <v>78</v>
      </c>
      <c r="AN1328" s="0" t="n">
        <v>0</v>
      </c>
      <c r="AO1328" s="0" t="n">
        <v>0</v>
      </c>
      <c r="AP1328" s="0" t="n">
        <v>0</v>
      </c>
      <c r="AQ1328" s="0" t="n">
        <v>0</v>
      </c>
      <c r="AR1328" s="0" t="n">
        <v>0</v>
      </c>
      <c r="AS1328" s="0" t="n">
        <v>0</v>
      </c>
      <c r="AT1328" s="0" t="n">
        <v>0</v>
      </c>
      <c r="AU1328" s="0" t="n">
        <v>0</v>
      </c>
      <c r="AV1328" s="0" t="n">
        <v>0</v>
      </c>
      <c r="AW1328" s="0" t="n">
        <v>0</v>
      </c>
      <c r="AX1328" s="0" t="n">
        <v>0</v>
      </c>
      <c r="AY1328" s="0" t="n">
        <v>0</v>
      </c>
      <c r="AZ1328" s="0" t="n">
        <v>0</v>
      </c>
      <c r="BA1328" s="0" t="n">
        <v>0</v>
      </c>
      <c r="BB1328" s="0" t="n">
        <v>0</v>
      </c>
      <c r="BC1328" s="0" t="n">
        <v>0</v>
      </c>
      <c r="BD1328" s="0" t="n">
        <v>0</v>
      </c>
      <c r="BE1328" s="0" t="n">
        <v>0</v>
      </c>
      <c r="BF1328" s="0" t="n">
        <v>0</v>
      </c>
      <c r="BG1328" s="0" t="n">
        <v>0</v>
      </c>
      <c r="BH1328" s="0" t="n">
        <v>0</v>
      </c>
      <c r="BI1328" s="0" t="n">
        <v>0</v>
      </c>
      <c r="BJ1328" s="0" t="n">
        <v>0</v>
      </c>
      <c r="BK1328" s="0" t="n">
        <v>0</v>
      </c>
      <c r="BM1328" s="6" t="n">
        <f aca="false">IFERROR(VALUE(F1328),"")</f>
        <v>292.01</v>
      </c>
      <c r="BN1328" s="6" t="n">
        <f aca="false">IF(R1328="-","",IFERROR(VALUE(LEFT(Q1328,LEN(Q1328)-2)),""))</f>
        <v>98.87</v>
      </c>
      <c r="BO1328" s="6" t="n">
        <f aca="false">IF(R1328="-","",IFERROR(VALUE(LEFT(R1328,LEN(R1328)-5)),""))</f>
        <v>2.95</v>
      </c>
      <c r="BP1328" s="6" t="n">
        <f aca="false">IF(R1328="-","",IFERROR(VALUE(F1328),""))</f>
        <v>292.01</v>
      </c>
      <c r="BQ1328" s="4" t="n">
        <f aca="false">IF(R1328="-",1,0)</f>
        <v>0</v>
      </c>
    </row>
    <row r="1329" customFormat="false" ht="15" hidden="false" customHeight="false" outlineLevel="0" collapsed="false">
      <c r="A1329" s="0" t="s">
        <v>5108</v>
      </c>
      <c r="B1329" s="0" t="s">
        <v>5109</v>
      </c>
      <c r="C1329" s="0" t="s">
        <v>70</v>
      </c>
      <c r="D1329" s="0" t="s">
        <v>5117</v>
      </c>
      <c r="E1329" s="3" t="n">
        <v>46276</v>
      </c>
      <c r="F1329" s="4" t="s">
        <v>5118</v>
      </c>
      <c r="G1329" s="5" t="n">
        <v>0.167974537037037</v>
      </c>
      <c r="H1329" s="5" t="n">
        <v>0.132384259259259</v>
      </c>
      <c r="I1329" s="5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5" t="n">
        <v>0</v>
      </c>
      <c r="P1329" s="5" t="n">
        <v>0.0578472222222222</v>
      </c>
      <c r="Q1329" s="4" t="s">
        <v>5119</v>
      </c>
      <c r="R1329" s="4" t="s">
        <v>5077</v>
      </c>
      <c r="S1329" s="5" t="n">
        <v>0.000115740740740741</v>
      </c>
      <c r="T1329" s="5" t="n">
        <v>0.119791666666667</v>
      </c>
      <c r="U1329" s="5" t="n">
        <v>0.022337962962963</v>
      </c>
      <c r="V1329" s="5" t="n">
        <v>0.000810185185185185</v>
      </c>
      <c r="W1329" s="5" t="n">
        <v>0.000115740740740741</v>
      </c>
      <c r="X1329" s="5" t="n">
        <v>0</v>
      </c>
      <c r="Y1329" s="5" t="n">
        <v>0</v>
      </c>
      <c r="Z1329" s="0" t="n">
        <v>0</v>
      </c>
      <c r="AA1329" s="0" t="n">
        <v>0</v>
      </c>
      <c r="AB1329" s="0" t="n">
        <v>0</v>
      </c>
      <c r="AC1329" s="4" t="s">
        <v>75</v>
      </c>
      <c r="AD1329" s="4" t="s">
        <v>75</v>
      </c>
      <c r="AE1329" s="4" t="s">
        <v>5116</v>
      </c>
      <c r="AF1329" s="4" t="s">
        <v>5120</v>
      </c>
      <c r="AG1329" s="5" t="n">
        <v>0.0605671296296296</v>
      </c>
      <c r="AH1329" s="5" t="n">
        <v>0.214282407407407</v>
      </c>
      <c r="AI1329" s="5" t="n">
        <v>0</v>
      </c>
      <c r="AJ1329" s="5" t="n">
        <v>0</v>
      </c>
      <c r="AK1329" s="5" t="n">
        <v>0</v>
      </c>
      <c r="AL1329" s="5" t="n">
        <v>0</v>
      </c>
      <c r="AM1329" s="4" t="s">
        <v>78</v>
      </c>
      <c r="AN1329" s="0" t="n">
        <v>0</v>
      </c>
      <c r="AO1329" s="0" t="n">
        <v>0</v>
      </c>
      <c r="AP1329" s="0" t="n">
        <v>0</v>
      </c>
      <c r="AQ1329" s="0" t="n">
        <v>0</v>
      </c>
      <c r="AR1329" s="0" t="n">
        <v>0</v>
      </c>
      <c r="AS1329" s="0" t="n">
        <v>0</v>
      </c>
      <c r="AT1329" s="0" t="n">
        <v>0</v>
      </c>
      <c r="AU1329" s="0" t="n">
        <v>0</v>
      </c>
      <c r="AV1329" s="0" t="n">
        <v>0</v>
      </c>
      <c r="AW1329" s="0" t="n">
        <v>0</v>
      </c>
      <c r="AX1329" s="0" t="n">
        <v>0</v>
      </c>
      <c r="AY1329" s="0" t="n">
        <v>0</v>
      </c>
      <c r="AZ1329" s="0" t="n">
        <v>0</v>
      </c>
      <c r="BA1329" s="0" t="n">
        <v>0</v>
      </c>
      <c r="BB1329" s="0" t="n">
        <v>0</v>
      </c>
      <c r="BC1329" s="0" t="n">
        <v>0</v>
      </c>
      <c r="BD1329" s="0" t="n">
        <v>0</v>
      </c>
      <c r="BE1329" s="0" t="n">
        <v>0</v>
      </c>
      <c r="BF1329" s="0" t="n">
        <v>0</v>
      </c>
      <c r="BG1329" s="0" t="n">
        <v>0</v>
      </c>
      <c r="BH1329" s="0" t="n">
        <v>0</v>
      </c>
      <c r="BI1329" s="0" t="n">
        <v>0</v>
      </c>
      <c r="BJ1329" s="0" t="n">
        <v>0</v>
      </c>
      <c r="BK1329" s="0" t="n">
        <v>0</v>
      </c>
      <c r="BM1329" s="6" t="n">
        <f aca="false">IFERROR(VALUE(F1329),"")</f>
        <v>17.12</v>
      </c>
      <c r="BN1329" s="6" t="n">
        <f aca="false">IF(R1329="-","",IFERROR(VALUE(LEFT(Q1329,LEN(Q1329)-2)),""))</f>
        <v>20.52</v>
      </c>
      <c r="BO1329" s="6" t="n">
        <f aca="false">IF(R1329="-","",IFERROR(VALUE(LEFT(R1329,LEN(R1329)-5)),""))</f>
        <v>0.83</v>
      </c>
      <c r="BP1329" s="6" t="n">
        <f aca="false">IF(R1329="-","",IFERROR(VALUE(F1329),""))</f>
        <v>17.12</v>
      </c>
      <c r="BQ1329" s="4" t="n">
        <f aca="false">IF(R1329="-",1,0)</f>
        <v>0</v>
      </c>
    </row>
    <row r="1330" customFormat="false" ht="15" hidden="false" customHeight="false" outlineLevel="0" collapsed="false">
      <c r="A1330" s="0" t="s">
        <v>5108</v>
      </c>
      <c r="B1330" s="0" t="s">
        <v>5109</v>
      </c>
      <c r="C1330" s="0" t="s">
        <v>70</v>
      </c>
      <c r="D1330" s="0" t="s">
        <v>5121</v>
      </c>
      <c r="E1330" s="3" t="n">
        <v>46277</v>
      </c>
      <c r="F1330" s="4" t="s">
        <v>5122</v>
      </c>
      <c r="G1330" s="5" t="n">
        <v>0.518657407407407</v>
      </c>
      <c r="H1330" s="5" t="n">
        <v>0.512175925925926</v>
      </c>
      <c r="I1330" s="5" t="n">
        <v>0.0124305555555556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2</v>
      </c>
      <c r="O1330" s="5" t="n">
        <v>0</v>
      </c>
      <c r="P1330" s="5" t="n">
        <v>0.0188773148148148</v>
      </c>
      <c r="Q1330" s="4" t="s">
        <v>5123</v>
      </c>
      <c r="R1330" s="4" t="s">
        <v>482</v>
      </c>
      <c r="S1330" s="5" t="n">
        <v>0.000347222222222222</v>
      </c>
      <c r="T1330" s="5" t="n">
        <v>0.119675925925926</v>
      </c>
      <c r="U1330" s="5" t="n">
        <v>0.354513888888889</v>
      </c>
      <c r="V1330" s="5" t="n">
        <v>0.0206018518518519</v>
      </c>
      <c r="W1330" s="5" t="n">
        <v>0</v>
      </c>
      <c r="X1330" s="5" t="n">
        <v>0</v>
      </c>
      <c r="Y1330" s="5" t="n">
        <v>0</v>
      </c>
      <c r="Z1330" s="0" t="n">
        <v>0</v>
      </c>
      <c r="AA1330" s="0" t="n">
        <v>0</v>
      </c>
      <c r="AB1330" s="0" t="n">
        <v>0</v>
      </c>
      <c r="AC1330" s="4" t="s">
        <v>75</v>
      </c>
      <c r="AD1330" s="4" t="s">
        <v>5124</v>
      </c>
      <c r="AE1330" s="4" t="s">
        <v>5120</v>
      </c>
      <c r="AF1330" s="4" t="s">
        <v>5125</v>
      </c>
      <c r="AG1330" s="5" t="n">
        <v>0.449756944444444</v>
      </c>
      <c r="AH1330" s="5" t="n">
        <v>0.126967592592593</v>
      </c>
      <c r="AI1330" s="5" t="n">
        <v>0</v>
      </c>
      <c r="AJ1330" s="5" t="n">
        <v>0</v>
      </c>
      <c r="AK1330" s="5" t="n">
        <v>0</v>
      </c>
      <c r="AL1330" s="5" t="n">
        <v>0</v>
      </c>
      <c r="AM1330" s="4" t="s">
        <v>78</v>
      </c>
      <c r="AN1330" s="0" t="n">
        <v>0</v>
      </c>
      <c r="AO1330" s="0" t="n">
        <v>0</v>
      </c>
      <c r="AP1330" s="0" t="n">
        <v>0</v>
      </c>
      <c r="AQ1330" s="0" t="n">
        <v>0</v>
      </c>
      <c r="AR1330" s="0" t="n">
        <v>1</v>
      </c>
      <c r="AS1330" s="0" t="n">
        <v>0</v>
      </c>
      <c r="AT1330" s="0" t="n">
        <v>0</v>
      </c>
      <c r="AU1330" s="0" t="n">
        <v>1</v>
      </c>
      <c r="AV1330" s="0" t="n">
        <v>0</v>
      </c>
      <c r="AW1330" s="0" t="n">
        <v>0</v>
      </c>
      <c r="AX1330" s="0" t="n">
        <v>0</v>
      </c>
      <c r="AY1330" s="0" t="n">
        <v>0</v>
      </c>
      <c r="AZ1330" s="0" t="n">
        <v>0</v>
      </c>
      <c r="BA1330" s="0" t="n">
        <v>0</v>
      </c>
      <c r="BB1330" s="0" t="n">
        <v>0</v>
      </c>
      <c r="BC1330" s="0" t="n">
        <v>0</v>
      </c>
      <c r="BD1330" s="0" t="n">
        <v>0</v>
      </c>
      <c r="BE1330" s="0" t="n">
        <v>0</v>
      </c>
      <c r="BF1330" s="0" t="n">
        <v>0</v>
      </c>
      <c r="BG1330" s="0" t="n">
        <v>0</v>
      </c>
      <c r="BH1330" s="0" t="n">
        <v>0</v>
      </c>
      <c r="BI1330" s="0" t="n">
        <v>0</v>
      </c>
      <c r="BJ1330" s="0" t="n">
        <v>0</v>
      </c>
      <c r="BK1330" s="0" t="n">
        <v>0</v>
      </c>
      <c r="BM1330" s="6" t="n">
        <f aca="false">IFERROR(VALUE(F1330),"")</f>
        <v>637.86</v>
      </c>
      <c r="BN1330" s="6" t="n">
        <f aca="false">IF(R1330="-","",IFERROR(VALUE(LEFT(Q1330,LEN(Q1330)-2)),""))</f>
        <v>233.43</v>
      </c>
      <c r="BO1330" s="6" t="n">
        <f aca="false">IF(R1330="-","",IFERROR(VALUE(LEFT(R1330,LEN(R1330)-5)),""))</f>
        <v>2.73</v>
      </c>
      <c r="BP1330" s="6" t="n">
        <f aca="false">IF(R1330="-","",IFERROR(VALUE(F1330),""))</f>
        <v>637.86</v>
      </c>
      <c r="BQ1330" s="4" t="n">
        <f aca="false">IF(R1330="-",1,0)</f>
        <v>0</v>
      </c>
    </row>
    <row r="1331" customFormat="false" ht="15" hidden="false" customHeight="false" outlineLevel="0" collapsed="false">
      <c r="A1331" s="0" t="s">
        <v>5126</v>
      </c>
      <c r="B1331" s="0" t="s">
        <v>5127</v>
      </c>
      <c r="C1331" s="0" t="s">
        <v>70</v>
      </c>
      <c r="D1331" s="0" t="s">
        <v>5128</v>
      </c>
      <c r="E1331" s="3" t="n">
        <v>46273</v>
      </c>
      <c r="F1331" s="4" t="s">
        <v>5129</v>
      </c>
      <c r="G1331" s="5" t="n">
        <v>0.20287037037037</v>
      </c>
      <c r="H1331" s="5" t="n">
        <v>0.0172800925925926</v>
      </c>
      <c r="I1331" s="5" t="n">
        <v>5.78703703703704E-005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5" t="n">
        <v>0</v>
      </c>
      <c r="P1331" s="5" t="n">
        <v>0.0170023148148148</v>
      </c>
      <c r="Q1331" s="4" t="s">
        <v>5130</v>
      </c>
      <c r="R1331" s="4" t="s">
        <v>5131</v>
      </c>
      <c r="S1331" s="5" t="n">
        <v>0.000115740740740741</v>
      </c>
      <c r="T1331" s="5" t="n">
        <v>0.0328703703703704</v>
      </c>
      <c r="U1331" s="5" t="n">
        <v>0.0131944444444444</v>
      </c>
      <c r="V1331" s="5" t="n">
        <v>0.000115740740740741</v>
      </c>
      <c r="W1331" s="5" t="n">
        <v>0</v>
      </c>
      <c r="X1331" s="5" t="n">
        <v>0</v>
      </c>
      <c r="Y1331" s="5" t="n">
        <v>0</v>
      </c>
      <c r="Z1331" s="0" t="n">
        <v>0</v>
      </c>
      <c r="AA1331" s="0" t="n">
        <v>0</v>
      </c>
      <c r="AB1331" s="0" t="n">
        <v>0</v>
      </c>
      <c r="AC1331" s="4" t="s">
        <v>593</v>
      </c>
      <c r="AD1331" s="4" t="s">
        <v>75</v>
      </c>
      <c r="AE1331" s="4" t="s">
        <v>5132</v>
      </c>
      <c r="AF1331" s="4" t="s">
        <v>5133</v>
      </c>
      <c r="AG1331" s="5" t="n">
        <v>0.0206134259259259</v>
      </c>
      <c r="AH1331" s="5" t="n">
        <v>0.184560185185185</v>
      </c>
      <c r="AI1331" s="5" t="n">
        <v>0</v>
      </c>
      <c r="AJ1331" s="5" t="n">
        <v>0</v>
      </c>
      <c r="AK1331" s="5" t="n">
        <v>0</v>
      </c>
      <c r="AL1331" s="5" t="n">
        <v>0</v>
      </c>
      <c r="AM1331" s="4" t="s">
        <v>78</v>
      </c>
      <c r="AN1331" s="0" t="n">
        <v>0</v>
      </c>
      <c r="AO1331" s="0" t="n">
        <v>0</v>
      </c>
      <c r="AP1331" s="0" t="n">
        <v>0</v>
      </c>
      <c r="AQ1331" s="0" t="n">
        <v>0</v>
      </c>
      <c r="AR1331" s="0" t="n">
        <v>0</v>
      </c>
      <c r="AS1331" s="0" t="n">
        <v>0</v>
      </c>
      <c r="AT1331" s="0" t="n">
        <v>0</v>
      </c>
      <c r="AU1331" s="0" t="n">
        <v>0</v>
      </c>
      <c r="AV1331" s="0" t="n">
        <v>0</v>
      </c>
      <c r="AW1331" s="0" t="n">
        <v>0</v>
      </c>
      <c r="AX1331" s="0" t="n">
        <v>0</v>
      </c>
      <c r="AY1331" s="0" t="n">
        <v>0</v>
      </c>
      <c r="AZ1331" s="0" t="n">
        <v>0</v>
      </c>
      <c r="BA1331" s="0" t="n">
        <v>0</v>
      </c>
      <c r="BB1331" s="0" t="n">
        <v>0</v>
      </c>
      <c r="BC1331" s="0" t="n">
        <v>0</v>
      </c>
      <c r="BD1331" s="0" t="n">
        <v>0</v>
      </c>
      <c r="BE1331" s="0" t="n">
        <v>0</v>
      </c>
      <c r="BF1331" s="0" t="n">
        <v>0</v>
      </c>
      <c r="BG1331" s="0" t="n">
        <v>0</v>
      </c>
      <c r="BH1331" s="0" t="n">
        <v>0</v>
      </c>
      <c r="BI1331" s="0" t="n">
        <v>0</v>
      </c>
      <c r="BJ1331" s="0" t="n">
        <v>0</v>
      </c>
      <c r="BK1331" s="0" t="n">
        <v>0</v>
      </c>
      <c r="BM1331" s="6" t="n">
        <f aca="false">IFERROR(VALUE(F1331),"")</f>
        <v>8.26</v>
      </c>
      <c r="BN1331" s="6" t="n">
        <f aca="false">IF(R1331="-","",IFERROR(VALUE(LEFT(Q1331,LEN(Q1331)-2)),""))</f>
        <v>4.94</v>
      </c>
      <c r="BO1331" s="6" t="n">
        <f aca="false">IF(R1331="-","",IFERROR(VALUE(LEFT(R1331,LEN(R1331)-5)),""))</f>
        <v>1.67</v>
      </c>
      <c r="BP1331" s="6" t="n">
        <f aca="false">IF(R1331="-","",IFERROR(VALUE(F1331),""))</f>
        <v>8.26</v>
      </c>
      <c r="BQ1331" s="4" t="n">
        <f aca="false">IF(R1331="-",1,0)</f>
        <v>0</v>
      </c>
    </row>
    <row r="1332" customFormat="false" ht="15" hidden="false" customHeight="false" outlineLevel="0" collapsed="false">
      <c r="A1332" s="0" t="s">
        <v>5126</v>
      </c>
      <c r="B1332" s="0" t="s">
        <v>5127</v>
      </c>
      <c r="C1332" s="0" t="s">
        <v>70</v>
      </c>
      <c r="E1332" s="3" t="n">
        <v>46274</v>
      </c>
      <c r="F1332" s="4" t="s">
        <v>95</v>
      </c>
      <c r="G1332" s="5" t="n">
        <v>0.165393518518519</v>
      </c>
      <c r="H1332" s="5" t="n">
        <v>0</v>
      </c>
      <c r="I1332" s="5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5" t="n">
        <v>0</v>
      </c>
      <c r="P1332" s="5" t="n">
        <v>0.163865740740741</v>
      </c>
      <c r="Q1332" s="4" t="s">
        <v>5134</v>
      </c>
      <c r="R1332" s="4" t="s">
        <v>454</v>
      </c>
      <c r="S1332" s="5" t="n">
        <v>0.000115740740740741</v>
      </c>
      <c r="T1332" s="5" t="n">
        <v>0.161805555555556</v>
      </c>
      <c r="U1332" s="5" t="n">
        <v>0</v>
      </c>
      <c r="V1332" s="5" t="n">
        <v>0</v>
      </c>
      <c r="W1332" s="5" t="n">
        <v>0</v>
      </c>
      <c r="X1332" s="5" t="n">
        <v>0</v>
      </c>
      <c r="Y1332" s="5" t="n">
        <v>0</v>
      </c>
      <c r="Z1332" s="0" t="n">
        <v>0</v>
      </c>
      <c r="AA1332" s="0" t="n">
        <v>0</v>
      </c>
      <c r="AB1332" s="0" t="n">
        <v>0</v>
      </c>
      <c r="AC1332" s="4" t="s">
        <v>75</v>
      </c>
      <c r="AD1332" s="4" t="s">
        <v>75</v>
      </c>
      <c r="AE1332" s="4" t="s">
        <v>5133</v>
      </c>
      <c r="AF1332" s="4" t="s">
        <v>5133</v>
      </c>
      <c r="AG1332" s="5" t="n">
        <v>0</v>
      </c>
      <c r="AH1332" s="5" t="n">
        <v>0.167199074074074</v>
      </c>
      <c r="AI1332" s="5" t="n">
        <v>0</v>
      </c>
      <c r="AJ1332" s="5" t="n">
        <v>0</v>
      </c>
      <c r="AK1332" s="5" t="n">
        <v>0</v>
      </c>
      <c r="AL1332" s="5" t="n">
        <v>0</v>
      </c>
      <c r="AM1332" s="4" t="s">
        <v>78</v>
      </c>
      <c r="AN1332" s="0" t="n">
        <v>0</v>
      </c>
      <c r="AO1332" s="0" t="n">
        <v>0</v>
      </c>
      <c r="AP1332" s="0" t="n">
        <v>0</v>
      </c>
      <c r="AQ1332" s="0" t="n">
        <v>0</v>
      </c>
      <c r="AR1332" s="0" t="n">
        <v>0</v>
      </c>
      <c r="AS1332" s="0" t="n">
        <v>0</v>
      </c>
      <c r="AT1332" s="0" t="n">
        <v>0</v>
      </c>
      <c r="AU1332" s="0" t="n">
        <v>0</v>
      </c>
      <c r="AV1332" s="0" t="n">
        <v>0</v>
      </c>
      <c r="AW1332" s="0" t="n">
        <v>0</v>
      </c>
      <c r="AX1332" s="0" t="n">
        <v>0</v>
      </c>
      <c r="AY1332" s="0" t="n">
        <v>0</v>
      </c>
      <c r="AZ1332" s="0" t="n">
        <v>0</v>
      </c>
      <c r="BA1332" s="0" t="n">
        <v>0</v>
      </c>
      <c r="BB1332" s="0" t="n">
        <v>0</v>
      </c>
      <c r="BC1332" s="0" t="n">
        <v>0</v>
      </c>
      <c r="BD1332" s="0" t="n">
        <v>0</v>
      </c>
      <c r="BE1332" s="0" t="n">
        <v>0</v>
      </c>
      <c r="BF1332" s="0" t="n">
        <v>0</v>
      </c>
      <c r="BG1332" s="0" t="n">
        <v>0</v>
      </c>
      <c r="BH1332" s="0" t="n">
        <v>0</v>
      </c>
      <c r="BI1332" s="0" t="n">
        <v>0</v>
      </c>
      <c r="BJ1332" s="0" t="n">
        <v>0</v>
      </c>
      <c r="BK1332" s="0" t="n">
        <v>0</v>
      </c>
      <c r="BM1332" s="6" t="n">
        <f aca="false">IFERROR(VALUE(F1332),"")</f>
        <v>0</v>
      </c>
      <c r="BN1332" s="6" t="n">
        <f aca="false">IF(R1332="-","",IFERROR(VALUE(LEFT(Q1332,LEN(Q1332)-2)),""))</f>
        <v>8.81</v>
      </c>
      <c r="BO1332" s="6" t="n">
        <f aca="false">IF(R1332="-","",IFERROR(VALUE(LEFT(R1332,LEN(R1332)-5)),""))</f>
        <v>0</v>
      </c>
      <c r="BP1332" s="6" t="n">
        <f aca="false">IF(R1332="-","",IFERROR(VALUE(F1332),""))</f>
        <v>0</v>
      </c>
      <c r="BQ1332" s="4" t="n">
        <f aca="false">IF(R1332="-",1,0)</f>
        <v>0</v>
      </c>
    </row>
    <row r="1333" customFormat="false" ht="15" hidden="false" customHeight="false" outlineLevel="0" collapsed="false">
      <c r="A1333" s="0" t="s">
        <v>5126</v>
      </c>
      <c r="B1333" s="0" t="s">
        <v>5127</v>
      </c>
      <c r="C1333" s="0" t="s">
        <v>70</v>
      </c>
      <c r="D1333" s="0" t="s">
        <v>3361</v>
      </c>
      <c r="E1333" s="3" t="n">
        <v>46275</v>
      </c>
      <c r="F1333" s="4" t="s">
        <v>5135</v>
      </c>
      <c r="G1333" s="5" t="n">
        <v>0.326643518518519</v>
      </c>
      <c r="H1333" s="5" t="n">
        <v>0.276203703703704</v>
      </c>
      <c r="I1333" s="5" t="n">
        <v>0.00174768518518519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5" t="n">
        <v>0</v>
      </c>
      <c r="P1333" s="5" t="n">
        <v>0.040462962962963</v>
      </c>
      <c r="Q1333" s="4" t="s">
        <v>5136</v>
      </c>
      <c r="R1333" s="4" t="s">
        <v>3597</v>
      </c>
      <c r="S1333" s="5" t="n">
        <v>0.000231481481481482</v>
      </c>
      <c r="T1333" s="5" t="n">
        <v>0.106597222222222</v>
      </c>
      <c r="U1333" s="5" t="n">
        <v>0.174305555555556</v>
      </c>
      <c r="V1333" s="5" t="n">
        <v>0.00821759259259259</v>
      </c>
      <c r="W1333" s="5" t="n">
        <v>0</v>
      </c>
      <c r="X1333" s="5" t="n">
        <v>0</v>
      </c>
      <c r="Y1333" s="5" t="n">
        <v>0</v>
      </c>
      <c r="Z1333" s="0" t="n">
        <v>0</v>
      </c>
      <c r="AA1333" s="0" t="n">
        <v>0</v>
      </c>
      <c r="AB1333" s="0" t="n">
        <v>0</v>
      </c>
      <c r="AC1333" s="4" t="s">
        <v>75</v>
      </c>
      <c r="AD1333" s="4" t="s">
        <v>75</v>
      </c>
      <c r="AE1333" s="4" t="s">
        <v>5133</v>
      </c>
      <c r="AF1333" s="4" t="s">
        <v>5137</v>
      </c>
      <c r="AG1333" s="5" t="n">
        <v>0.236053240740741</v>
      </c>
      <c r="AH1333" s="5" t="n">
        <v>0.109027777777778</v>
      </c>
      <c r="AI1333" s="5" t="n">
        <v>0</v>
      </c>
      <c r="AJ1333" s="5" t="n">
        <v>0</v>
      </c>
      <c r="AK1333" s="5" t="n">
        <v>0</v>
      </c>
      <c r="AL1333" s="5" t="n">
        <v>0</v>
      </c>
      <c r="AM1333" s="4" t="s">
        <v>78</v>
      </c>
      <c r="AN1333" s="0" t="n">
        <v>0</v>
      </c>
      <c r="AO1333" s="0" t="n">
        <v>0</v>
      </c>
      <c r="AP1333" s="0" t="n">
        <v>0</v>
      </c>
      <c r="AQ1333" s="0" t="n">
        <v>0</v>
      </c>
      <c r="AR1333" s="0" t="n">
        <v>0</v>
      </c>
      <c r="AS1333" s="0" t="n">
        <v>0</v>
      </c>
      <c r="AT1333" s="0" t="n">
        <v>0</v>
      </c>
      <c r="AU1333" s="0" t="n">
        <v>0</v>
      </c>
      <c r="AV1333" s="0" t="n">
        <v>0</v>
      </c>
      <c r="AW1333" s="0" t="n">
        <v>0</v>
      </c>
      <c r="AX1333" s="0" t="n">
        <v>0</v>
      </c>
      <c r="AY1333" s="0" t="n">
        <v>0</v>
      </c>
      <c r="AZ1333" s="0" t="n">
        <v>0</v>
      </c>
      <c r="BA1333" s="0" t="n">
        <v>0</v>
      </c>
      <c r="BB1333" s="0" t="n">
        <v>0</v>
      </c>
      <c r="BC1333" s="0" t="n">
        <v>0</v>
      </c>
      <c r="BD1333" s="0" t="n">
        <v>0</v>
      </c>
      <c r="BE1333" s="0" t="n">
        <v>0</v>
      </c>
      <c r="BF1333" s="0" t="n">
        <v>0</v>
      </c>
      <c r="BG1333" s="0" t="n">
        <v>0</v>
      </c>
      <c r="BH1333" s="0" t="n">
        <v>0</v>
      </c>
      <c r="BI1333" s="0" t="n">
        <v>0</v>
      </c>
      <c r="BJ1333" s="0" t="n">
        <v>0</v>
      </c>
      <c r="BK1333" s="0" t="n">
        <v>0</v>
      </c>
      <c r="BM1333" s="6" t="n">
        <f aca="false">IFERROR(VALUE(F1333),"")</f>
        <v>288.32</v>
      </c>
      <c r="BN1333" s="6" t="n">
        <f aca="false">IF(R1333="-","",IFERROR(VALUE(LEFT(Q1333,LEN(Q1333)-2)),""))</f>
        <v>88.73</v>
      </c>
      <c r="BO1333" s="6" t="n">
        <f aca="false">IF(R1333="-","",IFERROR(VALUE(LEFT(R1333,LEN(R1333)-5)),""))</f>
        <v>3.25</v>
      </c>
      <c r="BP1333" s="6" t="n">
        <f aca="false">IF(R1333="-","",IFERROR(VALUE(F1333),""))</f>
        <v>288.32</v>
      </c>
      <c r="BQ1333" s="4" t="n">
        <f aca="false">IF(R1333="-",1,0)</f>
        <v>0</v>
      </c>
    </row>
    <row r="1334" customFormat="false" ht="15" hidden="false" customHeight="false" outlineLevel="0" collapsed="false">
      <c r="A1334" s="0" t="s">
        <v>5126</v>
      </c>
      <c r="B1334" s="0" t="s">
        <v>5127</v>
      </c>
      <c r="C1334" s="0" t="s">
        <v>70</v>
      </c>
      <c r="D1334" s="0" t="s">
        <v>5138</v>
      </c>
      <c r="E1334" s="3" t="n">
        <v>46276</v>
      </c>
      <c r="F1334" s="4" t="s">
        <v>5139</v>
      </c>
      <c r="G1334" s="5" t="n">
        <v>0.326018518518519</v>
      </c>
      <c r="H1334" s="5" t="n">
        <v>0.308298611111111</v>
      </c>
      <c r="I1334" s="5" t="n">
        <v>0.000127314814814815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4</v>
      </c>
      <c r="O1334" s="5" t="n">
        <v>0</v>
      </c>
      <c r="P1334" s="5" t="n">
        <v>0.0184143518518519</v>
      </c>
      <c r="Q1334" s="4" t="s">
        <v>5140</v>
      </c>
      <c r="R1334" s="4" t="s">
        <v>2910</v>
      </c>
      <c r="S1334" s="5" t="n">
        <v>0.000231481481481482</v>
      </c>
      <c r="T1334" s="5" t="n">
        <v>0.119444444444445</v>
      </c>
      <c r="U1334" s="5" t="n">
        <v>0.194444444444444</v>
      </c>
      <c r="V1334" s="5" t="n">
        <v>0.00601851851851852</v>
      </c>
      <c r="W1334" s="5" t="n">
        <v>0</v>
      </c>
      <c r="X1334" s="5" t="n">
        <v>0</v>
      </c>
      <c r="Y1334" s="5" t="n">
        <v>0</v>
      </c>
      <c r="Z1334" s="0" t="n">
        <v>0</v>
      </c>
      <c r="AA1334" s="0" t="n">
        <v>0</v>
      </c>
      <c r="AB1334" s="0" t="n">
        <v>0</v>
      </c>
      <c r="AC1334" s="4" t="s">
        <v>75</v>
      </c>
      <c r="AD1334" s="4" t="s">
        <v>5141</v>
      </c>
      <c r="AE1334" s="4" t="s">
        <v>5137</v>
      </c>
      <c r="AF1334" s="4" t="s">
        <v>5142</v>
      </c>
      <c r="AG1334" s="5" t="n">
        <v>0.272407407407407</v>
      </c>
      <c r="AH1334" s="5" t="n">
        <v>0.0676967592592593</v>
      </c>
      <c r="AI1334" s="5" t="n">
        <v>0</v>
      </c>
      <c r="AJ1334" s="5" t="n">
        <v>0</v>
      </c>
      <c r="AK1334" s="5" t="n">
        <v>0</v>
      </c>
      <c r="AL1334" s="5" t="n">
        <v>0</v>
      </c>
      <c r="AM1334" s="4" t="s">
        <v>78</v>
      </c>
      <c r="AN1334" s="0" t="n">
        <v>0</v>
      </c>
      <c r="AO1334" s="0" t="n">
        <v>0</v>
      </c>
      <c r="AP1334" s="0" t="n">
        <v>0</v>
      </c>
      <c r="AQ1334" s="0" t="n">
        <v>0</v>
      </c>
      <c r="AR1334" s="0" t="n">
        <v>0</v>
      </c>
      <c r="AS1334" s="0" t="n">
        <v>0</v>
      </c>
      <c r="AT1334" s="0" t="n">
        <v>0</v>
      </c>
      <c r="AU1334" s="0" t="n">
        <v>0</v>
      </c>
      <c r="AV1334" s="0" t="n">
        <v>0</v>
      </c>
      <c r="AW1334" s="0" t="n">
        <v>0</v>
      </c>
      <c r="AX1334" s="0" t="n">
        <v>0</v>
      </c>
      <c r="AY1334" s="0" t="n">
        <v>0</v>
      </c>
      <c r="AZ1334" s="0" t="n">
        <v>0</v>
      </c>
      <c r="BA1334" s="0" t="n">
        <v>0</v>
      </c>
      <c r="BB1334" s="0" t="n">
        <v>0</v>
      </c>
      <c r="BC1334" s="0" t="n">
        <v>0</v>
      </c>
      <c r="BD1334" s="0" t="n">
        <v>0</v>
      </c>
      <c r="BE1334" s="0" t="n">
        <v>0</v>
      </c>
      <c r="BF1334" s="0" t="n">
        <v>0</v>
      </c>
      <c r="BG1334" s="0" t="n">
        <v>0</v>
      </c>
      <c r="BH1334" s="0" t="n">
        <v>0</v>
      </c>
      <c r="BI1334" s="0" t="n">
        <v>0</v>
      </c>
      <c r="BJ1334" s="0" t="n">
        <v>0</v>
      </c>
      <c r="BK1334" s="0" t="n">
        <v>0</v>
      </c>
      <c r="BM1334" s="6" t="n">
        <f aca="false">IFERROR(VALUE(F1334),"")</f>
        <v>324.65</v>
      </c>
      <c r="BN1334" s="6" t="n">
        <f aca="false">IF(R1334="-","",IFERROR(VALUE(LEFT(Q1334,LEN(Q1334)-2)),""))</f>
        <v>104.58</v>
      </c>
      <c r="BO1334" s="6" t="n">
        <f aca="false">IF(R1334="-","",IFERROR(VALUE(LEFT(R1334,LEN(R1334)-5)),""))</f>
        <v>3.1</v>
      </c>
      <c r="BP1334" s="6" t="n">
        <f aca="false">IF(R1334="-","",IFERROR(VALUE(F1334),""))</f>
        <v>324.65</v>
      </c>
      <c r="BQ1334" s="4" t="n">
        <f aca="false">IF(R1334="-",1,0)</f>
        <v>0</v>
      </c>
    </row>
    <row r="1335" customFormat="false" ht="15" hidden="false" customHeight="false" outlineLevel="0" collapsed="false">
      <c r="A1335" s="0" t="s">
        <v>5126</v>
      </c>
      <c r="B1335" s="0" t="s">
        <v>5127</v>
      </c>
      <c r="C1335" s="0" t="s">
        <v>70</v>
      </c>
      <c r="D1335" s="0" t="s">
        <v>5143</v>
      </c>
      <c r="E1335" s="3" t="n">
        <v>46279</v>
      </c>
      <c r="F1335" s="4" t="s">
        <v>5144</v>
      </c>
      <c r="G1335" s="5" t="n">
        <v>0.492210648148148</v>
      </c>
      <c r="H1335" s="5" t="n">
        <v>0.468726851851852</v>
      </c>
      <c r="I1335" s="5" t="n">
        <v>6.94444444444444E-005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5</v>
      </c>
      <c r="O1335" s="5" t="n">
        <v>0</v>
      </c>
      <c r="P1335" s="5" t="n">
        <v>0.0231597222222222</v>
      </c>
      <c r="Q1335" s="4" t="s">
        <v>5145</v>
      </c>
      <c r="R1335" s="4" t="s">
        <v>750</v>
      </c>
      <c r="S1335" s="5" t="n">
        <v>0.000115740740740741</v>
      </c>
      <c r="T1335" s="5" t="n">
        <v>0.176273148148148</v>
      </c>
      <c r="U1335" s="5" t="n">
        <v>0.286689814814815</v>
      </c>
      <c r="V1335" s="5" t="n">
        <v>0.00868055555555556</v>
      </c>
      <c r="W1335" s="5" t="n">
        <v>0</v>
      </c>
      <c r="X1335" s="5" t="n">
        <v>0</v>
      </c>
      <c r="Y1335" s="5" t="n">
        <v>0</v>
      </c>
      <c r="Z1335" s="0" t="n">
        <v>0</v>
      </c>
      <c r="AA1335" s="0" t="n">
        <v>0</v>
      </c>
      <c r="AB1335" s="0" t="n">
        <v>0</v>
      </c>
      <c r="AC1335" s="4" t="s">
        <v>5141</v>
      </c>
      <c r="AD1335" s="4" t="s">
        <v>421</v>
      </c>
      <c r="AE1335" s="4" t="s">
        <v>5142</v>
      </c>
      <c r="AF1335" s="4" t="s">
        <v>5146</v>
      </c>
      <c r="AG1335" s="5" t="n">
        <v>0.405358796296296</v>
      </c>
      <c r="AH1335" s="5" t="n">
        <v>0.0916319444444445</v>
      </c>
      <c r="AI1335" s="5" t="n">
        <v>0</v>
      </c>
      <c r="AJ1335" s="5" t="n">
        <v>0</v>
      </c>
      <c r="AK1335" s="5" t="n">
        <v>0</v>
      </c>
      <c r="AL1335" s="5" t="n">
        <v>0</v>
      </c>
      <c r="AM1335" s="4" t="s">
        <v>78</v>
      </c>
      <c r="AN1335" s="0" t="n">
        <v>0</v>
      </c>
      <c r="AO1335" s="0" t="n">
        <v>0</v>
      </c>
      <c r="AP1335" s="0" t="n">
        <v>0</v>
      </c>
      <c r="AQ1335" s="0" t="n">
        <v>0</v>
      </c>
      <c r="AR1335" s="0" t="n">
        <v>0</v>
      </c>
      <c r="AS1335" s="0" t="n">
        <v>0</v>
      </c>
      <c r="AT1335" s="0" t="n">
        <v>0</v>
      </c>
      <c r="AU1335" s="0" t="n">
        <v>0</v>
      </c>
      <c r="AV1335" s="0" t="n">
        <v>0</v>
      </c>
      <c r="AW1335" s="0" t="n">
        <v>0</v>
      </c>
      <c r="AX1335" s="0" t="n">
        <v>0</v>
      </c>
      <c r="AY1335" s="0" t="n">
        <v>0</v>
      </c>
      <c r="AZ1335" s="0" t="n">
        <v>0</v>
      </c>
      <c r="BA1335" s="0" t="n">
        <v>0</v>
      </c>
      <c r="BB1335" s="0" t="n">
        <v>0</v>
      </c>
      <c r="BC1335" s="0" t="n">
        <v>0</v>
      </c>
      <c r="BD1335" s="0" t="n">
        <v>0</v>
      </c>
      <c r="BE1335" s="0" t="n">
        <v>0</v>
      </c>
      <c r="BF1335" s="0" t="n">
        <v>0</v>
      </c>
      <c r="BG1335" s="0" t="n">
        <v>0</v>
      </c>
      <c r="BH1335" s="0" t="n">
        <v>0</v>
      </c>
      <c r="BI1335" s="0" t="n">
        <v>0</v>
      </c>
      <c r="BJ1335" s="0" t="n">
        <v>0</v>
      </c>
      <c r="BK1335" s="0" t="n">
        <v>0</v>
      </c>
      <c r="BM1335" s="6" t="n">
        <f aca="false">IFERROR(VALUE(F1335),"")</f>
        <v>428.53</v>
      </c>
      <c r="BN1335" s="6" t="n">
        <f aca="false">IF(R1335="-","",IFERROR(VALUE(LEFT(Q1335,LEN(Q1335)-2)),""))</f>
        <v>146.98</v>
      </c>
      <c r="BO1335" s="6" t="n">
        <f aca="false">IF(R1335="-","",IFERROR(VALUE(LEFT(R1335,LEN(R1335)-5)),""))</f>
        <v>2.92</v>
      </c>
      <c r="BP1335" s="6" t="n">
        <f aca="false">IF(R1335="-","",IFERROR(VALUE(F1335),""))</f>
        <v>428.53</v>
      </c>
      <c r="BQ1335" s="4" t="n">
        <f aca="false">IF(R1335="-",1,0)</f>
        <v>0</v>
      </c>
    </row>
    <row r="1336" customFormat="false" ht="15" hidden="false" customHeight="false" outlineLevel="0" collapsed="false">
      <c r="A1336" s="0" t="s">
        <v>5147</v>
      </c>
      <c r="B1336" s="0" t="s">
        <v>5148</v>
      </c>
      <c r="C1336" s="0" t="s">
        <v>70</v>
      </c>
      <c r="D1336" s="0" t="s">
        <v>5149</v>
      </c>
      <c r="E1336" s="3" t="n">
        <v>46273</v>
      </c>
      <c r="F1336" s="4" t="s">
        <v>5150</v>
      </c>
      <c r="G1336" s="5" t="n">
        <v>0.0391087962962963</v>
      </c>
      <c r="H1336" s="5" t="n">
        <v>0.0391087962962963</v>
      </c>
      <c r="I1336" s="5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5" t="n">
        <v>0</v>
      </c>
      <c r="P1336" s="5" t="n">
        <v>0</v>
      </c>
      <c r="Q1336" s="4" t="s">
        <v>73</v>
      </c>
      <c r="R1336" s="4" t="s">
        <v>73</v>
      </c>
      <c r="S1336" s="5" t="n">
        <v>0</v>
      </c>
      <c r="T1336" s="5" t="n">
        <v>0</v>
      </c>
      <c r="U1336" s="5" t="n">
        <v>0.0163773148148148</v>
      </c>
      <c r="V1336" s="5" t="n">
        <v>0.013912037037037</v>
      </c>
      <c r="W1336" s="5" t="n">
        <v>0.00206018518518519</v>
      </c>
      <c r="X1336" s="5" t="n">
        <v>0.000532407407407407</v>
      </c>
      <c r="Y1336" s="5" t="n">
        <v>0.00138888888888889</v>
      </c>
      <c r="Z1336" s="0" t="n">
        <v>0</v>
      </c>
      <c r="AA1336" s="0" t="n">
        <v>0</v>
      </c>
      <c r="AB1336" s="0" t="n">
        <v>0</v>
      </c>
      <c r="AC1336" s="4" t="s">
        <v>152</v>
      </c>
      <c r="AD1336" s="4" t="s">
        <v>152</v>
      </c>
      <c r="AE1336" s="4" t="s">
        <v>5151</v>
      </c>
      <c r="AF1336" s="4" t="s">
        <v>5152</v>
      </c>
      <c r="AG1336" s="5" t="n">
        <v>0.0312152777777778</v>
      </c>
      <c r="AH1336" s="5" t="n">
        <v>0.0259259259259259</v>
      </c>
      <c r="AI1336" s="5" t="n">
        <v>0</v>
      </c>
      <c r="AJ1336" s="5" t="n">
        <v>0</v>
      </c>
      <c r="AK1336" s="5" t="n">
        <v>0</v>
      </c>
      <c r="AL1336" s="5" t="n">
        <v>0</v>
      </c>
      <c r="AM1336" s="4" t="s">
        <v>78</v>
      </c>
      <c r="AN1336" s="0" t="n">
        <v>0</v>
      </c>
      <c r="AO1336" s="0" t="n">
        <v>0</v>
      </c>
      <c r="AP1336" s="0" t="n">
        <v>0</v>
      </c>
      <c r="AQ1336" s="0" t="n">
        <v>0</v>
      </c>
      <c r="AR1336" s="0" t="n">
        <v>0</v>
      </c>
      <c r="AS1336" s="0" t="n">
        <v>0</v>
      </c>
      <c r="AT1336" s="0" t="n">
        <v>0</v>
      </c>
      <c r="AU1336" s="0" t="n">
        <v>0</v>
      </c>
      <c r="AV1336" s="0" t="n">
        <v>0</v>
      </c>
      <c r="AW1336" s="0" t="n">
        <v>0</v>
      </c>
      <c r="AX1336" s="0" t="n">
        <v>0</v>
      </c>
      <c r="AY1336" s="0" t="n">
        <v>0</v>
      </c>
      <c r="AZ1336" s="0" t="n">
        <v>0</v>
      </c>
      <c r="BA1336" s="0" t="n">
        <v>0</v>
      </c>
      <c r="BB1336" s="0" t="n">
        <v>0</v>
      </c>
      <c r="BC1336" s="0" t="n">
        <v>0</v>
      </c>
      <c r="BD1336" s="0" t="n">
        <v>0</v>
      </c>
      <c r="BE1336" s="0" t="n">
        <v>0</v>
      </c>
      <c r="BF1336" s="0" t="n">
        <v>0</v>
      </c>
      <c r="BG1336" s="0" t="n">
        <v>0</v>
      </c>
      <c r="BH1336" s="0" t="n">
        <v>0</v>
      </c>
      <c r="BI1336" s="0" t="n">
        <v>0</v>
      </c>
      <c r="BJ1336" s="0" t="n">
        <v>0</v>
      </c>
      <c r="BK1336" s="0" t="n">
        <v>0</v>
      </c>
      <c r="BM1336" s="6" t="n">
        <f aca="false">IFERROR(VALUE(F1336),"")</f>
        <v>12.94</v>
      </c>
      <c r="BN1336" s="6" t="str">
        <f aca="false">IF(R1336="-","",IFERROR(VALUE(LEFT(Q1336,LEN(Q1336)-2)),""))</f>
        <v/>
      </c>
      <c r="BO1336" s="6" t="str">
        <f aca="false">IF(R1336="-","",IFERROR(VALUE(LEFT(R1336,LEN(R1336)-5)),""))</f>
        <v/>
      </c>
      <c r="BP1336" s="6" t="str">
        <f aca="false">IF(R1336="-","",IFERROR(VALUE(F1336),""))</f>
        <v/>
      </c>
      <c r="BQ1336" s="4" t="n">
        <f aca="false">IF(R1336="-",1,0)</f>
        <v>1</v>
      </c>
    </row>
    <row r="1337" customFormat="false" ht="15" hidden="false" customHeight="false" outlineLevel="0" collapsed="false">
      <c r="A1337" s="0" t="s">
        <v>5147</v>
      </c>
      <c r="B1337" s="0" t="s">
        <v>5148</v>
      </c>
      <c r="C1337" s="0" t="s">
        <v>70</v>
      </c>
      <c r="D1337" s="0" t="s">
        <v>5153</v>
      </c>
      <c r="E1337" s="3" t="n">
        <v>46274</v>
      </c>
      <c r="F1337" s="4" t="s">
        <v>5154</v>
      </c>
      <c r="G1337" s="5" t="n">
        <v>0.0581712962962963</v>
      </c>
      <c r="H1337" s="5" t="n">
        <v>0.0141550925925926</v>
      </c>
      <c r="I1337" s="5" t="n">
        <v>0.0019212962962963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5" t="n">
        <v>0</v>
      </c>
      <c r="P1337" s="5" t="n">
        <v>0</v>
      </c>
      <c r="Q1337" s="4" t="s">
        <v>73</v>
      </c>
      <c r="R1337" s="4" t="s">
        <v>73</v>
      </c>
      <c r="S1337" s="5" t="n">
        <v>0</v>
      </c>
      <c r="T1337" s="5" t="n">
        <v>0</v>
      </c>
      <c r="U1337" s="5" t="n">
        <v>0.0250115740740741</v>
      </c>
      <c r="V1337" s="5" t="n">
        <v>0.00612268518518519</v>
      </c>
      <c r="W1337" s="5" t="n">
        <v>0.00482638888888889</v>
      </c>
      <c r="X1337" s="5" t="n">
        <v>0.00271990740740741</v>
      </c>
      <c r="Y1337" s="5" t="n">
        <v>0.005625</v>
      </c>
      <c r="Z1337" s="0" t="n">
        <v>0</v>
      </c>
      <c r="AA1337" s="0" t="n">
        <v>0</v>
      </c>
      <c r="AB1337" s="0" t="n">
        <v>0</v>
      </c>
      <c r="AC1337" s="4" t="s">
        <v>5155</v>
      </c>
      <c r="AD1337" s="4" t="s">
        <v>152</v>
      </c>
      <c r="AE1337" s="4" t="s">
        <v>5152</v>
      </c>
      <c r="AF1337" s="4" t="s">
        <v>5156</v>
      </c>
      <c r="AG1337" s="5" t="n">
        <v>0.0295601851851852</v>
      </c>
      <c r="AH1337" s="5" t="n">
        <v>0.0653472222222222</v>
      </c>
      <c r="AI1337" s="5" t="n">
        <v>0</v>
      </c>
      <c r="AJ1337" s="5" t="n">
        <v>0</v>
      </c>
      <c r="AK1337" s="5" t="n">
        <v>0</v>
      </c>
      <c r="AL1337" s="5" t="n">
        <v>0</v>
      </c>
      <c r="AM1337" s="4" t="s">
        <v>78</v>
      </c>
      <c r="AN1337" s="0" t="n">
        <v>0</v>
      </c>
      <c r="AO1337" s="0" t="n">
        <v>0</v>
      </c>
      <c r="AP1337" s="0" t="n">
        <v>0</v>
      </c>
      <c r="AQ1337" s="0" t="n">
        <v>0</v>
      </c>
      <c r="AR1337" s="0" t="n">
        <v>0</v>
      </c>
      <c r="AS1337" s="0" t="n">
        <v>0</v>
      </c>
      <c r="AT1337" s="0" t="n">
        <v>0</v>
      </c>
      <c r="AU1337" s="0" t="n">
        <v>0</v>
      </c>
      <c r="AV1337" s="0" t="n">
        <v>0</v>
      </c>
      <c r="AW1337" s="0" t="n">
        <v>0</v>
      </c>
      <c r="AX1337" s="0" t="n">
        <v>0</v>
      </c>
      <c r="AY1337" s="0" t="n">
        <v>0</v>
      </c>
      <c r="AZ1337" s="0" t="n">
        <v>0</v>
      </c>
      <c r="BA1337" s="0" t="n">
        <v>0</v>
      </c>
      <c r="BB1337" s="0" t="n">
        <v>0</v>
      </c>
      <c r="BC1337" s="0" t="n">
        <v>0</v>
      </c>
      <c r="BD1337" s="0" t="n">
        <v>0</v>
      </c>
      <c r="BE1337" s="0" t="n">
        <v>0</v>
      </c>
      <c r="BF1337" s="0" t="n">
        <v>0</v>
      </c>
      <c r="BG1337" s="0" t="n">
        <v>0</v>
      </c>
      <c r="BH1337" s="0" t="n">
        <v>0</v>
      </c>
      <c r="BI1337" s="0" t="n">
        <v>0</v>
      </c>
      <c r="BJ1337" s="0" t="n">
        <v>0</v>
      </c>
      <c r="BK1337" s="0" t="n">
        <v>0</v>
      </c>
      <c r="BM1337" s="6" t="n">
        <f aca="false">IFERROR(VALUE(F1337),"")</f>
        <v>12.96</v>
      </c>
      <c r="BN1337" s="6" t="str">
        <f aca="false">IF(R1337="-","",IFERROR(VALUE(LEFT(Q1337,LEN(Q1337)-2)),""))</f>
        <v/>
      </c>
      <c r="BO1337" s="6" t="str">
        <f aca="false">IF(R1337="-","",IFERROR(VALUE(LEFT(R1337,LEN(R1337)-5)),""))</f>
        <v/>
      </c>
      <c r="BP1337" s="6" t="str">
        <f aca="false">IF(R1337="-","",IFERROR(VALUE(F1337),""))</f>
        <v/>
      </c>
      <c r="BQ1337" s="4" t="n">
        <f aca="false">IF(R1337="-",1,0)</f>
        <v>1</v>
      </c>
    </row>
    <row r="1338" customFormat="false" ht="15" hidden="false" customHeight="false" outlineLevel="0" collapsed="false">
      <c r="A1338" s="0" t="s">
        <v>5147</v>
      </c>
      <c r="B1338" s="0" t="s">
        <v>5148</v>
      </c>
      <c r="C1338" s="0" t="s">
        <v>70</v>
      </c>
      <c r="E1338" s="3" t="n">
        <v>46275</v>
      </c>
      <c r="F1338" s="4" t="s">
        <v>5157</v>
      </c>
      <c r="G1338" s="5" t="n">
        <v>0.03125</v>
      </c>
      <c r="H1338" s="5" t="n">
        <v>0</v>
      </c>
      <c r="I1338" s="5" t="n">
        <v>0.000949074074074074</v>
      </c>
      <c r="J1338" s="0" t="n">
        <v>1</v>
      </c>
      <c r="K1338" s="0" t="n">
        <v>4</v>
      </c>
      <c r="L1338" s="0" t="n">
        <v>0</v>
      </c>
      <c r="M1338" s="0" t="n">
        <v>0</v>
      </c>
      <c r="N1338" s="0" t="n">
        <v>0</v>
      </c>
      <c r="O1338" s="5" t="n">
        <v>0</v>
      </c>
      <c r="P1338" s="5" t="n">
        <v>0</v>
      </c>
      <c r="Q1338" s="4" t="s">
        <v>73</v>
      </c>
      <c r="R1338" s="4" t="s">
        <v>73</v>
      </c>
      <c r="S1338" s="5" t="n">
        <v>0</v>
      </c>
      <c r="T1338" s="5" t="n">
        <v>0.000231481481481482</v>
      </c>
      <c r="U1338" s="5" t="n">
        <v>0.0177893518518519</v>
      </c>
      <c r="V1338" s="5" t="n">
        <v>0.0050462962962963</v>
      </c>
      <c r="W1338" s="5" t="n">
        <v>0.00267361111111111</v>
      </c>
      <c r="X1338" s="5" t="n">
        <v>0.00207175925925926</v>
      </c>
      <c r="Y1338" s="5" t="n">
        <v>0.00575231481481482</v>
      </c>
      <c r="Z1338" s="0" t="n">
        <v>0</v>
      </c>
      <c r="AA1338" s="0" t="n">
        <v>0</v>
      </c>
      <c r="AB1338" s="0" t="n">
        <v>0</v>
      </c>
      <c r="AC1338" s="4" t="s">
        <v>159</v>
      </c>
      <c r="AD1338" s="4" t="s">
        <v>152</v>
      </c>
      <c r="AE1338" s="4" t="s">
        <v>5156</v>
      </c>
      <c r="AF1338" s="4" t="s">
        <v>5158</v>
      </c>
      <c r="AG1338" s="5" t="n">
        <v>0.0242013888888889</v>
      </c>
      <c r="AH1338" s="5" t="n">
        <v>0.0362962962962963</v>
      </c>
      <c r="AI1338" s="5" t="n">
        <v>0</v>
      </c>
      <c r="AJ1338" s="5" t="n">
        <v>0</v>
      </c>
      <c r="AK1338" s="5" t="n">
        <v>0</v>
      </c>
      <c r="AL1338" s="5" t="n">
        <v>0</v>
      </c>
      <c r="AM1338" s="4" t="s">
        <v>78</v>
      </c>
      <c r="AN1338" s="0" t="n">
        <v>0</v>
      </c>
      <c r="AO1338" s="0" t="n">
        <v>0</v>
      </c>
      <c r="AP1338" s="0" t="n">
        <v>0</v>
      </c>
      <c r="AQ1338" s="0" t="n">
        <v>0</v>
      </c>
      <c r="AR1338" s="0" t="n">
        <v>0</v>
      </c>
      <c r="AS1338" s="0" t="n">
        <v>0</v>
      </c>
      <c r="AT1338" s="0" t="n">
        <v>0</v>
      </c>
      <c r="AU1338" s="0" t="n">
        <v>0</v>
      </c>
      <c r="AV1338" s="0" t="n">
        <v>0</v>
      </c>
      <c r="AW1338" s="0" t="n">
        <v>0</v>
      </c>
      <c r="AX1338" s="0" t="n">
        <v>0</v>
      </c>
      <c r="AY1338" s="0" t="n">
        <v>0</v>
      </c>
      <c r="AZ1338" s="0" t="n">
        <v>0</v>
      </c>
      <c r="BA1338" s="0" t="n">
        <v>0</v>
      </c>
      <c r="BB1338" s="0" t="n">
        <v>0</v>
      </c>
      <c r="BC1338" s="0" t="n">
        <v>0</v>
      </c>
      <c r="BD1338" s="0" t="n">
        <v>0</v>
      </c>
      <c r="BE1338" s="0" t="n">
        <v>0</v>
      </c>
      <c r="BF1338" s="0" t="n">
        <v>0</v>
      </c>
      <c r="BG1338" s="0" t="n">
        <v>0</v>
      </c>
      <c r="BH1338" s="0" t="n">
        <v>0</v>
      </c>
      <c r="BI1338" s="0" t="n">
        <v>0</v>
      </c>
      <c r="BJ1338" s="0" t="n">
        <v>0</v>
      </c>
      <c r="BK1338" s="0" t="n">
        <v>0</v>
      </c>
      <c r="BM1338" s="6" t="n">
        <f aca="false">IFERROR(VALUE(F1338),"")</f>
        <v>11.5</v>
      </c>
      <c r="BN1338" s="6" t="str">
        <f aca="false">IF(R1338="-","",IFERROR(VALUE(LEFT(Q1338,LEN(Q1338)-2)),""))</f>
        <v/>
      </c>
      <c r="BO1338" s="6" t="str">
        <f aca="false">IF(R1338="-","",IFERROR(VALUE(LEFT(R1338,LEN(R1338)-5)),""))</f>
        <v/>
      </c>
      <c r="BP1338" s="6" t="str">
        <f aca="false">IF(R1338="-","",IFERROR(VALUE(F1338),""))</f>
        <v/>
      </c>
      <c r="BQ1338" s="4" t="n">
        <f aca="false">IF(R1338="-",1,0)</f>
        <v>1</v>
      </c>
    </row>
    <row r="1339" customFormat="false" ht="15" hidden="false" customHeight="false" outlineLevel="0" collapsed="false">
      <c r="A1339" s="0" t="s">
        <v>5147</v>
      </c>
      <c r="B1339" s="0" t="s">
        <v>5148</v>
      </c>
      <c r="C1339" s="0" t="s">
        <v>70</v>
      </c>
      <c r="E1339" s="3" t="n">
        <v>46276</v>
      </c>
      <c r="F1339" s="4" t="s">
        <v>5159</v>
      </c>
      <c r="G1339" s="5" t="n">
        <v>0.0328472222222222</v>
      </c>
      <c r="H1339" s="5" t="n">
        <v>0</v>
      </c>
      <c r="I1339" s="5" t="n">
        <v>0</v>
      </c>
      <c r="J1339" s="0" t="n">
        <v>0</v>
      </c>
      <c r="K1339" s="0" t="n">
        <v>1</v>
      </c>
      <c r="L1339" s="0" t="n">
        <v>0</v>
      </c>
      <c r="M1339" s="0" t="n">
        <v>0</v>
      </c>
      <c r="N1339" s="0" t="n">
        <v>0</v>
      </c>
      <c r="O1339" s="5" t="n">
        <v>0</v>
      </c>
      <c r="P1339" s="5" t="n">
        <v>0</v>
      </c>
      <c r="Q1339" s="4" t="s">
        <v>73</v>
      </c>
      <c r="R1339" s="4" t="s">
        <v>73</v>
      </c>
      <c r="S1339" s="5" t="n">
        <v>0</v>
      </c>
      <c r="T1339" s="5" t="n">
        <v>0.000115740740740741</v>
      </c>
      <c r="U1339" s="5" t="n">
        <v>0.013912037037037</v>
      </c>
      <c r="V1339" s="5" t="n">
        <v>0.00710648148148148</v>
      </c>
      <c r="W1339" s="5" t="n">
        <v>0.00483796296296296</v>
      </c>
      <c r="X1339" s="5" t="n">
        <v>0.00329861111111111</v>
      </c>
      <c r="Y1339" s="5" t="n">
        <v>0.0075</v>
      </c>
      <c r="Z1339" s="0" t="n">
        <v>0</v>
      </c>
      <c r="AA1339" s="0" t="n">
        <v>0</v>
      </c>
      <c r="AB1339" s="0" t="n">
        <v>0</v>
      </c>
      <c r="AC1339" s="4" t="s">
        <v>3919</v>
      </c>
      <c r="AD1339" s="4" t="s">
        <v>152</v>
      </c>
      <c r="AE1339" s="4" t="s">
        <v>5158</v>
      </c>
      <c r="AF1339" s="4" t="s">
        <v>5160</v>
      </c>
      <c r="AG1339" s="5" t="n">
        <v>0.0291203703703704</v>
      </c>
      <c r="AH1339" s="5" t="n">
        <v>0.0322800925925926</v>
      </c>
      <c r="AI1339" s="5" t="n">
        <v>0</v>
      </c>
      <c r="AJ1339" s="5" t="n">
        <v>0</v>
      </c>
      <c r="AK1339" s="5" t="n">
        <v>0</v>
      </c>
      <c r="AL1339" s="5" t="n">
        <v>0</v>
      </c>
      <c r="AM1339" s="4" t="s">
        <v>78</v>
      </c>
      <c r="AN1339" s="0" t="n">
        <v>0</v>
      </c>
      <c r="AO1339" s="0" t="n">
        <v>0</v>
      </c>
      <c r="AP1339" s="0" t="n">
        <v>0</v>
      </c>
      <c r="AQ1339" s="0" t="n">
        <v>0</v>
      </c>
      <c r="AR1339" s="0" t="n">
        <v>0</v>
      </c>
      <c r="AS1339" s="0" t="n">
        <v>0</v>
      </c>
      <c r="AT1339" s="0" t="n">
        <v>0</v>
      </c>
      <c r="AU1339" s="0" t="n">
        <v>0</v>
      </c>
      <c r="AV1339" s="0" t="n">
        <v>0</v>
      </c>
      <c r="AW1339" s="0" t="n">
        <v>0</v>
      </c>
      <c r="AX1339" s="0" t="n">
        <v>0</v>
      </c>
      <c r="AY1339" s="0" t="n">
        <v>0</v>
      </c>
      <c r="AZ1339" s="0" t="n">
        <v>0</v>
      </c>
      <c r="BA1339" s="0" t="n">
        <v>0</v>
      </c>
      <c r="BB1339" s="0" t="n">
        <v>0</v>
      </c>
      <c r="BC1339" s="0" t="n">
        <v>0</v>
      </c>
      <c r="BD1339" s="0" t="n">
        <v>0</v>
      </c>
      <c r="BE1339" s="0" t="n">
        <v>0</v>
      </c>
      <c r="BF1339" s="0" t="n">
        <v>0</v>
      </c>
      <c r="BG1339" s="0" t="n">
        <v>0</v>
      </c>
      <c r="BH1339" s="0" t="n">
        <v>0</v>
      </c>
      <c r="BI1339" s="0" t="n">
        <v>0</v>
      </c>
      <c r="BJ1339" s="0" t="n">
        <v>0</v>
      </c>
      <c r="BK1339" s="0" t="n">
        <v>0</v>
      </c>
      <c r="BM1339" s="6" t="n">
        <f aca="false">IFERROR(VALUE(F1339),"")</f>
        <v>17.81</v>
      </c>
      <c r="BN1339" s="6" t="str">
        <f aca="false">IF(R1339="-","",IFERROR(VALUE(LEFT(Q1339,LEN(Q1339)-2)),""))</f>
        <v/>
      </c>
      <c r="BO1339" s="6" t="str">
        <f aca="false">IF(R1339="-","",IFERROR(VALUE(LEFT(R1339,LEN(R1339)-5)),""))</f>
        <v/>
      </c>
      <c r="BP1339" s="6" t="str">
        <f aca="false">IF(R1339="-","",IFERROR(VALUE(F1339),""))</f>
        <v/>
      </c>
      <c r="BQ1339" s="4" t="n">
        <f aca="false">IF(R1339="-",1,0)</f>
        <v>1</v>
      </c>
    </row>
    <row r="1340" customFormat="false" ht="15" hidden="false" customHeight="false" outlineLevel="0" collapsed="false">
      <c r="A1340" s="0" t="s">
        <v>5147</v>
      </c>
      <c r="B1340" s="0" t="s">
        <v>5148</v>
      </c>
      <c r="C1340" s="0" t="s">
        <v>70</v>
      </c>
      <c r="E1340" s="3" t="n">
        <v>46277</v>
      </c>
      <c r="F1340" s="4" t="s">
        <v>5161</v>
      </c>
      <c r="G1340" s="5" t="n">
        <v>0.0143171296296296</v>
      </c>
      <c r="H1340" s="5" t="n">
        <v>0</v>
      </c>
      <c r="I1340" s="5" t="n">
        <v>0</v>
      </c>
      <c r="J1340" s="0" t="n">
        <v>0</v>
      </c>
      <c r="K1340" s="0" t="n">
        <v>2</v>
      </c>
      <c r="L1340" s="0" t="n">
        <v>0</v>
      </c>
      <c r="M1340" s="0" t="n">
        <v>0</v>
      </c>
      <c r="N1340" s="0" t="n">
        <v>0</v>
      </c>
      <c r="O1340" s="5" t="n">
        <v>0</v>
      </c>
      <c r="P1340" s="5" t="n">
        <v>0</v>
      </c>
      <c r="Q1340" s="4" t="s">
        <v>73</v>
      </c>
      <c r="R1340" s="4" t="s">
        <v>73</v>
      </c>
      <c r="S1340" s="5" t="n">
        <v>0</v>
      </c>
      <c r="T1340" s="5" t="n">
        <v>0</v>
      </c>
      <c r="U1340" s="5" t="n">
        <v>0.00725694444444444</v>
      </c>
      <c r="V1340" s="5" t="n">
        <v>0.00384259259259259</v>
      </c>
      <c r="W1340" s="5" t="n">
        <v>0.00146990740740741</v>
      </c>
      <c r="X1340" s="5" t="n">
        <v>0.00056712962962963</v>
      </c>
      <c r="Y1340" s="5" t="n">
        <v>0.00185185185185185</v>
      </c>
      <c r="Z1340" s="0" t="n">
        <v>0</v>
      </c>
      <c r="AA1340" s="0" t="n">
        <v>0</v>
      </c>
      <c r="AB1340" s="0" t="n">
        <v>0</v>
      </c>
      <c r="AC1340" s="4" t="s">
        <v>152</v>
      </c>
      <c r="AD1340" s="4" t="s">
        <v>152</v>
      </c>
      <c r="AE1340" s="4" t="s">
        <v>5160</v>
      </c>
      <c r="AF1340" s="4" t="s">
        <v>5162</v>
      </c>
      <c r="AG1340" s="5" t="n">
        <v>0.0134490740740741</v>
      </c>
      <c r="AH1340" s="5" t="n">
        <v>0.0333333333333333</v>
      </c>
      <c r="AI1340" s="5" t="n">
        <v>0</v>
      </c>
      <c r="AJ1340" s="5" t="n">
        <v>0</v>
      </c>
      <c r="AK1340" s="5" t="n">
        <v>0</v>
      </c>
      <c r="AL1340" s="5" t="n">
        <v>0</v>
      </c>
      <c r="AM1340" s="4" t="s">
        <v>78</v>
      </c>
      <c r="AN1340" s="0" t="n">
        <v>0</v>
      </c>
      <c r="AO1340" s="0" t="n">
        <v>0</v>
      </c>
      <c r="AP1340" s="0" t="n">
        <v>0</v>
      </c>
      <c r="AQ1340" s="0" t="n">
        <v>0</v>
      </c>
      <c r="AR1340" s="0" t="n">
        <v>0</v>
      </c>
      <c r="AS1340" s="0" t="n">
        <v>0</v>
      </c>
      <c r="AT1340" s="0" t="n">
        <v>0</v>
      </c>
      <c r="AU1340" s="0" t="n">
        <v>0</v>
      </c>
      <c r="AV1340" s="0" t="n">
        <v>0</v>
      </c>
      <c r="AW1340" s="0" t="n">
        <v>0</v>
      </c>
      <c r="AX1340" s="0" t="n">
        <v>0</v>
      </c>
      <c r="AY1340" s="0" t="n">
        <v>0</v>
      </c>
      <c r="AZ1340" s="0" t="n">
        <v>0</v>
      </c>
      <c r="BA1340" s="0" t="n">
        <v>0</v>
      </c>
      <c r="BB1340" s="0" t="n">
        <v>0</v>
      </c>
      <c r="BC1340" s="0" t="n">
        <v>0</v>
      </c>
      <c r="BD1340" s="0" t="n">
        <v>0</v>
      </c>
      <c r="BE1340" s="0" t="n">
        <v>0</v>
      </c>
      <c r="BF1340" s="0" t="n">
        <v>0</v>
      </c>
      <c r="BG1340" s="0" t="n">
        <v>0</v>
      </c>
      <c r="BH1340" s="0" t="n">
        <v>0</v>
      </c>
      <c r="BI1340" s="0" t="n">
        <v>0</v>
      </c>
      <c r="BJ1340" s="0" t="n">
        <v>0</v>
      </c>
      <c r="BK1340" s="0" t="n">
        <v>0</v>
      </c>
      <c r="BM1340" s="6" t="n">
        <f aca="false">IFERROR(VALUE(F1340),"")</f>
        <v>8.19</v>
      </c>
      <c r="BN1340" s="6" t="str">
        <f aca="false">IF(R1340="-","",IFERROR(VALUE(LEFT(Q1340,LEN(Q1340)-2)),""))</f>
        <v/>
      </c>
      <c r="BO1340" s="6" t="str">
        <f aca="false">IF(R1340="-","",IFERROR(VALUE(LEFT(R1340,LEN(R1340)-5)),""))</f>
        <v/>
      </c>
      <c r="BP1340" s="6" t="str">
        <f aca="false">IF(R1340="-","",IFERROR(VALUE(F1340),""))</f>
        <v/>
      </c>
      <c r="BQ1340" s="4" t="n">
        <f aca="false">IF(R1340="-",1,0)</f>
        <v>1</v>
      </c>
    </row>
    <row r="1341" customFormat="false" ht="15" hidden="false" customHeight="false" outlineLevel="0" collapsed="false">
      <c r="A1341" s="0" t="s">
        <v>5147</v>
      </c>
      <c r="B1341" s="0" t="s">
        <v>5148</v>
      </c>
      <c r="C1341" s="0" t="s">
        <v>70</v>
      </c>
      <c r="E1341" s="3" t="n">
        <v>46278</v>
      </c>
      <c r="F1341" s="4" t="s">
        <v>5163</v>
      </c>
      <c r="G1341" s="5" t="n">
        <v>0.0178587962962963</v>
      </c>
      <c r="H1341" s="5" t="n">
        <v>0</v>
      </c>
      <c r="I1341" s="5" t="n">
        <v>0.000462962962962963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5" t="n">
        <v>0</v>
      </c>
      <c r="P1341" s="5" t="n">
        <v>0</v>
      </c>
      <c r="Q1341" s="4" t="s">
        <v>73</v>
      </c>
      <c r="R1341" s="4" t="s">
        <v>73</v>
      </c>
      <c r="S1341" s="5" t="n">
        <v>0</v>
      </c>
      <c r="T1341" s="5" t="n">
        <v>0.000115740740740741</v>
      </c>
      <c r="U1341" s="5" t="n">
        <v>0.00465277777777778</v>
      </c>
      <c r="V1341" s="5" t="n">
        <v>0.00699074074074074</v>
      </c>
      <c r="W1341" s="5" t="n">
        <v>0.00460648148148148</v>
      </c>
      <c r="X1341" s="5" t="n">
        <v>0.000902777777777778</v>
      </c>
      <c r="Y1341" s="5" t="n">
        <v>0.00388888888888889</v>
      </c>
      <c r="Z1341" s="0" t="n">
        <v>0</v>
      </c>
      <c r="AA1341" s="0" t="n">
        <v>0</v>
      </c>
      <c r="AB1341" s="0" t="n">
        <v>0</v>
      </c>
      <c r="AC1341" s="4" t="s">
        <v>152</v>
      </c>
      <c r="AD1341" s="4" t="s">
        <v>152</v>
      </c>
      <c r="AE1341" s="4" t="s">
        <v>5162</v>
      </c>
      <c r="AF1341" s="4" t="s">
        <v>5164</v>
      </c>
      <c r="AG1341" s="5" t="n">
        <v>0.0173958333333333</v>
      </c>
      <c r="AH1341" s="5" t="n">
        <v>0.0193287037037037</v>
      </c>
      <c r="AI1341" s="5" t="n">
        <v>0</v>
      </c>
      <c r="AJ1341" s="5" t="n">
        <v>0</v>
      </c>
      <c r="AK1341" s="5" t="n">
        <v>0</v>
      </c>
      <c r="AL1341" s="5" t="n">
        <v>0</v>
      </c>
      <c r="AM1341" s="4" t="s">
        <v>78</v>
      </c>
      <c r="AN1341" s="0" t="n">
        <v>0</v>
      </c>
      <c r="AO1341" s="0" t="n">
        <v>0</v>
      </c>
      <c r="AP1341" s="0" t="n">
        <v>0</v>
      </c>
      <c r="AQ1341" s="0" t="n">
        <v>0</v>
      </c>
      <c r="AR1341" s="0" t="n">
        <v>0</v>
      </c>
      <c r="AS1341" s="0" t="n">
        <v>0</v>
      </c>
      <c r="AT1341" s="0" t="n">
        <v>0</v>
      </c>
      <c r="AU1341" s="0" t="n">
        <v>0</v>
      </c>
      <c r="AV1341" s="0" t="n">
        <v>0</v>
      </c>
      <c r="AW1341" s="0" t="n">
        <v>0</v>
      </c>
      <c r="AX1341" s="0" t="n">
        <v>0</v>
      </c>
      <c r="AY1341" s="0" t="n">
        <v>0</v>
      </c>
      <c r="AZ1341" s="0" t="n">
        <v>0</v>
      </c>
      <c r="BA1341" s="0" t="n">
        <v>0</v>
      </c>
      <c r="BB1341" s="0" t="n">
        <v>0</v>
      </c>
      <c r="BC1341" s="0" t="n">
        <v>0</v>
      </c>
      <c r="BD1341" s="0" t="n">
        <v>0</v>
      </c>
      <c r="BE1341" s="0" t="n">
        <v>0</v>
      </c>
      <c r="BF1341" s="0" t="n">
        <v>0</v>
      </c>
      <c r="BG1341" s="0" t="n">
        <v>0</v>
      </c>
      <c r="BH1341" s="0" t="n">
        <v>0</v>
      </c>
      <c r="BI1341" s="0" t="n">
        <v>0</v>
      </c>
      <c r="BJ1341" s="0" t="n">
        <v>0</v>
      </c>
      <c r="BK1341" s="0" t="n">
        <v>0</v>
      </c>
      <c r="BM1341" s="6" t="n">
        <f aca="false">IFERROR(VALUE(F1341),"")</f>
        <v>12.05</v>
      </c>
      <c r="BN1341" s="6" t="str">
        <f aca="false">IF(R1341="-","",IFERROR(VALUE(LEFT(Q1341,LEN(Q1341)-2)),""))</f>
        <v/>
      </c>
      <c r="BO1341" s="6" t="str">
        <f aca="false">IF(R1341="-","",IFERROR(VALUE(LEFT(R1341,LEN(R1341)-5)),""))</f>
        <v/>
      </c>
      <c r="BP1341" s="6" t="str">
        <f aca="false">IF(R1341="-","",IFERROR(VALUE(F1341),""))</f>
        <v/>
      </c>
      <c r="BQ1341" s="4" t="n">
        <f aca="false">IF(R1341="-",1,0)</f>
        <v>1</v>
      </c>
    </row>
    <row r="1342" customFormat="false" ht="15" hidden="false" customHeight="false" outlineLevel="0" collapsed="false">
      <c r="A1342" s="0" t="s">
        <v>5147</v>
      </c>
      <c r="B1342" s="0" t="s">
        <v>5148</v>
      </c>
      <c r="C1342" s="0" t="s">
        <v>70</v>
      </c>
      <c r="E1342" s="3" t="n">
        <v>46279</v>
      </c>
      <c r="F1342" s="4" t="s">
        <v>5165</v>
      </c>
      <c r="G1342" s="5" t="n">
        <v>0.0115277777777778</v>
      </c>
      <c r="H1342" s="5" t="n">
        <v>0</v>
      </c>
      <c r="I1342" s="5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5" t="n">
        <v>0</v>
      </c>
      <c r="P1342" s="5" t="n">
        <v>0</v>
      </c>
      <c r="Q1342" s="4" t="s">
        <v>73</v>
      </c>
      <c r="R1342" s="4" t="s">
        <v>73</v>
      </c>
      <c r="S1342" s="5" t="n">
        <v>0</v>
      </c>
      <c r="T1342" s="5" t="n">
        <v>0</v>
      </c>
      <c r="U1342" s="5" t="n">
        <v>0.00371527777777778</v>
      </c>
      <c r="V1342" s="5" t="n">
        <v>0.00453703703703704</v>
      </c>
      <c r="W1342" s="5" t="n">
        <v>0.0021875</v>
      </c>
      <c r="X1342" s="5" t="n">
        <v>0.000416666666666667</v>
      </c>
      <c r="Y1342" s="5" t="n">
        <v>0.00115740740740741</v>
      </c>
      <c r="Z1342" s="0" t="n">
        <v>0</v>
      </c>
      <c r="AA1342" s="0" t="n">
        <v>0</v>
      </c>
      <c r="AB1342" s="0" t="n">
        <v>0</v>
      </c>
      <c r="AC1342" s="4" t="s">
        <v>159</v>
      </c>
      <c r="AD1342" s="4" t="s">
        <v>152</v>
      </c>
      <c r="AE1342" s="4" t="s">
        <v>5164</v>
      </c>
      <c r="AF1342" s="4" t="s">
        <v>5166</v>
      </c>
      <c r="AG1342" s="5" t="n">
        <v>0.0110763888888889</v>
      </c>
      <c r="AH1342" s="5" t="n">
        <v>0.0174074074074074</v>
      </c>
      <c r="AI1342" s="5" t="n">
        <v>0</v>
      </c>
      <c r="AJ1342" s="5" t="n">
        <v>0</v>
      </c>
      <c r="AK1342" s="5" t="n">
        <v>0</v>
      </c>
      <c r="AL1342" s="5" t="n">
        <v>0</v>
      </c>
      <c r="AM1342" s="4" t="s">
        <v>78</v>
      </c>
      <c r="AN1342" s="0" t="n">
        <v>0</v>
      </c>
      <c r="AO1342" s="0" t="n">
        <v>0</v>
      </c>
      <c r="AP1342" s="0" t="n">
        <v>0</v>
      </c>
      <c r="AQ1342" s="0" t="n">
        <v>0</v>
      </c>
      <c r="AR1342" s="0" t="n">
        <v>0</v>
      </c>
      <c r="AS1342" s="0" t="n">
        <v>0</v>
      </c>
      <c r="AT1342" s="0" t="n">
        <v>0</v>
      </c>
      <c r="AU1342" s="0" t="n">
        <v>0</v>
      </c>
      <c r="AV1342" s="0" t="n">
        <v>0</v>
      </c>
      <c r="AW1342" s="0" t="n">
        <v>0</v>
      </c>
      <c r="AX1342" s="0" t="n">
        <v>0</v>
      </c>
      <c r="AY1342" s="0" t="n">
        <v>0</v>
      </c>
      <c r="AZ1342" s="0" t="n">
        <v>0</v>
      </c>
      <c r="BA1342" s="0" t="n">
        <v>0</v>
      </c>
      <c r="BB1342" s="0" t="n">
        <v>0</v>
      </c>
      <c r="BC1342" s="0" t="n">
        <v>0</v>
      </c>
      <c r="BD1342" s="0" t="n">
        <v>0</v>
      </c>
      <c r="BE1342" s="0" t="n">
        <v>0</v>
      </c>
      <c r="BF1342" s="0" t="n">
        <v>0</v>
      </c>
      <c r="BG1342" s="0" t="n">
        <v>0</v>
      </c>
      <c r="BH1342" s="0" t="n">
        <v>0</v>
      </c>
      <c r="BI1342" s="0" t="n">
        <v>0</v>
      </c>
      <c r="BJ1342" s="0" t="n">
        <v>0</v>
      </c>
      <c r="BK1342" s="0" t="n">
        <v>0</v>
      </c>
      <c r="BM1342" s="6" t="n">
        <f aca="false">IFERROR(VALUE(F1342),"")</f>
        <v>7.29</v>
      </c>
      <c r="BN1342" s="6" t="str">
        <f aca="false">IF(R1342="-","",IFERROR(VALUE(LEFT(Q1342,LEN(Q1342)-2)),""))</f>
        <v/>
      </c>
      <c r="BO1342" s="6" t="str">
        <f aca="false">IF(R1342="-","",IFERROR(VALUE(LEFT(R1342,LEN(R1342)-5)),""))</f>
        <v/>
      </c>
      <c r="BP1342" s="6" t="str">
        <f aca="false">IF(R1342="-","",IFERROR(VALUE(F1342),""))</f>
        <v/>
      </c>
      <c r="BQ1342" s="4" t="n">
        <f aca="false">IF(R1342="-",1,0)</f>
        <v>1</v>
      </c>
    </row>
    <row r="1343" customFormat="false" ht="15" hidden="false" customHeight="false" outlineLevel="0" collapsed="false">
      <c r="A1343" s="0" t="s">
        <v>5167</v>
      </c>
      <c r="B1343" s="0" t="s">
        <v>5168</v>
      </c>
      <c r="C1343" s="0" t="s">
        <v>70</v>
      </c>
      <c r="E1343" s="3" t="n">
        <v>46273</v>
      </c>
      <c r="F1343" s="4" t="s">
        <v>5169</v>
      </c>
      <c r="G1343" s="5" t="n">
        <v>0.50400462962963</v>
      </c>
      <c r="H1343" s="5" t="n">
        <v>0</v>
      </c>
      <c r="I1343" s="5" t="n">
        <v>0.000347222222222222</v>
      </c>
      <c r="J1343" s="0" t="n">
        <v>0</v>
      </c>
      <c r="K1343" s="0" t="n">
        <v>2</v>
      </c>
      <c r="L1343" s="0" t="n">
        <v>0</v>
      </c>
      <c r="M1343" s="0" t="n">
        <v>0</v>
      </c>
      <c r="N1343" s="0" t="n">
        <v>0</v>
      </c>
      <c r="O1343" s="5" t="n">
        <v>0</v>
      </c>
      <c r="P1343" s="5" t="n">
        <v>0.0230324074074074</v>
      </c>
      <c r="Q1343" s="4" t="s">
        <v>5170</v>
      </c>
      <c r="R1343" s="4" t="s">
        <v>482</v>
      </c>
      <c r="S1343" s="5" t="n">
        <v>0.000115740740740741</v>
      </c>
      <c r="T1343" s="5" t="n">
        <v>0.160763888888889</v>
      </c>
      <c r="U1343" s="5" t="n">
        <v>0.302083333333333</v>
      </c>
      <c r="V1343" s="5" t="n">
        <v>0.0234953703703704</v>
      </c>
      <c r="W1343" s="5" t="n">
        <v>0</v>
      </c>
      <c r="X1343" s="5" t="n">
        <v>0</v>
      </c>
      <c r="Y1343" s="5" t="n">
        <v>0</v>
      </c>
      <c r="Z1343" s="0" t="n">
        <v>0</v>
      </c>
      <c r="AA1343" s="0" t="n">
        <v>0</v>
      </c>
      <c r="AB1343" s="0" t="n">
        <v>0</v>
      </c>
      <c r="AC1343" s="4" t="s">
        <v>2425</v>
      </c>
      <c r="AD1343" s="4" t="s">
        <v>2897</v>
      </c>
      <c r="AE1343" s="4" t="s">
        <v>5171</v>
      </c>
      <c r="AF1343" s="4" t="s">
        <v>5172</v>
      </c>
      <c r="AG1343" s="5" t="n">
        <v>0.419953703703704</v>
      </c>
      <c r="AH1343" s="5" t="n">
        <v>0.167962962962963</v>
      </c>
      <c r="AI1343" s="5" t="n">
        <v>0</v>
      </c>
      <c r="AJ1343" s="5" t="n">
        <v>0</v>
      </c>
      <c r="AK1343" s="5" t="n">
        <v>0</v>
      </c>
      <c r="AL1343" s="5" t="n">
        <v>0</v>
      </c>
      <c r="AM1343" s="4" t="s">
        <v>78</v>
      </c>
      <c r="AN1343" s="0" t="n">
        <v>0</v>
      </c>
      <c r="AO1343" s="0" t="n">
        <v>0</v>
      </c>
      <c r="AP1343" s="0" t="n">
        <v>0</v>
      </c>
      <c r="AQ1343" s="0" t="n">
        <v>0</v>
      </c>
      <c r="AR1343" s="0" t="n">
        <v>0</v>
      </c>
      <c r="AS1343" s="0" t="n">
        <v>0</v>
      </c>
      <c r="AT1343" s="0" t="n">
        <v>0</v>
      </c>
      <c r="AU1343" s="0" t="n">
        <v>0</v>
      </c>
      <c r="AV1343" s="0" t="n">
        <v>0</v>
      </c>
      <c r="AW1343" s="0" t="n">
        <v>0</v>
      </c>
      <c r="AX1343" s="0" t="n">
        <v>0</v>
      </c>
      <c r="AY1343" s="0" t="n">
        <v>0</v>
      </c>
      <c r="AZ1343" s="0" t="n">
        <v>0</v>
      </c>
      <c r="BA1343" s="0" t="n">
        <v>0</v>
      </c>
      <c r="BB1343" s="0" t="n">
        <v>2</v>
      </c>
      <c r="BC1343" s="0" t="n">
        <v>0</v>
      </c>
      <c r="BD1343" s="0" t="n">
        <v>0</v>
      </c>
      <c r="BE1343" s="0" t="n">
        <v>0</v>
      </c>
      <c r="BF1343" s="0" t="n">
        <v>0</v>
      </c>
      <c r="BG1343" s="0" t="n">
        <v>0</v>
      </c>
      <c r="BH1343" s="0" t="n">
        <v>0</v>
      </c>
      <c r="BI1343" s="0" t="n">
        <v>0</v>
      </c>
      <c r="BJ1343" s="0" t="n">
        <v>0</v>
      </c>
      <c r="BK1343" s="0" t="n">
        <v>0</v>
      </c>
      <c r="BM1343" s="6" t="n">
        <f aca="false">IFERROR(VALUE(F1343),"")</f>
        <v>569.35</v>
      </c>
      <c r="BN1343" s="6" t="n">
        <f aca="false">IF(R1343="-","",IFERROR(VALUE(LEFT(Q1343,LEN(Q1343)-2)),""))</f>
        <v>208.76</v>
      </c>
      <c r="BO1343" s="6" t="n">
        <f aca="false">IF(R1343="-","",IFERROR(VALUE(LEFT(R1343,LEN(R1343)-5)),""))</f>
        <v>2.73</v>
      </c>
      <c r="BP1343" s="6" t="n">
        <f aca="false">IF(R1343="-","",IFERROR(VALUE(F1343),""))</f>
        <v>569.35</v>
      </c>
      <c r="BQ1343" s="4" t="n">
        <f aca="false">IF(R1343="-",1,0)</f>
        <v>0</v>
      </c>
    </row>
    <row r="1344" customFormat="false" ht="15" hidden="false" customHeight="false" outlineLevel="0" collapsed="false">
      <c r="A1344" s="0" t="s">
        <v>5167</v>
      </c>
      <c r="B1344" s="0" t="s">
        <v>5168</v>
      </c>
      <c r="C1344" s="0" t="s">
        <v>70</v>
      </c>
      <c r="E1344" s="3" t="n">
        <v>46274</v>
      </c>
      <c r="F1344" s="4" t="s">
        <v>5173</v>
      </c>
      <c r="G1344" s="5" t="n">
        <v>0.334791666666667</v>
      </c>
      <c r="H1344" s="5" t="n">
        <v>0</v>
      </c>
      <c r="I1344" s="5" t="n">
        <v>6.94444444444444E-005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1</v>
      </c>
      <c r="O1344" s="5" t="n">
        <v>0</v>
      </c>
      <c r="P1344" s="5" t="n">
        <v>0.00980324074074074</v>
      </c>
      <c r="Q1344" s="4" t="s">
        <v>5174</v>
      </c>
      <c r="R1344" s="4" t="s">
        <v>289</v>
      </c>
      <c r="S1344" s="5" t="n">
        <v>0</v>
      </c>
      <c r="T1344" s="5" t="n">
        <v>0.124074074074074</v>
      </c>
      <c r="U1344" s="5" t="n">
        <v>0.163657407407407</v>
      </c>
      <c r="V1344" s="5" t="n">
        <v>0.0332175925925926</v>
      </c>
      <c r="W1344" s="5" t="n">
        <v>0</v>
      </c>
      <c r="X1344" s="5" t="n">
        <v>0</v>
      </c>
      <c r="Y1344" s="5" t="n">
        <v>0</v>
      </c>
      <c r="Z1344" s="0" t="n">
        <v>0</v>
      </c>
      <c r="AA1344" s="0" t="n">
        <v>0</v>
      </c>
      <c r="AB1344" s="0" t="n">
        <v>0</v>
      </c>
      <c r="AC1344" s="4" t="s">
        <v>5175</v>
      </c>
      <c r="AD1344" s="4" t="s">
        <v>1026</v>
      </c>
      <c r="AE1344" s="4" t="s">
        <v>5176</v>
      </c>
      <c r="AF1344" s="4" t="s">
        <v>5177</v>
      </c>
      <c r="AG1344" s="5" t="n">
        <v>0.260335648148148</v>
      </c>
      <c r="AH1344" s="5" t="n">
        <v>0.170729166666667</v>
      </c>
      <c r="AI1344" s="5" t="n">
        <v>0</v>
      </c>
      <c r="AJ1344" s="5" t="n">
        <v>0</v>
      </c>
      <c r="AK1344" s="5" t="n">
        <v>0</v>
      </c>
      <c r="AL1344" s="5" t="n">
        <v>0</v>
      </c>
      <c r="AM1344" s="4" t="s">
        <v>78</v>
      </c>
      <c r="AN1344" s="0" t="n">
        <v>0</v>
      </c>
      <c r="AO1344" s="0" t="n">
        <v>0</v>
      </c>
      <c r="AP1344" s="0" t="n">
        <v>0</v>
      </c>
      <c r="AQ1344" s="0" t="n">
        <v>0</v>
      </c>
      <c r="AR1344" s="0" t="n">
        <v>0</v>
      </c>
      <c r="AS1344" s="0" t="n">
        <v>0</v>
      </c>
      <c r="AT1344" s="0" t="n">
        <v>0</v>
      </c>
      <c r="AU1344" s="0" t="n">
        <v>0</v>
      </c>
      <c r="AV1344" s="0" t="n">
        <v>0</v>
      </c>
      <c r="AW1344" s="0" t="n">
        <v>0</v>
      </c>
      <c r="AX1344" s="0" t="n">
        <v>0</v>
      </c>
      <c r="AY1344" s="0" t="n">
        <v>0</v>
      </c>
      <c r="AZ1344" s="0" t="n">
        <v>0</v>
      </c>
      <c r="BA1344" s="0" t="n">
        <v>0</v>
      </c>
      <c r="BB1344" s="0" t="n">
        <v>0</v>
      </c>
      <c r="BC1344" s="0" t="n">
        <v>0</v>
      </c>
      <c r="BD1344" s="0" t="n">
        <v>0</v>
      </c>
      <c r="BE1344" s="0" t="n">
        <v>0</v>
      </c>
      <c r="BF1344" s="0" t="n">
        <v>0</v>
      </c>
      <c r="BG1344" s="0" t="n">
        <v>0</v>
      </c>
      <c r="BH1344" s="0" t="n">
        <v>0</v>
      </c>
      <c r="BI1344" s="0" t="n">
        <v>0</v>
      </c>
      <c r="BJ1344" s="0" t="n">
        <v>0</v>
      </c>
      <c r="BK1344" s="0" t="n">
        <v>0</v>
      </c>
      <c r="BM1344" s="6" t="n">
        <f aca="false">IFERROR(VALUE(F1344),"")</f>
        <v>306.29</v>
      </c>
      <c r="BN1344" s="6" t="n">
        <f aca="false">IF(R1344="-","",IFERROR(VALUE(LEFT(Q1344,LEN(Q1344)-2)),""))</f>
        <v>122.5</v>
      </c>
      <c r="BO1344" s="6" t="n">
        <f aca="false">IF(R1344="-","",IFERROR(VALUE(LEFT(R1344,LEN(R1344)-5)),""))</f>
        <v>2.5</v>
      </c>
      <c r="BP1344" s="6" t="n">
        <f aca="false">IF(R1344="-","",IFERROR(VALUE(F1344),""))</f>
        <v>306.29</v>
      </c>
      <c r="BQ1344" s="4" t="n">
        <f aca="false">IF(R1344="-",1,0)</f>
        <v>0</v>
      </c>
    </row>
    <row r="1345" customFormat="false" ht="15" hidden="false" customHeight="false" outlineLevel="0" collapsed="false">
      <c r="A1345" s="0" t="s">
        <v>5167</v>
      </c>
      <c r="B1345" s="0" t="s">
        <v>5168</v>
      </c>
      <c r="C1345" s="0" t="s">
        <v>70</v>
      </c>
      <c r="E1345" s="3" t="n">
        <v>46275</v>
      </c>
      <c r="F1345" s="4" t="s">
        <v>5178</v>
      </c>
      <c r="G1345" s="5" t="n">
        <v>0.304189814814815</v>
      </c>
      <c r="H1345" s="5" t="n">
        <v>0</v>
      </c>
      <c r="I1345" s="5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5" t="n">
        <v>0</v>
      </c>
      <c r="P1345" s="5" t="n">
        <v>0.0452546296296296</v>
      </c>
      <c r="Q1345" s="4" t="s">
        <v>5179</v>
      </c>
      <c r="R1345" s="4" t="s">
        <v>757</v>
      </c>
      <c r="S1345" s="5" t="n">
        <v>0.000115740740740741</v>
      </c>
      <c r="T1345" s="5" t="n">
        <v>0.10462962962963</v>
      </c>
      <c r="U1345" s="5" t="n">
        <v>0.176388888888889</v>
      </c>
      <c r="V1345" s="5" t="n">
        <v>0.00335648148148148</v>
      </c>
      <c r="W1345" s="5" t="n">
        <v>0</v>
      </c>
      <c r="X1345" s="5" t="n">
        <v>0</v>
      </c>
      <c r="Y1345" s="5" t="n">
        <v>0</v>
      </c>
      <c r="Z1345" s="0" t="n">
        <v>0</v>
      </c>
      <c r="AA1345" s="0" t="n">
        <v>0</v>
      </c>
      <c r="AB1345" s="0" t="n">
        <v>0</v>
      </c>
      <c r="AC1345" s="4" t="s">
        <v>3843</v>
      </c>
      <c r="AD1345" s="4" t="s">
        <v>1998</v>
      </c>
      <c r="AE1345" s="4" t="s">
        <v>5177</v>
      </c>
      <c r="AF1345" s="4" t="s">
        <v>5180</v>
      </c>
      <c r="AG1345" s="5" t="n">
        <v>0.232361111111111</v>
      </c>
      <c r="AH1345" s="5" t="n">
        <v>0.125439814814815</v>
      </c>
      <c r="AI1345" s="5" t="n">
        <v>0</v>
      </c>
      <c r="AJ1345" s="5" t="n">
        <v>0</v>
      </c>
      <c r="AK1345" s="5" t="n">
        <v>0</v>
      </c>
      <c r="AL1345" s="5" t="n">
        <v>0</v>
      </c>
      <c r="AM1345" s="4" t="s">
        <v>78</v>
      </c>
      <c r="AN1345" s="0" t="n">
        <v>0</v>
      </c>
      <c r="AO1345" s="0" t="n">
        <v>0</v>
      </c>
      <c r="AP1345" s="0" t="n">
        <v>0</v>
      </c>
      <c r="AQ1345" s="0" t="n">
        <v>0</v>
      </c>
      <c r="AR1345" s="0" t="n">
        <v>0</v>
      </c>
      <c r="AS1345" s="0" t="n">
        <v>0</v>
      </c>
      <c r="AT1345" s="0" t="n">
        <v>0</v>
      </c>
      <c r="AU1345" s="0" t="n">
        <v>0</v>
      </c>
      <c r="AV1345" s="0" t="n">
        <v>0</v>
      </c>
      <c r="AW1345" s="0" t="n">
        <v>0</v>
      </c>
      <c r="AX1345" s="0" t="n">
        <v>0</v>
      </c>
      <c r="AY1345" s="0" t="n">
        <v>0</v>
      </c>
      <c r="AZ1345" s="0" t="n">
        <v>0</v>
      </c>
      <c r="BA1345" s="0" t="n">
        <v>0</v>
      </c>
      <c r="BB1345" s="0" t="n">
        <v>0</v>
      </c>
      <c r="BC1345" s="0" t="n">
        <v>0</v>
      </c>
      <c r="BD1345" s="0" t="n">
        <v>0</v>
      </c>
      <c r="BE1345" s="0" t="n">
        <v>0</v>
      </c>
      <c r="BF1345" s="0" t="n">
        <v>0</v>
      </c>
      <c r="BG1345" s="0" t="n">
        <v>0</v>
      </c>
      <c r="BH1345" s="0" t="n">
        <v>0</v>
      </c>
      <c r="BI1345" s="0" t="n">
        <v>0</v>
      </c>
      <c r="BJ1345" s="0" t="n">
        <v>0</v>
      </c>
      <c r="BK1345" s="0" t="n">
        <v>0</v>
      </c>
      <c r="BM1345" s="6" t="n">
        <f aca="false">IFERROR(VALUE(F1345),"")</f>
        <v>334.12</v>
      </c>
      <c r="BN1345" s="6" t="n">
        <f aca="false">IF(R1345="-","",IFERROR(VALUE(LEFT(Q1345,LEN(Q1345)-2)),""))</f>
        <v>99.76</v>
      </c>
      <c r="BO1345" s="6" t="n">
        <f aca="false">IF(R1345="-","",IFERROR(VALUE(LEFT(R1345,LEN(R1345)-5)),""))</f>
        <v>3.35</v>
      </c>
      <c r="BP1345" s="6" t="n">
        <f aca="false">IF(R1345="-","",IFERROR(VALUE(F1345),""))</f>
        <v>334.12</v>
      </c>
      <c r="BQ1345" s="4" t="n">
        <f aca="false">IF(R1345="-",1,0)</f>
        <v>0</v>
      </c>
    </row>
    <row r="1346" customFormat="false" ht="15" hidden="false" customHeight="false" outlineLevel="0" collapsed="false">
      <c r="A1346" s="0" t="s">
        <v>5167</v>
      </c>
      <c r="B1346" s="0" t="s">
        <v>5168</v>
      </c>
      <c r="C1346" s="0" t="s">
        <v>70</v>
      </c>
      <c r="E1346" s="3" t="n">
        <v>46276</v>
      </c>
      <c r="F1346" s="4" t="s">
        <v>5181</v>
      </c>
      <c r="G1346" s="5" t="n">
        <v>0.590289351851852</v>
      </c>
      <c r="H1346" s="5" t="n">
        <v>0</v>
      </c>
      <c r="I1346" s="5" t="n">
        <v>0.000405092592592593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5" t="n">
        <v>0</v>
      </c>
      <c r="P1346" s="5" t="n">
        <v>0.0250347222222222</v>
      </c>
      <c r="Q1346" s="4" t="s">
        <v>5182</v>
      </c>
      <c r="R1346" s="4" t="s">
        <v>876</v>
      </c>
      <c r="S1346" s="5" t="n">
        <v>0.000694444444444445</v>
      </c>
      <c r="T1346" s="5" t="n">
        <v>0.167476851851852</v>
      </c>
      <c r="U1346" s="5" t="n">
        <v>0.306828703703704</v>
      </c>
      <c r="V1346" s="5" t="n">
        <v>0.0304398148148148</v>
      </c>
      <c r="W1346" s="5" t="n">
        <v>0</v>
      </c>
      <c r="X1346" s="5" t="n">
        <v>0</v>
      </c>
      <c r="Y1346" s="5" t="n">
        <v>0</v>
      </c>
      <c r="Z1346" s="0" t="n">
        <v>0</v>
      </c>
      <c r="AA1346" s="0" t="n">
        <v>0</v>
      </c>
      <c r="AB1346" s="0" t="n">
        <v>0</v>
      </c>
      <c r="AC1346" s="4" t="s">
        <v>1998</v>
      </c>
      <c r="AD1346" s="4" t="s">
        <v>5183</v>
      </c>
      <c r="AE1346" s="4" t="s">
        <v>5180</v>
      </c>
      <c r="AF1346" s="4" t="s">
        <v>5184</v>
      </c>
      <c r="AG1346" s="5" t="n">
        <v>0.449652777777778</v>
      </c>
      <c r="AH1346" s="5" t="n">
        <v>0.205277777777778</v>
      </c>
      <c r="AI1346" s="5" t="n">
        <v>0</v>
      </c>
      <c r="AJ1346" s="5" t="n">
        <v>0</v>
      </c>
      <c r="AK1346" s="5" t="n">
        <v>0</v>
      </c>
      <c r="AL1346" s="5" t="n">
        <v>0</v>
      </c>
      <c r="AM1346" s="4" t="s">
        <v>78</v>
      </c>
      <c r="AN1346" s="0" t="n">
        <v>0</v>
      </c>
      <c r="AO1346" s="0" t="n">
        <v>0</v>
      </c>
      <c r="AP1346" s="0" t="n">
        <v>0</v>
      </c>
      <c r="AQ1346" s="0" t="n">
        <v>0</v>
      </c>
      <c r="AR1346" s="0" t="n">
        <v>0</v>
      </c>
      <c r="AS1346" s="0" t="n">
        <v>0</v>
      </c>
      <c r="AT1346" s="0" t="n">
        <v>0</v>
      </c>
      <c r="AU1346" s="0" t="n">
        <v>0</v>
      </c>
      <c r="AV1346" s="0" t="n">
        <v>0</v>
      </c>
      <c r="AW1346" s="0" t="n">
        <v>0</v>
      </c>
      <c r="AX1346" s="0" t="n">
        <v>0</v>
      </c>
      <c r="AY1346" s="0" t="n">
        <v>0</v>
      </c>
      <c r="AZ1346" s="0" t="n">
        <v>0</v>
      </c>
      <c r="BA1346" s="0" t="n">
        <v>0</v>
      </c>
      <c r="BB1346" s="0" t="n">
        <v>0</v>
      </c>
      <c r="BC1346" s="0" t="n">
        <v>0</v>
      </c>
      <c r="BD1346" s="0" t="n">
        <v>0</v>
      </c>
      <c r="BE1346" s="0" t="n">
        <v>0</v>
      </c>
      <c r="BF1346" s="0" t="n">
        <v>0</v>
      </c>
      <c r="BG1346" s="0" t="n">
        <v>0</v>
      </c>
      <c r="BH1346" s="0" t="n">
        <v>0</v>
      </c>
      <c r="BI1346" s="0" t="n">
        <v>0</v>
      </c>
      <c r="BJ1346" s="0" t="n">
        <v>0</v>
      </c>
      <c r="BK1346" s="0" t="n">
        <v>0</v>
      </c>
      <c r="BM1346" s="6" t="n">
        <f aca="false">IFERROR(VALUE(F1346),"")</f>
        <v>541.94</v>
      </c>
      <c r="BN1346" s="6" t="n">
        <f aca="false">IF(R1346="-","",IFERROR(VALUE(LEFT(Q1346,LEN(Q1346)-2)),""))</f>
        <v>178.72</v>
      </c>
      <c r="BO1346" s="6" t="n">
        <f aca="false">IF(R1346="-","",IFERROR(VALUE(LEFT(R1346,LEN(R1346)-5)),""))</f>
        <v>3.03</v>
      </c>
      <c r="BP1346" s="6" t="n">
        <f aca="false">IF(R1346="-","",IFERROR(VALUE(F1346),""))</f>
        <v>541.94</v>
      </c>
      <c r="BQ1346" s="4" t="n">
        <f aca="false">IF(R1346="-",1,0)</f>
        <v>0</v>
      </c>
    </row>
    <row r="1347" customFormat="false" ht="15" hidden="false" customHeight="false" outlineLevel="0" collapsed="false">
      <c r="A1347" s="0" t="s">
        <v>5167</v>
      </c>
      <c r="B1347" s="0" t="s">
        <v>5168</v>
      </c>
      <c r="C1347" s="0" t="s">
        <v>70</v>
      </c>
      <c r="E1347" s="3" t="n">
        <v>46277</v>
      </c>
      <c r="F1347" s="4" t="s">
        <v>5185</v>
      </c>
      <c r="G1347" s="5" t="n">
        <v>0.730023148148148</v>
      </c>
      <c r="H1347" s="5" t="n">
        <v>0</v>
      </c>
      <c r="I1347" s="5" t="n">
        <v>0.0012962962962963</v>
      </c>
      <c r="J1347" s="0" t="n">
        <v>0</v>
      </c>
      <c r="K1347" s="0" t="n">
        <v>1</v>
      </c>
      <c r="L1347" s="0" t="n">
        <v>0</v>
      </c>
      <c r="M1347" s="0" t="n">
        <v>0</v>
      </c>
      <c r="N1347" s="0" t="n">
        <v>0</v>
      </c>
      <c r="O1347" s="5" t="n">
        <v>0</v>
      </c>
      <c r="P1347" s="5" t="n">
        <v>0</v>
      </c>
      <c r="Q1347" s="4" t="s">
        <v>5186</v>
      </c>
      <c r="R1347" s="4" t="s">
        <v>1997</v>
      </c>
      <c r="S1347" s="5" t="n">
        <v>0.000578703703703704</v>
      </c>
      <c r="T1347" s="5" t="n">
        <v>0.173726851851852</v>
      </c>
      <c r="U1347" s="5" t="n">
        <v>0.377083333333333</v>
      </c>
      <c r="V1347" s="5" t="n">
        <v>0.0414351851851852</v>
      </c>
      <c r="W1347" s="5" t="n">
        <v>0.000115740740740741</v>
      </c>
      <c r="X1347" s="5" t="n">
        <v>0</v>
      </c>
      <c r="Y1347" s="5" t="n">
        <v>0</v>
      </c>
      <c r="Z1347" s="0" t="n">
        <v>0</v>
      </c>
      <c r="AA1347" s="0" t="n">
        <v>0</v>
      </c>
      <c r="AB1347" s="0" t="n">
        <v>0</v>
      </c>
      <c r="AC1347" s="4" t="s">
        <v>152</v>
      </c>
      <c r="AD1347" s="4" t="s">
        <v>5187</v>
      </c>
      <c r="AE1347" s="4" t="s">
        <v>5184</v>
      </c>
      <c r="AF1347" s="4" t="s">
        <v>5188</v>
      </c>
      <c r="AG1347" s="5" t="n">
        <v>0.542858796296296</v>
      </c>
      <c r="AH1347" s="5" t="n">
        <v>0.216689814814815</v>
      </c>
      <c r="AI1347" s="5" t="n">
        <v>0</v>
      </c>
      <c r="AJ1347" s="5" t="n">
        <v>0</v>
      </c>
      <c r="AK1347" s="5" t="n">
        <v>0</v>
      </c>
      <c r="AL1347" s="5" t="n">
        <v>0</v>
      </c>
      <c r="AM1347" s="4" t="s">
        <v>78</v>
      </c>
      <c r="AN1347" s="0" t="n">
        <v>0</v>
      </c>
      <c r="AO1347" s="0" t="n">
        <v>0</v>
      </c>
      <c r="AP1347" s="0" t="n">
        <v>0</v>
      </c>
      <c r="AQ1347" s="0" t="n">
        <v>0</v>
      </c>
      <c r="AR1347" s="0" t="n">
        <v>0</v>
      </c>
      <c r="AS1347" s="0" t="n">
        <v>0</v>
      </c>
      <c r="AT1347" s="0" t="n">
        <v>0</v>
      </c>
      <c r="AU1347" s="0" t="n">
        <v>0</v>
      </c>
      <c r="AV1347" s="0" t="n">
        <v>0</v>
      </c>
      <c r="AW1347" s="0" t="n">
        <v>0</v>
      </c>
      <c r="AX1347" s="0" t="n">
        <v>0</v>
      </c>
      <c r="AY1347" s="0" t="n">
        <v>0</v>
      </c>
      <c r="AZ1347" s="0" t="n">
        <v>0</v>
      </c>
      <c r="BA1347" s="0" t="n">
        <v>0</v>
      </c>
      <c r="BB1347" s="0" t="n">
        <v>0</v>
      </c>
      <c r="BC1347" s="0" t="n">
        <v>0</v>
      </c>
      <c r="BD1347" s="0" t="n">
        <v>1</v>
      </c>
      <c r="BE1347" s="0" t="n">
        <v>0</v>
      </c>
      <c r="BF1347" s="0" t="n">
        <v>0</v>
      </c>
      <c r="BG1347" s="0" t="n">
        <v>0</v>
      </c>
      <c r="BH1347" s="0" t="n">
        <v>0</v>
      </c>
      <c r="BI1347" s="0" t="n">
        <v>0</v>
      </c>
      <c r="BJ1347" s="0" t="n">
        <v>0</v>
      </c>
      <c r="BK1347" s="0" t="n">
        <v>0</v>
      </c>
      <c r="BM1347" s="6" t="n">
        <f aca="false">IFERROR(VALUE(F1347),"")</f>
        <v>755.87</v>
      </c>
      <c r="BN1347" s="6" t="n">
        <f aca="false">IF(R1347="-","",IFERROR(VALUE(LEFT(Q1347,LEN(Q1347)-2)),""))</f>
        <v>216.41</v>
      </c>
      <c r="BO1347" s="6" t="n">
        <f aca="false">IF(R1347="-","",IFERROR(VALUE(LEFT(R1347,LEN(R1347)-5)),""))</f>
        <v>3.49</v>
      </c>
      <c r="BP1347" s="6" t="n">
        <f aca="false">IF(R1347="-","",IFERROR(VALUE(F1347),""))</f>
        <v>755.87</v>
      </c>
      <c r="BQ1347" s="4" t="n">
        <f aca="false">IF(R1347="-",1,0)</f>
        <v>0</v>
      </c>
    </row>
    <row r="1348" customFormat="false" ht="15" hidden="false" customHeight="false" outlineLevel="0" collapsed="false">
      <c r="A1348" s="0" t="s">
        <v>5167</v>
      </c>
      <c r="B1348" s="0" t="s">
        <v>5168</v>
      </c>
      <c r="C1348" s="0" t="s">
        <v>70</v>
      </c>
      <c r="E1348" s="3" t="n">
        <v>46278</v>
      </c>
      <c r="F1348" s="4" t="s">
        <v>5189</v>
      </c>
      <c r="G1348" s="5" t="n">
        <v>0.36318287037037</v>
      </c>
      <c r="H1348" s="5" t="n">
        <v>0</v>
      </c>
      <c r="I1348" s="5" t="n">
        <v>0.000324074074074074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5" t="n">
        <v>0</v>
      </c>
      <c r="P1348" s="5" t="n">
        <v>0.0144212962962963</v>
      </c>
      <c r="Q1348" s="4" t="s">
        <v>5190</v>
      </c>
      <c r="R1348" s="4" t="s">
        <v>570</v>
      </c>
      <c r="S1348" s="5" t="n">
        <v>0.000578703703703704</v>
      </c>
      <c r="T1348" s="5" t="n">
        <v>0.078587962962963</v>
      </c>
      <c r="U1348" s="5" t="n">
        <v>0.179166666666667</v>
      </c>
      <c r="V1348" s="5" t="n">
        <v>0.00405092592592593</v>
      </c>
      <c r="W1348" s="5" t="n">
        <v>0</v>
      </c>
      <c r="X1348" s="5" t="n">
        <v>0</v>
      </c>
      <c r="Y1348" s="5" t="n">
        <v>0</v>
      </c>
      <c r="Z1348" s="0" t="n">
        <v>0</v>
      </c>
      <c r="AA1348" s="0" t="n">
        <v>0</v>
      </c>
      <c r="AB1348" s="0" t="n">
        <v>0</v>
      </c>
      <c r="AC1348" s="4" t="s">
        <v>5187</v>
      </c>
      <c r="AD1348" s="4" t="s">
        <v>5191</v>
      </c>
      <c r="AE1348" s="4" t="s">
        <v>5192</v>
      </c>
      <c r="AF1348" s="4" t="s">
        <v>5193</v>
      </c>
      <c r="AG1348" s="5" t="n">
        <v>0.233148148148148</v>
      </c>
      <c r="AH1348" s="5" t="n">
        <v>0.131076388888889</v>
      </c>
      <c r="AI1348" s="5" t="n">
        <v>0</v>
      </c>
      <c r="AJ1348" s="5" t="n">
        <v>0</v>
      </c>
      <c r="AK1348" s="5" t="n">
        <v>0</v>
      </c>
      <c r="AL1348" s="5" t="n">
        <v>0</v>
      </c>
      <c r="AM1348" s="4" t="s">
        <v>78</v>
      </c>
      <c r="AN1348" s="0" t="n">
        <v>0</v>
      </c>
      <c r="AO1348" s="0" t="n">
        <v>0</v>
      </c>
      <c r="AP1348" s="0" t="n">
        <v>0</v>
      </c>
      <c r="AQ1348" s="0" t="n">
        <v>0</v>
      </c>
      <c r="AR1348" s="0" t="n">
        <v>0</v>
      </c>
      <c r="AS1348" s="0" t="n">
        <v>0</v>
      </c>
      <c r="AT1348" s="0" t="n">
        <v>0</v>
      </c>
      <c r="AU1348" s="0" t="n">
        <v>0</v>
      </c>
      <c r="AV1348" s="0" t="n">
        <v>0</v>
      </c>
      <c r="AW1348" s="0" t="n">
        <v>0</v>
      </c>
      <c r="AX1348" s="0" t="n">
        <v>0</v>
      </c>
      <c r="AY1348" s="0" t="n">
        <v>0</v>
      </c>
      <c r="AZ1348" s="0" t="n">
        <v>0</v>
      </c>
      <c r="BA1348" s="0" t="n">
        <v>0</v>
      </c>
      <c r="BB1348" s="0" t="n">
        <v>0</v>
      </c>
      <c r="BC1348" s="0" t="n">
        <v>0</v>
      </c>
      <c r="BD1348" s="0" t="n">
        <v>0</v>
      </c>
      <c r="BE1348" s="0" t="n">
        <v>0</v>
      </c>
      <c r="BF1348" s="0" t="n">
        <v>0</v>
      </c>
      <c r="BG1348" s="0" t="n">
        <v>0</v>
      </c>
      <c r="BH1348" s="0" t="n">
        <v>0</v>
      </c>
      <c r="BI1348" s="0" t="n">
        <v>0</v>
      </c>
      <c r="BJ1348" s="0" t="n">
        <v>0</v>
      </c>
      <c r="BK1348" s="0" t="n">
        <v>0</v>
      </c>
      <c r="BM1348" s="6" t="n">
        <f aca="false">IFERROR(VALUE(F1348),"")</f>
        <v>353.04</v>
      </c>
      <c r="BN1348" s="6" t="n">
        <f aca="false">IF(R1348="-","",IFERROR(VALUE(LEFT(Q1348,LEN(Q1348)-2)),""))</f>
        <v>98.07</v>
      </c>
      <c r="BO1348" s="6" t="n">
        <f aca="false">IF(R1348="-","",IFERROR(VALUE(LEFT(R1348,LEN(R1348)-5)),""))</f>
        <v>3.6</v>
      </c>
      <c r="BP1348" s="6" t="n">
        <f aca="false">IF(R1348="-","",IFERROR(VALUE(F1348),""))</f>
        <v>353.04</v>
      </c>
      <c r="BQ1348" s="4" t="n">
        <f aca="false">IF(R1348="-",1,0)</f>
        <v>0</v>
      </c>
    </row>
    <row r="1349" customFormat="false" ht="15" hidden="false" customHeight="false" outlineLevel="0" collapsed="false">
      <c r="A1349" s="0" t="s">
        <v>5167</v>
      </c>
      <c r="B1349" s="0" t="s">
        <v>5168</v>
      </c>
      <c r="C1349" s="0" t="s">
        <v>70</v>
      </c>
      <c r="E1349" s="3" t="n">
        <v>46279</v>
      </c>
      <c r="F1349" s="4" t="s">
        <v>95</v>
      </c>
      <c r="G1349" s="5" t="n">
        <v>0.00217592592592593</v>
      </c>
      <c r="H1349" s="5" t="n">
        <v>0</v>
      </c>
      <c r="I1349" s="5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5" t="n">
        <v>0</v>
      </c>
      <c r="P1349" s="5" t="n">
        <v>0</v>
      </c>
      <c r="Q1349" s="4" t="s">
        <v>929</v>
      </c>
      <c r="R1349" s="4" t="s">
        <v>454</v>
      </c>
      <c r="S1349" s="5" t="n">
        <v>0</v>
      </c>
      <c r="T1349" s="5" t="n">
        <v>0.00208333333333333</v>
      </c>
      <c r="U1349" s="5" t="n">
        <v>0</v>
      </c>
      <c r="V1349" s="5" t="n">
        <v>0</v>
      </c>
      <c r="W1349" s="5" t="n">
        <v>0</v>
      </c>
      <c r="X1349" s="5" t="n">
        <v>0</v>
      </c>
      <c r="Y1349" s="5" t="n">
        <v>0</v>
      </c>
      <c r="Z1349" s="0" t="n">
        <v>0</v>
      </c>
      <c r="AA1349" s="0" t="n">
        <v>0</v>
      </c>
      <c r="AB1349" s="0" t="n">
        <v>0</v>
      </c>
      <c r="AC1349" s="4" t="s">
        <v>5194</v>
      </c>
      <c r="AD1349" s="4" t="s">
        <v>5194</v>
      </c>
      <c r="AE1349" s="4" t="s">
        <v>5193</v>
      </c>
      <c r="AF1349" s="4" t="s">
        <v>5193</v>
      </c>
      <c r="AG1349" s="5" t="n">
        <v>0</v>
      </c>
      <c r="AH1349" s="5" t="n">
        <v>0.00265046296296296</v>
      </c>
      <c r="AI1349" s="5" t="n">
        <v>0</v>
      </c>
      <c r="AJ1349" s="5" t="n">
        <v>0</v>
      </c>
      <c r="AK1349" s="5" t="n">
        <v>0</v>
      </c>
      <c r="AL1349" s="5" t="n">
        <v>0</v>
      </c>
      <c r="AM1349" s="4" t="s">
        <v>78</v>
      </c>
      <c r="AN1349" s="0" t="n">
        <v>0</v>
      </c>
      <c r="AO1349" s="0" t="n">
        <v>0</v>
      </c>
      <c r="AP1349" s="0" t="n">
        <v>0</v>
      </c>
      <c r="AQ1349" s="0" t="n">
        <v>0</v>
      </c>
      <c r="AR1349" s="0" t="n">
        <v>0</v>
      </c>
      <c r="AS1349" s="0" t="n">
        <v>0</v>
      </c>
      <c r="AT1349" s="0" t="n">
        <v>0</v>
      </c>
      <c r="AU1349" s="0" t="n">
        <v>0</v>
      </c>
      <c r="AV1349" s="0" t="n">
        <v>0</v>
      </c>
      <c r="AW1349" s="0" t="n">
        <v>0</v>
      </c>
      <c r="AX1349" s="0" t="n">
        <v>0</v>
      </c>
      <c r="AY1349" s="0" t="n">
        <v>0</v>
      </c>
      <c r="AZ1349" s="0" t="n">
        <v>0</v>
      </c>
      <c r="BA1349" s="0" t="n">
        <v>0</v>
      </c>
      <c r="BB1349" s="0" t="n">
        <v>0</v>
      </c>
      <c r="BC1349" s="0" t="n">
        <v>0</v>
      </c>
      <c r="BD1349" s="0" t="n">
        <v>0</v>
      </c>
      <c r="BE1349" s="0" t="n">
        <v>0</v>
      </c>
      <c r="BF1349" s="0" t="n">
        <v>0</v>
      </c>
      <c r="BG1349" s="0" t="n">
        <v>0</v>
      </c>
      <c r="BH1349" s="0" t="n">
        <v>0</v>
      </c>
      <c r="BI1349" s="0" t="n">
        <v>0</v>
      </c>
      <c r="BJ1349" s="0" t="n">
        <v>0</v>
      </c>
      <c r="BK1349" s="0" t="n">
        <v>0</v>
      </c>
      <c r="BM1349" s="6" t="n">
        <f aca="false">IFERROR(VALUE(F1349),"")</f>
        <v>0</v>
      </c>
      <c r="BN1349" s="6" t="n">
        <f aca="false">IF(R1349="-","",IFERROR(VALUE(LEFT(Q1349,LEN(Q1349)-2)),""))</f>
        <v>0.16</v>
      </c>
      <c r="BO1349" s="6" t="n">
        <f aca="false">IF(R1349="-","",IFERROR(VALUE(LEFT(R1349,LEN(R1349)-5)),""))</f>
        <v>0</v>
      </c>
      <c r="BP1349" s="6" t="n">
        <f aca="false">IF(R1349="-","",IFERROR(VALUE(F1349),""))</f>
        <v>0</v>
      </c>
      <c r="BQ1349" s="4" t="n">
        <f aca="false">IF(R1349="-",1,0)</f>
        <v>0</v>
      </c>
    </row>
    <row r="1350" customFormat="false" ht="15" hidden="false" customHeight="false" outlineLevel="0" collapsed="false">
      <c r="A1350" s="0" t="s">
        <v>5195</v>
      </c>
      <c r="B1350" s="0" t="s">
        <v>5196</v>
      </c>
      <c r="C1350" s="0" t="s">
        <v>70</v>
      </c>
      <c r="E1350" s="3" t="n">
        <v>46273</v>
      </c>
      <c r="F1350" s="4" t="s">
        <v>95</v>
      </c>
      <c r="G1350" s="5" t="n">
        <v>0.570335648148148</v>
      </c>
      <c r="H1350" s="5" t="n">
        <v>0</v>
      </c>
      <c r="I1350" s="5" t="n">
        <v>0.000208333333333333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5" t="n">
        <v>0</v>
      </c>
      <c r="P1350" s="5" t="n">
        <v>0</v>
      </c>
      <c r="Q1350" s="4" t="s">
        <v>5197</v>
      </c>
      <c r="R1350" s="4" t="s">
        <v>454</v>
      </c>
      <c r="S1350" s="5" t="n">
        <v>0.000694444444444445</v>
      </c>
      <c r="T1350" s="5" t="n">
        <v>0.210185185185185</v>
      </c>
      <c r="U1350" s="5" t="n">
        <v>0.141666666666667</v>
      </c>
      <c r="V1350" s="5" t="n">
        <v>0.0112268518518519</v>
      </c>
      <c r="W1350" s="5" t="n">
        <v>0</v>
      </c>
      <c r="X1350" s="5" t="n">
        <v>0</v>
      </c>
      <c r="Y1350" s="5" t="n">
        <v>0</v>
      </c>
      <c r="Z1350" s="0" t="n">
        <v>0</v>
      </c>
      <c r="AA1350" s="0" t="n">
        <v>0</v>
      </c>
      <c r="AB1350" s="0" t="n">
        <v>0</v>
      </c>
      <c r="AC1350" s="4" t="s">
        <v>421</v>
      </c>
      <c r="AD1350" s="4" t="s">
        <v>421</v>
      </c>
      <c r="AE1350" s="4" t="s">
        <v>5198</v>
      </c>
      <c r="AF1350" s="4" t="s">
        <v>5198</v>
      </c>
      <c r="AG1350" s="5" t="n">
        <v>0.280555555555556</v>
      </c>
      <c r="AH1350" s="5" t="n">
        <v>0.157777777777778</v>
      </c>
      <c r="AI1350" s="5" t="n">
        <v>0</v>
      </c>
      <c r="AJ1350" s="5" t="n">
        <v>0</v>
      </c>
      <c r="AK1350" s="5" t="n">
        <v>0</v>
      </c>
      <c r="AL1350" s="5" t="n">
        <v>0</v>
      </c>
      <c r="AM1350" s="4" t="s">
        <v>78</v>
      </c>
      <c r="AN1350" s="0" t="n">
        <v>0</v>
      </c>
      <c r="AO1350" s="0" t="n">
        <v>0</v>
      </c>
      <c r="AP1350" s="0" t="n">
        <v>0</v>
      </c>
      <c r="AQ1350" s="0" t="n">
        <v>0</v>
      </c>
      <c r="AR1350" s="0" t="n">
        <v>0</v>
      </c>
      <c r="AS1350" s="0" t="n">
        <v>0</v>
      </c>
      <c r="AT1350" s="0" t="n">
        <v>0</v>
      </c>
      <c r="AU1350" s="0" t="n">
        <v>0</v>
      </c>
      <c r="AV1350" s="0" t="n">
        <v>0</v>
      </c>
      <c r="AW1350" s="0" t="n">
        <v>0</v>
      </c>
      <c r="AX1350" s="0" t="n">
        <v>0</v>
      </c>
      <c r="AY1350" s="0" t="n">
        <v>0</v>
      </c>
      <c r="AZ1350" s="0" t="n">
        <v>0</v>
      </c>
      <c r="BA1350" s="0" t="n">
        <v>0</v>
      </c>
      <c r="BB1350" s="0" t="n">
        <v>0</v>
      </c>
      <c r="BC1350" s="0" t="n">
        <v>0</v>
      </c>
      <c r="BD1350" s="0" t="n">
        <v>0</v>
      </c>
      <c r="BE1350" s="0" t="n">
        <v>0</v>
      </c>
      <c r="BF1350" s="0" t="n">
        <v>0</v>
      </c>
      <c r="BG1350" s="0" t="n">
        <v>0</v>
      </c>
      <c r="BH1350" s="0" t="n">
        <v>0</v>
      </c>
      <c r="BI1350" s="0" t="n">
        <v>0</v>
      </c>
      <c r="BJ1350" s="0" t="n">
        <v>0</v>
      </c>
      <c r="BK1350" s="0" t="n">
        <v>0</v>
      </c>
      <c r="BM1350" s="6" t="n">
        <f aca="false">IFERROR(VALUE(F1350),"")</f>
        <v>0</v>
      </c>
      <c r="BN1350" s="6" t="n">
        <f aca="false">IF(R1350="-","",IFERROR(VALUE(LEFT(Q1350,LEN(Q1350)-2)),""))</f>
        <v>93.98</v>
      </c>
      <c r="BO1350" s="6" t="n">
        <f aca="false">IF(R1350="-","",IFERROR(VALUE(LEFT(R1350,LEN(R1350)-5)),""))</f>
        <v>0</v>
      </c>
      <c r="BP1350" s="6" t="n">
        <f aca="false">IF(R1350="-","",IFERROR(VALUE(F1350),""))</f>
        <v>0</v>
      </c>
      <c r="BQ1350" s="4" t="n">
        <f aca="false">IF(R1350="-",1,0)</f>
        <v>0</v>
      </c>
    </row>
    <row r="1351" customFormat="false" ht="15" hidden="false" customHeight="false" outlineLevel="0" collapsed="false">
      <c r="A1351" s="0" t="s">
        <v>5195</v>
      </c>
      <c r="B1351" s="0" t="s">
        <v>5196</v>
      </c>
      <c r="C1351" s="0" t="s">
        <v>70</v>
      </c>
      <c r="E1351" s="3" t="n">
        <v>46274</v>
      </c>
      <c r="F1351" s="4" t="s">
        <v>95</v>
      </c>
      <c r="G1351" s="5" t="n">
        <v>0.796435185185185</v>
      </c>
      <c r="H1351" s="5" t="n">
        <v>0</v>
      </c>
      <c r="I1351" s="5" t="n">
        <v>0.00265046296296296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7</v>
      </c>
      <c r="O1351" s="5" t="n">
        <v>0</v>
      </c>
      <c r="P1351" s="5" t="n">
        <v>0.00766203703703704</v>
      </c>
      <c r="Q1351" s="4" t="s">
        <v>5199</v>
      </c>
      <c r="R1351" s="4" t="s">
        <v>454</v>
      </c>
      <c r="S1351" s="5" t="n">
        <v>0.000810185185185185</v>
      </c>
      <c r="T1351" s="5" t="n">
        <v>0.175578703703704</v>
      </c>
      <c r="U1351" s="5" t="n">
        <v>0.213888888888889</v>
      </c>
      <c r="V1351" s="5" t="n">
        <v>0.0357638888888889</v>
      </c>
      <c r="W1351" s="5" t="n">
        <v>0</v>
      </c>
      <c r="X1351" s="5" t="n">
        <v>0</v>
      </c>
      <c r="Y1351" s="5" t="n">
        <v>0</v>
      </c>
      <c r="Z1351" s="0" t="n">
        <v>0</v>
      </c>
      <c r="AA1351" s="0" t="n">
        <v>0</v>
      </c>
      <c r="AB1351" s="0" t="n">
        <v>0</v>
      </c>
      <c r="AC1351" s="4" t="s">
        <v>421</v>
      </c>
      <c r="AD1351" s="4" t="s">
        <v>432</v>
      </c>
      <c r="AE1351" s="4" t="s">
        <v>5198</v>
      </c>
      <c r="AF1351" s="4" t="s">
        <v>5198</v>
      </c>
      <c r="AG1351" s="5" t="n">
        <v>0.370972222222222</v>
      </c>
      <c r="AH1351" s="5" t="n">
        <v>0.210810185185185</v>
      </c>
      <c r="AI1351" s="5" t="n">
        <v>0</v>
      </c>
      <c r="AJ1351" s="5" t="n">
        <v>0</v>
      </c>
      <c r="AK1351" s="5" t="n">
        <v>0</v>
      </c>
      <c r="AL1351" s="5" t="n">
        <v>0</v>
      </c>
      <c r="AM1351" s="4" t="s">
        <v>78</v>
      </c>
      <c r="AN1351" s="0" t="n">
        <v>0</v>
      </c>
      <c r="AO1351" s="0" t="n">
        <v>0</v>
      </c>
      <c r="AP1351" s="0" t="n">
        <v>0</v>
      </c>
      <c r="AQ1351" s="0" t="n">
        <v>0</v>
      </c>
      <c r="AR1351" s="0" t="n">
        <v>0</v>
      </c>
      <c r="AS1351" s="0" t="n">
        <v>0</v>
      </c>
      <c r="AT1351" s="0" t="n">
        <v>0</v>
      </c>
      <c r="AU1351" s="0" t="n">
        <v>0</v>
      </c>
      <c r="AV1351" s="0" t="n">
        <v>0</v>
      </c>
      <c r="AW1351" s="0" t="n">
        <v>0</v>
      </c>
      <c r="AX1351" s="0" t="n">
        <v>0</v>
      </c>
      <c r="AY1351" s="0" t="n">
        <v>0</v>
      </c>
      <c r="AZ1351" s="0" t="n">
        <v>0</v>
      </c>
      <c r="BA1351" s="0" t="n">
        <v>0</v>
      </c>
      <c r="BB1351" s="0" t="n">
        <v>0</v>
      </c>
      <c r="BC1351" s="0" t="n">
        <v>0</v>
      </c>
      <c r="BD1351" s="0" t="n">
        <v>0</v>
      </c>
      <c r="BE1351" s="0" t="n">
        <v>0</v>
      </c>
      <c r="BF1351" s="0" t="n">
        <v>0</v>
      </c>
      <c r="BG1351" s="0" t="n">
        <v>0</v>
      </c>
      <c r="BH1351" s="0" t="n">
        <v>0</v>
      </c>
      <c r="BI1351" s="0" t="n">
        <v>0</v>
      </c>
      <c r="BJ1351" s="0" t="n">
        <v>0</v>
      </c>
      <c r="BK1351" s="0" t="n">
        <v>0</v>
      </c>
      <c r="BM1351" s="6" t="n">
        <f aca="false">IFERROR(VALUE(F1351),"")</f>
        <v>0</v>
      </c>
      <c r="BN1351" s="6" t="n">
        <f aca="false">IF(R1351="-","",IFERROR(VALUE(LEFT(Q1351,LEN(Q1351)-2)),""))</f>
        <v>152.51</v>
      </c>
      <c r="BO1351" s="6" t="n">
        <f aca="false">IF(R1351="-","",IFERROR(VALUE(LEFT(R1351,LEN(R1351)-5)),""))</f>
        <v>0</v>
      </c>
      <c r="BP1351" s="6" t="n">
        <f aca="false">IF(R1351="-","",IFERROR(VALUE(F1351),""))</f>
        <v>0</v>
      </c>
      <c r="BQ1351" s="4" t="n">
        <f aca="false">IF(R1351="-",1,0)</f>
        <v>0</v>
      </c>
    </row>
    <row r="1352" customFormat="false" ht="15" hidden="false" customHeight="false" outlineLevel="0" collapsed="false">
      <c r="A1352" s="0" t="s">
        <v>5195</v>
      </c>
      <c r="B1352" s="0" t="s">
        <v>5196</v>
      </c>
      <c r="C1352" s="0" t="s">
        <v>70</v>
      </c>
      <c r="E1352" s="3" t="n">
        <v>46275</v>
      </c>
      <c r="F1352" s="4" t="s">
        <v>95</v>
      </c>
      <c r="G1352" s="5" t="n">
        <v>0.491840277777778</v>
      </c>
      <c r="H1352" s="5" t="n">
        <v>0</v>
      </c>
      <c r="I1352" s="5" t="n">
        <v>0.000486111111111111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5" t="n">
        <v>0</v>
      </c>
      <c r="P1352" s="5" t="n">
        <v>0</v>
      </c>
      <c r="Q1352" s="4" t="s">
        <v>5200</v>
      </c>
      <c r="R1352" s="4" t="s">
        <v>454</v>
      </c>
      <c r="S1352" s="5" t="n">
        <v>0.000347222222222222</v>
      </c>
      <c r="T1352" s="5" t="n">
        <v>0.138425925925926</v>
      </c>
      <c r="U1352" s="5" t="n">
        <v>0.262731481481482</v>
      </c>
      <c r="V1352" s="5" t="n">
        <v>0.00717592592592593</v>
      </c>
      <c r="W1352" s="5" t="n">
        <v>0</v>
      </c>
      <c r="X1352" s="5" t="n">
        <v>0</v>
      </c>
      <c r="Y1352" s="5" t="n">
        <v>0</v>
      </c>
      <c r="Z1352" s="0" t="n">
        <v>0</v>
      </c>
      <c r="AA1352" s="0" t="n">
        <v>0</v>
      </c>
      <c r="AB1352" s="0" t="n">
        <v>0</v>
      </c>
      <c r="AC1352" s="4" t="s">
        <v>432</v>
      </c>
      <c r="AD1352" s="4" t="s">
        <v>864</v>
      </c>
      <c r="AE1352" s="4" t="s">
        <v>5198</v>
      </c>
      <c r="AF1352" s="4" t="s">
        <v>5198</v>
      </c>
      <c r="AG1352" s="5" t="n">
        <v>0.374155092592593</v>
      </c>
      <c r="AH1352" s="5" t="n">
        <v>0.104456018518519</v>
      </c>
      <c r="AI1352" s="5" t="n">
        <v>0</v>
      </c>
      <c r="AJ1352" s="5" t="n">
        <v>0</v>
      </c>
      <c r="AK1352" s="5" t="n">
        <v>0</v>
      </c>
      <c r="AL1352" s="5" t="n">
        <v>0</v>
      </c>
      <c r="AM1352" s="4" t="s">
        <v>78</v>
      </c>
      <c r="AN1352" s="0" t="n">
        <v>0</v>
      </c>
      <c r="AO1352" s="0" t="n">
        <v>0</v>
      </c>
      <c r="AP1352" s="0" t="n">
        <v>0</v>
      </c>
      <c r="AQ1352" s="0" t="n">
        <v>0</v>
      </c>
      <c r="AR1352" s="0" t="n">
        <v>0</v>
      </c>
      <c r="AS1352" s="0" t="n">
        <v>0</v>
      </c>
      <c r="AT1352" s="0" t="n">
        <v>0</v>
      </c>
      <c r="AU1352" s="0" t="n">
        <v>0</v>
      </c>
      <c r="AV1352" s="0" t="n">
        <v>0</v>
      </c>
      <c r="AW1352" s="0" t="n">
        <v>0</v>
      </c>
      <c r="AX1352" s="0" t="n">
        <v>0</v>
      </c>
      <c r="AY1352" s="0" t="n">
        <v>0</v>
      </c>
      <c r="AZ1352" s="0" t="n">
        <v>0</v>
      </c>
      <c r="BA1352" s="0" t="n">
        <v>0</v>
      </c>
      <c r="BB1352" s="0" t="n">
        <v>0</v>
      </c>
      <c r="BC1352" s="0" t="n">
        <v>0</v>
      </c>
      <c r="BD1352" s="0" t="n">
        <v>0</v>
      </c>
      <c r="BE1352" s="0" t="n">
        <v>0</v>
      </c>
      <c r="BF1352" s="0" t="n">
        <v>0</v>
      </c>
      <c r="BG1352" s="0" t="n">
        <v>0</v>
      </c>
      <c r="BH1352" s="0" t="n">
        <v>0</v>
      </c>
      <c r="BI1352" s="0" t="n">
        <v>0</v>
      </c>
      <c r="BJ1352" s="0" t="n">
        <v>0</v>
      </c>
      <c r="BK1352" s="0" t="n">
        <v>0</v>
      </c>
      <c r="BM1352" s="6" t="n">
        <f aca="false">IFERROR(VALUE(F1352),"")</f>
        <v>0</v>
      </c>
      <c r="BN1352" s="6" t="n">
        <f aca="false">IF(R1352="-","",IFERROR(VALUE(LEFT(Q1352,LEN(Q1352)-2)),""))</f>
        <v>146.99</v>
      </c>
      <c r="BO1352" s="6" t="n">
        <f aca="false">IF(R1352="-","",IFERROR(VALUE(LEFT(R1352,LEN(R1352)-5)),""))</f>
        <v>0</v>
      </c>
      <c r="BP1352" s="6" t="n">
        <f aca="false">IF(R1352="-","",IFERROR(VALUE(F1352),""))</f>
        <v>0</v>
      </c>
      <c r="BQ1352" s="4" t="n">
        <f aca="false">IF(R1352="-",1,0)</f>
        <v>0</v>
      </c>
    </row>
    <row r="1353" customFormat="false" ht="15" hidden="false" customHeight="false" outlineLevel="0" collapsed="false">
      <c r="A1353" s="0" t="s">
        <v>5195</v>
      </c>
      <c r="B1353" s="0" t="s">
        <v>5196</v>
      </c>
      <c r="C1353" s="0" t="s">
        <v>70</v>
      </c>
      <c r="E1353" s="3" t="n">
        <v>46276</v>
      </c>
      <c r="F1353" s="4" t="s">
        <v>95</v>
      </c>
      <c r="G1353" s="5" t="n">
        <v>0.406990740740741</v>
      </c>
      <c r="H1353" s="5" t="n">
        <v>0</v>
      </c>
      <c r="I1353" s="5" t="n">
        <v>0.00025462962962963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5" t="n">
        <v>0</v>
      </c>
      <c r="P1353" s="5" t="n">
        <v>0.00762731481481482</v>
      </c>
      <c r="Q1353" s="4" t="s">
        <v>5201</v>
      </c>
      <c r="R1353" s="4" t="s">
        <v>454</v>
      </c>
      <c r="S1353" s="5" t="n">
        <v>0.000347222222222222</v>
      </c>
      <c r="T1353" s="5" t="n">
        <v>0.174537037037037</v>
      </c>
      <c r="U1353" s="5" t="n">
        <v>0.120601851851852</v>
      </c>
      <c r="V1353" s="5" t="n">
        <v>0.0203703703703704</v>
      </c>
      <c r="W1353" s="5" t="n">
        <v>0</v>
      </c>
      <c r="X1353" s="5" t="n">
        <v>0</v>
      </c>
      <c r="Y1353" s="5" t="n">
        <v>0</v>
      </c>
      <c r="Z1353" s="0" t="n">
        <v>0</v>
      </c>
      <c r="AA1353" s="0" t="n">
        <v>0</v>
      </c>
      <c r="AB1353" s="0" t="n">
        <v>0</v>
      </c>
      <c r="AC1353" s="4" t="s">
        <v>877</v>
      </c>
      <c r="AD1353" s="4" t="s">
        <v>864</v>
      </c>
      <c r="AE1353" s="4" t="s">
        <v>5198</v>
      </c>
      <c r="AF1353" s="4" t="s">
        <v>5198</v>
      </c>
      <c r="AG1353" s="5" t="n">
        <v>0.244027777777778</v>
      </c>
      <c r="AH1353" s="5" t="n">
        <v>0.331747685185185</v>
      </c>
      <c r="AI1353" s="5" t="n">
        <v>0</v>
      </c>
      <c r="AJ1353" s="5" t="n">
        <v>0</v>
      </c>
      <c r="AK1353" s="5" t="n">
        <v>0</v>
      </c>
      <c r="AL1353" s="5" t="n">
        <v>0</v>
      </c>
      <c r="AM1353" s="4" t="s">
        <v>78</v>
      </c>
      <c r="AN1353" s="0" t="n">
        <v>0</v>
      </c>
      <c r="AO1353" s="0" t="n">
        <v>0</v>
      </c>
      <c r="AP1353" s="0" t="n">
        <v>0</v>
      </c>
      <c r="AQ1353" s="0" t="n">
        <v>0</v>
      </c>
      <c r="AR1353" s="0" t="n">
        <v>0</v>
      </c>
      <c r="AS1353" s="0" t="n">
        <v>0</v>
      </c>
      <c r="AT1353" s="0" t="n">
        <v>0</v>
      </c>
      <c r="AU1353" s="0" t="n">
        <v>0</v>
      </c>
      <c r="AV1353" s="0" t="n">
        <v>0</v>
      </c>
      <c r="AW1353" s="0" t="n">
        <v>0</v>
      </c>
      <c r="AX1353" s="0" t="n">
        <v>0</v>
      </c>
      <c r="AY1353" s="0" t="n">
        <v>0</v>
      </c>
      <c r="AZ1353" s="0" t="n">
        <v>0</v>
      </c>
      <c r="BA1353" s="0" t="n">
        <v>0</v>
      </c>
      <c r="BB1353" s="0" t="n">
        <v>0</v>
      </c>
      <c r="BC1353" s="0" t="n">
        <v>0</v>
      </c>
      <c r="BD1353" s="0" t="n">
        <v>0</v>
      </c>
      <c r="BE1353" s="0" t="n">
        <v>0</v>
      </c>
      <c r="BF1353" s="0" t="n">
        <v>0</v>
      </c>
      <c r="BG1353" s="0" t="n">
        <v>0</v>
      </c>
      <c r="BH1353" s="0" t="n">
        <v>0</v>
      </c>
      <c r="BI1353" s="0" t="n">
        <v>0</v>
      </c>
      <c r="BJ1353" s="0" t="n">
        <v>0</v>
      </c>
      <c r="BK1353" s="0" t="n">
        <v>0</v>
      </c>
      <c r="BM1353" s="6" t="n">
        <f aca="false">IFERROR(VALUE(F1353),"")</f>
        <v>0</v>
      </c>
      <c r="BN1353" s="6" t="n">
        <f aca="false">IF(R1353="-","",IFERROR(VALUE(LEFT(Q1353,LEN(Q1353)-2)),""))</f>
        <v>89.5</v>
      </c>
      <c r="BO1353" s="6" t="n">
        <f aca="false">IF(R1353="-","",IFERROR(VALUE(LEFT(R1353,LEN(R1353)-5)),""))</f>
        <v>0</v>
      </c>
      <c r="BP1353" s="6" t="n">
        <f aca="false">IF(R1353="-","",IFERROR(VALUE(F1353),""))</f>
        <v>0</v>
      </c>
      <c r="BQ1353" s="4" t="n">
        <f aca="false">IF(R1353="-",1,0)</f>
        <v>0</v>
      </c>
    </row>
    <row r="1354" customFormat="false" ht="15" hidden="false" customHeight="false" outlineLevel="0" collapsed="false">
      <c r="A1354" s="0" t="s">
        <v>5195</v>
      </c>
      <c r="B1354" s="0" t="s">
        <v>5196</v>
      </c>
      <c r="C1354" s="0" t="s">
        <v>70</v>
      </c>
      <c r="E1354" s="3" t="n">
        <v>46277</v>
      </c>
      <c r="F1354" s="4" t="s">
        <v>95</v>
      </c>
      <c r="G1354" s="5" t="n">
        <v>0.263622685185185</v>
      </c>
      <c r="H1354" s="5" t="n">
        <v>0</v>
      </c>
      <c r="I1354" s="5" t="n">
        <v>0.00295138888888889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5" t="n">
        <v>0</v>
      </c>
      <c r="P1354" s="5" t="n">
        <v>0</v>
      </c>
      <c r="Q1354" s="4" t="s">
        <v>3498</v>
      </c>
      <c r="R1354" s="4" t="s">
        <v>454</v>
      </c>
      <c r="S1354" s="5" t="n">
        <v>0.000231481481481482</v>
      </c>
      <c r="T1354" s="5" t="n">
        <v>0.0594907407407407</v>
      </c>
      <c r="U1354" s="5" t="n">
        <v>0.0916666666666667</v>
      </c>
      <c r="V1354" s="5" t="n">
        <v>0.0109953703703704</v>
      </c>
      <c r="W1354" s="5" t="n">
        <v>0</v>
      </c>
      <c r="X1354" s="5" t="n">
        <v>0</v>
      </c>
      <c r="Y1354" s="5" t="n">
        <v>0</v>
      </c>
      <c r="Z1354" s="0" t="n">
        <v>0</v>
      </c>
      <c r="AA1354" s="0" t="n">
        <v>0</v>
      </c>
      <c r="AB1354" s="0" t="n">
        <v>0</v>
      </c>
      <c r="AC1354" s="4" t="s">
        <v>877</v>
      </c>
      <c r="AD1354" s="4" t="s">
        <v>228</v>
      </c>
      <c r="AE1354" s="4" t="s">
        <v>5198</v>
      </c>
      <c r="AF1354" s="4" t="s">
        <v>5198</v>
      </c>
      <c r="AG1354" s="5" t="n">
        <v>0.141493055555556</v>
      </c>
      <c r="AH1354" s="5" t="n">
        <v>0.107037037037037</v>
      </c>
      <c r="AI1354" s="5" t="n">
        <v>0</v>
      </c>
      <c r="AJ1354" s="5" t="n">
        <v>0</v>
      </c>
      <c r="AK1354" s="5" t="n">
        <v>0</v>
      </c>
      <c r="AL1354" s="5" t="n">
        <v>0</v>
      </c>
      <c r="AM1354" s="4" t="s">
        <v>78</v>
      </c>
      <c r="AN1354" s="0" t="n">
        <v>0</v>
      </c>
      <c r="AO1354" s="0" t="n">
        <v>0</v>
      </c>
      <c r="AP1354" s="0" t="n">
        <v>0</v>
      </c>
      <c r="AQ1354" s="0" t="n">
        <v>0</v>
      </c>
      <c r="AR1354" s="0" t="n">
        <v>0</v>
      </c>
      <c r="AS1354" s="0" t="n">
        <v>0</v>
      </c>
      <c r="AT1354" s="0" t="n">
        <v>0</v>
      </c>
      <c r="AU1354" s="0" t="n">
        <v>0</v>
      </c>
      <c r="AV1354" s="0" t="n">
        <v>0</v>
      </c>
      <c r="AW1354" s="0" t="n">
        <v>0</v>
      </c>
      <c r="AX1354" s="0" t="n">
        <v>0</v>
      </c>
      <c r="AY1354" s="0" t="n">
        <v>0</v>
      </c>
      <c r="AZ1354" s="0" t="n">
        <v>0</v>
      </c>
      <c r="BA1354" s="0" t="n">
        <v>0</v>
      </c>
      <c r="BB1354" s="0" t="n">
        <v>0</v>
      </c>
      <c r="BC1354" s="0" t="n">
        <v>0</v>
      </c>
      <c r="BD1354" s="0" t="n">
        <v>0</v>
      </c>
      <c r="BE1354" s="0" t="n">
        <v>0</v>
      </c>
      <c r="BF1354" s="0" t="n">
        <v>0</v>
      </c>
      <c r="BG1354" s="0" t="n">
        <v>0</v>
      </c>
      <c r="BH1354" s="0" t="n">
        <v>0</v>
      </c>
      <c r="BI1354" s="0" t="n">
        <v>0</v>
      </c>
      <c r="BJ1354" s="0" t="n">
        <v>0</v>
      </c>
      <c r="BK1354" s="0" t="n">
        <v>0</v>
      </c>
      <c r="BM1354" s="6" t="n">
        <f aca="false">IFERROR(VALUE(F1354),"")</f>
        <v>0</v>
      </c>
      <c r="BN1354" s="6" t="n">
        <f aca="false">IF(R1354="-","",IFERROR(VALUE(LEFT(Q1354,LEN(Q1354)-2)),""))</f>
        <v>57.5</v>
      </c>
      <c r="BO1354" s="6" t="n">
        <f aca="false">IF(R1354="-","",IFERROR(VALUE(LEFT(R1354,LEN(R1354)-5)),""))</f>
        <v>0</v>
      </c>
      <c r="BP1354" s="6" t="n">
        <f aca="false">IF(R1354="-","",IFERROR(VALUE(F1354),""))</f>
        <v>0</v>
      </c>
      <c r="BQ1354" s="4" t="n">
        <f aca="false">IF(R1354="-",1,0)</f>
        <v>0</v>
      </c>
    </row>
    <row r="1355" customFormat="false" ht="15" hidden="false" customHeight="false" outlineLevel="0" collapsed="false">
      <c r="A1355" s="0" t="s">
        <v>5195</v>
      </c>
      <c r="B1355" s="0" t="s">
        <v>5196</v>
      </c>
      <c r="C1355" s="0" t="s">
        <v>70</v>
      </c>
      <c r="E1355" s="3" t="n">
        <v>46278</v>
      </c>
      <c r="F1355" s="4" t="s">
        <v>95</v>
      </c>
      <c r="G1355" s="5" t="n">
        <v>0.551076388888889</v>
      </c>
      <c r="H1355" s="5" t="n">
        <v>0</v>
      </c>
      <c r="I1355" s="5" t="n">
        <v>0.000810185185185185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7</v>
      </c>
      <c r="O1355" s="5" t="n">
        <v>0</v>
      </c>
      <c r="P1355" s="5" t="n">
        <v>0.00831018518518518</v>
      </c>
      <c r="Q1355" s="4" t="s">
        <v>5202</v>
      </c>
      <c r="R1355" s="4" t="s">
        <v>454</v>
      </c>
      <c r="S1355" s="5" t="n">
        <v>0.000810185185185185</v>
      </c>
      <c r="T1355" s="5" t="n">
        <v>0.192361111111111</v>
      </c>
      <c r="U1355" s="5" t="n">
        <v>0.295023148148148</v>
      </c>
      <c r="V1355" s="5" t="n">
        <v>0.019212962962963</v>
      </c>
      <c r="W1355" s="5" t="n">
        <v>0.000115740740740741</v>
      </c>
      <c r="X1355" s="5" t="n">
        <v>0</v>
      </c>
      <c r="Y1355" s="5" t="n">
        <v>0</v>
      </c>
      <c r="Z1355" s="0" t="n">
        <v>0</v>
      </c>
      <c r="AA1355" s="0" t="n">
        <v>0</v>
      </c>
      <c r="AB1355" s="0" t="n">
        <v>0</v>
      </c>
      <c r="AC1355" s="4" t="s">
        <v>81</v>
      </c>
      <c r="AD1355" s="4" t="s">
        <v>432</v>
      </c>
      <c r="AE1355" s="4" t="s">
        <v>5198</v>
      </c>
      <c r="AF1355" s="4" t="s">
        <v>5198</v>
      </c>
      <c r="AG1355" s="5" t="n">
        <v>0.4446875</v>
      </c>
      <c r="AH1355" s="5" t="n">
        <v>0.171643518518519</v>
      </c>
      <c r="AI1355" s="5" t="n">
        <v>0</v>
      </c>
      <c r="AJ1355" s="5" t="n">
        <v>0</v>
      </c>
      <c r="AK1355" s="5" t="n">
        <v>0</v>
      </c>
      <c r="AL1355" s="5" t="n">
        <v>0</v>
      </c>
      <c r="AM1355" s="4" t="s">
        <v>78</v>
      </c>
      <c r="AN1355" s="0" t="n">
        <v>0</v>
      </c>
      <c r="AO1355" s="0" t="n">
        <v>0</v>
      </c>
      <c r="AP1355" s="0" t="n">
        <v>0</v>
      </c>
      <c r="AQ1355" s="0" t="n">
        <v>0</v>
      </c>
      <c r="AR1355" s="0" t="n">
        <v>0</v>
      </c>
      <c r="AS1355" s="0" t="n">
        <v>0</v>
      </c>
      <c r="AT1355" s="0" t="n">
        <v>0</v>
      </c>
      <c r="AU1355" s="0" t="n">
        <v>0</v>
      </c>
      <c r="AV1355" s="0" t="n">
        <v>0</v>
      </c>
      <c r="AW1355" s="0" t="n">
        <v>0</v>
      </c>
      <c r="AX1355" s="0" t="n">
        <v>0</v>
      </c>
      <c r="AY1355" s="0" t="n">
        <v>0</v>
      </c>
      <c r="AZ1355" s="0" t="n">
        <v>0</v>
      </c>
      <c r="BA1355" s="0" t="n">
        <v>0</v>
      </c>
      <c r="BB1355" s="0" t="n">
        <v>0</v>
      </c>
      <c r="BC1355" s="0" t="n">
        <v>0</v>
      </c>
      <c r="BD1355" s="0" t="n">
        <v>0</v>
      </c>
      <c r="BE1355" s="0" t="n">
        <v>0</v>
      </c>
      <c r="BF1355" s="0" t="n">
        <v>0</v>
      </c>
      <c r="BG1355" s="0" t="n">
        <v>0</v>
      </c>
      <c r="BH1355" s="0" t="n">
        <v>0</v>
      </c>
      <c r="BI1355" s="0" t="n">
        <v>0</v>
      </c>
      <c r="BJ1355" s="0" t="n">
        <v>0</v>
      </c>
      <c r="BK1355" s="0" t="n">
        <v>0</v>
      </c>
      <c r="BM1355" s="6" t="n">
        <f aca="false">IFERROR(VALUE(F1355),"")</f>
        <v>0</v>
      </c>
      <c r="BN1355" s="6" t="n">
        <f aca="false">IF(R1355="-","",IFERROR(VALUE(LEFT(Q1355,LEN(Q1355)-2)),""))</f>
        <v>180.5</v>
      </c>
      <c r="BO1355" s="6" t="n">
        <f aca="false">IF(R1355="-","",IFERROR(VALUE(LEFT(R1355,LEN(R1355)-5)),""))</f>
        <v>0</v>
      </c>
      <c r="BP1355" s="6" t="n">
        <f aca="false">IF(R1355="-","",IFERROR(VALUE(F1355),""))</f>
        <v>0</v>
      </c>
      <c r="BQ1355" s="4" t="n">
        <f aca="false">IF(R1355="-",1,0)</f>
        <v>0</v>
      </c>
    </row>
    <row r="1356" customFormat="false" ht="15" hidden="false" customHeight="false" outlineLevel="0" collapsed="false">
      <c r="A1356" s="0" t="s">
        <v>5195</v>
      </c>
      <c r="B1356" s="0" t="s">
        <v>5196</v>
      </c>
      <c r="C1356" s="0" t="s">
        <v>70</v>
      </c>
      <c r="E1356" s="3" t="n">
        <v>46279</v>
      </c>
      <c r="F1356" s="4" t="s">
        <v>95</v>
      </c>
      <c r="G1356" s="5" t="n">
        <v>0.754074074074074</v>
      </c>
      <c r="H1356" s="5" t="n">
        <v>0</v>
      </c>
      <c r="I1356" s="5" t="n">
        <v>0.00325231481481482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13</v>
      </c>
      <c r="O1356" s="5" t="n">
        <v>0</v>
      </c>
      <c r="P1356" s="5" t="n">
        <v>0</v>
      </c>
      <c r="Q1356" s="4" t="s">
        <v>5203</v>
      </c>
      <c r="R1356" s="4" t="s">
        <v>454</v>
      </c>
      <c r="S1356" s="5" t="n">
        <v>0.000231481481481482</v>
      </c>
      <c r="T1356" s="5" t="n">
        <v>0.140162037037037</v>
      </c>
      <c r="U1356" s="5" t="n">
        <v>0.342824074074074</v>
      </c>
      <c r="V1356" s="5" t="n">
        <v>0.0421296296296296</v>
      </c>
      <c r="W1356" s="5" t="n">
        <v>0</v>
      </c>
      <c r="X1356" s="5" t="n">
        <v>0</v>
      </c>
      <c r="Y1356" s="5" t="n">
        <v>0</v>
      </c>
      <c r="Z1356" s="0" t="n">
        <v>0</v>
      </c>
      <c r="AA1356" s="0" t="n">
        <v>0</v>
      </c>
      <c r="AB1356" s="0" t="n">
        <v>0</v>
      </c>
      <c r="AC1356" s="4" t="s">
        <v>432</v>
      </c>
      <c r="AD1356" s="4" t="s">
        <v>3430</v>
      </c>
      <c r="AE1356" s="4" t="s">
        <v>5198</v>
      </c>
      <c r="AF1356" s="4" t="s">
        <v>5198</v>
      </c>
      <c r="AG1356" s="5" t="n">
        <v>0.482326388888889</v>
      </c>
      <c r="AH1356" s="5" t="n">
        <v>0.129548611111111</v>
      </c>
      <c r="AI1356" s="5" t="n">
        <v>0</v>
      </c>
      <c r="AJ1356" s="5" t="n">
        <v>0</v>
      </c>
      <c r="AK1356" s="5" t="n">
        <v>0</v>
      </c>
      <c r="AL1356" s="5" t="n">
        <v>0</v>
      </c>
      <c r="AM1356" s="4" t="s">
        <v>78</v>
      </c>
      <c r="AN1356" s="0" t="n">
        <v>0</v>
      </c>
      <c r="AO1356" s="0" t="n">
        <v>0</v>
      </c>
      <c r="AP1356" s="0" t="n">
        <v>0</v>
      </c>
      <c r="AQ1356" s="0" t="n">
        <v>0</v>
      </c>
      <c r="AR1356" s="0" t="n">
        <v>0</v>
      </c>
      <c r="AS1356" s="0" t="n">
        <v>0</v>
      </c>
      <c r="AT1356" s="0" t="n">
        <v>0</v>
      </c>
      <c r="AU1356" s="0" t="n">
        <v>0</v>
      </c>
      <c r="AV1356" s="0" t="n">
        <v>0</v>
      </c>
      <c r="AW1356" s="0" t="n">
        <v>0</v>
      </c>
      <c r="AX1356" s="0" t="n">
        <v>0</v>
      </c>
      <c r="AY1356" s="0" t="n">
        <v>0</v>
      </c>
      <c r="AZ1356" s="0" t="n">
        <v>0</v>
      </c>
      <c r="BA1356" s="0" t="n">
        <v>0</v>
      </c>
      <c r="BB1356" s="0" t="n">
        <v>0</v>
      </c>
      <c r="BC1356" s="0" t="n">
        <v>0</v>
      </c>
      <c r="BD1356" s="0" t="n">
        <v>0</v>
      </c>
      <c r="BE1356" s="0" t="n">
        <v>0</v>
      </c>
      <c r="BF1356" s="0" t="n">
        <v>0</v>
      </c>
      <c r="BG1356" s="0" t="n">
        <v>0</v>
      </c>
      <c r="BH1356" s="0" t="n">
        <v>0</v>
      </c>
      <c r="BI1356" s="0" t="n">
        <v>0</v>
      </c>
      <c r="BJ1356" s="0" t="n">
        <v>0</v>
      </c>
      <c r="BK1356" s="0" t="n">
        <v>0</v>
      </c>
      <c r="BM1356" s="6" t="n">
        <f aca="false">IFERROR(VALUE(F1356),"")</f>
        <v>0</v>
      </c>
      <c r="BN1356" s="6" t="n">
        <f aca="false">IF(R1356="-","",IFERROR(VALUE(LEFT(Q1356,LEN(Q1356)-2)),""))</f>
        <v>226.51</v>
      </c>
      <c r="BO1356" s="6" t="n">
        <f aca="false">IF(R1356="-","",IFERROR(VALUE(LEFT(R1356,LEN(R1356)-5)),""))</f>
        <v>0</v>
      </c>
      <c r="BP1356" s="6" t="n">
        <f aca="false">IF(R1356="-","",IFERROR(VALUE(F1356),""))</f>
        <v>0</v>
      </c>
      <c r="BQ1356" s="4" t="n">
        <f aca="false">IF(R1356="-",1,0)</f>
        <v>0</v>
      </c>
    </row>
    <row r="1357" customFormat="false" ht="15" hidden="false" customHeight="false" outlineLevel="0" collapsed="false">
      <c r="A1357" s="0" t="s">
        <v>5204</v>
      </c>
      <c r="B1357" s="0" t="s">
        <v>5205</v>
      </c>
      <c r="C1357" s="0" t="s">
        <v>70</v>
      </c>
      <c r="D1357" s="0" t="s">
        <v>230</v>
      </c>
      <c r="E1357" s="3" t="n">
        <v>46273</v>
      </c>
      <c r="F1357" s="4" t="s">
        <v>5206</v>
      </c>
      <c r="G1357" s="5" t="n">
        <v>0.407118055555556</v>
      </c>
      <c r="H1357" s="5" t="n">
        <v>0.378333333333333</v>
      </c>
      <c r="I1357" s="5" t="n">
        <v>0.000393518518518519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5" t="n">
        <v>0</v>
      </c>
      <c r="P1357" s="5" t="n">
        <v>0</v>
      </c>
      <c r="Q1357" s="4" t="s">
        <v>73</v>
      </c>
      <c r="R1357" s="4" t="s">
        <v>73</v>
      </c>
      <c r="S1357" s="5" t="n">
        <v>0</v>
      </c>
      <c r="T1357" s="5" t="n">
        <v>0</v>
      </c>
      <c r="U1357" s="5" t="n">
        <v>0</v>
      </c>
      <c r="V1357" s="5" t="n">
        <v>0</v>
      </c>
      <c r="W1357" s="5" t="n">
        <v>0</v>
      </c>
      <c r="X1357" s="5" t="n">
        <v>0</v>
      </c>
      <c r="Y1357" s="5" t="n">
        <v>0</v>
      </c>
      <c r="Z1357" s="0" t="n">
        <v>0</v>
      </c>
      <c r="AA1357" s="0" t="n">
        <v>0</v>
      </c>
      <c r="AB1357" s="0" t="n">
        <v>0</v>
      </c>
      <c r="AC1357" s="4" t="s">
        <v>74</v>
      </c>
      <c r="AD1357" s="4" t="s">
        <v>74</v>
      </c>
      <c r="AE1357" s="4" t="s">
        <v>5207</v>
      </c>
      <c r="AF1357" s="4" t="s">
        <v>5208</v>
      </c>
      <c r="AG1357" s="5" t="n">
        <v>0.30724537037037</v>
      </c>
      <c r="AH1357" s="5" t="n">
        <v>0.159722222222222</v>
      </c>
      <c r="AI1357" s="5" t="n">
        <v>0</v>
      </c>
      <c r="AJ1357" s="5" t="n">
        <v>0</v>
      </c>
      <c r="AK1357" s="5" t="n">
        <v>0</v>
      </c>
      <c r="AL1357" s="5" t="n">
        <v>0</v>
      </c>
      <c r="AM1357" s="4" t="s">
        <v>78</v>
      </c>
      <c r="AN1357" s="0" t="n">
        <v>0</v>
      </c>
      <c r="AO1357" s="0" t="n">
        <v>0</v>
      </c>
      <c r="AP1357" s="0" t="n">
        <v>0</v>
      </c>
      <c r="AQ1357" s="0" t="n">
        <v>0</v>
      </c>
      <c r="AR1357" s="0" t="n">
        <v>0</v>
      </c>
      <c r="AS1357" s="0" t="n">
        <v>0</v>
      </c>
      <c r="AT1357" s="0" t="n">
        <v>0</v>
      </c>
      <c r="AU1357" s="0" t="n">
        <v>5</v>
      </c>
      <c r="AV1357" s="0" t="n">
        <v>0</v>
      </c>
      <c r="AW1357" s="0" t="n">
        <v>0</v>
      </c>
      <c r="AX1357" s="0" t="n">
        <v>0</v>
      </c>
      <c r="AY1357" s="0" t="n">
        <v>0</v>
      </c>
      <c r="AZ1357" s="0" t="n">
        <v>0</v>
      </c>
      <c r="BA1357" s="0" t="n">
        <v>0</v>
      </c>
      <c r="BB1357" s="0" t="n">
        <v>0</v>
      </c>
      <c r="BC1357" s="0" t="n">
        <v>0</v>
      </c>
      <c r="BD1357" s="0" t="n">
        <v>0</v>
      </c>
      <c r="BE1357" s="0" t="n">
        <v>0</v>
      </c>
      <c r="BF1357" s="0" t="n">
        <v>0</v>
      </c>
      <c r="BG1357" s="0" t="n">
        <v>0</v>
      </c>
      <c r="BH1357" s="0" t="n">
        <v>0</v>
      </c>
      <c r="BI1357" s="0" t="n">
        <v>0</v>
      </c>
      <c r="BJ1357" s="0" t="n">
        <v>0</v>
      </c>
      <c r="BK1357" s="0" t="n">
        <v>0</v>
      </c>
      <c r="BM1357" s="6" t="n">
        <f aca="false">IFERROR(VALUE(F1357),"")</f>
        <v>180.74</v>
      </c>
      <c r="BN1357" s="6" t="str">
        <f aca="false">IF(R1357="-","",IFERROR(VALUE(LEFT(Q1357,LEN(Q1357)-2)),""))</f>
        <v/>
      </c>
      <c r="BO1357" s="6" t="str">
        <f aca="false">IF(R1357="-","",IFERROR(VALUE(LEFT(R1357,LEN(R1357)-5)),""))</f>
        <v/>
      </c>
      <c r="BP1357" s="6" t="str">
        <f aca="false">IF(R1357="-","",IFERROR(VALUE(F1357),""))</f>
        <v/>
      </c>
      <c r="BQ1357" s="4" t="n">
        <f aca="false">IF(R1357="-",1,0)</f>
        <v>1</v>
      </c>
    </row>
    <row r="1358" customFormat="false" ht="15" hidden="false" customHeight="false" outlineLevel="0" collapsed="false">
      <c r="A1358" s="0" t="s">
        <v>5204</v>
      </c>
      <c r="B1358" s="0" t="s">
        <v>5205</v>
      </c>
      <c r="C1358" s="0" t="s">
        <v>70</v>
      </c>
      <c r="D1358" s="0" t="s">
        <v>230</v>
      </c>
      <c r="E1358" s="3" t="n">
        <v>46274</v>
      </c>
      <c r="F1358" s="4" t="s">
        <v>5209</v>
      </c>
      <c r="G1358" s="5" t="n">
        <v>0.366655092592593</v>
      </c>
      <c r="H1358" s="5" t="n">
        <v>0.358703703703704</v>
      </c>
      <c r="I1358" s="5" t="n">
        <v>0.000208333333333333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5" t="n">
        <v>0</v>
      </c>
      <c r="P1358" s="5" t="n">
        <v>0</v>
      </c>
      <c r="Q1358" s="4" t="s">
        <v>73</v>
      </c>
      <c r="R1358" s="4" t="s">
        <v>73</v>
      </c>
      <c r="S1358" s="5" t="n">
        <v>0</v>
      </c>
      <c r="T1358" s="5" t="n">
        <v>0</v>
      </c>
      <c r="U1358" s="5" t="n">
        <v>0</v>
      </c>
      <c r="V1358" s="5" t="n">
        <v>0</v>
      </c>
      <c r="W1358" s="5" t="n">
        <v>0</v>
      </c>
      <c r="X1358" s="5" t="n">
        <v>0</v>
      </c>
      <c r="Y1358" s="5" t="n">
        <v>0</v>
      </c>
      <c r="Z1358" s="0" t="n">
        <v>0</v>
      </c>
      <c r="AA1358" s="0" t="n">
        <v>0</v>
      </c>
      <c r="AB1358" s="0" t="n">
        <v>0</v>
      </c>
      <c r="AC1358" s="4" t="s">
        <v>74</v>
      </c>
      <c r="AD1358" s="4" t="s">
        <v>74</v>
      </c>
      <c r="AE1358" s="4" t="s">
        <v>5208</v>
      </c>
      <c r="AF1358" s="4" t="s">
        <v>5210</v>
      </c>
      <c r="AG1358" s="5" t="n">
        <v>0.303819444444444</v>
      </c>
      <c r="AH1358" s="5" t="n">
        <v>0.152002314814815</v>
      </c>
      <c r="AI1358" s="5" t="n">
        <v>0</v>
      </c>
      <c r="AJ1358" s="5" t="n">
        <v>0</v>
      </c>
      <c r="AK1358" s="5" t="n">
        <v>0</v>
      </c>
      <c r="AL1358" s="5" t="n">
        <v>0</v>
      </c>
      <c r="AM1358" s="4" t="s">
        <v>78</v>
      </c>
      <c r="AN1358" s="0" t="n">
        <v>0</v>
      </c>
      <c r="AO1358" s="0" t="n">
        <v>0</v>
      </c>
      <c r="AP1358" s="0" t="n">
        <v>0</v>
      </c>
      <c r="AQ1358" s="0" t="n">
        <v>0</v>
      </c>
      <c r="AR1358" s="0" t="n">
        <v>0</v>
      </c>
      <c r="AS1358" s="0" t="n">
        <v>0</v>
      </c>
      <c r="AT1358" s="0" t="n">
        <v>0</v>
      </c>
      <c r="AU1358" s="0" t="n">
        <v>2</v>
      </c>
      <c r="AV1358" s="0" t="n">
        <v>0</v>
      </c>
      <c r="AW1358" s="0" t="n">
        <v>0</v>
      </c>
      <c r="AX1358" s="0" t="n">
        <v>0</v>
      </c>
      <c r="AY1358" s="0" t="n">
        <v>0</v>
      </c>
      <c r="AZ1358" s="0" t="n">
        <v>0</v>
      </c>
      <c r="BA1358" s="0" t="n">
        <v>0</v>
      </c>
      <c r="BB1358" s="0" t="n">
        <v>0</v>
      </c>
      <c r="BC1358" s="0" t="n">
        <v>0</v>
      </c>
      <c r="BD1358" s="0" t="n">
        <v>0</v>
      </c>
      <c r="BE1358" s="0" t="n">
        <v>0</v>
      </c>
      <c r="BF1358" s="0" t="n">
        <v>0</v>
      </c>
      <c r="BG1358" s="0" t="n">
        <v>0</v>
      </c>
      <c r="BH1358" s="0" t="n">
        <v>0</v>
      </c>
      <c r="BI1358" s="0" t="n">
        <v>0</v>
      </c>
      <c r="BJ1358" s="0" t="n">
        <v>0</v>
      </c>
      <c r="BK1358" s="0" t="n">
        <v>0</v>
      </c>
      <c r="BM1358" s="6" t="n">
        <f aca="false">IFERROR(VALUE(F1358),"")</f>
        <v>180.88</v>
      </c>
      <c r="BN1358" s="6" t="str">
        <f aca="false">IF(R1358="-","",IFERROR(VALUE(LEFT(Q1358,LEN(Q1358)-2)),""))</f>
        <v/>
      </c>
      <c r="BO1358" s="6" t="str">
        <f aca="false">IF(R1358="-","",IFERROR(VALUE(LEFT(R1358,LEN(R1358)-5)),""))</f>
        <v/>
      </c>
      <c r="BP1358" s="6" t="str">
        <f aca="false">IF(R1358="-","",IFERROR(VALUE(F1358),""))</f>
        <v/>
      </c>
      <c r="BQ1358" s="4" t="n">
        <f aca="false">IF(R1358="-",1,0)</f>
        <v>1</v>
      </c>
    </row>
    <row r="1359" customFormat="false" ht="15" hidden="false" customHeight="false" outlineLevel="0" collapsed="false">
      <c r="A1359" s="0" t="s">
        <v>5204</v>
      </c>
      <c r="B1359" s="0" t="s">
        <v>5205</v>
      </c>
      <c r="C1359" s="0" t="s">
        <v>70</v>
      </c>
      <c r="D1359" s="0" t="s">
        <v>5211</v>
      </c>
      <c r="E1359" s="3" t="n">
        <v>46275</v>
      </c>
      <c r="F1359" s="4" t="s">
        <v>5212</v>
      </c>
      <c r="G1359" s="5" t="n">
        <v>0.1975</v>
      </c>
      <c r="H1359" s="5" t="n">
        <v>0.170219907407407</v>
      </c>
      <c r="I1359" s="5" t="n">
        <v>8.10185185185185E-005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5" t="n">
        <v>0</v>
      </c>
      <c r="P1359" s="5" t="n">
        <v>0</v>
      </c>
      <c r="Q1359" s="4" t="s">
        <v>73</v>
      </c>
      <c r="R1359" s="4" t="s">
        <v>73</v>
      </c>
      <c r="S1359" s="5" t="n">
        <v>0</v>
      </c>
      <c r="T1359" s="5" t="n">
        <v>0</v>
      </c>
      <c r="U1359" s="5" t="n">
        <v>0</v>
      </c>
      <c r="V1359" s="5" t="n">
        <v>0</v>
      </c>
      <c r="W1359" s="5" t="n">
        <v>0</v>
      </c>
      <c r="X1359" s="5" t="n">
        <v>0</v>
      </c>
      <c r="Y1359" s="5" t="n">
        <v>0</v>
      </c>
      <c r="Z1359" s="0" t="n">
        <v>0</v>
      </c>
      <c r="AA1359" s="0" t="n">
        <v>0</v>
      </c>
      <c r="AB1359" s="0" t="n">
        <v>0</v>
      </c>
      <c r="AC1359" s="4" t="s">
        <v>75</v>
      </c>
      <c r="AD1359" s="4" t="s">
        <v>74</v>
      </c>
      <c r="AE1359" s="4" t="s">
        <v>5210</v>
      </c>
      <c r="AF1359" s="4" t="s">
        <v>5213</v>
      </c>
      <c r="AG1359" s="5" t="n">
        <v>0.149594907407407</v>
      </c>
      <c r="AH1359" s="5" t="n">
        <v>0.153148148148148</v>
      </c>
      <c r="AI1359" s="5" t="n">
        <v>0</v>
      </c>
      <c r="AJ1359" s="5" t="n">
        <v>0</v>
      </c>
      <c r="AK1359" s="5" t="n">
        <v>0</v>
      </c>
      <c r="AL1359" s="5" t="n">
        <v>0</v>
      </c>
      <c r="AM1359" s="4" t="s">
        <v>78</v>
      </c>
      <c r="AN1359" s="0" t="n">
        <v>0</v>
      </c>
      <c r="AO1359" s="0" t="n">
        <v>0</v>
      </c>
      <c r="AP1359" s="0" t="n">
        <v>0</v>
      </c>
      <c r="AQ1359" s="0" t="n">
        <v>0</v>
      </c>
      <c r="AR1359" s="0" t="n">
        <v>0</v>
      </c>
      <c r="AS1359" s="0" t="n">
        <v>0</v>
      </c>
      <c r="AT1359" s="0" t="n">
        <v>0</v>
      </c>
      <c r="AU1359" s="0" t="n">
        <v>3</v>
      </c>
      <c r="AV1359" s="0" t="n">
        <v>0</v>
      </c>
      <c r="AW1359" s="0" t="n">
        <v>0</v>
      </c>
      <c r="AX1359" s="0" t="n">
        <v>0</v>
      </c>
      <c r="AY1359" s="0" t="n">
        <v>0</v>
      </c>
      <c r="AZ1359" s="0" t="n">
        <v>0</v>
      </c>
      <c r="BA1359" s="0" t="n">
        <v>0</v>
      </c>
      <c r="BB1359" s="0" t="n">
        <v>0</v>
      </c>
      <c r="BC1359" s="0" t="n">
        <v>0</v>
      </c>
      <c r="BD1359" s="0" t="n">
        <v>0</v>
      </c>
      <c r="BE1359" s="0" t="n">
        <v>0</v>
      </c>
      <c r="BF1359" s="0" t="n">
        <v>0</v>
      </c>
      <c r="BG1359" s="0" t="n">
        <v>0</v>
      </c>
      <c r="BH1359" s="0" t="n">
        <v>0</v>
      </c>
      <c r="BI1359" s="0" t="n">
        <v>0</v>
      </c>
      <c r="BJ1359" s="0" t="n">
        <v>0</v>
      </c>
      <c r="BK1359" s="0" t="n">
        <v>0</v>
      </c>
      <c r="BM1359" s="6" t="n">
        <f aca="false">IFERROR(VALUE(F1359),"")</f>
        <v>90.07</v>
      </c>
      <c r="BN1359" s="6" t="str">
        <f aca="false">IF(R1359="-","",IFERROR(VALUE(LEFT(Q1359,LEN(Q1359)-2)),""))</f>
        <v/>
      </c>
      <c r="BO1359" s="6" t="str">
        <f aca="false">IF(R1359="-","",IFERROR(VALUE(LEFT(R1359,LEN(R1359)-5)),""))</f>
        <v/>
      </c>
      <c r="BP1359" s="6" t="str">
        <f aca="false">IF(R1359="-","",IFERROR(VALUE(F1359),""))</f>
        <v/>
      </c>
      <c r="BQ1359" s="4" t="n">
        <f aca="false">IF(R1359="-",1,0)</f>
        <v>1</v>
      </c>
    </row>
    <row r="1360" customFormat="false" ht="15" hidden="false" customHeight="false" outlineLevel="0" collapsed="false">
      <c r="A1360" s="0" t="s">
        <v>5204</v>
      </c>
      <c r="B1360" s="0" t="s">
        <v>5205</v>
      </c>
      <c r="C1360" s="0" t="s">
        <v>70</v>
      </c>
      <c r="D1360" s="0" t="s">
        <v>5214</v>
      </c>
      <c r="E1360" s="3" t="n">
        <v>46276</v>
      </c>
      <c r="F1360" s="4" t="s">
        <v>5215</v>
      </c>
      <c r="G1360" s="5" t="n">
        <v>0.415416666666667</v>
      </c>
      <c r="H1360" s="5" t="n">
        <v>0.409548611111111</v>
      </c>
      <c r="I1360" s="5" t="n">
        <v>0.000266203703703704</v>
      </c>
      <c r="J1360" s="0" t="n">
        <v>0</v>
      </c>
      <c r="K1360" s="0" t="n">
        <v>1</v>
      </c>
      <c r="L1360" s="0" t="n">
        <v>0</v>
      </c>
      <c r="M1360" s="0" t="n">
        <v>0</v>
      </c>
      <c r="N1360" s="0" t="n">
        <v>1</v>
      </c>
      <c r="O1360" s="5" t="n">
        <v>0</v>
      </c>
      <c r="P1360" s="5" t="n">
        <v>0</v>
      </c>
      <c r="Q1360" s="4" t="s">
        <v>73</v>
      </c>
      <c r="R1360" s="4" t="s">
        <v>73</v>
      </c>
      <c r="S1360" s="5" t="n">
        <v>0</v>
      </c>
      <c r="T1360" s="5" t="n">
        <v>0</v>
      </c>
      <c r="U1360" s="5" t="n">
        <v>0</v>
      </c>
      <c r="V1360" s="5" t="n">
        <v>0</v>
      </c>
      <c r="W1360" s="5" t="n">
        <v>0</v>
      </c>
      <c r="X1360" s="5" t="n">
        <v>0</v>
      </c>
      <c r="Y1360" s="5" t="n">
        <v>0</v>
      </c>
      <c r="Z1360" s="0" t="n">
        <v>0</v>
      </c>
      <c r="AA1360" s="0" t="n">
        <v>0</v>
      </c>
      <c r="AB1360" s="0" t="n">
        <v>0</v>
      </c>
      <c r="AC1360" s="4" t="s">
        <v>74</v>
      </c>
      <c r="AD1360" s="4" t="s">
        <v>74</v>
      </c>
      <c r="AE1360" s="4" t="s">
        <v>5213</v>
      </c>
      <c r="AF1360" s="4" t="s">
        <v>5216</v>
      </c>
      <c r="AG1360" s="5" t="n">
        <v>0.339548611111111</v>
      </c>
      <c r="AH1360" s="5" t="n">
        <v>0.135127314814815</v>
      </c>
      <c r="AI1360" s="5" t="n">
        <v>0</v>
      </c>
      <c r="AJ1360" s="5" t="n">
        <v>0</v>
      </c>
      <c r="AK1360" s="5" t="n">
        <v>0</v>
      </c>
      <c r="AL1360" s="5" t="n">
        <v>0</v>
      </c>
      <c r="AM1360" s="4" t="s">
        <v>78</v>
      </c>
      <c r="AN1360" s="0" t="n">
        <v>0</v>
      </c>
      <c r="AO1360" s="0" t="n">
        <v>1</v>
      </c>
      <c r="AP1360" s="0" t="n">
        <v>0</v>
      </c>
      <c r="AQ1360" s="0" t="n">
        <v>0</v>
      </c>
      <c r="AR1360" s="0" t="n">
        <v>0</v>
      </c>
      <c r="AS1360" s="0" t="n">
        <v>0</v>
      </c>
      <c r="AT1360" s="0" t="n">
        <v>0</v>
      </c>
      <c r="AU1360" s="0" t="n">
        <v>10</v>
      </c>
      <c r="AV1360" s="0" t="n">
        <v>0</v>
      </c>
      <c r="AW1360" s="0" t="n">
        <v>0</v>
      </c>
      <c r="AX1360" s="0" t="n">
        <v>0</v>
      </c>
      <c r="AY1360" s="0" t="n">
        <v>0</v>
      </c>
      <c r="AZ1360" s="0" t="n">
        <v>0</v>
      </c>
      <c r="BA1360" s="0" t="n">
        <v>0</v>
      </c>
      <c r="BB1360" s="0" t="n">
        <v>0</v>
      </c>
      <c r="BC1360" s="0" t="n">
        <v>0</v>
      </c>
      <c r="BD1360" s="0" t="n">
        <v>0</v>
      </c>
      <c r="BE1360" s="0" t="n">
        <v>0</v>
      </c>
      <c r="BF1360" s="0" t="n">
        <v>0</v>
      </c>
      <c r="BG1360" s="0" t="n">
        <v>0</v>
      </c>
      <c r="BH1360" s="0" t="n">
        <v>0</v>
      </c>
      <c r="BI1360" s="0" t="n">
        <v>0</v>
      </c>
      <c r="BJ1360" s="0" t="n">
        <v>0</v>
      </c>
      <c r="BK1360" s="0" t="n">
        <v>0</v>
      </c>
      <c r="BM1360" s="6" t="n">
        <f aca="false">IFERROR(VALUE(F1360),"")</f>
        <v>200.44</v>
      </c>
      <c r="BN1360" s="6" t="str">
        <f aca="false">IF(R1360="-","",IFERROR(VALUE(LEFT(Q1360,LEN(Q1360)-2)),""))</f>
        <v/>
      </c>
      <c r="BO1360" s="6" t="str">
        <f aca="false">IF(R1360="-","",IFERROR(VALUE(LEFT(R1360,LEN(R1360)-5)),""))</f>
        <v/>
      </c>
      <c r="BP1360" s="6" t="str">
        <f aca="false">IF(R1360="-","",IFERROR(VALUE(F1360),""))</f>
        <v/>
      </c>
      <c r="BQ1360" s="4" t="n">
        <f aca="false">IF(R1360="-",1,0)</f>
        <v>1</v>
      </c>
    </row>
    <row r="1361" customFormat="false" ht="15" hidden="false" customHeight="false" outlineLevel="0" collapsed="false">
      <c r="A1361" s="0" t="s">
        <v>5204</v>
      </c>
      <c r="B1361" s="0" t="s">
        <v>5205</v>
      </c>
      <c r="C1361" s="0" t="s">
        <v>70</v>
      </c>
      <c r="D1361" s="0" t="s">
        <v>5217</v>
      </c>
      <c r="E1361" s="3" t="n">
        <v>46279</v>
      </c>
      <c r="F1361" s="4" t="s">
        <v>5218</v>
      </c>
      <c r="G1361" s="5" t="n">
        <v>0.451597222222222</v>
      </c>
      <c r="H1361" s="5" t="n">
        <v>0.309953703703704</v>
      </c>
      <c r="I1361" s="5" t="n">
        <v>0.00116898148148148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2</v>
      </c>
      <c r="O1361" s="5" t="n">
        <v>0</v>
      </c>
      <c r="P1361" s="5" t="n">
        <v>0</v>
      </c>
      <c r="Q1361" s="4" t="s">
        <v>73</v>
      </c>
      <c r="R1361" s="4" t="s">
        <v>73</v>
      </c>
      <c r="S1361" s="5" t="n">
        <v>0</v>
      </c>
      <c r="T1361" s="5" t="n">
        <v>0</v>
      </c>
      <c r="U1361" s="5" t="n">
        <v>0</v>
      </c>
      <c r="V1361" s="5" t="n">
        <v>0</v>
      </c>
      <c r="W1361" s="5" t="n">
        <v>0</v>
      </c>
      <c r="X1361" s="5" t="n">
        <v>0</v>
      </c>
      <c r="Y1361" s="5" t="n">
        <v>0</v>
      </c>
      <c r="Z1361" s="0" t="n">
        <v>0</v>
      </c>
      <c r="AA1361" s="0" t="n">
        <v>0</v>
      </c>
      <c r="AB1361" s="0" t="n">
        <v>0</v>
      </c>
      <c r="AC1361" s="4" t="s">
        <v>75</v>
      </c>
      <c r="AD1361" s="4" t="s">
        <v>75</v>
      </c>
      <c r="AE1361" s="4" t="s">
        <v>5216</v>
      </c>
      <c r="AF1361" s="4" t="s">
        <v>5219</v>
      </c>
      <c r="AG1361" s="5" t="n">
        <v>0.350162037037037</v>
      </c>
      <c r="AH1361" s="5" t="n">
        <v>0.193576388888889</v>
      </c>
      <c r="AI1361" s="5" t="n">
        <v>0</v>
      </c>
      <c r="AJ1361" s="5" t="n">
        <v>0</v>
      </c>
      <c r="AK1361" s="5" t="n">
        <v>0</v>
      </c>
      <c r="AL1361" s="5" t="n">
        <v>0</v>
      </c>
      <c r="AM1361" s="4" t="s">
        <v>78</v>
      </c>
      <c r="AN1361" s="0" t="n">
        <v>0</v>
      </c>
      <c r="AO1361" s="0" t="n">
        <v>5</v>
      </c>
      <c r="AP1361" s="0" t="n">
        <v>0</v>
      </c>
      <c r="AQ1361" s="0" t="n">
        <v>0</v>
      </c>
      <c r="AR1361" s="0" t="n">
        <v>0</v>
      </c>
      <c r="AS1361" s="0" t="n">
        <v>0</v>
      </c>
      <c r="AT1361" s="0" t="n">
        <v>0</v>
      </c>
      <c r="AU1361" s="0" t="n">
        <v>7</v>
      </c>
      <c r="AV1361" s="0" t="n">
        <v>0</v>
      </c>
      <c r="AW1361" s="0" t="n">
        <v>0</v>
      </c>
      <c r="AX1361" s="0" t="n">
        <v>0</v>
      </c>
      <c r="AY1361" s="0" t="n">
        <v>0</v>
      </c>
      <c r="AZ1361" s="0" t="n">
        <v>0</v>
      </c>
      <c r="BA1361" s="0" t="n">
        <v>0</v>
      </c>
      <c r="BB1361" s="0" t="n">
        <v>0</v>
      </c>
      <c r="BC1361" s="0" t="n">
        <v>0</v>
      </c>
      <c r="BD1361" s="0" t="n">
        <v>0</v>
      </c>
      <c r="BE1361" s="0" t="n">
        <v>0</v>
      </c>
      <c r="BF1361" s="0" t="n">
        <v>0</v>
      </c>
      <c r="BG1361" s="0" t="n">
        <v>0</v>
      </c>
      <c r="BH1361" s="0" t="n">
        <v>0</v>
      </c>
      <c r="BI1361" s="0" t="n">
        <v>0</v>
      </c>
      <c r="BJ1361" s="0" t="n">
        <v>0</v>
      </c>
      <c r="BK1361" s="0" t="n">
        <v>0</v>
      </c>
      <c r="BM1361" s="6" t="n">
        <f aca="false">IFERROR(VALUE(F1361),"")</f>
        <v>210.03</v>
      </c>
      <c r="BN1361" s="6" t="str">
        <f aca="false">IF(R1361="-","",IFERROR(VALUE(LEFT(Q1361,LEN(Q1361)-2)),""))</f>
        <v/>
      </c>
      <c r="BO1361" s="6" t="str">
        <f aca="false">IF(R1361="-","",IFERROR(VALUE(LEFT(R1361,LEN(R1361)-5)),""))</f>
        <v/>
      </c>
      <c r="BP1361" s="6" t="str">
        <f aca="false">IF(R1361="-","",IFERROR(VALUE(F1361),""))</f>
        <v/>
      </c>
      <c r="BQ1361" s="4" t="n">
        <f aca="false">IF(R1361="-",1,0)</f>
        <v>1</v>
      </c>
    </row>
    <row r="1362" customFormat="false" ht="15" hidden="false" customHeight="false" outlineLevel="0" collapsed="false">
      <c r="A1362" s="0" t="s">
        <v>5220</v>
      </c>
      <c r="B1362" s="0" t="s">
        <v>5221</v>
      </c>
      <c r="C1362" s="0" t="s">
        <v>70</v>
      </c>
      <c r="D1362" s="0" t="s">
        <v>4576</v>
      </c>
      <c r="E1362" s="3" t="n">
        <v>46273</v>
      </c>
      <c r="F1362" s="4" t="s">
        <v>5222</v>
      </c>
      <c r="G1362" s="5" t="n">
        <v>0.147696759259259</v>
      </c>
      <c r="H1362" s="5" t="n">
        <v>0.142337962962963</v>
      </c>
      <c r="I1362" s="5" t="n">
        <v>0.000173611111111111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1</v>
      </c>
      <c r="O1362" s="5" t="n">
        <v>0</v>
      </c>
      <c r="P1362" s="5" t="n">
        <v>0</v>
      </c>
      <c r="Q1362" s="4" t="s">
        <v>73</v>
      </c>
      <c r="R1362" s="4" t="s">
        <v>73</v>
      </c>
      <c r="S1362" s="5" t="n">
        <v>0</v>
      </c>
      <c r="T1362" s="5" t="n">
        <v>0</v>
      </c>
      <c r="U1362" s="5" t="n">
        <v>0</v>
      </c>
      <c r="V1362" s="5" t="n">
        <v>0</v>
      </c>
      <c r="W1362" s="5" t="n">
        <v>0</v>
      </c>
      <c r="X1362" s="5" t="n">
        <v>0</v>
      </c>
      <c r="Y1362" s="5" t="n">
        <v>0</v>
      </c>
      <c r="Z1362" s="0" t="n">
        <v>0</v>
      </c>
      <c r="AA1362" s="0" t="n">
        <v>0</v>
      </c>
      <c r="AB1362" s="0" t="n">
        <v>0</v>
      </c>
      <c r="AC1362" s="4" t="s">
        <v>208</v>
      </c>
      <c r="AD1362" s="4" t="s">
        <v>208</v>
      </c>
      <c r="AE1362" s="4" t="s">
        <v>5223</v>
      </c>
      <c r="AF1362" s="4" t="s">
        <v>5224</v>
      </c>
      <c r="AG1362" s="5" t="n">
        <v>0.121574074074074</v>
      </c>
      <c r="AH1362" s="5" t="n">
        <v>0.0694444444444445</v>
      </c>
      <c r="AI1362" s="5" t="n">
        <v>0</v>
      </c>
      <c r="AJ1362" s="5" t="n">
        <v>0</v>
      </c>
      <c r="AK1362" s="5" t="n">
        <v>0</v>
      </c>
      <c r="AL1362" s="5" t="n">
        <v>0</v>
      </c>
      <c r="AM1362" s="4" t="s">
        <v>78</v>
      </c>
      <c r="AN1362" s="0" t="n">
        <v>0</v>
      </c>
      <c r="AO1362" s="0" t="n">
        <v>0</v>
      </c>
      <c r="AP1362" s="0" t="n">
        <v>0</v>
      </c>
      <c r="AQ1362" s="0" t="n">
        <v>0</v>
      </c>
      <c r="AR1362" s="0" t="n">
        <v>0</v>
      </c>
      <c r="AS1362" s="0" t="n">
        <v>0</v>
      </c>
      <c r="AT1362" s="0" t="n">
        <v>0</v>
      </c>
      <c r="AU1362" s="0" t="n">
        <v>1</v>
      </c>
      <c r="AV1362" s="0" t="n">
        <v>0</v>
      </c>
      <c r="AW1362" s="0" t="n">
        <v>0</v>
      </c>
      <c r="AX1362" s="0" t="n">
        <v>0</v>
      </c>
      <c r="AY1362" s="0" t="n">
        <v>0</v>
      </c>
      <c r="AZ1362" s="0" t="n">
        <v>0</v>
      </c>
      <c r="BA1362" s="0" t="n">
        <v>0</v>
      </c>
      <c r="BB1362" s="0" t="n">
        <v>0</v>
      </c>
      <c r="BC1362" s="0" t="n">
        <v>0</v>
      </c>
      <c r="BD1362" s="0" t="n">
        <v>0</v>
      </c>
      <c r="BE1362" s="0" t="n">
        <v>0</v>
      </c>
      <c r="BF1362" s="0" t="n">
        <v>0</v>
      </c>
      <c r="BG1362" s="0" t="n">
        <v>0</v>
      </c>
      <c r="BH1362" s="0" t="n">
        <v>0</v>
      </c>
      <c r="BI1362" s="0" t="n">
        <v>0</v>
      </c>
      <c r="BJ1362" s="0" t="n">
        <v>0</v>
      </c>
      <c r="BK1362" s="0" t="n">
        <v>0</v>
      </c>
      <c r="BM1362" s="6" t="n">
        <f aca="false">IFERROR(VALUE(F1362),"")</f>
        <v>75.68</v>
      </c>
      <c r="BN1362" s="6" t="str">
        <f aca="false">IF(R1362="-","",IFERROR(VALUE(LEFT(Q1362,LEN(Q1362)-2)),""))</f>
        <v/>
      </c>
      <c r="BO1362" s="6" t="str">
        <f aca="false">IF(R1362="-","",IFERROR(VALUE(LEFT(R1362,LEN(R1362)-5)),""))</f>
        <v/>
      </c>
      <c r="BP1362" s="6" t="str">
        <f aca="false">IF(R1362="-","",IFERROR(VALUE(F1362),""))</f>
        <v/>
      </c>
      <c r="BQ1362" s="4" t="n">
        <f aca="false">IF(R1362="-",1,0)</f>
        <v>1</v>
      </c>
    </row>
    <row r="1363" customFormat="false" ht="15" hidden="false" customHeight="false" outlineLevel="0" collapsed="false">
      <c r="A1363" s="0" t="s">
        <v>5220</v>
      </c>
      <c r="B1363" s="0" t="s">
        <v>5221</v>
      </c>
      <c r="C1363" s="0" t="s">
        <v>70</v>
      </c>
      <c r="D1363" s="0" t="s">
        <v>4576</v>
      </c>
      <c r="E1363" s="3" t="n">
        <v>46274</v>
      </c>
      <c r="F1363" s="4" t="s">
        <v>5225</v>
      </c>
      <c r="G1363" s="5" t="n">
        <v>0.140590277777778</v>
      </c>
      <c r="H1363" s="5" t="n">
        <v>0.130277777777778</v>
      </c>
      <c r="I1363" s="5" t="n">
        <v>0.000358796296296296</v>
      </c>
      <c r="J1363" s="0" t="n">
        <v>0</v>
      </c>
      <c r="K1363" s="0" t="n">
        <v>1</v>
      </c>
      <c r="L1363" s="0" t="n">
        <v>0</v>
      </c>
      <c r="M1363" s="0" t="n">
        <v>0</v>
      </c>
      <c r="N1363" s="0" t="n">
        <v>0</v>
      </c>
      <c r="O1363" s="5" t="n">
        <v>0</v>
      </c>
      <c r="P1363" s="5" t="n">
        <v>0</v>
      </c>
      <c r="Q1363" s="4" t="s">
        <v>73</v>
      </c>
      <c r="R1363" s="4" t="s">
        <v>73</v>
      </c>
      <c r="S1363" s="5" t="n">
        <v>0</v>
      </c>
      <c r="T1363" s="5" t="n">
        <v>0</v>
      </c>
      <c r="U1363" s="5" t="n">
        <v>0</v>
      </c>
      <c r="V1363" s="5" t="n">
        <v>0</v>
      </c>
      <c r="W1363" s="5" t="n">
        <v>0</v>
      </c>
      <c r="X1363" s="5" t="n">
        <v>0</v>
      </c>
      <c r="Y1363" s="5" t="n">
        <v>0</v>
      </c>
      <c r="Z1363" s="0" t="n">
        <v>0</v>
      </c>
      <c r="AA1363" s="0" t="n">
        <v>0</v>
      </c>
      <c r="AB1363" s="0" t="n">
        <v>0</v>
      </c>
      <c r="AC1363" s="4" t="s">
        <v>208</v>
      </c>
      <c r="AD1363" s="4" t="s">
        <v>208</v>
      </c>
      <c r="AE1363" s="4" t="s">
        <v>5224</v>
      </c>
      <c r="AF1363" s="4" t="s">
        <v>5226</v>
      </c>
      <c r="AG1363" s="5" t="n">
        <v>0.119814814814815</v>
      </c>
      <c r="AH1363" s="5" t="n">
        <v>0.0824189814814815</v>
      </c>
      <c r="AI1363" s="5" t="n">
        <v>0</v>
      </c>
      <c r="AJ1363" s="5" t="n">
        <v>0</v>
      </c>
      <c r="AK1363" s="5" t="n">
        <v>0</v>
      </c>
      <c r="AL1363" s="5" t="n">
        <v>0</v>
      </c>
      <c r="AM1363" s="4" t="s">
        <v>78</v>
      </c>
      <c r="AN1363" s="0" t="n">
        <v>0</v>
      </c>
      <c r="AO1363" s="0" t="n">
        <v>0</v>
      </c>
      <c r="AP1363" s="0" t="n">
        <v>0</v>
      </c>
      <c r="AQ1363" s="0" t="n">
        <v>0</v>
      </c>
      <c r="AR1363" s="0" t="n">
        <v>0</v>
      </c>
      <c r="AS1363" s="0" t="n">
        <v>0</v>
      </c>
      <c r="AT1363" s="0" t="n">
        <v>0</v>
      </c>
      <c r="AU1363" s="0" t="n">
        <v>1</v>
      </c>
      <c r="AV1363" s="0" t="n">
        <v>0</v>
      </c>
      <c r="AW1363" s="0" t="n">
        <v>0</v>
      </c>
      <c r="AX1363" s="0" t="n">
        <v>0</v>
      </c>
      <c r="AY1363" s="0" t="n">
        <v>0</v>
      </c>
      <c r="AZ1363" s="0" t="n">
        <v>0</v>
      </c>
      <c r="BA1363" s="0" t="n">
        <v>0</v>
      </c>
      <c r="BB1363" s="0" t="n">
        <v>0</v>
      </c>
      <c r="BC1363" s="0" t="n">
        <v>0</v>
      </c>
      <c r="BD1363" s="0" t="n">
        <v>0</v>
      </c>
      <c r="BE1363" s="0" t="n">
        <v>0</v>
      </c>
      <c r="BF1363" s="0" t="n">
        <v>0</v>
      </c>
      <c r="BG1363" s="0" t="n">
        <v>0</v>
      </c>
      <c r="BH1363" s="0" t="n">
        <v>0</v>
      </c>
      <c r="BI1363" s="0" t="n">
        <v>0</v>
      </c>
      <c r="BJ1363" s="0" t="n">
        <v>0</v>
      </c>
      <c r="BK1363" s="0" t="n">
        <v>0</v>
      </c>
      <c r="BM1363" s="6" t="n">
        <f aca="false">IFERROR(VALUE(F1363),"")</f>
        <v>75.49</v>
      </c>
      <c r="BN1363" s="6" t="str">
        <f aca="false">IF(R1363="-","",IFERROR(VALUE(LEFT(Q1363,LEN(Q1363)-2)),""))</f>
        <v/>
      </c>
      <c r="BO1363" s="6" t="str">
        <f aca="false">IF(R1363="-","",IFERROR(VALUE(LEFT(R1363,LEN(R1363)-5)),""))</f>
        <v/>
      </c>
      <c r="BP1363" s="6" t="str">
        <f aca="false">IF(R1363="-","",IFERROR(VALUE(F1363),""))</f>
        <v/>
      </c>
      <c r="BQ1363" s="4" t="n">
        <f aca="false">IF(R1363="-",1,0)</f>
        <v>1</v>
      </c>
    </row>
    <row r="1364" customFormat="false" ht="15" hidden="false" customHeight="false" outlineLevel="0" collapsed="false">
      <c r="A1364" s="0" t="s">
        <v>5220</v>
      </c>
      <c r="B1364" s="0" t="s">
        <v>5221</v>
      </c>
      <c r="C1364" s="0" t="s">
        <v>70</v>
      </c>
      <c r="D1364" s="0" t="s">
        <v>5227</v>
      </c>
      <c r="E1364" s="3" t="n">
        <v>46275</v>
      </c>
      <c r="F1364" s="4" t="s">
        <v>5228</v>
      </c>
      <c r="G1364" s="5" t="n">
        <v>0.65125</v>
      </c>
      <c r="H1364" s="5" t="n">
        <v>0.624131944444444</v>
      </c>
      <c r="I1364" s="5" t="n">
        <v>0.000740740740740741</v>
      </c>
      <c r="J1364" s="0" t="n">
        <v>0</v>
      </c>
      <c r="K1364" s="0" t="n">
        <v>4</v>
      </c>
      <c r="L1364" s="0" t="n">
        <v>0</v>
      </c>
      <c r="M1364" s="0" t="n">
        <v>0</v>
      </c>
      <c r="N1364" s="0" t="n">
        <v>1</v>
      </c>
      <c r="O1364" s="5" t="n">
        <v>0</v>
      </c>
      <c r="P1364" s="5" t="n">
        <v>0</v>
      </c>
      <c r="Q1364" s="4" t="s">
        <v>73</v>
      </c>
      <c r="R1364" s="4" t="s">
        <v>73</v>
      </c>
      <c r="S1364" s="5" t="n">
        <v>0</v>
      </c>
      <c r="T1364" s="5" t="n">
        <v>0</v>
      </c>
      <c r="U1364" s="5" t="n">
        <v>0</v>
      </c>
      <c r="V1364" s="5" t="n">
        <v>0</v>
      </c>
      <c r="W1364" s="5" t="n">
        <v>0</v>
      </c>
      <c r="X1364" s="5" t="n">
        <v>0</v>
      </c>
      <c r="Y1364" s="5" t="n">
        <v>0</v>
      </c>
      <c r="Z1364" s="0" t="n">
        <v>0</v>
      </c>
      <c r="AA1364" s="0" t="n">
        <v>0</v>
      </c>
      <c r="AB1364" s="0" t="n">
        <v>0</v>
      </c>
      <c r="AC1364" s="4" t="s">
        <v>208</v>
      </c>
      <c r="AD1364" s="4" t="s">
        <v>208</v>
      </c>
      <c r="AE1364" s="4" t="s">
        <v>5226</v>
      </c>
      <c r="AF1364" s="4" t="s">
        <v>5229</v>
      </c>
      <c r="AG1364" s="5" t="n">
        <v>0.542685185185185</v>
      </c>
      <c r="AH1364" s="5" t="n">
        <v>0.15755787037037</v>
      </c>
      <c r="AI1364" s="5" t="n">
        <v>0</v>
      </c>
      <c r="AJ1364" s="5" t="n">
        <v>0</v>
      </c>
      <c r="AK1364" s="5" t="n">
        <v>0</v>
      </c>
      <c r="AL1364" s="5" t="n">
        <v>0</v>
      </c>
      <c r="AM1364" s="4" t="s">
        <v>78</v>
      </c>
      <c r="AN1364" s="0" t="n">
        <v>0</v>
      </c>
      <c r="AO1364" s="0" t="n">
        <v>0</v>
      </c>
      <c r="AP1364" s="0" t="n">
        <v>0</v>
      </c>
      <c r="AQ1364" s="0" t="n">
        <v>0</v>
      </c>
      <c r="AR1364" s="0" t="n">
        <v>0</v>
      </c>
      <c r="AS1364" s="0" t="n">
        <v>1</v>
      </c>
      <c r="AT1364" s="0" t="n">
        <v>0</v>
      </c>
      <c r="AU1364" s="0" t="n">
        <v>4</v>
      </c>
      <c r="AV1364" s="0" t="n">
        <v>0</v>
      </c>
      <c r="AW1364" s="0" t="n">
        <v>0</v>
      </c>
      <c r="AX1364" s="0" t="n">
        <v>0</v>
      </c>
      <c r="AY1364" s="0" t="n">
        <v>0</v>
      </c>
      <c r="AZ1364" s="0" t="n">
        <v>0</v>
      </c>
      <c r="BA1364" s="0" t="n">
        <v>0</v>
      </c>
      <c r="BB1364" s="0" t="n">
        <v>0</v>
      </c>
      <c r="BC1364" s="0" t="n">
        <v>0</v>
      </c>
      <c r="BD1364" s="0" t="n">
        <v>0</v>
      </c>
      <c r="BE1364" s="0" t="n">
        <v>0</v>
      </c>
      <c r="BF1364" s="0" t="n">
        <v>0</v>
      </c>
      <c r="BG1364" s="0" t="n">
        <v>0</v>
      </c>
      <c r="BH1364" s="0" t="n">
        <v>0</v>
      </c>
      <c r="BI1364" s="0" t="n">
        <v>0</v>
      </c>
      <c r="BJ1364" s="0" t="n">
        <v>0</v>
      </c>
      <c r="BK1364" s="0" t="n">
        <v>0</v>
      </c>
      <c r="BM1364" s="6" t="n">
        <f aca="false">IFERROR(VALUE(F1364),"")</f>
        <v>355.89</v>
      </c>
      <c r="BN1364" s="6" t="str">
        <f aca="false">IF(R1364="-","",IFERROR(VALUE(LEFT(Q1364,LEN(Q1364)-2)),""))</f>
        <v/>
      </c>
      <c r="BO1364" s="6" t="str">
        <f aca="false">IF(R1364="-","",IFERROR(VALUE(LEFT(R1364,LEN(R1364)-5)),""))</f>
        <v/>
      </c>
      <c r="BP1364" s="6" t="str">
        <f aca="false">IF(R1364="-","",IFERROR(VALUE(F1364),""))</f>
        <v/>
      </c>
      <c r="BQ1364" s="4" t="n">
        <f aca="false">IF(R1364="-",1,0)</f>
        <v>1</v>
      </c>
    </row>
    <row r="1365" customFormat="false" ht="15" hidden="false" customHeight="false" outlineLevel="0" collapsed="false">
      <c r="A1365" s="0" t="s">
        <v>5220</v>
      </c>
      <c r="B1365" s="0" t="s">
        <v>5221</v>
      </c>
      <c r="C1365" s="0" t="s">
        <v>70</v>
      </c>
      <c r="D1365" s="0" t="s">
        <v>5230</v>
      </c>
      <c r="E1365" s="3" t="n">
        <v>46276</v>
      </c>
      <c r="F1365" s="4" t="s">
        <v>5231</v>
      </c>
      <c r="G1365" s="5" t="n">
        <v>0.32525462962963</v>
      </c>
      <c r="H1365" s="5" t="n">
        <v>0.299039351851852</v>
      </c>
      <c r="I1365" s="5" t="n">
        <v>0.000300925925925926</v>
      </c>
      <c r="J1365" s="0" t="n">
        <v>0</v>
      </c>
      <c r="K1365" s="0" t="n">
        <v>1</v>
      </c>
      <c r="L1365" s="0" t="n">
        <v>0</v>
      </c>
      <c r="M1365" s="0" t="n">
        <v>0</v>
      </c>
      <c r="N1365" s="0" t="n">
        <v>4</v>
      </c>
      <c r="O1365" s="5" t="n">
        <v>0</v>
      </c>
      <c r="P1365" s="5" t="n">
        <v>0</v>
      </c>
      <c r="Q1365" s="4" t="s">
        <v>73</v>
      </c>
      <c r="R1365" s="4" t="s">
        <v>73</v>
      </c>
      <c r="S1365" s="5" t="n">
        <v>0</v>
      </c>
      <c r="T1365" s="5" t="n">
        <v>0</v>
      </c>
      <c r="U1365" s="5" t="n">
        <v>0</v>
      </c>
      <c r="V1365" s="5" t="n">
        <v>0</v>
      </c>
      <c r="W1365" s="5" t="n">
        <v>0</v>
      </c>
      <c r="X1365" s="5" t="n">
        <v>0</v>
      </c>
      <c r="Y1365" s="5" t="n">
        <v>0</v>
      </c>
      <c r="Z1365" s="0" t="n">
        <v>0</v>
      </c>
      <c r="AA1365" s="0" t="n">
        <v>0</v>
      </c>
      <c r="AB1365" s="0" t="n">
        <v>0</v>
      </c>
      <c r="AC1365" s="4" t="s">
        <v>208</v>
      </c>
      <c r="AD1365" s="4" t="s">
        <v>228</v>
      </c>
      <c r="AE1365" s="4" t="s">
        <v>5229</v>
      </c>
      <c r="AF1365" s="4" t="s">
        <v>5232</v>
      </c>
      <c r="AG1365" s="5" t="n">
        <v>0.26412037037037</v>
      </c>
      <c r="AH1365" s="5" t="n">
        <v>0.134097222222222</v>
      </c>
      <c r="AI1365" s="5" t="n">
        <v>0</v>
      </c>
      <c r="AJ1365" s="5" t="n">
        <v>0</v>
      </c>
      <c r="AK1365" s="5" t="n">
        <v>0</v>
      </c>
      <c r="AL1365" s="5" t="n">
        <v>0</v>
      </c>
      <c r="AM1365" s="4" t="s">
        <v>78</v>
      </c>
      <c r="AN1365" s="0" t="n">
        <v>0</v>
      </c>
      <c r="AO1365" s="0" t="n">
        <v>0</v>
      </c>
      <c r="AP1365" s="0" t="n">
        <v>0</v>
      </c>
      <c r="AQ1365" s="0" t="n">
        <v>0</v>
      </c>
      <c r="AR1365" s="0" t="n">
        <v>0</v>
      </c>
      <c r="AS1365" s="0" t="n">
        <v>0</v>
      </c>
      <c r="AT1365" s="0" t="n">
        <v>0</v>
      </c>
      <c r="AU1365" s="0" t="n">
        <v>2</v>
      </c>
      <c r="AV1365" s="0" t="n">
        <v>0</v>
      </c>
      <c r="AW1365" s="0" t="n">
        <v>0</v>
      </c>
      <c r="AX1365" s="0" t="n">
        <v>0</v>
      </c>
      <c r="AY1365" s="0" t="n">
        <v>0</v>
      </c>
      <c r="AZ1365" s="0" t="n">
        <v>0</v>
      </c>
      <c r="BA1365" s="0" t="n">
        <v>0</v>
      </c>
      <c r="BB1365" s="0" t="n">
        <v>0</v>
      </c>
      <c r="BC1365" s="0" t="n">
        <v>0</v>
      </c>
      <c r="BD1365" s="0" t="n">
        <v>0</v>
      </c>
      <c r="BE1365" s="0" t="n">
        <v>0</v>
      </c>
      <c r="BF1365" s="0" t="n">
        <v>0</v>
      </c>
      <c r="BG1365" s="0" t="n">
        <v>0</v>
      </c>
      <c r="BH1365" s="0" t="n">
        <v>0</v>
      </c>
      <c r="BI1365" s="0" t="n">
        <v>0</v>
      </c>
      <c r="BJ1365" s="0" t="n">
        <v>0</v>
      </c>
      <c r="BK1365" s="0" t="n">
        <v>0</v>
      </c>
      <c r="BM1365" s="6" t="n">
        <f aca="false">IFERROR(VALUE(F1365),"")</f>
        <v>176.79</v>
      </c>
      <c r="BN1365" s="6" t="str">
        <f aca="false">IF(R1365="-","",IFERROR(VALUE(LEFT(Q1365,LEN(Q1365)-2)),""))</f>
        <v/>
      </c>
      <c r="BO1365" s="6" t="str">
        <f aca="false">IF(R1365="-","",IFERROR(VALUE(LEFT(R1365,LEN(R1365)-5)),""))</f>
        <v/>
      </c>
      <c r="BP1365" s="6" t="str">
        <f aca="false">IF(R1365="-","",IFERROR(VALUE(F1365),""))</f>
        <v/>
      </c>
      <c r="BQ1365" s="4" t="n">
        <f aca="false">IF(R1365="-",1,0)</f>
        <v>1</v>
      </c>
    </row>
    <row r="1366" customFormat="false" ht="15" hidden="false" customHeight="false" outlineLevel="0" collapsed="false">
      <c r="A1366" s="0" t="s">
        <v>5220</v>
      </c>
      <c r="B1366" s="0" t="s">
        <v>5221</v>
      </c>
      <c r="C1366" s="0" t="s">
        <v>70</v>
      </c>
      <c r="D1366" s="0" t="s">
        <v>2811</v>
      </c>
      <c r="E1366" s="3" t="n">
        <v>46279</v>
      </c>
      <c r="F1366" s="4" t="s">
        <v>5233</v>
      </c>
      <c r="G1366" s="5" t="n">
        <v>0.138217592592593</v>
      </c>
      <c r="H1366" s="5" t="n">
        <v>0.124363425925926</v>
      </c>
      <c r="I1366" s="5" t="n">
        <v>0.00309027777777778</v>
      </c>
      <c r="J1366" s="0" t="n">
        <v>0</v>
      </c>
      <c r="K1366" s="0" t="n">
        <v>3</v>
      </c>
      <c r="L1366" s="0" t="n">
        <v>0</v>
      </c>
      <c r="M1366" s="0" t="n">
        <v>0</v>
      </c>
      <c r="N1366" s="0" t="n">
        <v>0</v>
      </c>
      <c r="O1366" s="5" t="n">
        <v>0</v>
      </c>
      <c r="P1366" s="5" t="n">
        <v>0</v>
      </c>
      <c r="Q1366" s="4" t="s">
        <v>73</v>
      </c>
      <c r="R1366" s="4" t="s">
        <v>73</v>
      </c>
      <c r="S1366" s="5" t="n">
        <v>0</v>
      </c>
      <c r="T1366" s="5" t="n">
        <v>0</v>
      </c>
      <c r="U1366" s="5" t="n">
        <v>0</v>
      </c>
      <c r="V1366" s="5" t="n">
        <v>0</v>
      </c>
      <c r="W1366" s="5" t="n">
        <v>0</v>
      </c>
      <c r="X1366" s="5" t="n">
        <v>0</v>
      </c>
      <c r="Y1366" s="5" t="n">
        <v>0</v>
      </c>
      <c r="Z1366" s="0" t="n">
        <v>0</v>
      </c>
      <c r="AA1366" s="0" t="n">
        <v>0</v>
      </c>
      <c r="AB1366" s="0" t="n">
        <v>0</v>
      </c>
      <c r="AC1366" s="4" t="s">
        <v>75</v>
      </c>
      <c r="AD1366" s="4" t="s">
        <v>81</v>
      </c>
      <c r="AE1366" s="4" t="s">
        <v>5232</v>
      </c>
      <c r="AF1366" s="4" t="s">
        <v>5234</v>
      </c>
      <c r="AG1366" s="5" t="n">
        <v>0.0934143518518519</v>
      </c>
      <c r="AH1366" s="5" t="n">
        <v>0.0695833333333333</v>
      </c>
      <c r="AI1366" s="5" t="n">
        <v>0</v>
      </c>
      <c r="AJ1366" s="5" t="n">
        <v>0</v>
      </c>
      <c r="AK1366" s="5" t="n">
        <v>0</v>
      </c>
      <c r="AL1366" s="5" t="n">
        <v>0</v>
      </c>
      <c r="AM1366" s="4" t="s">
        <v>78</v>
      </c>
      <c r="AN1366" s="0" t="n">
        <v>0</v>
      </c>
      <c r="AO1366" s="0" t="n">
        <v>0</v>
      </c>
      <c r="AP1366" s="0" t="n">
        <v>0</v>
      </c>
      <c r="AQ1366" s="0" t="n">
        <v>0</v>
      </c>
      <c r="AR1366" s="0" t="n">
        <v>0</v>
      </c>
      <c r="AS1366" s="0" t="n">
        <v>0</v>
      </c>
      <c r="AT1366" s="0" t="n">
        <v>0</v>
      </c>
      <c r="AU1366" s="0" t="n">
        <v>2</v>
      </c>
      <c r="AV1366" s="0" t="n">
        <v>0</v>
      </c>
      <c r="AW1366" s="0" t="n">
        <v>0</v>
      </c>
      <c r="AX1366" s="0" t="n">
        <v>0</v>
      </c>
      <c r="AY1366" s="0" t="n">
        <v>0</v>
      </c>
      <c r="AZ1366" s="0" t="n">
        <v>0</v>
      </c>
      <c r="BA1366" s="0" t="n">
        <v>0</v>
      </c>
      <c r="BB1366" s="0" t="n">
        <v>0</v>
      </c>
      <c r="BC1366" s="0" t="n">
        <v>0</v>
      </c>
      <c r="BD1366" s="0" t="n">
        <v>0</v>
      </c>
      <c r="BE1366" s="0" t="n">
        <v>0</v>
      </c>
      <c r="BF1366" s="0" t="n">
        <v>0</v>
      </c>
      <c r="BG1366" s="0" t="n">
        <v>0</v>
      </c>
      <c r="BH1366" s="0" t="n">
        <v>0</v>
      </c>
      <c r="BI1366" s="0" t="n">
        <v>0</v>
      </c>
      <c r="BJ1366" s="0" t="n">
        <v>0</v>
      </c>
      <c r="BK1366" s="0" t="n">
        <v>0</v>
      </c>
      <c r="BM1366" s="6" t="n">
        <f aca="false">IFERROR(VALUE(F1366),"")</f>
        <v>69.32</v>
      </c>
      <c r="BN1366" s="6" t="str">
        <f aca="false">IF(R1366="-","",IFERROR(VALUE(LEFT(Q1366,LEN(Q1366)-2)),""))</f>
        <v/>
      </c>
      <c r="BO1366" s="6" t="str">
        <f aca="false">IF(R1366="-","",IFERROR(VALUE(LEFT(R1366,LEN(R1366)-5)),""))</f>
        <v/>
      </c>
      <c r="BP1366" s="6" t="str">
        <f aca="false">IF(R1366="-","",IFERROR(VALUE(F1366),""))</f>
        <v/>
      </c>
      <c r="BQ1366" s="4" t="n">
        <f aca="false">IF(R1366="-",1,0)</f>
        <v>1</v>
      </c>
    </row>
    <row r="1367" customFormat="false" ht="15" hidden="false" customHeight="false" outlineLevel="0" collapsed="false">
      <c r="A1367" s="0" t="s">
        <v>5235</v>
      </c>
      <c r="B1367" s="0" t="s">
        <v>5236</v>
      </c>
      <c r="C1367" s="0" t="s">
        <v>70</v>
      </c>
      <c r="E1367" s="3" t="n">
        <v>46273</v>
      </c>
      <c r="F1367" s="4" t="s">
        <v>5237</v>
      </c>
      <c r="G1367" s="5" t="n">
        <v>0.213333333333333</v>
      </c>
      <c r="H1367" s="5" t="n">
        <v>0</v>
      </c>
      <c r="I1367" s="5" t="n">
        <v>0.00037037037037037</v>
      </c>
      <c r="J1367" s="0" t="n">
        <v>1</v>
      </c>
      <c r="K1367" s="0" t="n">
        <v>3</v>
      </c>
      <c r="L1367" s="0" t="n">
        <v>0</v>
      </c>
      <c r="M1367" s="0" t="n">
        <v>0</v>
      </c>
      <c r="N1367" s="0" t="n">
        <v>7</v>
      </c>
      <c r="O1367" s="5" t="n">
        <v>0</v>
      </c>
      <c r="P1367" s="5" t="n">
        <v>0</v>
      </c>
      <c r="Q1367" s="4" t="s">
        <v>73</v>
      </c>
      <c r="R1367" s="4" t="s">
        <v>73</v>
      </c>
      <c r="S1367" s="5" t="n">
        <v>0</v>
      </c>
      <c r="T1367" s="5" t="n">
        <v>0</v>
      </c>
      <c r="U1367" s="5" t="n">
        <v>0</v>
      </c>
      <c r="V1367" s="5" t="n">
        <v>0</v>
      </c>
      <c r="W1367" s="5" t="n">
        <v>0</v>
      </c>
      <c r="X1367" s="5" t="n">
        <v>0</v>
      </c>
      <c r="Y1367" s="5" t="n">
        <v>0</v>
      </c>
      <c r="Z1367" s="0" t="n">
        <v>0</v>
      </c>
      <c r="AA1367" s="0" t="n">
        <v>0</v>
      </c>
      <c r="AB1367" s="0" t="n">
        <v>0</v>
      </c>
      <c r="AC1367" s="4" t="s">
        <v>158</v>
      </c>
      <c r="AD1367" s="4" t="s">
        <v>5238</v>
      </c>
      <c r="AE1367" s="4" t="s">
        <v>5239</v>
      </c>
      <c r="AF1367" s="4" t="s">
        <v>5240</v>
      </c>
      <c r="AG1367" s="5" t="n">
        <v>0.166481481481482</v>
      </c>
      <c r="AH1367" s="5" t="n">
        <v>0.0837731481481482</v>
      </c>
      <c r="AI1367" s="5" t="n">
        <v>0</v>
      </c>
      <c r="AJ1367" s="5" t="n">
        <v>0</v>
      </c>
      <c r="AK1367" s="5" t="n">
        <v>0</v>
      </c>
      <c r="AL1367" s="5" t="n">
        <v>0</v>
      </c>
      <c r="AM1367" s="4" t="s">
        <v>78</v>
      </c>
      <c r="AN1367" s="0" t="n">
        <v>0</v>
      </c>
      <c r="AO1367" s="0" t="n">
        <v>0</v>
      </c>
      <c r="AP1367" s="0" t="n">
        <v>0</v>
      </c>
      <c r="AQ1367" s="0" t="n">
        <v>0</v>
      </c>
      <c r="AR1367" s="0" t="n">
        <v>0</v>
      </c>
      <c r="AS1367" s="0" t="n">
        <v>0</v>
      </c>
      <c r="AT1367" s="0" t="n">
        <v>0</v>
      </c>
      <c r="AU1367" s="0" t="n">
        <v>0</v>
      </c>
      <c r="AV1367" s="0" t="n">
        <v>0</v>
      </c>
      <c r="AW1367" s="0" t="n">
        <v>0</v>
      </c>
      <c r="AX1367" s="0" t="n">
        <v>0</v>
      </c>
      <c r="AY1367" s="0" t="n">
        <v>0</v>
      </c>
      <c r="AZ1367" s="0" t="n">
        <v>0</v>
      </c>
      <c r="BA1367" s="0" t="n">
        <v>0</v>
      </c>
      <c r="BB1367" s="0" t="n">
        <v>0</v>
      </c>
      <c r="BC1367" s="0" t="n">
        <v>0</v>
      </c>
      <c r="BD1367" s="0" t="n">
        <v>0</v>
      </c>
      <c r="BE1367" s="0" t="n">
        <v>0</v>
      </c>
      <c r="BF1367" s="0" t="n">
        <v>0</v>
      </c>
      <c r="BG1367" s="0" t="n">
        <v>0</v>
      </c>
      <c r="BH1367" s="0" t="n">
        <v>0</v>
      </c>
      <c r="BI1367" s="0" t="n">
        <v>0</v>
      </c>
      <c r="BJ1367" s="0" t="n">
        <v>0</v>
      </c>
      <c r="BK1367" s="0" t="n">
        <v>0</v>
      </c>
      <c r="BM1367" s="6" t="n">
        <f aca="false">IFERROR(VALUE(F1367),"")</f>
        <v>159.14</v>
      </c>
      <c r="BN1367" s="6" t="str">
        <f aca="false">IF(R1367="-","",IFERROR(VALUE(LEFT(Q1367,LEN(Q1367)-2)),""))</f>
        <v/>
      </c>
      <c r="BO1367" s="6" t="str">
        <f aca="false">IF(R1367="-","",IFERROR(VALUE(LEFT(R1367,LEN(R1367)-5)),""))</f>
        <v/>
      </c>
      <c r="BP1367" s="6" t="str">
        <f aca="false">IF(R1367="-","",IFERROR(VALUE(F1367),""))</f>
        <v/>
      </c>
      <c r="BQ1367" s="4" t="n">
        <f aca="false">IF(R1367="-",1,0)</f>
        <v>1</v>
      </c>
    </row>
    <row r="1368" customFormat="false" ht="15" hidden="false" customHeight="false" outlineLevel="0" collapsed="false">
      <c r="A1368" s="0" t="s">
        <v>5235</v>
      </c>
      <c r="B1368" s="0" t="s">
        <v>5236</v>
      </c>
      <c r="C1368" s="0" t="s">
        <v>70</v>
      </c>
      <c r="E1368" s="3" t="n">
        <v>46274</v>
      </c>
      <c r="F1368" s="4" t="s">
        <v>5241</v>
      </c>
      <c r="G1368" s="5" t="n">
        <v>0.394039351851852</v>
      </c>
      <c r="H1368" s="5" t="n">
        <v>0</v>
      </c>
      <c r="I1368" s="5" t="n">
        <v>0</v>
      </c>
      <c r="J1368" s="0" t="n">
        <v>0</v>
      </c>
      <c r="K1368" s="0" t="n">
        <v>4</v>
      </c>
      <c r="L1368" s="0" t="n">
        <v>0</v>
      </c>
      <c r="M1368" s="0" t="n">
        <v>0</v>
      </c>
      <c r="N1368" s="0" t="n">
        <v>3</v>
      </c>
      <c r="O1368" s="5" t="n">
        <v>0</v>
      </c>
      <c r="P1368" s="5" t="n">
        <v>0</v>
      </c>
      <c r="Q1368" s="4" t="s">
        <v>73</v>
      </c>
      <c r="R1368" s="4" t="s">
        <v>73</v>
      </c>
      <c r="S1368" s="5" t="n">
        <v>0</v>
      </c>
      <c r="T1368" s="5" t="n">
        <v>0</v>
      </c>
      <c r="U1368" s="5" t="n">
        <v>0</v>
      </c>
      <c r="V1368" s="5" t="n">
        <v>0</v>
      </c>
      <c r="W1368" s="5" t="n">
        <v>0</v>
      </c>
      <c r="X1368" s="5" t="n">
        <v>0</v>
      </c>
      <c r="Y1368" s="5" t="n">
        <v>0</v>
      </c>
      <c r="Z1368" s="0" t="n">
        <v>0</v>
      </c>
      <c r="AA1368" s="0" t="n">
        <v>0</v>
      </c>
      <c r="AB1368" s="0" t="n">
        <v>0</v>
      </c>
      <c r="AC1368" s="4" t="s">
        <v>5238</v>
      </c>
      <c r="AD1368" s="4" t="s">
        <v>5238</v>
      </c>
      <c r="AE1368" s="4" t="s">
        <v>5240</v>
      </c>
      <c r="AF1368" s="4" t="s">
        <v>5242</v>
      </c>
      <c r="AG1368" s="5" t="n">
        <v>0.0907523148148148</v>
      </c>
      <c r="AH1368" s="5" t="n">
        <v>0.0673611111111111</v>
      </c>
      <c r="AI1368" s="5" t="n">
        <v>0</v>
      </c>
      <c r="AJ1368" s="5" t="n">
        <v>0</v>
      </c>
      <c r="AK1368" s="5" t="n">
        <v>0</v>
      </c>
      <c r="AL1368" s="5" t="n">
        <v>0</v>
      </c>
      <c r="AM1368" s="4" t="s">
        <v>78</v>
      </c>
      <c r="AN1368" s="0" t="n">
        <v>0</v>
      </c>
      <c r="AO1368" s="0" t="n">
        <v>0</v>
      </c>
      <c r="AP1368" s="0" t="n">
        <v>0</v>
      </c>
      <c r="AQ1368" s="0" t="n">
        <v>0</v>
      </c>
      <c r="AR1368" s="0" t="n">
        <v>0</v>
      </c>
      <c r="AS1368" s="0" t="n">
        <v>0</v>
      </c>
      <c r="AT1368" s="0" t="n">
        <v>0</v>
      </c>
      <c r="AU1368" s="0" t="n">
        <v>0</v>
      </c>
      <c r="AV1368" s="0" t="n">
        <v>0</v>
      </c>
      <c r="AW1368" s="0" t="n">
        <v>0</v>
      </c>
      <c r="AX1368" s="0" t="n">
        <v>0</v>
      </c>
      <c r="AY1368" s="0" t="n">
        <v>0</v>
      </c>
      <c r="AZ1368" s="0" t="n">
        <v>0</v>
      </c>
      <c r="BA1368" s="0" t="n">
        <v>0</v>
      </c>
      <c r="BB1368" s="0" t="n">
        <v>0</v>
      </c>
      <c r="BC1368" s="0" t="n">
        <v>0</v>
      </c>
      <c r="BD1368" s="0" t="n">
        <v>0</v>
      </c>
      <c r="BE1368" s="0" t="n">
        <v>0</v>
      </c>
      <c r="BF1368" s="0" t="n">
        <v>0</v>
      </c>
      <c r="BG1368" s="0" t="n">
        <v>0</v>
      </c>
      <c r="BH1368" s="0" t="n">
        <v>0</v>
      </c>
      <c r="BI1368" s="0" t="n">
        <v>0</v>
      </c>
      <c r="BJ1368" s="0" t="n">
        <v>0</v>
      </c>
      <c r="BK1368" s="0" t="n">
        <v>0</v>
      </c>
      <c r="BM1368" s="6" t="n">
        <f aca="false">IFERROR(VALUE(F1368),"")</f>
        <v>66.83</v>
      </c>
      <c r="BN1368" s="6" t="str">
        <f aca="false">IF(R1368="-","",IFERROR(VALUE(LEFT(Q1368,LEN(Q1368)-2)),""))</f>
        <v/>
      </c>
      <c r="BO1368" s="6" t="str">
        <f aca="false">IF(R1368="-","",IFERROR(VALUE(LEFT(R1368,LEN(R1368)-5)),""))</f>
        <v/>
      </c>
      <c r="BP1368" s="6" t="str">
        <f aca="false">IF(R1368="-","",IFERROR(VALUE(F1368),""))</f>
        <v/>
      </c>
      <c r="BQ1368" s="4" t="n">
        <f aca="false">IF(R1368="-",1,0)</f>
        <v>1</v>
      </c>
    </row>
    <row r="1369" customFormat="false" ht="15" hidden="false" customHeight="false" outlineLevel="0" collapsed="false">
      <c r="A1369" s="0" t="s">
        <v>5235</v>
      </c>
      <c r="B1369" s="0" t="s">
        <v>5236</v>
      </c>
      <c r="C1369" s="0" t="s">
        <v>70</v>
      </c>
      <c r="E1369" s="3" t="n">
        <v>46275</v>
      </c>
      <c r="F1369" s="4" t="s">
        <v>5243</v>
      </c>
      <c r="G1369" s="5" t="n">
        <v>0.214803240740741</v>
      </c>
      <c r="H1369" s="5" t="n">
        <v>0</v>
      </c>
      <c r="I1369" s="5" t="n">
        <v>0.000451388888888889</v>
      </c>
      <c r="J1369" s="0" t="n">
        <v>1</v>
      </c>
      <c r="K1369" s="0" t="n">
        <v>8</v>
      </c>
      <c r="L1369" s="0" t="n">
        <v>0</v>
      </c>
      <c r="M1369" s="0" t="n">
        <v>0</v>
      </c>
      <c r="N1369" s="0" t="n">
        <v>4</v>
      </c>
      <c r="O1369" s="5" t="n">
        <v>0</v>
      </c>
      <c r="P1369" s="5" t="n">
        <v>0</v>
      </c>
      <c r="Q1369" s="4" t="s">
        <v>73</v>
      </c>
      <c r="R1369" s="4" t="s">
        <v>73</v>
      </c>
      <c r="S1369" s="5" t="n">
        <v>0</v>
      </c>
      <c r="T1369" s="5" t="n">
        <v>0</v>
      </c>
      <c r="U1369" s="5" t="n">
        <v>0</v>
      </c>
      <c r="V1369" s="5" t="n">
        <v>0</v>
      </c>
      <c r="W1369" s="5" t="n">
        <v>0</v>
      </c>
      <c r="X1369" s="5" t="n">
        <v>0</v>
      </c>
      <c r="Y1369" s="5" t="n">
        <v>0</v>
      </c>
      <c r="Z1369" s="0" t="n">
        <v>0</v>
      </c>
      <c r="AA1369" s="0" t="n">
        <v>0</v>
      </c>
      <c r="AB1369" s="0" t="n">
        <v>0</v>
      </c>
      <c r="AC1369" s="4" t="s">
        <v>5238</v>
      </c>
      <c r="AD1369" s="4" t="s">
        <v>158</v>
      </c>
      <c r="AE1369" s="4" t="s">
        <v>5242</v>
      </c>
      <c r="AF1369" s="4" t="s">
        <v>5244</v>
      </c>
      <c r="AG1369" s="5" t="n">
        <v>0.173969907407407</v>
      </c>
      <c r="AH1369" s="5" t="n">
        <v>0.101793981481482</v>
      </c>
      <c r="AI1369" s="5" t="n">
        <v>0</v>
      </c>
      <c r="AJ1369" s="5" t="n">
        <v>0</v>
      </c>
      <c r="AK1369" s="5" t="n">
        <v>0</v>
      </c>
      <c r="AL1369" s="5" t="n">
        <v>0</v>
      </c>
      <c r="AM1369" s="4" t="s">
        <v>78</v>
      </c>
      <c r="AN1369" s="0" t="n">
        <v>0</v>
      </c>
      <c r="AO1369" s="0" t="n">
        <v>0</v>
      </c>
      <c r="AP1369" s="0" t="n">
        <v>0</v>
      </c>
      <c r="AQ1369" s="0" t="n">
        <v>0</v>
      </c>
      <c r="AR1369" s="0" t="n">
        <v>0</v>
      </c>
      <c r="AS1369" s="0" t="n">
        <v>0</v>
      </c>
      <c r="AT1369" s="0" t="n">
        <v>0</v>
      </c>
      <c r="AU1369" s="0" t="n">
        <v>0</v>
      </c>
      <c r="AV1369" s="0" t="n">
        <v>0</v>
      </c>
      <c r="AW1369" s="0" t="n">
        <v>0</v>
      </c>
      <c r="AX1369" s="0" t="n">
        <v>0</v>
      </c>
      <c r="AY1369" s="0" t="n">
        <v>0</v>
      </c>
      <c r="AZ1369" s="0" t="n">
        <v>0</v>
      </c>
      <c r="BA1369" s="0" t="n">
        <v>0</v>
      </c>
      <c r="BB1369" s="0" t="n">
        <v>0</v>
      </c>
      <c r="BC1369" s="0" t="n">
        <v>0</v>
      </c>
      <c r="BD1369" s="0" t="n">
        <v>0</v>
      </c>
      <c r="BE1369" s="0" t="n">
        <v>0</v>
      </c>
      <c r="BF1369" s="0" t="n">
        <v>0</v>
      </c>
      <c r="BG1369" s="0" t="n">
        <v>0</v>
      </c>
      <c r="BH1369" s="0" t="n">
        <v>0</v>
      </c>
      <c r="BI1369" s="0" t="n">
        <v>0</v>
      </c>
      <c r="BJ1369" s="0" t="n">
        <v>0</v>
      </c>
      <c r="BK1369" s="0" t="n">
        <v>0</v>
      </c>
      <c r="BM1369" s="6" t="n">
        <f aca="false">IFERROR(VALUE(F1369),"")</f>
        <v>152.41</v>
      </c>
      <c r="BN1369" s="6" t="str">
        <f aca="false">IF(R1369="-","",IFERROR(VALUE(LEFT(Q1369,LEN(Q1369)-2)),""))</f>
        <v/>
      </c>
      <c r="BO1369" s="6" t="str">
        <f aca="false">IF(R1369="-","",IFERROR(VALUE(LEFT(R1369,LEN(R1369)-5)),""))</f>
        <v/>
      </c>
      <c r="BP1369" s="6" t="str">
        <f aca="false">IF(R1369="-","",IFERROR(VALUE(F1369),""))</f>
        <v/>
      </c>
      <c r="BQ1369" s="4" t="n">
        <f aca="false">IF(R1369="-",1,0)</f>
        <v>1</v>
      </c>
    </row>
    <row r="1370" customFormat="false" ht="15" hidden="false" customHeight="false" outlineLevel="0" collapsed="false">
      <c r="A1370" s="0" t="s">
        <v>5235</v>
      </c>
      <c r="B1370" s="0" t="s">
        <v>5236</v>
      </c>
      <c r="C1370" s="0" t="s">
        <v>70</v>
      </c>
      <c r="E1370" s="3" t="n">
        <v>46276</v>
      </c>
      <c r="F1370" s="4" t="s">
        <v>5245</v>
      </c>
      <c r="G1370" s="5" t="n">
        <v>0.232662037037037</v>
      </c>
      <c r="H1370" s="5" t="n">
        <v>0</v>
      </c>
      <c r="I1370" s="5" t="n">
        <v>0.000486111111111111</v>
      </c>
      <c r="J1370" s="0" t="n">
        <v>0</v>
      </c>
      <c r="K1370" s="0" t="n">
        <v>6</v>
      </c>
      <c r="L1370" s="0" t="n">
        <v>0</v>
      </c>
      <c r="M1370" s="0" t="n">
        <v>0</v>
      </c>
      <c r="N1370" s="0" t="n">
        <v>10</v>
      </c>
      <c r="O1370" s="5" t="n">
        <v>0</v>
      </c>
      <c r="P1370" s="5" t="n">
        <v>0</v>
      </c>
      <c r="Q1370" s="4" t="s">
        <v>73</v>
      </c>
      <c r="R1370" s="4" t="s">
        <v>73</v>
      </c>
      <c r="S1370" s="5" t="n">
        <v>0</v>
      </c>
      <c r="T1370" s="5" t="n">
        <v>0</v>
      </c>
      <c r="U1370" s="5" t="n">
        <v>0</v>
      </c>
      <c r="V1370" s="5" t="n">
        <v>0</v>
      </c>
      <c r="W1370" s="5" t="n">
        <v>0</v>
      </c>
      <c r="X1370" s="5" t="n">
        <v>0</v>
      </c>
      <c r="Y1370" s="5" t="n">
        <v>0</v>
      </c>
      <c r="Z1370" s="0" t="n">
        <v>0</v>
      </c>
      <c r="AA1370" s="0" t="n">
        <v>0</v>
      </c>
      <c r="AB1370" s="0" t="n">
        <v>0</v>
      </c>
      <c r="AC1370" s="4" t="s">
        <v>158</v>
      </c>
      <c r="AD1370" s="4" t="s">
        <v>5238</v>
      </c>
      <c r="AE1370" s="4" t="s">
        <v>5244</v>
      </c>
      <c r="AF1370" s="4" t="s">
        <v>5246</v>
      </c>
      <c r="AG1370" s="5" t="n">
        <v>0.172569444444444</v>
      </c>
      <c r="AH1370" s="5" t="n">
        <v>0.124467592592593</v>
      </c>
      <c r="AI1370" s="5" t="n">
        <v>0</v>
      </c>
      <c r="AJ1370" s="5" t="n">
        <v>0</v>
      </c>
      <c r="AK1370" s="5" t="n">
        <v>0</v>
      </c>
      <c r="AL1370" s="5" t="n">
        <v>0</v>
      </c>
      <c r="AM1370" s="4" t="s">
        <v>78</v>
      </c>
      <c r="AN1370" s="0" t="n">
        <v>0</v>
      </c>
      <c r="AO1370" s="0" t="n">
        <v>0</v>
      </c>
      <c r="AP1370" s="0" t="n">
        <v>0</v>
      </c>
      <c r="AQ1370" s="0" t="n">
        <v>0</v>
      </c>
      <c r="AR1370" s="0" t="n">
        <v>0</v>
      </c>
      <c r="AS1370" s="0" t="n">
        <v>0</v>
      </c>
      <c r="AT1370" s="0" t="n">
        <v>0</v>
      </c>
      <c r="AU1370" s="0" t="n">
        <v>0</v>
      </c>
      <c r="AV1370" s="0" t="n">
        <v>0</v>
      </c>
      <c r="AW1370" s="0" t="n">
        <v>0</v>
      </c>
      <c r="AX1370" s="0" t="n">
        <v>0</v>
      </c>
      <c r="AY1370" s="0" t="n">
        <v>0</v>
      </c>
      <c r="AZ1370" s="0" t="n">
        <v>0</v>
      </c>
      <c r="BA1370" s="0" t="n">
        <v>0</v>
      </c>
      <c r="BB1370" s="0" t="n">
        <v>0</v>
      </c>
      <c r="BC1370" s="0" t="n">
        <v>0</v>
      </c>
      <c r="BD1370" s="0" t="n">
        <v>0</v>
      </c>
      <c r="BE1370" s="0" t="n">
        <v>0</v>
      </c>
      <c r="BF1370" s="0" t="n">
        <v>0</v>
      </c>
      <c r="BG1370" s="0" t="n">
        <v>0</v>
      </c>
      <c r="BH1370" s="0" t="n">
        <v>0</v>
      </c>
      <c r="BI1370" s="0" t="n">
        <v>0</v>
      </c>
      <c r="BJ1370" s="0" t="n">
        <v>0</v>
      </c>
      <c r="BK1370" s="0" t="n">
        <v>0</v>
      </c>
      <c r="BM1370" s="6" t="n">
        <f aca="false">IFERROR(VALUE(F1370),"")</f>
        <v>154.34</v>
      </c>
      <c r="BN1370" s="6" t="str">
        <f aca="false">IF(R1370="-","",IFERROR(VALUE(LEFT(Q1370,LEN(Q1370)-2)),""))</f>
        <v/>
      </c>
      <c r="BO1370" s="6" t="str">
        <f aca="false">IF(R1370="-","",IFERROR(VALUE(LEFT(R1370,LEN(R1370)-5)),""))</f>
        <v/>
      </c>
      <c r="BP1370" s="6" t="str">
        <f aca="false">IF(R1370="-","",IFERROR(VALUE(F1370),""))</f>
        <v/>
      </c>
      <c r="BQ1370" s="4" t="n">
        <f aca="false">IF(R1370="-",1,0)</f>
        <v>1</v>
      </c>
    </row>
    <row r="1371" customFormat="false" ht="15" hidden="false" customHeight="false" outlineLevel="0" collapsed="false">
      <c r="A1371" s="0" t="s">
        <v>5235</v>
      </c>
      <c r="B1371" s="0" t="s">
        <v>5236</v>
      </c>
      <c r="C1371" s="0" t="s">
        <v>70</v>
      </c>
      <c r="E1371" s="3" t="n">
        <v>46277</v>
      </c>
      <c r="F1371" s="4" t="s">
        <v>95</v>
      </c>
      <c r="G1371" s="5" t="n">
        <v>0</v>
      </c>
      <c r="H1371" s="5" t="n">
        <v>0</v>
      </c>
      <c r="I1371" s="5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5" t="n">
        <v>0</v>
      </c>
      <c r="P1371" s="5" t="n">
        <v>0</v>
      </c>
      <c r="Q1371" s="4" t="s">
        <v>73</v>
      </c>
      <c r="R1371" s="4" t="s">
        <v>73</v>
      </c>
      <c r="S1371" s="5" t="n">
        <v>0</v>
      </c>
      <c r="T1371" s="5" t="n">
        <v>0</v>
      </c>
      <c r="U1371" s="5" t="n">
        <v>0</v>
      </c>
      <c r="V1371" s="5" t="n">
        <v>0</v>
      </c>
      <c r="W1371" s="5" t="n">
        <v>0</v>
      </c>
      <c r="X1371" s="5" t="n">
        <v>0</v>
      </c>
      <c r="Y1371" s="5" t="n">
        <v>0</v>
      </c>
      <c r="Z1371" s="0" t="n">
        <v>0</v>
      </c>
      <c r="AA1371" s="0" t="n">
        <v>0</v>
      </c>
      <c r="AB1371" s="0" t="n">
        <v>0</v>
      </c>
      <c r="AE1371" s="4" t="s">
        <v>5246</v>
      </c>
      <c r="AF1371" s="4" t="s">
        <v>5246</v>
      </c>
      <c r="AG1371" s="5" t="n">
        <v>0</v>
      </c>
      <c r="AH1371" s="5" t="n">
        <v>0</v>
      </c>
      <c r="AI1371" s="5" t="n">
        <v>0</v>
      </c>
      <c r="AJ1371" s="5" t="n">
        <v>0</v>
      </c>
      <c r="AK1371" s="5" t="n">
        <v>0</v>
      </c>
      <c r="AL1371" s="5" t="n">
        <v>0</v>
      </c>
      <c r="AM1371" s="4" t="s">
        <v>78</v>
      </c>
      <c r="AN1371" s="0" t="n">
        <v>0</v>
      </c>
      <c r="AO1371" s="0" t="n">
        <v>0</v>
      </c>
      <c r="AP1371" s="0" t="n">
        <v>0</v>
      </c>
      <c r="AQ1371" s="0" t="n">
        <v>0</v>
      </c>
      <c r="AR1371" s="0" t="n">
        <v>0</v>
      </c>
      <c r="AS1371" s="0" t="n">
        <v>0</v>
      </c>
      <c r="AT1371" s="0" t="n">
        <v>0</v>
      </c>
      <c r="AU1371" s="0" t="n">
        <v>0</v>
      </c>
      <c r="AV1371" s="0" t="n">
        <v>0</v>
      </c>
      <c r="AW1371" s="0" t="n">
        <v>0</v>
      </c>
      <c r="AX1371" s="0" t="n">
        <v>0</v>
      </c>
      <c r="AY1371" s="0" t="n">
        <v>0</v>
      </c>
      <c r="AZ1371" s="0" t="n">
        <v>0</v>
      </c>
      <c r="BA1371" s="0" t="n">
        <v>0</v>
      </c>
      <c r="BB1371" s="0" t="n">
        <v>0</v>
      </c>
      <c r="BC1371" s="0" t="n">
        <v>0</v>
      </c>
      <c r="BD1371" s="0" t="n">
        <v>0</v>
      </c>
      <c r="BE1371" s="0" t="n">
        <v>0</v>
      </c>
      <c r="BF1371" s="0" t="n">
        <v>0</v>
      </c>
      <c r="BG1371" s="0" t="n">
        <v>0</v>
      </c>
      <c r="BH1371" s="0" t="n">
        <v>0</v>
      </c>
      <c r="BI1371" s="0" t="n">
        <v>0</v>
      </c>
      <c r="BJ1371" s="0" t="n">
        <v>0</v>
      </c>
      <c r="BK1371" s="0" t="n">
        <v>0</v>
      </c>
      <c r="BM1371" s="6" t="n">
        <f aca="false">IFERROR(VALUE(F1371),"")</f>
        <v>0</v>
      </c>
      <c r="BN1371" s="6" t="str">
        <f aca="false">IF(R1371="-","",IFERROR(VALUE(LEFT(Q1371,LEN(Q1371)-2)),""))</f>
        <v/>
      </c>
      <c r="BO1371" s="6" t="str">
        <f aca="false">IF(R1371="-","",IFERROR(VALUE(LEFT(R1371,LEN(R1371)-5)),""))</f>
        <v/>
      </c>
      <c r="BP1371" s="6" t="str">
        <f aca="false">IF(R1371="-","",IFERROR(VALUE(F1371),""))</f>
        <v/>
      </c>
      <c r="BQ1371" s="4" t="n">
        <f aca="false">IF(R1371="-",1,0)</f>
        <v>1</v>
      </c>
    </row>
    <row r="1372" customFormat="false" ht="15" hidden="false" customHeight="false" outlineLevel="0" collapsed="false">
      <c r="A1372" s="0" t="s">
        <v>5235</v>
      </c>
      <c r="B1372" s="0" t="s">
        <v>5236</v>
      </c>
      <c r="C1372" s="0" t="s">
        <v>70</v>
      </c>
      <c r="E1372" s="3" t="n">
        <v>46278</v>
      </c>
      <c r="F1372" s="4" t="s">
        <v>95</v>
      </c>
      <c r="G1372" s="5" t="n">
        <v>0</v>
      </c>
      <c r="H1372" s="5" t="n">
        <v>0</v>
      </c>
      <c r="I1372" s="5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5" t="n">
        <v>0</v>
      </c>
      <c r="P1372" s="5" t="n">
        <v>0</v>
      </c>
      <c r="Q1372" s="4" t="s">
        <v>73</v>
      </c>
      <c r="R1372" s="4" t="s">
        <v>73</v>
      </c>
      <c r="S1372" s="5" t="n">
        <v>0</v>
      </c>
      <c r="T1372" s="5" t="n">
        <v>0</v>
      </c>
      <c r="U1372" s="5" t="n">
        <v>0</v>
      </c>
      <c r="V1372" s="5" t="n">
        <v>0</v>
      </c>
      <c r="W1372" s="5" t="n">
        <v>0</v>
      </c>
      <c r="X1372" s="5" t="n">
        <v>0</v>
      </c>
      <c r="Y1372" s="5" t="n">
        <v>0</v>
      </c>
      <c r="Z1372" s="0" t="n">
        <v>0</v>
      </c>
      <c r="AA1372" s="0" t="n">
        <v>0</v>
      </c>
      <c r="AB1372" s="0" t="n">
        <v>0</v>
      </c>
      <c r="AE1372" s="4" t="s">
        <v>5246</v>
      </c>
      <c r="AF1372" s="4" t="s">
        <v>5246</v>
      </c>
      <c r="AG1372" s="5" t="n">
        <v>0</v>
      </c>
      <c r="AH1372" s="5" t="n">
        <v>0</v>
      </c>
      <c r="AI1372" s="5" t="n">
        <v>0</v>
      </c>
      <c r="AJ1372" s="5" t="n">
        <v>0</v>
      </c>
      <c r="AK1372" s="5" t="n">
        <v>0</v>
      </c>
      <c r="AL1372" s="5" t="n">
        <v>0</v>
      </c>
      <c r="AM1372" s="4" t="s">
        <v>78</v>
      </c>
      <c r="AN1372" s="0" t="n">
        <v>0</v>
      </c>
      <c r="AO1372" s="0" t="n">
        <v>0</v>
      </c>
      <c r="AP1372" s="0" t="n">
        <v>0</v>
      </c>
      <c r="AQ1372" s="0" t="n">
        <v>0</v>
      </c>
      <c r="AR1372" s="0" t="n">
        <v>0</v>
      </c>
      <c r="AS1372" s="0" t="n">
        <v>0</v>
      </c>
      <c r="AT1372" s="0" t="n">
        <v>0</v>
      </c>
      <c r="AU1372" s="0" t="n">
        <v>0</v>
      </c>
      <c r="AV1372" s="0" t="n">
        <v>0</v>
      </c>
      <c r="AW1372" s="0" t="n">
        <v>0</v>
      </c>
      <c r="AX1372" s="0" t="n">
        <v>0</v>
      </c>
      <c r="AY1372" s="0" t="n">
        <v>0</v>
      </c>
      <c r="AZ1372" s="0" t="n">
        <v>0</v>
      </c>
      <c r="BA1372" s="0" t="n">
        <v>0</v>
      </c>
      <c r="BB1372" s="0" t="n">
        <v>0</v>
      </c>
      <c r="BC1372" s="0" t="n">
        <v>0</v>
      </c>
      <c r="BD1372" s="0" t="n">
        <v>0</v>
      </c>
      <c r="BE1372" s="0" t="n">
        <v>0</v>
      </c>
      <c r="BF1372" s="0" t="n">
        <v>0</v>
      </c>
      <c r="BG1372" s="0" t="n">
        <v>0</v>
      </c>
      <c r="BH1372" s="0" t="n">
        <v>0</v>
      </c>
      <c r="BI1372" s="0" t="n">
        <v>0</v>
      </c>
      <c r="BJ1372" s="0" t="n">
        <v>0</v>
      </c>
      <c r="BK1372" s="0" t="n">
        <v>0</v>
      </c>
      <c r="BM1372" s="6" t="n">
        <f aca="false">IFERROR(VALUE(F1372),"")</f>
        <v>0</v>
      </c>
      <c r="BN1372" s="6" t="str">
        <f aca="false">IF(R1372="-","",IFERROR(VALUE(LEFT(Q1372,LEN(Q1372)-2)),""))</f>
        <v/>
      </c>
      <c r="BO1372" s="6" t="str">
        <f aca="false">IF(R1372="-","",IFERROR(VALUE(LEFT(R1372,LEN(R1372)-5)),""))</f>
        <v/>
      </c>
      <c r="BP1372" s="6" t="str">
        <f aca="false">IF(R1372="-","",IFERROR(VALUE(F1372),""))</f>
        <v/>
      </c>
      <c r="BQ1372" s="4" t="n">
        <f aca="false">IF(R1372="-",1,0)</f>
        <v>1</v>
      </c>
    </row>
    <row r="1373" customFormat="false" ht="15" hidden="false" customHeight="false" outlineLevel="0" collapsed="false">
      <c r="A1373" s="0" t="s">
        <v>5235</v>
      </c>
      <c r="B1373" s="0" t="s">
        <v>5236</v>
      </c>
      <c r="C1373" s="0" t="s">
        <v>70</v>
      </c>
      <c r="E1373" s="3" t="n">
        <v>46279</v>
      </c>
      <c r="F1373" s="4" t="s">
        <v>5247</v>
      </c>
      <c r="G1373" s="5" t="n">
        <v>0.189803240740741</v>
      </c>
      <c r="H1373" s="5" t="n">
        <v>0</v>
      </c>
      <c r="I1373" s="5" t="n">
        <v>0.000555555555555556</v>
      </c>
      <c r="J1373" s="0" t="n">
        <v>1</v>
      </c>
      <c r="K1373" s="0" t="n">
        <v>2</v>
      </c>
      <c r="L1373" s="0" t="n">
        <v>0</v>
      </c>
      <c r="M1373" s="0" t="n">
        <v>0</v>
      </c>
      <c r="N1373" s="0" t="n">
        <v>8</v>
      </c>
      <c r="O1373" s="5" t="n">
        <v>0</v>
      </c>
      <c r="P1373" s="5" t="n">
        <v>0</v>
      </c>
      <c r="Q1373" s="4" t="s">
        <v>73</v>
      </c>
      <c r="R1373" s="4" t="s">
        <v>73</v>
      </c>
      <c r="S1373" s="5" t="n">
        <v>0</v>
      </c>
      <c r="T1373" s="5" t="n">
        <v>0</v>
      </c>
      <c r="U1373" s="5" t="n">
        <v>0</v>
      </c>
      <c r="V1373" s="5" t="n">
        <v>0</v>
      </c>
      <c r="W1373" s="5" t="n">
        <v>0</v>
      </c>
      <c r="X1373" s="5" t="n">
        <v>0</v>
      </c>
      <c r="Y1373" s="5" t="n">
        <v>0</v>
      </c>
      <c r="Z1373" s="0" t="n">
        <v>0</v>
      </c>
      <c r="AA1373" s="0" t="n">
        <v>0</v>
      </c>
      <c r="AB1373" s="0" t="n">
        <v>0</v>
      </c>
      <c r="AC1373" s="4" t="s">
        <v>5238</v>
      </c>
      <c r="AD1373" s="4" t="s">
        <v>5238</v>
      </c>
      <c r="AE1373" s="4" t="s">
        <v>5246</v>
      </c>
      <c r="AF1373" s="4" t="s">
        <v>5248</v>
      </c>
      <c r="AG1373" s="5" t="n">
        <v>0.140138888888889</v>
      </c>
      <c r="AH1373" s="5" t="n">
        <v>0.0886574074074074</v>
      </c>
      <c r="AI1373" s="5" t="n">
        <v>0</v>
      </c>
      <c r="AJ1373" s="5" t="n">
        <v>0</v>
      </c>
      <c r="AK1373" s="5" t="n">
        <v>0</v>
      </c>
      <c r="AL1373" s="5" t="n">
        <v>0</v>
      </c>
      <c r="AM1373" s="4" t="s">
        <v>78</v>
      </c>
      <c r="AN1373" s="0" t="n">
        <v>0</v>
      </c>
      <c r="AO1373" s="0" t="n">
        <v>0</v>
      </c>
      <c r="AP1373" s="0" t="n">
        <v>0</v>
      </c>
      <c r="AQ1373" s="0" t="n">
        <v>0</v>
      </c>
      <c r="AR1373" s="0" t="n">
        <v>0</v>
      </c>
      <c r="AS1373" s="0" t="n">
        <v>0</v>
      </c>
      <c r="AT1373" s="0" t="n">
        <v>0</v>
      </c>
      <c r="AU1373" s="0" t="n">
        <v>0</v>
      </c>
      <c r="AV1373" s="0" t="n">
        <v>0</v>
      </c>
      <c r="AW1373" s="0" t="n">
        <v>0</v>
      </c>
      <c r="AX1373" s="0" t="n">
        <v>0</v>
      </c>
      <c r="AY1373" s="0" t="n">
        <v>0</v>
      </c>
      <c r="AZ1373" s="0" t="n">
        <v>0</v>
      </c>
      <c r="BA1373" s="0" t="n">
        <v>0</v>
      </c>
      <c r="BB1373" s="0" t="n">
        <v>0</v>
      </c>
      <c r="BC1373" s="0" t="n">
        <v>0</v>
      </c>
      <c r="BD1373" s="0" t="n">
        <v>0</v>
      </c>
      <c r="BE1373" s="0" t="n">
        <v>0</v>
      </c>
      <c r="BF1373" s="0" t="n">
        <v>0</v>
      </c>
      <c r="BG1373" s="0" t="n">
        <v>0</v>
      </c>
      <c r="BH1373" s="0" t="n">
        <v>0</v>
      </c>
      <c r="BI1373" s="0" t="n">
        <v>0</v>
      </c>
      <c r="BJ1373" s="0" t="n">
        <v>0</v>
      </c>
      <c r="BK1373" s="0" t="n">
        <v>0</v>
      </c>
      <c r="BM1373" s="6" t="n">
        <f aca="false">IFERROR(VALUE(F1373),"")</f>
        <v>113.7</v>
      </c>
      <c r="BN1373" s="6" t="str">
        <f aca="false">IF(R1373="-","",IFERROR(VALUE(LEFT(Q1373,LEN(Q1373)-2)),""))</f>
        <v/>
      </c>
      <c r="BO1373" s="6" t="str">
        <f aca="false">IF(R1373="-","",IFERROR(VALUE(LEFT(R1373,LEN(R1373)-5)),""))</f>
        <v/>
      </c>
      <c r="BP1373" s="6" t="str">
        <f aca="false">IF(R1373="-","",IFERROR(VALUE(F1373),""))</f>
        <v/>
      </c>
      <c r="BQ1373" s="4" t="n">
        <f aca="false">IF(R1373="-",1,0)</f>
        <v>1</v>
      </c>
    </row>
    <row r="1374" customFormat="false" ht="15" hidden="false" customHeight="false" outlineLevel="0" collapsed="false">
      <c r="A1374" s="0" t="s">
        <v>5249</v>
      </c>
      <c r="B1374" s="0" t="s">
        <v>5250</v>
      </c>
      <c r="C1374" s="0" t="s">
        <v>70</v>
      </c>
      <c r="D1374" s="0" t="s">
        <v>5251</v>
      </c>
      <c r="E1374" s="3" t="n">
        <v>46273</v>
      </c>
      <c r="F1374" s="4" t="s">
        <v>5252</v>
      </c>
      <c r="G1374" s="5" t="n">
        <v>0.291539351851852</v>
      </c>
      <c r="H1374" s="5" t="n">
        <v>0.224849537037037</v>
      </c>
      <c r="I1374" s="5" t="n">
        <v>0.000451388888888889</v>
      </c>
      <c r="J1374" s="0" t="n">
        <v>0</v>
      </c>
      <c r="K1374" s="0" t="n">
        <v>1</v>
      </c>
      <c r="L1374" s="0" t="n">
        <v>0</v>
      </c>
      <c r="M1374" s="0" t="n">
        <v>0</v>
      </c>
      <c r="N1374" s="0" t="n">
        <v>4</v>
      </c>
      <c r="O1374" s="5" t="n">
        <v>0</v>
      </c>
      <c r="P1374" s="5" t="n">
        <v>0</v>
      </c>
      <c r="Q1374" s="4" t="s">
        <v>73</v>
      </c>
      <c r="R1374" s="4" t="s">
        <v>73</v>
      </c>
      <c r="S1374" s="5" t="n">
        <v>0</v>
      </c>
      <c r="T1374" s="5" t="n">
        <v>0</v>
      </c>
      <c r="U1374" s="5" t="n">
        <v>0</v>
      </c>
      <c r="V1374" s="5" t="n">
        <v>0</v>
      </c>
      <c r="W1374" s="5" t="n">
        <v>0</v>
      </c>
      <c r="X1374" s="5" t="n">
        <v>0</v>
      </c>
      <c r="Y1374" s="5" t="n">
        <v>0</v>
      </c>
      <c r="Z1374" s="0" t="n">
        <v>0</v>
      </c>
      <c r="AA1374" s="0" t="n">
        <v>0</v>
      </c>
      <c r="AB1374" s="0" t="n">
        <v>0</v>
      </c>
      <c r="AC1374" s="4" t="s">
        <v>158</v>
      </c>
      <c r="AD1374" s="4" t="s">
        <v>158</v>
      </c>
      <c r="AE1374" s="4" t="s">
        <v>5253</v>
      </c>
      <c r="AF1374" s="4" t="s">
        <v>5254</v>
      </c>
      <c r="AG1374" s="5" t="n">
        <v>0.269351851851852</v>
      </c>
      <c r="AH1374" s="5" t="n">
        <v>0.105243055555556</v>
      </c>
      <c r="AI1374" s="5" t="n">
        <v>0</v>
      </c>
      <c r="AJ1374" s="5" t="n">
        <v>0</v>
      </c>
      <c r="AK1374" s="5" t="n">
        <v>0</v>
      </c>
      <c r="AL1374" s="5" t="n">
        <v>0</v>
      </c>
      <c r="AM1374" s="4" t="s">
        <v>78</v>
      </c>
      <c r="AN1374" s="0" t="n">
        <v>0</v>
      </c>
      <c r="AO1374" s="0" t="n">
        <v>0</v>
      </c>
      <c r="AP1374" s="0" t="n">
        <v>0</v>
      </c>
      <c r="AQ1374" s="0" t="n">
        <v>0</v>
      </c>
      <c r="AR1374" s="0" t="n">
        <v>1</v>
      </c>
      <c r="AS1374" s="0" t="n">
        <v>0</v>
      </c>
      <c r="AT1374" s="0" t="n">
        <v>0</v>
      </c>
      <c r="AU1374" s="0" t="n">
        <v>0</v>
      </c>
      <c r="AV1374" s="0" t="n">
        <v>0</v>
      </c>
      <c r="AW1374" s="0" t="n">
        <v>0</v>
      </c>
      <c r="AX1374" s="0" t="n">
        <v>0</v>
      </c>
      <c r="AY1374" s="0" t="n">
        <v>0</v>
      </c>
      <c r="AZ1374" s="0" t="n">
        <v>0</v>
      </c>
      <c r="BA1374" s="0" t="n">
        <v>0</v>
      </c>
      <c r="BB1374" s="0" t="n">
        <v>0</v>
      </c>
      <c r="BC1374" s="0" t="n">
        <v>0</v>
      </c>
      <c r="BD1374" s="0" t="n">
        <v>0</v>
      </c>
      <c r="BE1374" s="0" t="n">
        <v>0</v>
      </c>
      <c r="BF1374" s="0" t="n">
        <v>0</v>
      </c>
      <c r="BG1374" s="0" t="n">
        <v>0</v>
      </c>
      <c r="BH1374" s="0" t="n">
        <v>0</v>
      </c>
      <c r="BI1374" s="0" t="n">
        <v>0</v>
      </c>
      <c r="BJ1374" s="0" t="n">
        <v>0</v>
      </c>
      <c r="BK1374" s="0" t="n">
        <v>0</v>
      </c>
      <c r="BM1374" s="6" t="n">
        <f aca="false">IFERROR(VALUE(F1374),"")</f>
        <v>218.58</v>
      </c>
      <c r="BN1374" s="6" t="str">
        <f aca="false">IF(R1374="-","",IFERROR(VALUE(LEFT(Q1374,LEN(Q1374)-2)),""))</f>
        <v/>
      </c>
      <c r="BO1374" s="6" t="str">
        <f aca="false">IF(R1374="-","",IFERROR(VALUE(LEFT(R1374,LEN(R1374)-5)),""))</f>
        <v/>
      </c>
      <c r="BP1374" s="6" t="str">
        <f aca="false">IF(R1374="-","",IFERROR(VALUE(F1374),""))</f>
        <v/>
      </c>
      <c r="BQ1374" s="4" t="n">
        <f aca="false">IF(R1374="-",1,0)</f>
        <v>1</v>
      </c>
    </row>
    <row r="1375" customFormat="false" ht="15" hidden="false" customHeight="false" outlineLevel="0" collapsed="false">
      <c r="A1375" s="0" t="s">
        <v>5249</v>
      </c>
      <c r="B1375" s="0" t="s">
        <v>5250</v>
      </c>
      <c r="C1375" s="0" t="s">
        <v>70</v>
      </c>
      <c r="D1375" s="0" t="s">
        <v>5251</v>
      </c>
      <c r="E1375" s="3" t="n">
        <v>46274</v>
      </c>
      <c r="F1375" s="4" t="s">
        <v>5255</v>
      </c>
      <c r="G1375" s="5" t="n">
        <v>0.197048611111111</v>
      </c>
      <c r="H1375" s="5" t="n">
        <v>0.189513888888889</v>
      </c>
      <c r="I1375" s="5" t="n">
        <v>0.000694444444444445</v>
      </c>
      <c r="J1375" s="0" t="n">
        <v>0</v>
      </c>
      <c r="K1375" s="0" t="n">
        <v>2</v>
      </c>
      <c r="L1375" s="0" t="n">
        <v>0</v>
      </c>
      <c r="M1375" s="0" t="n">
        <v>0</v>
      </c>
      <c r="N1375" s="0" t="n">
        <v>2</v>
      </c>
      <c r="O1375" s="5" t="n">
        <v>0</v>
      </c>
      <c r="P1375" s="5" t="n">
        <v>0</v>
      </c>
      <c r="Q1375" s="4" t="s">
        <v>73</v>
      </c>
      <c r="R1375" s="4" t="s">
        <v>73</v>
      </c>
      <c r="S1375" s="5" t="n">
        <v>0</v>
      </c>
      <c r="T1375" s="5" t="n">
        <v>0</v>
      </c>
      <c r="U1375" s="5" t="n">
        <v>0</v>
      </c>
      <c r="V1375" s="5" t="n">
        <v>0</v>
      </c>
      <c r="W1375" s="5" t="n">
        <v>0</v>
      </c>
      <c r="X1375" s="5" t="n">
        <v>0</v>
      </c>
      <c r="Y1375" s="5" t="n">
        <v>0</v>
      </c>
      <c r="Z1375" s="0" t="n">
        <v>0</v>
      </c>
      <c r="AA1375" s="0" t="n">
        <v>0</v>
      </c>
      <c r="AB1375" s="0" t="n">
        <v>0</v>
      </c>
      <c r="AC1375" s="4" t="s">
        <v>158</v>
      </c>
      <c r="AD1375" s="4" t="s">
        <v>158</v>
      </c>
      <c r="AE1375" s="4" t="s">
        <v>5254</v>
      </c>
      <c r="AF1375" s="4" t="s">
        <v>5256</v>
      </c>
      <c r="AG1375" s="5" t="n">
        <v>0.177696759259259</v>
      </c>
      <c r="AH1375" s="5" t="n">
        <v>0.055462962962963</v>
      </c>
      <c r="AI1375" s="5" t="n">
        <v>0</v>
      </c>
      <c r="AJ1375" s="5" t="n">
        <v>0</v>
      </c>
      <c r="AK1375" s="5" t="n">
        <v>0</v>
      </c>
      <c r="AL1375" s="5" t="n">
        <v>0</v>
      </c>
      <c r="AM1375" s="4" t="s">
        <v>78</v>
      </c>
      <c r="AN1375" s="0" t="n">
        <v>0</v>
      </c>
      <c r="AO1375" s="0" t="n">
        <v>0</v>
      </c>
      <c r="AP1375" s="0" t="n">
        <v>0</v>
      </c>
      <c r="AQ1375" s="0" t="n">
        <v>0</v>
      </c>
      <c r="AR1375" s="0" t="n">
        <v>0</v>
      </c>
      <c r="AS1375" s="0" t="n">
        <v>0</v>
      </c>
      <c r="AT1375" s="0" t="n">
        <v>0</v>
      </c>
      <c r="AU1375" s="0" t="n">
        <v>0</v>
      </c>
      <c r="AV1375" s="0" t="n">
        <v>0</v>
      </c>
      <c r="AW1375" s="0" t="n">
        <v>0</v>
      </c>
      <c r="AX1375" s="0" t="n">
        <v>0</v>
      </c>
      <c r="AY1375" s="0" t="n">
        <v>0</v>
      </c>
      <c r="AZ1375" s="0" t="n">
        <v>0</v>
      </c>
      <c r="BA1375" s="0" t="n">
        <v>0</v>
      </c>
      <c r="BB1375" s="0" t="n">
        <v>0</v>
      </c>
      <c r="BC1375" s="0" t="n">
        <v>0</v>
      </c>
      <c r="BD1375" s="0" t="n">
        <v>0</v>
      </c>
      <c r="BE1375" s="0" t="n">
        <v>0</v>
      </c>
      <c r="BF1375" s="0" t="n">
        <v>0</v>
      </c>
      <c r="BG1375" s="0" t="n">
        <v>0</v>
      </c>
      <c r="BH1375" s="0" t="n">
        <v>0</v>
      </c>
      <c r="BI1375" s="0" t="n">
        <v>0</v>
      </c>
      <c r="BJ1375" s="0" t="n">
        <v>0</v>
      </c>
      <c r="BK1375" s="0" t="n">
        <v>0</v>
      </c>
      <c r="BM1375" s="6" t="n">
        <f aca="false">IFERROR(VALUE(F1375),"")</f>
        <v>143.63</v>
      </c>
      <c r="BN1375" s="6" t="str">
        <f aca="false">IF(R1375="-","",IFERROR(VALUE(LEFT(Q1375,LEN(Q1375)-2)),""))</f>
        <v/>
      </c>
      <c r="BO1375" s="6" t="str">
        <f aca="false">IF(R1375="-","",IFERROR(VALUE(LEFT(R1375,LEN(R1375)-5)),""))</f>
        <v/>
      </c>
      <c r="BP1375" s="6" t="str">
        <f aca="false">IF(R1375="-","",IFERROR(VALUE(F1375),""))</f>
        <v/>
      </c>
      <c r="BQ1375" s="4" t="n">
        <f aca="false">IF(R1375="-",1,0)</f>
        <v>1</v>
      </c>
    </row>
    <row r="1376" customFormat="false" ht="15" hidden="false" customHeight="false" outlineLevel="0" collapsed="false">
      <c r="A1376" s="0" t="s">
        <v>5249</v>
      </c>
      <c r="B1376" s="0" t="s">
        <v>5250</v>
      </c>
      <c r="C1376" s="0" t="s">
        <v>70</v>
      </c>
      <c r="D1376" s="0" t="s">
        <v>5251</v>
      </c>
      <c r="E1376" s="3" t="n">
        <v>46275</v>
      </c>
      <c r="F1376" s="4" t="s">
        <v>5257</v>
      </c>
      <c r="G1376" s="5" t="n">
        <v>0.235659722222222</v>
      </c>
      <c r="H1376" s="5" t="n">
        <v>0.219710648148148</v>
      </c>
      <c r="I1376" s="5" t="n">
        <v>0.00056712962962963</v>
      </c>
      <c r="J1376" s="0" t="n">
        <v>0</v>
      </c>
      <c r="K1376" s="0" t="n">
        <v>1</v>
      </c>
      <c r="L1376" s="0" t="n">
        <v>0</v>
      </c>
      <c r="M1376" s="0" t="n">
        <v>0</v>
      </c>
      <c r="N1376" s="0" t="n">
        <v>6</v>
      </c>
      <c r="O1376" s="5" t="n">
        <v>0</v>
      </c>
      <c r="P1376" s="5" t="n">
        <v>0</v>
      </c>
      <c r="Q1376" s="4" t="s">
        <v>73</v>
      </c>
      <c r="R1376" s="4" t="s">
        <v>73</v>
      </c>
      <c r="S1376" s="5" t="n">
        <v>0</v>
      </c>
      <c r="T1376" s="5" t="n">
        <v>0</v>
      </c>
      <c r="U1376" s="5" t="n">
        <v>0</v>
      </c>
      <c r="V1376" s="5" t="n">
        <v>0</v>
      </c>
      <c r="W1376" s="5" t="n">
        <v>0</v>
      </c>
      <c r="X1376" s="5" t="n">
        <v>0</v>
      </c>
      <c r="Y1376" s="5" t="n">
        <v>0</v>
      </c>
      <c r="Z1376" s="0" t="n">
        <v>0</v>
      </c>
      <c r="AA1376" s="0" t="n">
        <v>0</v>
      </c>
      <c r="AB1376" s="0" t="n">
        <v>0</v>
      </c>
      <c r="AC1376" s="4" t="s">
        <v>158</v>
      </c>
      <c r="AD1376" s="4" t="s">
        <v>158</v>
      </c>
      <c r="AE1376" s="4" t="s">
        <v>5256</v>
      </c>
      <c r="AF1376" s="4" t="s">
        <v>5258</v>
      </c>
      <c r="AG1376" s="5" t="n">
        <v>0.219756944444444</v>
      </c>
      <c r="AH1376" s="5" t="n">
        <v>0.124074074074074</v>
      </c>
      <c r="AI1376" s="5" t="n">
        <v>0</v>
      </c>
      <c r="AJ1376" s="5" t="n">
        <v>0</v>
      </c>
      <c r="AK1376" s="5" t="n">
        <v>0</v>
      </c>
      <c r="AL1376" s="5" t="n">
        <v>0</v>
      </c>
      <c r="AM1376" s="4" t="s">
        <v>78</v>
      </c>
      <c r="AN1376" s="0" t="n">
        <v>0</v>
      </c>
      <c r="AO1376" s="0" t="n">
        <v>0</v>
      </c>
      <c r="AP1376" s="0" t="n">
        <v>0</v>
      </c>
      <c r="AQ1376" s="0" t="n">
        <v>0</v>
      </c>
      <c r="AR1376" s="0" t="n">
        <v>1</v>
      </c>
      <c r="AS1376" s="0" t="n">
        <v>0</v>
      </c>
      <c r="AT1376" s="0" t="n">
        <v>0</v>
      </c>
      <c r="AU1376" s="0" t="n">
        <v>0</v>
      </c>
      <c r="AV1376" s="0" t="n">
        <v>0</v>
      </c>
      <c r="AW1376" s="0" t="n">
        <v>0</v>
      </c>
      <c r="AX1376" s="0" t="n">
        <v>0</v>
      </c>
      <c r="AY1376" s="0" t="n">
        <v>0</v>
      </c>
      <c r="AZ1376" s="0" t="n">
        <v>0</v>
      </c>
      <c r="BA1376" s="0" t="n">
        <v>0</v>
      </c>
      <c r="BB1376" s="0" t="n">
        <v>0</v>
      </c>
      <c r="BC1376" s="0" t="n">
        <v>0</v>
      </c>
      <c r="BD1376" s="0" t="n">
        <v>0</v>
      </c>
      <c r="BE1376" s="0" t="n">
        <v>0</v>
      </c>
      <c r="BF1376" s="0" t="n">
        <v>0</v>
      </c>
      <c r="BG1376" s="0" t="n">
        <v>0</v>
      </c>
      <c r="BH1376" s="0" t="n">
        <v>0</v>
      </c>
      <c r="BI1376" s="0" t="n">
        <v>0</v>
      </c>
      <c r="BJ1376" s="0" t="n">
        <v>0</v>
      </c>
      <c r="BK1376" s="0" t="n">
        <v>0</v>
      </c>
      <c r="BM1376" s="6" t="n">
        <f aca="false">IFERROR(VALUE(F1376),"")</f>
        <v>172.77</v>
      </c>
      <c r="BN1376" s="6" t="str">
        <f aca="false">IF(R1376="-","",IFERROR(VALUE(LEFT(Q1376,LEN(Q1376)-2)),""))</f>
        <v/>
      </c>
      <c r="BO1376" s="6" t="str">
        <f aca="false">IF(R1376="-","",IFERROR(VALUE(LEFT(R1376,LEN(R1376)-5)),""))</f>
        <v/>
      </c>
      <c r="BP1376" s="6" t="str">
        <f aca="false">IF(R1376="-","",IFERROR(VALUE(F1376),""))</f>
        <v/>
      </c>
      <c r="BQ1376" s="4" t="n">
        <f aca="false">IF(R1376="-",1,0)</f>
        <v>1</v>
      </c>
    </row>
    <row r="1377" customFormat="false" ht="15" hidden="false" customHeight="false" outlineLevel="0" collapsed="false">
      <c r="A1377" s="0" t="s">
        <v>5249</v>
      </c>
      <c r="B1377" s="0" t="s">
        <v>5250</v>
      </c>
      <c r="C1377" s="0" t="s">
        <v>70</v>
      </c>
      <c r="D1377" s="0" t="s">
        <v>5251</v>
      </c>
      <c r="E1377" s="3" t="n">
        <v>46276</v>
      </c>
      <c r="F1377" s="4" t="s">
        <v>5259</v>
      </c>
      <c r="G1377" s="5" t="n">
        <v>0.180104166666667</v>
      </c>
      <c r="H1377" s="5" t="n">
        <v>0.178055555555556</v>
      </c>
      <c r="I1377" s="5" t="n">
        <v>5.78703703703704E-005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1</v>
      </c>
      <c r="O1377" s="5" t="n">
        <v>0</v>
      </c>
      <c r="P1377" s="5" t="n">
        <v>0</v>
      </c>
      <c r="Q1377" s="4" t="s">
        <v>73</v>
      </c>
      <c r="R1377" s="4" t="s">
        <v>73</v>
      </c>
      <c r="S1377" s="5" t="n">
        <v>0</v>
      </c>
      <c r="T1377" s="5" t="n">
        <v>0</v>
      </c>
      <c r="U1377" s="5" t="n">
        <v>0</v>
      </c>
      <c r="V1377" s="5" t="n">
        <v>0</v>
      </c>
      <c r="W1377" s="5" t="n">
        <v>0</v>
      </c>
      <c r="X1377" s="5" t="n">
        <v>0</v>
      </c>
      <c r="Y1377" s="5" t="n">
        <v>0</v>
      </c>
      <c r="Z1377" s="0" t="n">
        <v>0</v>
      </c>
      <c r="AA1377" s="0" t="n">
        <v>0</v>
      </c>
      <c r="AB1377" s="0" t="n">
        <v>0</v>
      </c>
      <c r="AC1377" s="4" t="s">
        <v>158</v>
      </c>
      <c r="AD1377" s="4" t="s">
        <v>158</v>
      </c>
      <c r="AE1377" s="4" t="s">
        <v>5258</v>
      </c>
      <c r="AF1377" s="4" t="s">
        <v>5260</v>
      </c>
      <c r="AG1377" s="5" t="n">
        <v>0.171631944444444</v>
      </c>
      <c r="AH1377" s="5" t="n">
        <v>0.0895023148148148</v>
      </c>
      <c r="AI1377" s="5" t="n">
        <v>0</v>
      </c>
      <c r="AJ1377" s="5" t="n">
        <v>0</v>
      </c>
      <c r="AK1377" s="5" t="n">
        <v>0</v>
      </c>
      <c r="AL1377" s="5" t="n">
        <v>0</v>
      </c>
      <c r="AM1377" s="4" t="s">
        <v>78</v>
      </c>
      <c r="AN1377" s="0" t="n">
        <v>0</v>
      </c>
      <c r="AO1377" s="0" t="n">
        <v>0</v>
      </c>
      <c r="AP1377" s="0" t="n">
        <v>0</v>
      </c>
      <c r="AQ1377" s="0" t="n">
        <v>0</v>
      </c>
      <c r="AR1377" s="0" t="n">
        <v>1</v>
      </c>
      <c r="AS1377" s="0" t="n">
        <v>0</v>
      </c>
      <c r="AT1377" s="0" t="n">
        <v>0</v>
      </c>
      <c r="AU1377" s="0" t="n">
        <v>0</v>
      </c>
      <c r="AV1377" s="0" t="n">
        <v>0</v>
      </c>
      <c r="AW1377" s="0" t="n">
        <v>0</v>
      </c>
      <c r="AX1377" s="0" t="n">
        <v>0</v>
      </c>
      <c r="AY1377" s="0" t="n">
        <v>0</v>
      </c>
      <c r="AZ1377" s="0" t="n">
        <v>0</v>
      </c>
      <c r="BA1377" s="0" t="n">
        <v>0</v>
      </c>
      <c r="BB1377" s="0" t="n">
        <v>0</v>
      </c>
      <c r="BC1377" s="0" t="n">
        <v>0</v>
      </c>
      <c r="BD1377" s="0" t="n">
        <v>0</v>
      </c>
      <c r="BE1377" s="0" t="n">
        <v>0</v>
      </c>
      <c r="BF1377" s="0" t="n">
        <v>0</v>
      </c>
      <c r="BG1377" s="0" t="n">
        <v>0</v>
      </c>
      <c r="BH1377" s="0" t="n">
        <v>0</v>
      </c>
      <c r="BI1377" s="0" t="n">
        <v>0</v>
      </c>
      <c r="BJ1377" s="0" t="n">
        <v>0</v>
      </c>
      <c r="BK1377" s="0" t="n">
        <v>0</v>
      </c>
      <c r="BM1377" s="6" t="n">
        <f aca="false">IFERROR(VALUE(F1377),"")</f>
        <v>140.55</v>
      </c>
      <c r="BN1377" s="6" t="str">
        <f aca="false">IF(R1377="-","",IFERROR(VALUE(LEFT(Q1377,LEN(Q1377)-2)),""))</f>
        <v/>
      </c>
      <c r="BO1377" s="6" t="str">
        <f aca="false">IF(R1377="-","",IFERROR(VALUE(LEFT(R1377,LEN(R1377)-5)),""))</f>
        <v/>
      </c>
      <c r="BP1377" s="6" t="str">
        <f aca="false">IF(R1377="-","",IFERROR(VALUE(F1377),""))</f>
        <v/>
      </c>
      <c r="BQ1377" s="4" t="n">
        <f aca="false">IF(R1377="-",1,0)</f>
        <v>1</v>
      </c>
    </row>
    <row r="1378" customFormat="false" ht="15" hidden="false" customHeight="false" outlineLevel="0" collapsed="false">
      <c r="A1378" s="0" t="s">
        <v>5249</v>
      </c>
      <c r="B1378" s="0" t="s">
        <v>5250</v>
      </c>
      <c r="C1378" s="0" t="s">
        <v>70</v>
      </c>
      <c r="E1378" s="3" t="n">
        <v>46277</v>
      </c>
      <c r="F1378" s="4" t="s">
        <v>95</v>
      </c>
      <c r="G1378" s="5" t="n">
        <v>4.62962962962963E-005</v>
      </c>
      <c r="H1378" s="5" t="n">
        <v>0</v>
      </c>
      <c r="I1378" s="5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5" t="n">
        <v>0</v>
      </c>
      <c r="P1378" s="5" t="n">
        <v>0</v>
      </c>
      <c r="Q1378" s="4" t="s">
        <v>73</v>
      </c>
      <c r="R1378" s="4" t="s">
        <v>73</v>
      </c>
      <c r="S1378" s="5" t="n">
        <v>0</v>
      </c>
      <c r="T1378" s="5" t="n">
        <v>0</v>
      </c>
      <c r="U1378" s="5" t="n">
        <v>0</v>
      </c>
      <c r="V1378" s="5" t="n">
        <v>0</v>
      </c>
      <c r="W1378" s="5" t="n">
        <v>0</v>
      </c>
      <c r="X1378" s="5" t="n">
        <v>0</v>
      </c>
      <c r="Y1378" s="5" t="n">
        <v>0</v>
      </c>
      <c r="Z1378" s="0" t="n">
        <v>0</v>
      </c>
      <c r="AA1378" s="0" t="n">
        <v>0</v>
      </c>
      <c r="AB1378" s="0" t="n">
        <v>0</v>
      </c>
      <c r="AC1378" s="4" t="s">
        <v>158</v>
      </c>
      <c r="AD1378" s="4" t="s">
        <v>158</v>
      </c>
      <c r="AE1378" s="4" t="s">
        <v>5260</v>
      </c>
      <c r="AF1378" s="4" t="s">
        <v>5260</v>
      </c>
      <c r="AG1378" s="5" t="n">
        <v>0</v>
      </c>
      <c r="AH1378" s="5" t="n">
        <v>0.000914351851851852</v>
      </c>
      <c r="AI1378" s="5" t="n">
        <v>0</v>
      </c>
      <c r="AJ1378" s="5" t="n">
        <v>0</v>
      </c>
      <c r="AK1378" s="5" t="n">
        <v>0</v>
      </c>
      <c r="AL1378" s="5" t="n">
        <v>0</v>
      </c>
      <c r="AM1378" s="4" t="s">
        <v>78</v>
      </c>
      <c r="AN1378" s="0" t="n">
        <v>0</v>
      </c>
      <c r="AO1378" s="0" t="n">
        <v>0</v>
      </c>
      <c r="AP1378" s="0" t="n">
        <v>0</v>
      </c>
      <c r="AQ1378" s="0" t="n">
        <v>0</v>
      </c>
      <c r="AR1378" s="0" t="n">
        <v>0</v>
      </c>
      <c r="AS1378" s="0" t="n">
        <v>0</v>
      </c>
      <c r="AT1378" s="0" t="n">
        <v>0</v>
      </c>
      <c r="AU1378" s="0" t="n">
        <v>0</v>
      </c>
      <c r="AV1378" s="0" t="n">
        <v>0</v>
      </c>
      <c r="AW1378" s="0" t="n">
        <v>0</v>
      </c>
      <c r="AX1378" s="0" t="n">
        <v>0</v>
      </c>
      <c r="AY1378" s="0" t="n">
        <v>0</v>
      </c>
      <c r="AZ1378" s="0" t="n">
        <v>0</v>
      </c>
      <c r="BA1378" s="0" t="n">
        <v>0</v>
      </c>
      <c r="BB1378" s="0" t="n">
        <v>0</v>
      </c>
      <c r="BC1378" s="0" t="n">
        <v>0</v>
      </c>
      <c r="BD1378" s="0" t="n">
        <v>0</v>
      </c>
      <c r="BE1378" s="0" t="n">
        <v>0</v>
      </c>
      <c r="BF1378" s="0" t="n">
        <v>0</v>
      </c>
      <c r="BG1378" s="0" t="n">
        <v>0</v>
      </c>
      <c r="BH1378" s="0" t="n">
        <v>0</v>
      </c>
      <c r="BI1378" s="0" t="n">
        <v>0</v>
      </c>
      <c r="BJ1378" s="0" t="n">
        <v>0</v>
      </c>
      <c r="BK1378" s="0" t="n">
        <v>0</v>
      </c>
      <c r="BM1378" s="6" t="n">
        <f aca="false">IFERROR(VALUE(F1378),"")</f>
        <v>0</v>
      </c>
      <c r="BN1378" s="6" t="str">
        <f aca="false">IF(R1378="-","",IFERROR(VALUE(LEFT(Q1378,LEN(Q1378)-2)),""))</f>
        <v/>
      </c>
      <c r="BO1378" s="6" t="str">
        <f aca="false">IF(R1378="-","",IFERROR(VALUE(LEFT(R1378,LEN(R1378)-5)),""))</f>
        <v/>
      </c>
      <c r="BP1378" s="6" t="str">
        <f aca="false">IF(R1378="-","",IFERROR(VALUE(F1378),""))</f>
        <v/>
      </c>
      <c r="BQ1378" s="4" t="n">
        <f aca="false">IF(R1378="-",1,0)</f>
        <v>1</v>
      </c>
    </row>
    <row r="1379" customFormat="false" ht="15" hidden="false" customHeight="false" outlineLevel="0" collapsed="false">
      <c r="A1379" s="0" t="s">
        <v>5249</v>
      </c>
      <c r="B1379" s="0" t="s">
        <v>5250</v>
      </c>
      <c r="C1379" s="0" t="s">
        <v>70</v>
      </c>
      <c r="D1379" s="0" t="s">
        <v>5261</v>
      </c>
      <c r="E1379" s="3" t="n">
        <v>46279</v>
      </c>
      <c r="F1379" s="4" t="s">
        <v>5262</v>
      </c>
      <c r="G1379" s="5" t="n">
        <v>0.296226851851852</v>
      </c>
      <c r="H1379" s="5" t="n">
        <v>0.287916666666667</v>
      </c>
      <c r="I1379" s="5" t="n">
        <v>0.00125</v>
      </c>
      <c r="J1379" s="0" t="n">
        <v>1</v>
      </c>
      <c r="K1379" s="0" t="n">
        <v>3</v>
      </c>
      <c r="L1379" s="0" t="n">
        <v>0</v>
      </c>
      <c r="M1379" s="0" t="n">
        <v>0</v>
      </c>
      <c r="N1379" s="0" t="n">
        <v>3</v>
      </c>
      <c r="O1379" s="5" t="n">
        <v>0</v>
      </c>
      <c r="P1379" s="5" t="n">
        <v>0</v>
      </c>
      <c r="Q1379" s="4" t="s">
        <v>73</v>
      </c>
      <c r="R1379" s="4" t="s">
        <v>73</v>
      </c>
      <c r="S1379" s="5" t="n">
        <v>0</v>
      </c>
      <c r="T1379" s="5" t="n">
        <v>0</v>
      </c>
      <c r="U1379" s="5" t="n">
        <v>0</v>
      </c>
      <c r="V1379" s="5" t="n">
        <v>0</v>
      </c>
      <c r="W1379" s="5" t="n">
        <v>0</v>
      </c>
      <c r="X1379" s="5" t="n">
        <v>0</v>
      </c>
      <c r="Y1379" s="5" t="n">
        <v>0</v>
      </c>
      <c r="Z1379" s="0" t="n">
        <v>0</v>
      </c>
      <c r="AA1379" s="0" t="n">
        <v>0</v>
      </c>
      <c r="AB1379" s="0" t="n">
        <v>0</v>
      </c>
      <c r="AC1379" s="4" t="s">
        <v>158</v>
      </c>
      <c r="AD1379" s="4" t="s">
        <v>158</v>
      </c>
      <c r="AE1379" s="4" t="s">
        <v>5260</v>
      </c>
      <c r="AF1379" s="4" t="s">
        <v>5263</v>
      </c>
      <c r="AG1379" s="5" t="n">
        <v>0.272881944444445</v>
      </c>
      <c r="AH1379" s="5" t="n">
        <v>0.0991898148148148</v>
      </c>
      <c r="AI1379" s="5" t="n">
        <v>0</v>
      </c>
      <c r="AJ1379" s="5" t="n">
        <v>0</v>
      </c>
      <c r="AK1379" s="5" t="n">
        <v>0</v>
      </c>
      <c r="AL1379" s="5" t="n">
        <v>0</v>
      </c>
      <c r="AM1379" s="4" t="s">
        <v>78</v>
      </c>
      <c r="AN1379" s="0" t="n">
        <v>0</v>
      </c>
      <c r="AO1379" s="0" t="n">
        <v>2</v>
      </c>
      <c r="AP1379" s="0" t="n">
        <v>0</v>
      </c>
      <c r="AQ1379" s="0" t="n">
        <v>0</v>
      </c>
      <c r="AR1379" s="0" t="n">
        <v>0</v>
      </c>
      <c r="AS1379" s="0" t="n">
        <v>0</v>
      </c>
      <c r="AT1379" s="0" t="n">
        <v>0</v>
      </c>
      <c r="AU1379" s="0" t="n">
        <v>0</v>
      </c>
      <c r="AV1379" s="0" t="n">
        <v>0</v>
      </c>
      <c r="AW1379" s="0" t="n">
        <v>0</v>
      </c>
      <c r="AX1379" s="0" t="n">
        <v>0</v>
      </c>
      <c r="AY1379" s="0" t="n">
        <v>0</v>
      </c>
      <c r="AZ1379" s="0" t="n">
        <v>0</v>
      </c>
      <c r="BA1379" s="0" t="n">
        <v>0</v>
      </c>
      <c r="BB1379" s="0" t="n">
        <v>0</v>
      </c>
      <c r="BC1379" s="0" t="n">
        <v>0</v>
      </c>
      <c r="BD1379" s="0" t="n">
        <v>0</v>
      </c>
      <c r="BE1379" s="0" t="n">
        <v>0</v>
      </c>
      <c r="BF1379" s="0" t="n">
        <v>0</v>
      </c>
      <c r="BG1379" s="0" t="n">
        <v>0</v>
      </c>
      <c r="BH1379" s="0" t="n">
        <v>0</v>
      </c>
      <c r="BI1379" s="0" t="n">
        <v>0</v>
      </c>
      <c r="BJ1379" s="0" t="n">
        <v>0</v>
      </c>
      <c r="BK1379" s="0" t="n">
        <v>0</v>
      </c>
      <c r="BM1379" s="6" t="n">
        <f aca="false">IFERROR(VALUE(F1379),"")</f>
        <v>203.13</v>
      </c>
      <c r="BN1379" s="6" t="str">
        <f aca="false">IF(R1379="-","",IFERROR(VALUE(LEFT(Q1379,LEN(Q1379)-2)),""))</f>
        <v/>
      </c>
      <c r="BO1379" s="6" t="str">
        <f aca="false">IF(R1379="-","",IFERROR(VALUE(LEFT(R1379,LEN(R1379)-5)),""))</f>
        <v/>
      </c>
      <c r="BP1379" s="6" t="str">
        <f aca="false">IF(R1379="-","",IFERROR(VALUE(F1379),""))</f>
        <v/>
      </c>
      <c r="BQ1379" s="4" t="n">
        <f aca="false">IF(R1379="-",1,0)</f>
        <v>1</v>
      </c>
    </row>
    <row r="1380" customFormat="false" ht="15" hidden="false" customHeight="false" outlineLevel="0" collapsed="false">
      <c r="A1380" s="0" t="s">
        <v>5264</v>
      </c>
      <c r="B1380" s="0" t="s">
        <v>5265</v>
      </c>
      <c r="C1380" s="0" t="s">
        <v>70</v>
      </c>
      <c r="D1380" s="0" t="s">
        <v>5266</v>
      </c>
      <c r="E1380" s="3" t="n">
        <v>46273</v>
      </c>
      <c r="F1380" s="4" t="s">
        <v>5267</v>
      </c>
      <c r="G1380" s="5" t="n">
        <v>0.162523148148148</v>
      </c>
      <c r="H1380" s="5" t="n">
        <v>0.162222222222222</v>
      </c>
      <c r="I1380" s="5" t="n">
        <v>0.000150462962962963</v>
      </c>
      <c r="J1380" s="0" t="n">
        <v>0</v>
      </c>
      <c r="K1380" s="0" t="n">
        <v>2</v>
      </c>
      <c r="L1380" s="0" t="n">
        <v>0</v>
      </c>
      <c r="M1380" s="0" t="n">
        <v>0</v>
      </c>
      <c r="N1380" s="0" t="n">
        <v>3</v>
      </c>
      <c r="O1380" s="5" t="n">
        <v>0</v>
      </c>
      <c r="P1380" s="5" t="n">
        <v>0</v>
      </c>
      <c r="Q1380" s="4" t="s">
        <v>73</v>
      </c>
      <c r="R1380" s="4" t="s">
        <v>73</v>
      </c>
      <c r="S1380" s="5" t="n">
        <v>0</v>
      </c>
      <c r="T1380" s="5" t="n">
        <v>0</v>
      </c>
      <c r="U1380" s="5" t="n">
        <v>0</v>
      </c>
      <c r="V1380" s="5" t="n">
        <v>0</v>
      </c>
      <c r="W1380" s="5" t="n">
        <v>0</v>
      </c>
      <c r="X1380" s="5" t="n">
        <v>0</v>
      </c>
      <c r="Y1380" s="5" t="n">
        <v>0</v>
      </c>
      <c r="Z1380" s="0" t="n">
        <v>0</v>
      </c>
      <c r="AA1380" s="0" t="n">
        <v>0</v>
      </c>
      <c r="AB1380" s="0" t="n">
        <v>0</v>
      </c>
      <c r="AC1380" s="4" t="s">
        <v>158</v>
      </c>
      <c r="AD1380" s="4" t="s">
        <v>5238</v>
      </c>
      <c r="AE1380" s="4" t="s">
        <v>5268</v>
      </c>
      <c r="AF1380" s="4" t="s">
        <v>5269</v>
      </c>
      <c r="AG1380" s="5" t="n">
        <v>0.144421296296296</v>
      </c>
      <c r="AH1380" s="5" t="n">
        <v>0.065150462962963</v>
      </c>
      <c r="AI1380" s="5" t="n">
        <v>0</v>
      </c>
      <c r="AJ1380" s="5" t="n">
        <v>0</v>
      </c>
      <c r="AK1380" s="5" t="n">
        <v>0</v>
      </c>
      <c r="AL1380" s="5" t="n">
        <v>0</v>
      </c>
      <c r="AM1380" s="4" t="s">
        <v>78</v>
      </c>
      <c r="AN1380" s="0" t="n">
        <v>0</v>
      </c>
      <c r="AO1380" s="0" t="n">
        <v>0</v>
      </c>
      <c r="AP1380" s="0" t="n">
        <v>0</v>
      </c>
      <c r="AQ1380" s="0" t="n">
        <v>0</v>
      </c>
      <c r="AR1380" s="0" t="n">
        <v>1</v>
      </c>
      <c r="AS1380" s="0" t="n">
        <v>0</v>
      </c>
      <c r="AT1380" s="0" t="n">
        <v>0</v>
      </c>
      <c r="AU1380" s="0" t="n">
        <v>0</v>
      </c>
      <c r="AV1380" s="0" t="n">
        <v>0</v>
      </c>
      <c r="AW1380" s="0" t="n">
        <v>0</v>
      </c>
      <c r="AX1380" s="0" t="n">
        <v>0</v>
      </c>
      <c r="AY1380" s="0" t="n">
        <v>0</v>
      </c>
      <c r="AZ1380" s="0" t="n">
        <v>0</v>
      </c>
      <c r="BA1380" s="0" t="n">
        <v>0</v>
      </c>
      <c r="BB1380" s="0" t="n">
        <v>0</v>
      </c>
      <c r="BC1380" s="0" t="n">
        <v>0</v>
      </c>
      <c r="BD1380" s="0" t="n">
        <v>0</v>
      </c>
      <c r="BE1380" s="0" t="n">
        <v>0</v>
      </c>
      <c r="BF1380" s="0" t="n">
        <v>0</v>
      </c>
      <c r="BG1380" s="0" t="n">
        <v>0</v>
      </c>
      <c r="BH1380" s="0" t="n">
        <v>0</v>
      </c>
      <c r="BI1380" s="0" t="n">
        <v>0</v>
      </c>
      <c r="BJ1380" s="0" t="n">
        <v>0</v>
      </c>
      <c r="BK1380" s="0" t="n">
        <v>0</v>
      </c>
      <c r="BM1380" s="6" t="n">
        <f aca="false">IFERROR(VALUE(F1380),"")</f>
        <v>136.54</v>
      </c>
      <c r="BN1380" s="6" t="str">
        <f aca="false">IF(R1380="-","",IFERROR(VALUE(LEFT(Q1380,LEN(Q1380)-2)),""))</f>
        <v/>
      </c>
      <c r="BO1380" s="6" t="str">
        <f aca="false">IF(R1380="-","",IFERROR(VALUE(LEFT(R1380,LEN(R1380)-5)),""))</f>
        <v/>
      </c>
      <c r="BP1380" s="6" t="str">
        <f aca="false">IF(R1380="-","",IFERROR(VALUE(F1380),""))</f>
        <v/>
      </c>
      <c r="BQ1380" s="4" t="n">
        <f aca="false">IF(R1380="-",1,0)</f>
        <v>1</v>
      </c>
    </row>
    <row r="1381" customFormat="false" ht="15" hidden="false" customHeight="false" outlineLevel="0" collapsed="false">
      <c r="A1381" s="0" t="s">
        <v>5264</v>
      </c>
      <c r="B1381" s="0" t="s">
        <v>5265</v>
      </c>
      <c r="C1381" s="0" t="s">
        <v>70</v>
      </c>
      <c r="D1381" s="0" t="s">
        <v>5266</v>
      </c>
      <c r="E1381" s="3" t="n">
        <v>46274</v>
      </c>
      <c r="F1381" s="4" t="s">
        <v>5270</v>
      </c>
      <c r="G1381" s="5" t="n">
        <v>0.156377314814815</v>
      </c>
      <c r="H1381" s="5" t="n">
        <v>0.15568287037037</v>
      </c>
      <c r="I1381" s="5" t="n">
        <v>0.000289351851851852</v>
      </c>
      <c r="J1381" s="0" t="n">
        <v>2</v>
      </c>
      <c r="K1381" s="0" t="n">
        <v>3</v>
      </c>
      <c r="L1381" s="0" t="n">
        <v>0</v>
      </c>
      <c r="M1381" s="0" t="n">
        <v>0</v>
      </c>
      <c r="N1381" s="0" t="n">
        <v>6</v>
      </c>
      <c r="O1381" s="5" t="n">
        <v>0</v>
      </c>
      <c r="P1381" s="5" t="n">
        <v>0</v>
      </c>
      <c r="Q1381" s="4" t="s">
        <v>73</v>
      </c>
      <c r="R1381" s="4" t="s">
        <v>73</v>
      </c>
      <c r="S1381" s="5" t="n">
        <v>0</v>
      </c>
      <c r="T1381" s="5" t="n">
        <v>0</v>
      </c>
      <c r="U1381" s="5" t="n">
        <v>0</v>
      </c>
      <c r="V1381" s="5" t="n">
        <v>0</v>
      </c>
      <c r="W1381" s="5" t="n">
        <v>0</v>
      </c>
      <c r="X1381" s="5" t="n">
        <v>0</v>
      </c>
      <c r="Y1381" s="5" t="n">
        <v>0</v>
      </c>
      <c r="Z1381" s="0" t="n">
        <v>0</v>
      </c>
      <c r="AA1381" s="0" t="n">
        <v>0</v>
      </c>
      <c r="AB1381" s="0" t="n">
        <v>0</v>
      </c>
      <c r="AC1381" s="4" t="s">
        <v>5238</v>
      </c>
      <c r="AD1381" s="4" t="s">
        <v>5238</v>
      </c>
      <c r="AE1381" s="4" t="s">
        <v>5269</v>
      </c>
      <c r="AF1381" s="4" t="s">
        <v>5271</v>
      </c>
      <c r="AG1381" s="5" t="n">
        <v>0.135798611111111</v>
      </c>
      <c r="AH1381" s="5" t="n">
        <v>0.0915625</v>
      </c>
      <c r="AI1381" s="5" t="n">
        <v>0</v>
      </c>
      <c r="AJ1381" s="5" t="n">
        <v>0</v>
      </c>
      <c r="AK1381" s="5" t="n">
        <v>0</v>
      </c>
      <c r="AL1381" s="5" t="n">
        <v>0</v>
      </c>
      <c r="AM1381" s="4" t="s">
        <v>78</v>
      </c>
      <c r="AN1381" s="0" t="n">
        <v>0</v>
      </c>
      <c r="AO1381" s="0" t="n">
        <v>0</v>
      </c>
      <c r="AP1381" s="0" t="n">
        <v>0</v>
      </c>
      <c r="AQ1381" s="0" t="n">
        <v>0</v>
      </c>
      <c r="AR1381" s="0" t="n">
        <v>1</v>
      </c>
      <c r="AS1381" s="0" t="n">
        <v>0</v>
      </c>
      <c r="AT1381" s="0" t="n">
        <v>0</v>
      </c>
      <c r="AU1381" s="0" t="n">
        <v>0</v>
      </c>
      <c r="AV1381" s="0" t="n">
        <v>0</v>
      </c>
      <c r="AW1381" s="0" t="n">
        <v>0</v>
      </c>
      <c r="AX1381" s="0" t="n">
        <v>0</v>
      </c>
      <c r="AY1381" s="0" t="n">
        <v>0</v>
      </c>
      <c r="AZ1381" s="0" t="n">
        <v>0</v>
      </c>
      <c r="BA1381" s="0" t="n">
        <v>0</v>
      </c>
      <c r="BB1381" s="0" t="n">
        <v>0</v>
      </c>
      <c r="BC1381" s="0" t="n">
        <v>0</v>
      </c>
      <c r="BD1381" s="0" t="n">
        <v>0</v>
      </c>
      <c r="BE1381" s="0" t="n">
        <v>0</v>
      </c>
      <c r="BF1381" s="0" t="n">
        <v>0</v>
      </c>
      <c r="BG1381" s="0" t="n">
        <v>0</v>
      </c>
      <c r="BH1381" s="0" t="n">
        <v>0</v>
      </c>
      <c r="BI1381" s="0" t="n">
        <v>0</v>
      </c>
      <c r="BJ1381" s="0" t="n">
        <v>0</v>
      </c>
      <c r="BK1381" s="0" t="n">
        <v>0</v>
      </c>
      <c r="BM1381" s="6" t="n">
        <f aca="false">IFERROR(VALUE(F1381),"")</f>
        <v>114.09</v>
      </c>
      <c r="BN1381" s="6" t="str">
        <f aca="false">IF(R1381="-","",IFERROR(VALUE(LEFT(Q1381,LEN(Q1381)-2)),""))</f>
        <v/>
      </c>
      <c r="BO1381" s="6" t="str">
        <f aca="false">IF(R1381="-","",IFERROR(VALUE(LEFT(R1381,LEN(R1381)-5)),""))</f>
        <v/>
      </c>
      <c r="BP1381" s="6" t="str">
        <f aca="false">IF(R1381="-","",IFERROR(VALUE(F1381),""))</f>
        <v/>
      </c>
      <c r="BQ1381" s="4" t="n">
        <f aca="false">IF(R1381="-",1,0)</f>
        <v>1</v>
      </c>
    </row>
    <row r="1382" customFormat="false" ht="15" hidden="false" customHeight="false" outlineLevel="0" collapsed="false">
      <c r="A1382" s="0" t="s">
        <v>5264</v>
      </c>
      <c r="B1382" s="0" t="s">
        <v>5265</v>
      </c>
      <c r="C1382" s="0" t="s">
        <v>70</v>
      </c>
      <c r="D1382" s="0" t="s">
        <v>5266</v>
      </c>
      <c r="E1382" s="3" t="n">
        <v>46275</v>
      </c>
      <c r="F1382" s="4" t="s">
        <v>5272</v>
      </c>
      <c r="G1382" s="5" t="n">
        <v>0.153136574074074</v>
      </c>
      <c r="H1382" s="5" t="n">
        <v>0.142916666666667</v>
      </c>
      <c r="I1382" s="5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2</v>
      </c>
      <c r="O1382" s="5" t="n">
        <v>0</v>
      </c>
      <c r="P1382" s="5" t="n">
        <v>0</v>
      </c>
      <c r="Q1382" s="4" t="s">
        <v>73</v>
      </c>
      <c r="R1382" s="4" t="s">
        <v>73</v>
      </c>
      <c r="S1382" s="5" t="n">
        <v>0</v>
      </c>
      <c r="T1382" s="5" t="n">
        <v>0</v>
      </c>
      <c r="U1382" s="5" t="n">
        <v>0</v>
      </c>
      <c r="V1382" s="5" t="n">
        <v>0</v>
      </c>
      <c r="W1382" s="5" t="n">
        <v>0</v>
      </c>
      <c r="X1382" s="5" t="n">
        <v>0</v>
      </c>
      <c r="Y1382" s="5" t="n">
        <v>0</v>
      </c>
      <c r="Z1382" s="0" t="n">
        <v>0</v>
      </c>
      <c r="AA1382" s="0" t="n">
        <v>0</v>
      </c>
      <c r="AB1382" s="0" t="n">
        <v>0</v>
      </c>
      <c r="AC1382" s="4" t="s">
        <v>5238</v>
      </c>
      <c r="AD1382" s="4" t="s">
        <v>5238</v>
      </c>
      <c r="AE1382" s="4" t="s">
        <v>5271</v>
      </c>
      <c r="AF1382" s="4" t="s">
        <v>5273</v>
      </c>
      <c r="AG1382" s="5" t="n">
        <v>0.1284375</v>
      </c>
      <c r="AH1382" s="5" t="n">
        <v>0.0732175925925926</v>
      </c>
      <c r="AI1382" s="5" t="n">
        <v>0</v>
      </c>
      <c r="AJ1382" s="5" t="n">
        <v>0</v>
      </c>
      <c r="AK1382" s="5" t="n">
        <v>0</v>
      </c>
      <c r="AL1382" s="5" t="n">
        <v>0</v>
      </c>
      <c r="AM1382" s="4" t="s">
        <v>78</v>
      </c>
      <c r="AN1382" s="0" t="n">
        <v>0</v>
      </c>
      <c r="AO1382" s="0" t="n">
        <v>0</v>
      </c>
      <c r="AP1382" s="0" t="n">
        <v>0</v>
      </c>
      <c r="AQ1382" s="0" t="n">
        <v>0</v>
      </c>
      <c r="AR1382" s="0" t="n">
        <v>0</v>
      </c>
      <c r="AS1382" s="0" t="n">
        <v>0</v>
      </c>
      <c r="AT1382" s="0" t="n">
        <v>0</v>
      </c>
      <c r="AU1382" s="0" t="n">
        <v>0</v>
      </c>
      <c r="AV1382" s="0" t="n">
        <v>0</v>
      </c>
      <c r="AW1382" s="0" t="n">
        <v>0</v>
      </c>
      <c r="AX1382" s="0" t="n">
        <v>0</v>
      </c>
      <c r="AY1382" s="0" t="n">
        <v>0</v>
      </c>
      <c r="AZ1382" s="0" t="n">
        <v>0</v>
      </c>
      <c r="BA1382" s="0" t="n">
        <v>0</v>
      </c>
      <c r="BB1382" s="0" t="n">
        <v>0</v>
      </c>
      <c r="BC1382" s="0" t="n">
        <v>0</v>
      </c>
      <c r="BD1382" s="0" t="n">
        <v>0</v>
      </c>
      <c r="BE1382" s="0" t="n">
        <v>0</v>
      </c>
      <c r="BF1382" s="0" t="n">
        <v>0</v>
      </c>
      <c r="BG1382" s="0" t="n">
        <v>0</v>
      </c>
      <c r="BH1382" s="0" t="n">
        <v>0</v>
      </c>
      <c r="BI1382" s="0" t="n">
        <v>0</v>
      </c>
      <c r="BJ1382" s="0" t="n">
        <v>0</v>
      </c>
      <c r="BK1382" s="0" t="n">
        <v>0</v>
      </c>
      <c r="BM1382" s="6" t="n">
        <f aca="false">IFERROR(VALUE(F1382),"")</f>
        <v>98.68</v>
      </c>
      <c r="BN1382" s="6" t="str">
        <f aca="false">IF(R1382="-","",IFERROR(VALUE(LEFT(Q1382,LEN(Q1382)-2)),""))</f>
        <v/>
      </c>
      <c r="BO1382" s="6" t="str">
        <f aca="false">IF(R1382="-","",IFERROR(VALUE(LEFT(R1382,LEN(R1382)-5)),""))</f>
        <v/>
      </c>
      <c r="BP1382" s="6" t="str">
        <f aca="false">IF(R1382="-","",IFERROR(VALUE(F1382),""))</f>
        <v/>
      </c>
      <c r="BQ1382" s="4" t="n">
        <f aca="false">IF(R1382="-",1,0)</f>
        <v>1</v>
      </c>
    </row>
    <row r="1383" customFormat="false" ht="15" hidden="false" customHeight="false" outlineLevel="0" collapsed="false">
      <c r="A1383" s="0" t="s">
        <v>5264</v>
      </c>
      <c r="B1383" s="0" t="s">
        <v>5265</v>
      </c>
      <c r="C1383" s="0" t="s">
        <v>70</v>
      </c>
      <c r="D1383" s="0" t="s">
        <v>5266</v>
      </c>
      <c r="E1383" s="3" t="n">
        <v>46276</v>
      </c>
      <c r="F1383" s="4" t="s">
        <v>1614</v>
      </c>
      <c r="G1383" s="5" t="n">
        <v>0.163275462962963</v>
      </c>
      <c r="H1383" s="5" t="n">
        <v>0.158263888888889</v>
      </c>
      <c r="I1383" s="5" t="n">
        <v>0.000405092592592593</v>
      </c>
      <c r="J1383" s="0" t="n">
        <v>0</v>
      </c>
      <c r="K1383" s="0" t="n">
        <v>4</v>
      </c>
      <c r="L1383" s="0" t="n">
        <v>0</v>
      </c>
      <c r="M1383" s="0" t="n">
        <v>0</v>
      </c>
      <c r="N1383" s="0" t="n">
        <v>1</v>
      </c>
      <c r="O1383" s="5" t="n">
        <v>0</v>
      </c>
      <c r="P1383" s="5" t="n">
        <v>0</v>
      </c>
      <c r="Q1383" s="4" t="s">
        <v>73</v>
      </c>
      <c r="R1383" s="4" t="s">
        <v>73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  <c r="X1383" s="5" t="n">
        <v>0</v>
      </c>
      <c r="Y1383" s="5" t="n">
        <v>0</v>
      </c>
      <c r="Z1383" s="0" t="n">
        <v>0</v>
      </c>
      <c r="AA1383" s="0" t="n">
        <v>0</v>
      </c>
      <c r="AB1383" s="0" t="n">
        <v>0</v>
      </c>
      <c r="AC1383" s="4" t="s">
        <v>5238</v>
      </c>
      <c r="AD1383" s="4" t="s">
        <v>158</v>
      </c>
      <c r="AE1383" s="4" t="s">
        <v>5273</v>
      </c>
      <c r="AF1383" s="4" t="s">
        <v>5274</v>
      </c>
      <c r="AG1383" s="5" t="n">
        <v>0.145451388888889</v>
      </c>
      <c r="AH1383" s="5" t="n">
        <v>0.176712962962963</v>
      </c>
      <c r="AI1383" s="5" t="n">
        <v>0</v>
      </c>
      <c r="AJ1383" s="5" t="n">
        <v>0</v>
      </c>
      <c r="AK1383" s="5" t="n">
        <v>0</v>
      </c>
      <c r="AL1383" s="5" t="n">
        <v>0</v>
      </c>
      <c r="AM1383" s="4" t="s">
        <v>78</v>
      </c>
      <c r="AN1383" s="0" t="n">
        <v>0</v>
      </c>
      <c r="AO1383" s="0" t="n">
        <v>0</v>
      </c>
      <c r="AP1383" s="0" t="n">
        <v>0</v>
      </c>
      <c r="AQ1383" s="0" t="n">
        <v>0</v>
      </c>
      <c r="AR1383" s="0" t="n">
        <v>0</v>
      </c>
      <c r="AS1383" s="0" t="n">
        <v>0</v>
      </c>
      <c r="AT1383" s="0" t="n">
        <v>0</v>
      </c>
      <c r="AU1383" s="0" t="n">
        <v>0</v>
      </c>
      <c r="AV1383" s="0" t="n">
        <v>0</v>
      </c>
      <c r="AW1383" s="0" t="n">
        <v>0</v>
      </c>
      <c r="AX1383" s="0" t="n">
        <v>0</v>
      </c>
      <c r="AY1383" s="0" t="n">
        <v>0</v>
      </c>
      <c r="AZ1383" s="0" t="n">
        <v>0</v>
      </c>
      <c r="BA1383" s="0" t="n">
        <v>0</v>
      </c>
      <c r="BB1383" s="0" t="n">
        <v>0</v>
      </c>
      <c r="BC1383" s="0" t="n">
        <v>0</v>
      </c>
      <c r="BD1383" s="0" t="n">
        <v>0</v>
      </c>
      <c r="BE1383" s="0" t="n">
        <v>0</v>
      </c>
      <c r="BF1383" s="0" t="n">
        <v>0</v>
      </c>
      <c r="BG1383" s="0" t="n">
        <v>0</v>
      </c>
      <c r="BH1383" s="0" t="n">
        <v>0</v>
      </c>
      <c r="BI1383" s="0" t="n">
        <v>0</v>
      </c>
      <c r="BJ1383" s="0" t="n">
        <v>0</v>
      </c>
      <c r="BK1383" s="0" t="n">
        <v>0</v>
      </c>
      <c r="BM1383" s="6" t="n">
        <f aca="false">IFERROR(VALUE(F1383),"")</f>
        <v>136.87</v>
      </c>
      <c r="BN1383" s="6" t="str">
        <f aca="false">IF(R1383="-","",IFERROR(VALUE(LEFT(Q1383,LEN(Q1383)-2)),""))</f>
        <v/>
      </c>
      <c r="BO1383" s="6" t="str">
        <f aca="false">IF(R1383="-","",IFERROR(VALUE(LEFT(R1383,LEN(R1383)-5)),""))</f>
        <v/>
      </c>
      <c r="BP1383" s="6" t="str">
        <f aca="false">IF(R1383="-","",IFERROR(VALUE(F1383),""))</f>
        <v/>
      </c>
      <c r="BQ1383" s="4" t="n">
        <f aca="false">IF(R1383="-",1,0)</f>
        <v>1</v>
      </c>
    </row>
    <row r="1384" customFormat="false" ht="15" hidden="false" customHeight="false" outlineLevel="0" collapsed="false">
      <c r="A1384" s="0" t="s">
        <v>5264</v>
      </c>
      <c r="B1384" s="0" t="s">
        <v>5265</v>
      </c>
      <c r="C1384" s="0" t="s">
        <v>70</v>
      </c>
      <c r="E1384" s="3" t="n">
        <v>46277</v>
      </c>
      <c r="F1384" s="4" t="s">
        <v>95</v>
      </c>
      <c r="G1384" s="5" t="n">
        <v>0.000115740740740741</v>
      </c>
      <c r="H1384" s="5" t="n">
        <v>0</v>
      </c>
      <c r="I1384" s="5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5" t="n">
        <v>0</v>
      </c>
      <c r="P1384" s="5" t="n">
        <v>0</v>
      </c>
      <c r="Q1384" s="4" t="s">
        <v>73</v>
      </c>
      <c r="R1384" s="4" t="s">
        <v>73</v>
      </c>
      <c r="S1384" s="5" t="n">
        <v>0</v>
      </c>
      <c r="T1384" s="5" t="n">
        <v>0</v>
      </c>
      <c r="U1384" s="5" t="n">
        <v>0</v>
      </c>
      <c r="V1384" s="5" t="n">
        <v>0</v>
      </c>
      <c r="W1384" s="5" t="n">
        <v>0</v>
      </c>
      <c r="X1384" s="5" t="n">
        <v>0</v>
      </c>
      <c r="Y1384" s="5" t="n">
        <v>0</v>
      </c>
      <c r="Z1384" s="0" t="n">
        <v>0</v>
      </c>
      <c r="AA1384" s="0" t="n">
        <v>0</v>
      </c>
      <c r="AB1384" s="0" t="n">
        <v>0</v>
      </c>
      <c r="AC1384" s="4" t="s">
        <v>158</v>
      </c>
      <c r="AD1384" s="4" t="s">
        <v>158</v>
      </c>
      <c r="AE1384" s="4" t="s">
        <v>5274</v>
      </c>
      <c r="AF1384" s="4" t="s">
        <v>5274</v>
      </c>
      <c r="AG1384" s="5" t="n">
        <v>0</v>
      </c>
      <c r="AH1384" s="5" t="n">
        <v>0.00172453703703704</v>
      </c>
      <c r="AI1384" s="5" t="n">
        <v>0</v>
      </c>
      <c r="AJ1384" s="5" t="n">
        <v>0</v>
      </c>
      <c r="AK1384" s="5" t="n">
        <v>0</v>
      </c>
      <c r="AL1384" s="5" t="n">
        <v>0</v>
      </c>
      <c r="AM1384" s="4" t="s">
        <v>78</v>
      </c>
      <c r="AN1384" s="0" t="n">
        <v>0</v>
      </c>
      <c r="AO1384" s="0" t="n">
        <v>0</v>
      </c>
      <c r="AP1384" s="0" t="n">
        <v>0</v>
      </c>
      <c r="AQ1384" s="0" t="n">
        <v>0</v>
      </c>
      <c r="AR1384" s="0" t="n">
        <v>0</v>
      </c>
      <c r="AS1384" s="0" t="n">
        <v>0</v>
      </c>
      <c r="AT1384" s="0" t="n">
        <v>0</v>
      </c>
      <c r="AU1384" s="0" t="n">
        <v>0</v>
      </c>
      <c r="AV1384" s="0" t="n">
        <v>0</v>
      </c>
      <c r="AW1384" s="0" t="n">
        <v>0</v>
      </c>
      <c r="AX1384" s="0" t="n">
        <v>0</v>
      </c>
      <c r="AY1384" s="0" t="n">
        <v>0</v>
      </c>
      <c r="AZ1384" s="0" t="n">
        <v>0</v>
      </c>
      <c r="BA1384" s="0" t="n">
        <v>0</v>
      </c>
      <c r="BB1384" s="0" t="n">
        <v>0</v>
      </c>
      <c r="BC1384" s="0" t="n">
        <v>0</v>
      </c>
      <c r="BD1384" s="0" t="n">
        <v>0</v>
      </c>
      <c r="BE1384" s="0" t="n">
        <v>0</v>
      </c>
      <c r="BF1384" s="0" t="n">
        <v>0</v>
      </c>
      <c r="BG1384" s="0" t="n">
        <v>0</v>
      </c>
      <c r="BH1384" s="0" t="n">
        <v>0</v>
      </c>
      <c r="BI1384" s="0" t="n">
        <v>0</v>
      </c>
      <c r="BJ1384" s="0" t="n">
        <v>0</v>
      </c>
      <c r="BK1384" s="0" t="n">
        <v>0</v>
      </c>
      <c r="BM1384" s="6" t="n">
        <f aca="false">IFERROR(VALUE(F1384),"")</f>
        <v>0</v>
      </c>
      <c r="BN1384" s="6" t="str">
        <f aca="false">IF(R1384="-","",IFERROR(VALUE(LEFT(Q1384,LEN(Q1384)-2)),""))</f>
        <v/>
      </c>
      <c r="BO1384" s="6" t="str">
        <f aca="false">IF(R1384="-","",IFERROR(VALUE(LEFT(R1384,LEN(R1384)-5)),""))</f>
        <v/>
      </c>
      <c r="BP1384" s="6" t="str">
        <f aca="false">IF(R1384="-","",IFERROR(VALUE(F1384),""))</f>
        <v/>
      </c>
      <c r="BQ1384" s="4" t="n">
        <f aca="false">IF(R1384="-",1,0)</f>
        <v>1</v>
      </c>
    </row>
    <row r="1385" customFormat="false" ht="15" hidden="false" customHeight="false" outlineLevel="0" collapsed="false">
      <c r="A1385" s="0" t="s">
        <v>5264</v>
      </c>
      <c r="B1385" s="0" t="s">
        <v>5265</v>
      </c>
      <c r="C1385" s="0" t="s">
        <v>70</v>
      </c>
      <c r="D1385" s="0" t="s">
        <v>5266</v>
      </c>
      <c r="E1385" s="3" t="n">
        <v>46279</v>
      </c>
      <c r="F1385" s="4" t="s">
        <v>5275</v>
      </c>
      <c r="G1385" s="5" t="n">
        <v>0.309513888888889</v>
      </c>
      <c r="H1385" s="5" t="n">
        <v>0.332222222222222</v>
      </c>
      <c r="I1385" s="5" t="n">
        <v>0.000300925925925926</v>
      </c>
      <c r="J1385" s="0" t="n">
        <v>3</v>
      </c>
      <c r="K1385" s="0" t="n">
        <v>6</v>
      </c>
      <c r="L1385" s="0" t="n">
        <v>0</v>
      </c>
      <c r="M1385" s="0" t="n">
        <v>0</v>
      </c>
      <c r="N1385" s="0" t="n">
        <v>7</v>
      </c>
      <c r="O1385" s="5" t="n">
        <v>0</v>
      </c>
      <c r="P1385" s="5" t="n">
        <v>0</v>
      </c>
      <c r="Q1385" s="4" t="s">
        <v>73</v>
      </c>
      <c r="R1385" s="4" t="s">
        <v>73</v>
      </c>
      <c r="S1385" s="5" t="n">
        <v>0</v>
      </c>
      <c r="T1385" s="5" t="n">
        <v>0</v>
      </c>
      <c r="U1385" s="5" t="n">
        <v>0</v>
      </c>
      <c r="V1385" s="5" t="n">
        <v>0</v>
      </c>
      <c r="W1385" s="5" t="n">
        <v>0</v>
      </c>
      <c r="X1385" s="5" t="n">
        <v>0</v>
      </c>
      <c r="Y1385" s="5" t="n">
        <v>0</v>
      </c>
      <c r="Z1385" s="0" t="n">
        <v>0</v>
      </c>
      <c r="AA1385" s="0" t="n">
        <v>0</v>
      </c>
      <c r="AB1385" s="0" t="n">
        <v>0</v>
      </c>
      <c r="AC1385" s="4" t="s">
        <v>158</v>
      </c>
      <c r="AD1385" s="4" t="s">
        <v>5238</v>
      </c>
      <c r="AE1385" s="4" t="s">
        <v>5274</v>
      </c>
      <c r="AF1385" s="4" t="s">
        <v>5276</v>
      </c>
      <c r="AG1385" s="5" t="n">
        <v>0.2584375</v>
      </c>
      <c r="AH1385" s="5" t="n">
        <v>0.110983796296296</v>
      </c>
      <c r="AI1385" s="5" t="n">
        <v>0</v>
      </c>
      <c r="AJ1385" s="5" t="n">
        <v>0</v>
      </c>
      <c r="AK1385" s="5" t="n">
        <v>0</v>
      </c>
      <c r="AL1385" s="5" t="n">
        <v>0</v>
      </c>
      <c r="AM1385" s="4" t="s">
        <v>78</v>
      </c>
      <c r="AN1385" s="0" t="n">
        <v>0</v>
      </c>
      <c r="AO1385" s="0" t="n">
        <v>0</v>
      </c>
      <c r="AP1385" s="0" t="n">
        <v>0</v>
      </c>
      <c r="AQ1385" s="0" t="n">
        <v>0</v>
      </c>
      <c r="AR1385" s="0" t="n">
        <v>0</v>
      </c>
      <c r="AS1385" s="0" t="n">
        <v>0</v>
      </c>
      <c r="AT1385" s="0" t="n">
        <v>0</v>
      </c>
      <c r="AU1385" s="0" t="n">
        <v>0</v>
      </c>
      <c r="AV1385" s="0" t="n">
        <v>0</v>
      </c>
      <c r="AW1385" s="0" t="n">
        <v>0</v>
      </c>
      <c r="AX1385" s="0" t="n">
        <v>0</v>
      </c>
      <c r="AY1385" s="0" t="n">
        <v>0</v>
      </c>
      <c r="AZ1385" s="0" t="n">
        <v>0</v>
      </c>
      <c r="BA1385" s="0" t="n">
        <v>0</v>
      </c>
      <c r="BB1385" s="0" t="n">
        <v>0</v>
      </c>
      <c r="BC1385" s="0" t="n">
        <v>0</v>
      </c>
      <c r="BD1385" s="0" t="n">
        <v>0</v>
      </c>
      <c r="BE1385" s="0" t="n">
        <v>0</v>
      </c>
      <c r="BF1385" s="0" t="n">
        <v>0</v>
      </c>
      <c r="BG1385" s="0" t="n">
        <v>0</v>
      </c>
      <c r="BH1385" s="0" t="n">
        <v>0</v>
      </c>
      <c r="BI1385" s="0" t="n">
        <v>0</v>
      </c>
      <c r="BJ1385" s="0" t="n">
        <v>0</v>
      </c>
      <c r="BK1385" s="0" t="n">
        <v>0</v>
      </c>
      <c r="BM1385" s="6" t="n">
        <f aca="false">IFERROR(VALUE(F1385),"")</f>
        <v>232.57</v>
      </c>
      <c r="BN1385" s="6" t="str">
        <f aca="false">IF(R1385="-","",IFERROR(VALUE(LEFT(Q1385,LEN(Q1385)-2)),""))</f>
        <v/>
      </c>
      <c r="BO1385" s="6" t="str">
        <f aca="false">IF(R1385="-","",IFERROR(VALUE(LEFT(R1385,LEN(R1385)-5)),""))</f>
        <v/>
      </c>
      <c r="BP1385" s="6" t="str">
        <f aca="false">IF(R1385="-","",IFERROR(VALUE(F1385),""))</f>
        <v/>
      </c>
      <c r="BQ1385" s="4" t="n">
        <f aca="false">IF(R1385="-",1,0)</f>
        <v>1</v>
      </c>
    </row>
    <row r="1386" customFormat="false" ht="15" hidden="false" customHeight="false" outlineLevel="0" collapsed="false">
      <c r="A1386" s="0" t="s">
        <v>5277</v>
      </c>
      <c r="B1386" s="0" t="s">
        <v>5278</v>
      </c>
      <c r="C1386" s="0" t="s">
        <v>70</v>
      </c>
      <c r="D1386" s="0" t="s">
        <v>5279</v>
      </c>
      <c r="E1386" s="3" t="n">
        <v>46273</v>
      </c>
      <c r="F1386" s="4" t="s">
        <v>5280</v>
      </c>
      <c r="G1386" s="5" t="n">
        <v>0.247037037037037</v>
      </c>
      <c r="H1386" s="5" t="n">
        <v>0.244791666666667</v>
      </c>
      <c r="I1386" s="5" t="n">
        <v>0.000150462962962963</v>
      </c>
      <c r="J1386" s="0" t="n">
        <v>2</v>
      </c>
      <c r="K1386" s="0" t="n">
        <v>6</v>
      </c>
      <c r="L1386" s="0" t="n">
        <v>0</v>
      </c>
      <c r="M1386" s="0" t="n">
        <v>0</v>
      </c>
      <c r="N1386" s="0" t="n">
        <v>1</v>
      </c>
      <c r="O1386" s="5" t="n">
        <v>0</v>
      </c>
      <c r="P1386" s="5" t="n">
        <v>0</v>
      </c>
      <c r="Q1386" s="4" t="s">
        <v>73</v>
      </c>
      <c r="R1386" s="4" t="s">
        <v>73</v>
      </c>
      <c r="S1386" s="5" t="n">
        <v>0</v>
      </c>
      <c r="T1386" s="5" t="n">
        <v>0</v>
      </c>
      <c r="U1386" s="5" t="n">
        <v>0</v>
      </c>
      <c r="V1386" s="5" t="n">
        <v>0</v>
      </c>
      <c r="W1386" s="5" t="n">
        <v>0</v>
      </c>
      <c r="X1386" s="5" t="n">
        <v>0</v>
      </c>
      <c r="Y1386" s="5" t="n">
        <v>0</v>
      </c>
      <c r="Z1386" s="0" t="n">
        <v>0</v>
      </c>
      <c r="AA1386" s="0" t="n">
        <v>0</v>
      </c>
      <c r="AB1386" s="0" t="n">
        <v>0</v>
      </c>
      <c r="AC1386" s="4" t="s">
        <v>158</v>
      </c>
      <c r="AD1386" s="4" t="s">
        <v>864</v>
      </c>
      <c r="AE1386" s="4" t="s">
        <v>5281</v>
      </c>
      <c r="AF1386" s="4" t="s">
        <v>5282</v>
      </c>
      <c r="AG1386" s="5" t="n">
        <v>0.223587962962963</v>
      </c>
      <c r="AH1386" s="5" t="n">
        <v>0.0864814814814815</v>
      </c>
      <c r="AI1386" s="5" t="n">
        <v>0</v>
      </c>
      <c r="AJ1386" s="5" t="n">
        <v>0</v>
      </c>
      <c r="AK1386" s="5" t="n">
        <v>0</v>
      </c>
      <c r="AL1386" s="5" t="n">
        <v>0</v>
      </c>
      <c r="AM1386" s="4" t="s">
        <v>78</v>
      </c>
      <c r="AN1386" s="0" t="n">
        <v>0</v>
      </c>
      <c r="AO1386" s="0" t="n">
        <v>0</v>
      </c>
      <c r="AP1386" s="0" t="n">
        <v>0</v>
      </c>
      <c r="AQ1386" s="0" t="n">
        <v>0</v>
      </c>
      <c r="AR1386" s="0" t="n">
        <v>2</v>
      </c>
      <c r="AS1386" s="0" t="n">
        <v>0</v>
      </c>
      <c r="AT1386" s="0" t="n">
        <v>0</v>
      </c>
      <c r="AU1386" s="0" t="n">
        <v>0</v>
      </c>
      <c r="AV1386" s="0" t="n">
        <v>0</v>
      </c>
      <c r="AW1386" s="0" t="n">
        <v>0</v>
      </c>
      <c r="AX1386" s="0" t="n">
        <v>0</v>
      </c>
      <c r="AY1386" s="0" t="n">
        <v>0</v>
      </c>
      <c r="AZ1386" s="0" t="n">
        <v>0</v>
      </c>
      <c r="BA1386" s="0" t="n">
        <v>0</v>
      </c>
      <c r="BB1386" s="0" t="n">
        <v>0</v>
      </c>
      <c r="BC1386" s="0" t="n">
        <v>0</v>
      </c>
      <c r="BD1386" s="0" t="n">
        <v>0</v>
      </c>
      <c r="BE1386" s="0" t="n">
        <v>0</v>
      </c>
      <c r="BF1386" s="0" t="n">
        <v>0</v>
      </c>
      <c r="BG1386" s="0" t="n">
        <v>0</v>
      </c>
      <c r="BH1386" s="0" t="n">
        <v>0</v>
      </c>
      <c r="BI1386" s="0" t="n">
        <v>0</v>
      </c>
      <c r="BJ1386" s="0" t="n">
        <v>0</v>
      </c>
      <c r="BK1386" s="0" t="n">
        <v>0</v>
      </c>
      <c r="BM1386" s="6" t="n">
        <f aca="false">IFERROR(VALUE(F1386),"")</f>
        <v>229.31</v>
      </c>
      <c r="BN1386" s="6" t="str">
        <f aca="false">IF(R1386="-","",IFERROR(VALUE(LEFT(Q1386,LEN(Q1386)-2)),""))</f>
        <v/>
      </c>
      <c r="BO1386" s="6" t="str">
        <f aca="false">IF(R1386="-","",IFERROR(VALUE(LEFT(R1386,LEN(R1386)-5)),""))</f>
        <v/>
      </c>
      <c r="BP1386" s="6" t="str">
        <f aca="false">IF(R1386="-","",IFERROR(VALUE(F1386),""))</f>
        <v/>
      </c>
      <c r="BQ1386" s="4" t="n">
        <f aca="false">IF(R1386="-",1,0)</f>
        <v>1</v>
      </c>
    </row>
    <row r="1387" customFormat="false" ht="15" hidden="false" customHeight="false" outlineLevel="0" collapsed="false">
      <c r="A1387" s="0" t="s">
        <v>5277</v>
      </c>
      <c r="B1387" s="0" t="s">
        <v>5278</v>
      </c>
      <c r="C1387" s="0" t="s">
        <v>70</v>
      </c>
      <c r="D1387" s="0" t="s">
        <v>5279</v>
      </c>
      <c r="E1387" s="3" t="n">
        <v>46274</v>
      </c>
      <c r="F1387" s="4" t="s">
        <v>5283</v>
      </c>
      <c r="G1387" s="5" t="n">
        <v>0.356134259259259</v>
      </c>
      <c r="H1387" s="5" t="n">
        <v>0.168668981481482</v>
      </c>
      <c r="I1387" s="5" t="n">
        <v>0.000208333333333333</v>
      </c>
      <c r="J1387" s="0" t="n">
        <v>1</v>
      </c>
      <c r="K1387" s="0" t="n">
        <v>5</v>
      </c>
      <c r="L1387" s="0" t="n">
        <v>0</v>
      </c>
      <c r="M1387" s="0" t="n">
        <v>0</v>
      </c>
      <c r="N1387" s="0" t="n">
        <v>0</v>
      </c>
      <c r="O1387" s="5" t="n">
        <v>0</v>
      </c>
      <c r="P1387" s="5" t="n">
        <v>0</v>
      </c>
      <c r="Q1387" s="4" t="s">
        <v>73</v>
      </c>
      <c r="R1387" s="4" t="s">
        <v>73</v>
      </c>
      <c r="S1387" s="5" t="n">
        <v>0</v>
      </c>
      <c r="T1387" s="5" t="n">
        <v>0</v>
      </c>
      <c r="U1387" s="5" t="n">
        <v>0</v>
      </c>
      <c r="V1387" s="5" t="n">
        <v>0</v>
      </c>
      <c r="W1387" s="5" t="n">
        <v>0</v>
      </c>
      <c r="X1387" s="5" t="n">
        <v>0</v>
      </c>
      <c r="Y1387" s="5" t="n">
        <v>0</v>
      </c>
      <c r="Z1387" s="0" t="n">
        <v>0</v>
      </c>
      <c r="AA1387" s="0" t="n">
        <v>0</v>
      </c>
      <c r="AB1387" s="0" t="n">
        <v>0</v>
      </c>
      <c r="AC1387" s="4" t="s">
        <v>864</v>
      </c>
      <c r="AD1387" s="4" t="s">
        <v>864</v>
      </c>
      <c r="AE1387" s="4" t="s">
        <v>5282</v>
      </c>
      <c r="AF1387" s="4" t="s">
        <v>5284</v>
      </c>
      <c r="AG1387" s="5" t="n">
        <v>0.311585648148148</v>
      </c>
      <c r="AH1387" s="5" t="n">
        <v>0.0868055555555556</v>
      </c>
      <c r="AI1387" s="5" t="n">
        <v>0</v>
      </c>
      <c r="AJ1387" s="5" t="n">
        <v>0</v>
      </c>
      <c r="AK1387" s="5" t="n">
        <v>0</v>
      </c>
      <c r="AL1387" s="5" t="n">
        <v>0</v>
      </c>
      <c r="AM1387" s="4" t="s">
        <v>78</v>
      </c>
      <c r="AN1387" s="0" t="n">
        <v>0</v>
      </c>
      <c r="AO1387" s="0" t="n">
        <v>0</v>
      </c>
      <c r="AP1387" s="0" t="n">
        <v>0</v>
      </c>
      <c r="AQ1387" s="0" t="n">
        <v>0</v>
      </c>
      <c r="AR1387" s="0" t="n">
        <v>0</v>
      </c>
      <c r="AS1387" s="0" t="n">
        <v>0</v>
      </c>
      <c r="AT1387" s="0" t="n">
        <v>0</v>
      </c>
      <c r="AU1387" s="0" t="n">
        <v>0</v>
      </c>
      <c r="AV1387" s="0" t="n">
        <v>0</v>
      </c>
      <c r="AW1387" s="0" t="n">
        <v>0</v>
      </c>
      <c r="AX1387" s="0" t="n">
        <v>0</v>
      </c>
      <c r="AY1387" s="0" t="n">
        <v>0</v>
      </c>
      <c r="AZ1387" s="0" t="n">
        <v>0</v>
      </c>
      <c r="BA1387" s="0" t="n">
        <v>0</v>
      </c>
      <c r="BB1387" s="0" t="n">
        <v>0</v>
      </c>
      <c r="BC1387" s="0" t="n">
        <v>0</v>
      </c>
      <c r="BD1387" s="0" t="n">
        <v>0</v>
      </c>
      <c r="BE1387" s="0" t="n">
        <v>0</v>
      </c>
      <c r="BF1387" s="0" t="n">
        <v>0</v>
      </c>
      <c r="BG1387" s="0" t="n">
        <v>0</v>
      </c>
      <c r="BH1387" s="0" t="n">
        <v>0</v>
      </c>
      <c r="BI1387" s="0" t="n">
        <v>0</v>
      </c>
      <c r="BJ1387" s="0" t="n">
        <v>0</v>
      </c>
      <c r="BK1387" s="0" t="n">
        <v>0</v>
      </c>
      <c r="BM1387" s="6" t="n">
        <f aca="false">IFERROR(VALUE(F1387),"")</f>
        <v>292.62</v>
      </c>
      <c r="BN1387" s="6" t="str">
        <f aca="false">IF(R1387="-","",IFERROR(VALUE(LEFT(Q1387,LEN(Q1387)-2)),""))</f>
        <v/>
      </c>
      <c r="BO1387" s="6" t="str">
        <f aca="false">IF(R1387="-","",IFERROR(VALUE(LEFT(R1387,LEN(R1387)-5)),""))</f>
        <v/>
      </c>
      <c r="BP1387" s="6" t="str">
        <f aca="false">IF(R1387="-","",IFERROR(VALUE(F1387),""))</f>
        <v/>
      </c>
      <c r="BQ1387" s="4" t="n">
        <f aca="false">IF(R1387="-",1,0)</f>
        <v>1</v>
      </c>
    </row>
    <row r="1388" customFormat="false" ht="15" hidden="false" customHeight="false" outlineLevel="0" collapsed="false">
      <c r="A1388" s="0" t="s">
        <v>5277</v>
      </c>
      <c r="B1388" s="0" t="s">
        <v>5278</v>
      </c>
      <c r="C1388" s="0" t="s">
        <v>70</v>
      </c>
      <c r="D1388" s="0" t="s">
        <v>5285</v>
      </c>
      <c r="E1388" s="3" t="n">
        <v>46275</v>
      </c>
      <c r="F1388" s="4" t="s">
        <v>5286</v>
      </c>
      <c r="G1388" s="5" t="n">
        <v>0.33875</v>
      </c>
      <c r="H1388" s="5" t="n">
        <v>0.204918981481482</v>
      </c>
      <c r="I1388" s="5" t="n">
        <v>0.000243055555555556</v>
      </c>
      <c r="J1388" s="0" t="n">
        <v>0</v>
      </c>
      <c r="K1388" s="0" t="n">
        <v>2</v>
      </c>
      <c r="L1388" s="0" t="n">
        <v>0</v>
      </c>
      <c r="M1388" s="0" t="n">
        <v>0</v>
      </c>
      <c r="N1388" s="0" t="n">
        <v>0</v>
      </c>
      <c r="O1388" s="5" t="n">
        <v>0</v>
      </c>
      <c r="P1388" s="5" t="n">
        <v>0</v>
      </c>
      <c r="Q1388" s="4" t="s">
        <v>73</v>
      </c>
      <c r="R1388" s="4" t="s">
        <v>73</v>
      </c>
      <c r="S1388" s="5" t="n">
        <v>0</v>
      </c>
      <c r="T1388" s="5" t="n">
        <v>0</v>
      </c>
      <c r="U1388" s="5" t="n">
        <v>0</v>
      </c>
      <c r="V1388" s="5" t="n">
        <v>0</v>
      </c>
      <c r="W1388" s="5" t="n">
        <v>0</v>
      </c>
      <c r="X1388" s="5" t="n">
        <v>0</v>
      </c>
      <c r="Y1388" s="5" t="n">
        <v>0</v>
      </c>
      <c r="Z1388" s="0" t="n">
        <v>0</v>
      </c>
      <c r="AA1388" s="0" t="n">
        <v>0</v>
      </c>
      <c r="AB1388" s="0" t="n">
        <v>0</v>
      </c>
      <c r="AC1388" s="4" t="s">
        <v>5287</v>
      </c>
      <c r="AD1388" s="4" t="s">
        <v>864</v>
      </c>
      <c r="AE1388" s="4" t="s">
        <v>5284</v>
      </c>
      <c r="AF1388" s="4" t="s">
        <v>5288</v>
      </c>
      <c r="AG1388" s="5" t="n">
        <v>0.305486111111111</v>
      </c>
      <c r="AH1388" s="5" t="n">
        <v>0.0716782407407407</v>
      </c>
      <c r="AI1388" s="5" t="n">
        <v>0</v>
      </c>
      <c r="AJ1388" s="5" t="n">
        <v>0</v>
      </c>
      <c r="AK1388" s="5" t="n">
        <v>0</v>
      </c>
      <c r="AL1388" s="5" t="n">
        <v>0</v>
      </c>
      <c r="AM1388" s="4" t="s">
        <v>78</v>
      </c>
      <c r="AN1388" s="0" t="n">
        <v>0</v>
      </c>
      <c r="AO1388" s="0" t="n">
        <v>0</v>
      </c>
      <c r="AP1388" s="0" t="n">
        <v>0</v>
      </c>
      <c r="AQ1388" s="0" t="n">
        <v>0</v>
      </c>
      <c r="AR1388" s="0" t="n">
        <v>0</v>
      </c>
      <c r="AS1388" s="0" t="n">
        <v>0</v>
      </c>
      <c r="AT1388" s="0" t="n">
        <v>0</v>
      </c>
      <c r="AU1388" s="0" t="n">
        <v>0</v>
      </c>
      <c r="AV1388" s="0" t="n">
        <v>0</v>
      </c>
      <c r="AW1388" s="0" t="n">
        <v>0</v>
      </c>
      <c r="AX1388" s="0" t="n">
        <v>0</v>
      </c>
      <c r="AY1388" s="0" t="n">
        <v>0</v>
      </c>
      <c r="AZ1388" s="0" t="n">
        <v>0</v>
      </c>
      <c r="BA1388" s="0" t="n">
        <v>0</v>
      </c>
      <c r="BB1388" s="0" t="n">
        <v>0</v>
      </c>
      <c r="BC1388" s="0" t="n">
        <v>0</v>
      </c>
      <c r="BD1388" s="0" t="n">
        <v>0</v>
      </c>
      <c r="BE1388" s="0" t="n">
        <v>0</v>
      </c>
      <c r="BF1388" s="0" t="n">
        <v>0</v>
      </c>
      <c r="BG1388" s="0" t="n">
        <v>0</v>
      </c>
      <c r="BH1388" s="0" t="n">
        <v>0</v>
      </c>
      <c r="BI1388" s="0" t="n">
        <v>0</v>
      </c>
      <c r="BJ1388" s="0" t="n">
        <v>0</v>
      </c>
      <c r="BK1388" s="0" t="n">
        <v>0</v>
      </c>
      <c r="BM1388" s="6" t="n">
        <f aca="false">IFERROR(VALUE(F1388),"")</f>
        <v>282.13</v>
      </c>
      <c r="BN1388" s="6" t="str">
        <f aca="false">IF(R1388="-","",IFERROR(VALUE(LEFT(Q1388,LEN(Q1388)-2)),""))</f>
        <v/>
      </c>
      <c r="BO1388" s="6" t="str">
        <f aca="false">IF(R1388="-","",IFERROR(VALUE(LEFT(R1388,LEN(R1388)-5)),""))</f>
        <v/>
      </c>
      <c r="BP1388" s="6" t="str">
        <f aca="false">IF(R1388="-","",IFERROR(VALUE(F1388),""))</f>
        <v/>
      </c>
      <c r="BQ1388" s="4" t="n">
        <f aca="false">IF(R1388="-",1,0)</f>
        <v>1</v>
      </c>
    </row>
    <row r="1389" customFormat="false" ht="15" hidden="false" customHeight="false" outlineLevel="0" collapsed="false">
      <c r="A1389" s="0" t="s">
        <v>5277</v>
      </c>
      <c r="B1389" s="0" t="s">
        <v>5278</v>
      </c>
      <c r="C1389" s="0" t="s">
        <v>70</v>
      </c>
      <c r="D1389" s="0" t="s">
        <v>5279</v>
      </c>
      <c r="E1389" s="3" t="n">
        <v>46276</v>
      </c>
      <c r="F1389" s="4" t="s">
        <v>5289</v>
      </c>
      <c r="G1389" s="5" t="n">
        <v>0.378946759259259</v>
      </c>
      <c r="H1389" s="5" t="n">
        <v>0.165706018518519</v>
      </c>
      <c r="I1389" s="5" t="n">
        <v>0.000324074074074074</v>
      </c>
      <c r="J1389" s="0" t="n">
        <v>3</v>
      </c>
      <c r="K1389" s="0" t="n">
        <v>5</v>
      </c>
      <c r="L1389" s="0" t="n">
        <v>0</v>
      </c>
      <c r="M1389" s="0" t="n">
        <v>0</v>
      </c>
      <c r="N1389" s="0" t="n">
        <v>1</v>
      </c>
      <c r="O1389" s="5" t="n">
        <v>0</v>
      </c>
      <c r="P1389" s="5" t="n">
        <v>0</v>
      </c>
      <c r="Q1389" s="4" t="s">
        <v>73</v>
      </c>
      <c r="R1389" s="4" t="s">
        <v>73</v>
      </c>
      <c r="S1389" s="5" t="n">
        <v>0</v>
      </c>
      <c r="T1389" s="5" t="n">
        <v>0</v>
      </c>
      <c r="U1389" s="5" t="n">
        <v>0</v>
      </c>
      <c r="V1389" s="5" t="n">
        <v>0</v>
      </c>
      <c r="W1389" s="5" t="n">
        <v>0</v>
      </c>
      <c r="X1389" s="5" t="n">
        <v>0</v>
      </c>
      <c r="Y1389" s="5" t="n">
        <v>0</v>
      </c>
      <c r="Z1389" s="0" t="n">
        <v>0</v>
      </c>
      <c r="AA1389" s="0" t="n">
        <v>0</v>
      </c>
      <c r="AB1389" s="0" t="n">
        <v>0</v>
      </c>
      <c r="AC1389" s="4" t="s">
        <v>864</v>
      </c>
      <c r="AD1389" s="4" t="s">
        <v>864</v>
      </c>
      <c r="AE1389" s="4" t="s">
        <v>5288</v>
      </c>
      <c r="AF1389" s="4" t="s">
        <v>5290</v>
      </c>
      <c r="AG1389" s="5" t="n">
        <v>0.315763888888889</v>
      </c>
      <c r="AH1389" s="5" t="n">
        <v>0.166145833333333</v>
      </c>
      <c r="AI1389" s="5" t="n">
        <v>0</v>
      </c>
      <c r="AJ1389" s="5" t="n">
        <v>0</v>
      </c>
      <c r="AK1389" s="5" t="n">
        <v>0</v>
      </c>
      <c r="AL1389" s="5" t="n">
        <v>0</v>
      </c>
      <c r="AM1389" s="4" t="s">
        <v>78</v>
      </c>
      <c r="AN1389" s="0" t="n">
        <v>0</v>
      </c>
      <c r="AO1389" s="0" t="n">
        <v>0</v>
      </c>
      <c r="AP1389" s="0" t="n">
        <v>0</v>
      </c>
      <c r="AQ1389" s="0" t="n">
        <v>0</v>
      </c>
      <c r="AR1389" s="0" t="n">
        <v>1</v>
      </c>
      <c r="AS1389" s="0" t="n">
        <v>0</v>
      </c>
      <c r="AT1389" s="0" t="n">
        <v>0</v>
      </c>
      <c r="AU1389" s="0" t="n">
        <v>0</v>
      </c>
      <c r="AV1389" s="0" t="n">
        <v>0</v>
      </c>
      <c r="AW1389" s="0" t="n">
        <v>0</v>
      </c>
      <c r="AX1389" s="0" t="n">
        <v>0</v>
      </c>
      <c r="AY1389" s="0" t="n">
        <v>0</v>
      </c>
      <c r="AZ1389" s="0" t="n">
        <v>0</v>
      </c>
      <c r="BA1389" s="0" t="n">
        <v>0</v>
      </c>
      <c r="BB1389" s="0" t="n">
        <v>0</v>
      </c>
      <c r="BC1389" s="0" t="n">
        <v>0</v>
      </c>
      <c r="BD1389" s="0" t="n">
        <v>0</v>
      </c>
      <c r="BE1389" s="0" t="n">
        <v>0</v>
      </c>
      <c r="BF1389" s="0" t="n">
        <v>0</v>
      </c>
      <c r="BG1389" s="0" t="n">
        <v>0</v>
      </c>
      <c r="BH1389" s="0" t="n">
        <v>0</v>
      </c>
      <c r="BI1389" s="0" t="n">
        <v>0</v>
      </c>
      <c r="BJ1389" s="0" t="n">
        <v>0</v>
      </c>
      <c r="BK1389" s="0" t="n">
        <v>0</v>
      </c>
      <c r="BM1389" s="6" t="n">
        <f aca="false">IFERROR(VALUE(F1389),"")</f>
        <v>287.13</v>
      </c>
      <c r="BN1389" s="6" t="str">
        <f aca="false">IF(R1389="-","",IFERROR(VALUE(LEFT(Q1389,LEN(Q1389)-2)),""))</f>
        <v/>
      </c>
      <c r="BO1389" s="6" t="str">
        <f aca="false">IF(R1389="-","",IFERROR(VALUE(LEFT(R1389,LEN(R1389)-5)),""))</f>
        <v/>
      </c>
      <c r="BP1389" s="6" t="str">
        <f aca="false">IF(R1389="-","",IFERROR(VALUE(F1389),""))</f>
        <v/>
      </c>
      <c r="BQ1389" s="4" t="n">
        <f aca="false">IF(R1389="-",1,0)</f>
        <v>1</v>
      </c>
    </row>
    <row r="1390" customFormat="false" ht="15" hidden="false" customHeight="false" outlineLevel="0" collapsed="false">
      <c r="A1390" s="0" t="s">
        <v>5277</v>
      </c>
      <c r="B1390" s="0" t="s">
        <v>5278</v>
      </c>
      <c r="C1390" s="0" t="s">
        <v>70</v>
      </c>
      <c r="E1390" s="3" t="n">
        <v>46277</v>
      </c>
      <c r="F1390" s="4" t="s">
        <v>1153</v>
      </c>
      <c r="G1390" s="5" t="n">
        <v>0.00247685185185185</v>
      </c>
      <c r="H1390" s="5" t="n">
        <v>0</v>
      </c>
      <c r="I1390" s="5" t="n">
        <v>0.000208333333333333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5" t="n">
        <v>0</v>
      </c>
      <c r="P1390" s="5" t="n">
        <v>0</v>
      </c>
      <c r="Q1390" s="4" t="s">
        <v>73</v>
      </c>
      <c r="R1390" s="4" t="s">
        <v>73</v>
      </c>
      <c r="S1390" s="5" t="n">
        <v>0</v>
      </c>
      <c r="T1390" s="5" t="n">
        <v>0</v>
      </c>
      <c r="U1390" s="5" t="n">
        <v>0</v>
      </c>
      <c r="V1390" s="5" t="n">
        <v>0</v>
      </c>
      <c r="W1390" s="5" t="n">
        <v>0</v>
      </c>
      <c r="X1390" s="5" t="n">
        <v>0</v>
      </c>
      <c r="Y1390" s="5" t="n">
        <v>0</v>
      </c>
      <c r="Z1390" s="0" t="n">
        <v>0</v>
      </c>
      <c r="AA1390" s="0" t="n">
        <v>0</v>
      </c>
      <c r="AB1390" s="0" t="n">
        <v>0</v>
      </c>
      <c r="AC1390" s="4" t="s">
        <v>864</v>
      </c>
      <c r="AD1390" s="4" t="s">
        <v>158</v>
      </c>
      <c r="AE1390" s="4" t="s">
        <v>5291</v>
      </c>
      <c r="AF1390" s="4" t="s">
        <v>5292</v>
      </c>
      <c r="AG1390" s="5" t="n">
        <v>0.00155092592592593</v>
      </c>
      <c r="AH1390" s="5" t="n">
        <v>0.0134837962962963</v>
      </c>
      <c r="AI1390" s="5" t="n">
        <v>0</v>
      </c>
      <c r="AJ1390" s="5" t="n">
        <v>0</v>
      </c>
      <c r="AK1390" s="5" t="n">
        <v>0</v>
      </c>
      <c r="AL1390" s="5" t="n">
        <v>0</v>
      </c>
      <c r="AM1390" s="4" t="s">
        <v>78</v>
      </c>
      <c r="AN1390" s="0" t="n">
        <v>0</v>
      </c>
      <c r="AO1390" s="0" t="n">
        <v>0</v>
      </c>
      <c r="AP1390" s="0" t="n">
        <v>0</v>
      </c>
      <c r="AQ1390" s="0" t="n">
        <v>0</v>
      </c>
      <c r="AR1390" s="0" t="n">
        <v>0</v>
      </c>
      <c r="AS1390" s="0" t="n">
        <v>0</v>
      </c>
      <c r="AT1390" s="0" t="n">
        <v>0</v>
      </c>
      <c r="AU1390" s="0" t="n">
        <v>0</v>
      </c>
      <c r="AV1390" s="0" t="n">
        <v>0</v>
      </c>
      <c r="AW1390" s="0" t="n">
        <v>0</v>
      </c>
      <c r="AX1390" s="0" t="n">
        <v>0</v>
      </c>
      <c r="AY1390" s="0" t="n">
        <v>0</v>
      </c>
      <c r="AZ1390" s="0" t="n">
        <v>0</v>
      </c>
      <c r="BA1390" s="0" t="n">
        <v>0</v>
      </c>
      <c r="BB1390" s="0" t="n">
        <v>0</v>
      </c>
      <c r="BC1390" s="0" t="n">
        <v>0</v>
      </c>
      <c r="BD1390" s="0" t="n">
        <v>0</v>
      </c>
      <c r="BE1390" s="0" t="n">
        <v>0</v>
      </c>
      <c r="BF1390" s="0" t="n">
        <v>0</v>
      </c>
      <c r="BG1390" s="0" t="n">
        <v>0</v>
      </c>
      <c r="BH1390" s="0" t="n">
        <v>0</v>
      </c>
      <c r="BI1390" s="0" t="n">
        <v>0</v>
      </c>
      <c r="BJ1390" s="0" t="n">
        <v>0</v>
      </c>
      <c r="BK1390" s="0" t="n">
        <v>0</v>
      </c>
      <c r="BM1390" s="6" t="n">
        <f aca="false">IFERROR(VALUE(F1390),"")</f>
        <v>0.15</v>
      </c>
      <c r="BN1390" s="6" t="str">
        <f aca="false">IF(R1390="-","",IFERROR(VALUE(LEFT(Q1390,LEN(Q1390)-2)),""))</f>
        <v/>
      </c>
      <c r="BO1390" s="6" t="str">
        <f aca="false">IF(R1390="-","",IFERROR(VALUE(LEFT(R1390,LEN(R1390)-5)),""))</f>
        <v/>
      </c>
      <c r="BP1390" s="6" t="str">
        <f aca="false">IF(R1390="-","",IFERROR(VALUE(F1390),""))</f>
        <v/>
      </c>
      <c r="BQ1390" s="4" t="n">
        <f aca="false">IF(R1390="-",1,0)</f>
        <v>1</v>
      </c>
    </row>
    <row r="1391" customFormat="false" ht="15" hidden="false" customHeight="false" outlineLevel="0" collapsed="false">
      <c r="A1391" s="0" t="s">
        <v>5277</v>
      </c>
      <c r="B1391" s="0" t="s">
        <v>5278</v>
      </c>
      <c r="C1391" s="0" t="s">
        <v>70</v>
      </c>
      <c r="E1391" s="3" t="n">
        <v>46279</v>
      </c>
      <c r="F1391" s="4" t="s">
        <v>5293</v>
      </c>
      <c r="G1391" s="5" t="n">
        <v>0.315358796296296</v>
      </c>
      <c r="H1391" s="5" t="n">
        <v>0</v>
      </c>
      <c r="I1391" s="5" t="n">
        <v>0.000578703703703704</v>
      </c>
      <c r="J1391" s="0" t="n">
        <v>0</v>
      </c>
      <c r="K1391" s="0" t="n">
        <v>5</v>
      </c>
      <c r="L1391" s="0" t="n">
        <v>0</v>
      </c>
      <c r="M1391" s="0" t="n">
        <v>0</v>
      </c>
      <c r="N1391" s="0" t="n">
        <v>2</v>
      </c>
      <c r="O1391" s="5" t="n">
        <v>0</v>
      </c>
      <c r="P1391" s="5" t="n">
        <v>0</v>
      </c>
      <c r="Q1391" s="4" t="s">
        <v>73</v>
      </c>
      <c r="R1391" s="4" t="s">
        <v>73</v>
      </c>
      <c r="S1391" s="5" t="n">
        <v>0</v>
      </c>
      <c r="T1391" s="5" t="n">
        <v>0</v>
      </c>
      <c r="U1391" s="5" t="n">
        <v>0</v>
      </c>
      <c r="V1391" s="5" t="n">
        <v>0</v>
      </c>
      <c r="W1391" s="5" t="n">
        <v>0</v>
      </c>
      <c r="X1391" s="5" t="n">
        <v>0</v>
      </c>
      <c r="Y1391" s="5" t="n">
        <v>0</v>
      </c>
      <c r="Z1391" s="0" t="n">
        <v>0</v>
      </c>
      <c r="AA1391" s="0" t="n">
        <v>0</v>
      </c>
      <c r="AB1391" s="0" t="n">
        <v>0</v>
      </c>
      <c r="AC1391" s="4" t="s">
        <v>158</v>
      </c>
      <c r="AD1391" s="4" t="s">
        <v>158</v>
      </c>
      <c r="AE1391" s="4" t="s">
        <v>5292</v>
      </c>
      <c r="AF1391" s="4" t="s">
        <v>5294</v>
      </c>
      <c r="AG1391" s="5" t="n">
        <v>0.27880787037037</v>
      </c>
      <c r="AH1391" s="5" t="n">
        <v>0.163194444444444</v>
      </c>
      <c r="AI1391" s="5" t="n">
        <v>0</v>
      </c>
      <c r="AJ1391" s="5" t="n">
        <v>0</v>
      </c>
      <c r="AK1391" s="5" t="n">
        <v>0</v>
      </c>
      <c r="AL1391" s="5" t="n">
        <v>0</v>
      </c>
      <c r="AM1391" s="4" t="s">
        <v>78</v>
      </c>
      <c r="AN1391" s="0" t="n">
        <v>0</v>
      </c>
      <c r="AO1391" s="0" t="n">
        <v>0</v>
      </c>
      <c r="AP1391" s="0" t="n">
        <v>0</v>
      </c>
      <c r="AQ1391" s="0" t="n">
        <v>0</v>
      </c>
      <c r="AR1391" s="0" t="n">
        <v>0</v>
      </c>
      <c r="AS1391" s="0" t="n">
        <v>0</v>
      </c>
      <c r="AT1391" s="0" t="n">
        <v>0</v>
      </c>
      <c r="AU1391" s="0" t="n">
        <v>0</v>
      </c>
      <c r="AV1391" s="0" t="n">
        <v>0</v>
      </c>
      <c r="AW1391" s="0" t="n">
        <v>0</v>
      </c>
      <c r="AX1391" s="0" t="n">
        <v>0</v>
      </c>
      <c r="AY1391" s="0" t="n">
        <v>0</v>
      </c>
      <c r="AZ1391" s="0" t="n">
        <v>0</v>
      </c>
      <c r="BA1391" s="0" t="n">
        <v>0</v>
      </c>
      <c r="BB1391" s="0" t="n">
        <v>0</v>
      </c>
      <c r="BC1391" s="0" t="n">
        <v>0</v>
      </c>
      <c r="BD1391" s="0" t="n">
        <v>0</v>
      </c>
      <c r="BE1391" s="0" t="n">
        <v>0</v>
      </c>
      <c r="BF1391" s="0" t="n">
        <v>0</v>
      </c>
      <c r="BG1391" s="0" t="n">
        <v>0</v>
      </c>
      <c r="BH1391" s="0" t="n">
        <v>0</v>
      </c>
      <c r="BI1391" s="0" t="n">
        <v>0</v>
      </c>
      <c r="BJ1391" s="0" t="n">
        <v>0</v>
      </c>
      <c r="BK1391" s="0" t="n">
        <v>0</v>
      </c>
      <c r="BM1391" s="6" t="n">
        <f aca="false">IFERROR(VALUE(F1391),"")</f>
        <v>246.67</v>
      </c>
      <c r="BN1391" s="6" t="str">
        <f aca="false">IF(R1391="-","",IFERROR(VALUE(LEFT(Q1391,LEN(Q1391)-2)),""))</f>
        <v/>
      </c>
      <c r="BO1391" s="6" t="str">
        <f aca="false">IF(R1391="-","",IFERROR(VALUE(LEFT(R1391,LEN(R1391)-5)),""))</f>
        <v/>
      </c>
      <c r="BP1391" s="6" t="str">
        <f aca="false">IF(R1391="-","",IFERROR(VALUE(F1391),""))</f>
        <v/>
      </c>
      <c r="BQ1391" s="4" t="n">
        <f aca="false">IF(R1391="-",1,0)</f>
        <v>1</v>
      </c>
    </row>
    <row r="1392" customFormat="false" ht="15" hidden="false" customHeight="false" outlineLevel="0" collapsed="false">
      <c r="A1392" s="0" t="s">
        <v>5295</v>
      </c>
      <c r="B1392" s="0" t="s">
        <v>5296</v>
      </c>
      <c r="C1392" s="0" t="s">
        <v>70</v>
      </c>
      <c r="E1392" s="3" t="n">
        <v>46273</v>
      </c>
      <c r="F1392" s="4" t="s">
        <v>5297</v>
      </c>
      <c r="G1392" s="5" t="n">
        <v>0.190891203703704</v>
      </c>
      <c r="H1392" s="5" t="n">
        <v>0</v>
      </c>
      <c r="I1392" s="5" t="n">
        <v>0.000289351851851852</v>
      </c>
      <c r="J1392" s="0" t="n">
        <v>0</v>
      </c>
      <c r="K1392" s="0" t="n">
        <v>7</v>
      </c>
      <c r="L1392" s="0" t="n">
        <v>0</v>
      </c>
      <c r="M1392" s="0" t="n">
        <v>0</v>
      </c>
      <c r="N1392" s="0" t="n">
        <v>1</v>
      </c>
      <c r="O1392" s="5" t="n">
        <v>0</v>
      </c>
      <c r="P1392" s="5" t="n">
        <v>0</v>
      </c>
      <c r="Q1392" s="4" t="s">
        <v>73</v>
      </c>
      <c r="R1392" s="4" t="s">
        <v>73</v>
      </c>
      <c r="S1392" s="5" t="n">
        <v>0</v>
      </c>
      <c r="T1392" s="5" t="n">
        <v>0</v>
      </c>
      <c r="U1392" s="5" t="n">
        <v>0</v>
      </c>
      <c r="V1392" s="5" t="n">
        <v>0</v>
      </c>
      <c r="W1392" s="5" t="n">
        <v>0</v>
      </c>
      <c r="X1392" s="5" t="n">
        <v>0</v>
      </c>
      <c r="Y1392" s="5" t="n">
        <v>0</v>
      </c>
      <c r="Z1392" s="0" t="n">
        <v>0</v>
      </c>
      <c r="AA1392" s="0" t="n">
        <v>0</v>
      </c>
      <c r="AB1392" s="0" t="n">
        <v>0</v>
      </c>
      <c r="AC1392" s="4" t="s">
        <v>158</v>
      </c>
      <c r="AD1392" s="4" t="s">
        <v>158</v>
      </c>
      <c r="AE1392" s="4" t="s">
        <v>5298</v>
      </c>
      <c r="AF1392" s="4" t="s">
        <v>5299</v>
      </c>
      <c r="AG1392" s="5" t="n">
        <v>0.18318287037037</v>
      </c>
      <c r="AH1392" s="5" t="n">
        <v>0.129375</v>
      </c>
      <c r="AI1392" s="5" t="n">
        <v>0</v>
      </c>
      <c r="AJ1392" s="5" t="n">
        <v>0</v>
      </c>
      <c r="AK1392" s="5" t="n">
        <v>0</v>
      </c>
      <c r="AL1392" s="5" t="n">
        <v>0</v>
      </c>
      <c r="AM1392" s="4" t="s">
        <v>78</v>
      </c>
      <c r="AN1392" s="0" t="n">
        <v>0</v>
      </c>
      <c r="AO1392" s="0" t="n">
        <v>0</v>
      </c>
      <c r="AP1392" s="0" t="n">
        <v>0</v>
      </c>
      <c r="AQ1392" s="0" t="n">
        <v>0</v>
      </c>
      <c r="AR1392" s="0" t="n">
        <v>0</v>
      </c>
      <c r="AS1392" s="0" t="n">
        <v>0</v>
      </c>
      <c r="AT1392" s="0" t="n">
        <v>0</v>
      </c>
      <c r="AU1392" s="0" t="n">
        <v>0</v>
      </c>
      <c r="AV1392" s="0" t="n">
        <v>0</v>
      </c>
      <c r="AW1392" s="0" t="n">
        <v>0</v>
      </c>
      <c r="AX1392" s="0" t="n">
        <v>0</v>
      </c>
      <c r="AY1392" s="0" t="n">
        <v>0</v>
      </c>
      <c r="AZ1392" s="0" t="n">
        <v>0</v>
      </c>
      <c r="BA1392" s="0" t="n">
        <v>0</v>
      </c>
      <c r="BB1392" s="0" t="n">
        <v>0</v>
      </c>
      <c r="BC1392" s="0" t="n">
        <v>0</v>
      </c>
      <c r="BD1392" s="0" t="n">
        <v>0</v>
      </c>
      <c r="BE1392" s="0" t="n">
        <v>0</v>
      </c>
      <c r="BF1392" s="0" t="n">
        <v>0</v>
      </c>
      <c r="BG1392" s="0" t="n">
        <v>0</v>
      </c>
      <c r="BH1392" s="0" t="n">
        <v>0</v>
      </c>
      <c r="BI1392" s="0" t="n">
        <v>0</v>
      </c>
      <c r="BJ1392" s="0" t="n">
        <v>0</v>
      </c>
      <c r="BK1392" s="0" t="n">
        <v>0</v>
      </c>
      <c r="BM1392" s="6" t="n">
        <f aca="false">IFERROR(VALUE(F1392),"")</f>
        <v>196.54</v>
      </c>
      <c r="BN1392" s="6" t="str">
        <f aca="false">IF(R1392="-","",IFERROR(VALUE(LEFT(Q1392,LEN(Q1392)-2)),""))</f>
        <v/>
      </c>
      <c r="BO1392" s="6" t="str">
        <f aca="false">IF(R1392="-","",IFERROR(VALUE(LEFT(R1392,LEN(R1392)-5)),""))</f>
        <v/>
      </c>
      <c r="BP1392" s="6" t="str">
        <f aca="false">IF(R1392="-","",IFERROR(VALUE(F1392),""))</f>
        <v/>
      </c>
      <c r="BQ1392" s="4" t="n">
        <f aca="false">IF(R1392="-",1,0)</f>
        <v>1</v>
      </c>
    </row>
    <row r="1393" customFormat="false" ht="15" hidden="false" customHeight="false" outlineLevel="0" collapsed="false">
      <c r="A1393" s="0" t="s">
        <v>5295</v>
      </c>
      <c r="B1393" s="0" t="s">
        <v>5296</v>
      </c>
      <c r="C1393" s="0" t="s">
        <v>70</v>
      </c>
      <c r="E1393" s="3" t="n">
        <v>46274</v>
      </c>
      <c r="F1393" s="4" t="s">
        <v>5300</v>
      </c>
      <c r="G1393" s="5" t="n">
        <v>0.219016203703704</v>
      </c>
      <c r="H1393" s="5" t="n">
        <v>0</v>
      </c>
      <c r="I1393" s="5" t="n">
        <v>0.000798611111111111</v>
      </c>
      <c r="J1393" s="0" t="n">
        <v>0</v>
      </c>
      <c r="K1393" s="0" t="n">
        <v>6</v>
      </c>
      <c r="L1393" s="0" t="n">
        <v>0</v>
      </c>
      <c r="M1393" s="0" t="n">
        <v>0</v>
      </c>
      <c r="N1393" s="0" t="n">
        <v>1</v>
      </c>
      <c r="O1393" s="5" t="n">
        <v>0</v>
      </c>
      <c r="P1393" s="5" t="n">
        <v>0</v>
      </c>
      <c r="Q1393" s="4" t="s">
        <v>73</v>
      </c>
      <c r="R1393" s="4" t="s">
        <v>73</v>
      </c>
      <c r="S1393" s="5" t="n">
        <v>0</v>
      </c>
      <c r="T1393" s="5" t="n">
        <v>0</v>
      </c>
      <c r="U1393" s="5" t="n">
        <v>0</v>
      </c>
      <c r="V1393" s="5" t="n">
        <v>0</v>
      </c>
      <c r="W1393" s="5" t="n">
        <v>0</v>
      </c>
      <c r="X1393" s="5" t="n">
        <v>0</v>
      </c>
      <c r="Y1393" s="5" t="n">
        <v>0</v>
      </c>
      <c r="Z1393" s="0" t="n">
        <v>0</v>
      </c>
      <c r="AA1393" s="0" t="n">
        <v>0</v>
      </c>
      <c r="AB1393" s="0" t="n">
        <v>0</v>
      </c>
      <c r="AC1393" s="4" t="s">
        <v>158</v>
      </c>
      <c r="AD1393" s="4" t="s">
        <v>158</v>
      </c>
      <c r="AE1393" s="4" t="s">
        <v>5299</v>
      </c>
      <c r="AF1393" s="4" t="s">
        <v>5301</v>
      </c>
      <c r="AG1393" s="5" t="n">
        <v>0.205219907407407</v>
      </c>
      <c r="AH1393" s="5" t="n">
        <v>0.158738425925926</v>
      </c>
      <c r="AI1393" s="5" t="n">
        <v>0</v>
      </c>
      <c r="AJ1393" s="5" t="n">
        <v>0</v>
      </c>
      <c r="AK1393" s="5" t="n">
        <v>0</v>
      </c>
      <c r="AL1393" s="5" t="n">
        <v>0</v>
      </c>
      <c r="AM1393" s="4" t="s">
        <v>78</v>
      </c>
      <c r="AN1393" s="0" t="n">
        <v>0</v>
      </c>
      <c r="AO1393" s="0" t="n">
        <v>0</v>
      </c>
      <c r="AP1393" s="0" t="n">
        <v>0</v>
      </c>
      <c r="AQ1393" s="0" t="n">
        <v>0</v>
      </c>
      <c r="AR1393" s="0" t="n">
        <v>0</v>
      </c>
      <c r="AS1393" s="0" t="n">
        <v>0</v>
      </c>
      <c r="AT1393" s="0" t="n">
        <v>0</v>
      </c>
      <c r="AU1393" s="0" t="n">
        <v>0</v>
      </c>
      <c r="AV1393" s="0" t="n">
        <v>0</v>
      </c>
      <c r="AW1393" s="0" t="n">
        <v>0</v>
      </c>
      <c r="AX1393" s="0" t="n">
        <v>0</v>
      </c>
      <c r="AY1393" s="0" t="n">
        <v>0</v>
      </c>
      <c r="AZ1393" s="0" t="n">
        <v>0</v>
      </c>
      <c r="BA1393" s="0" t="n">
        <v>0</v>
      </c>
      <c r="BB1393" s="0" t="n">
        <v>0</v>
      </c>
      <c r="BC1393" s="0" t="n">
        <v>0</v>
      </c>
      <c r="BD1393" s="0" t="n">
        <v>0</v>
      </c>
      <c r="BE1393" s="0" t="n">
        <v>0</v>
      </c>
      <c r="BF1393" s="0" t="n">
        <v>0</v>
      </c>
      <c r="BG1393" s="0" t="n">
        <v>0</v>
      </c>
      <c r="BH1393" s="0" t="n">
        <v>0</v>
      </c>
      <c r="BI1393" s="0" t="n">
        <v>0</v>
      </c>
      <c r="BJ1393" s="0" t="n">
        <v>0</v>
      </c>
      <c r="BK1393" s="0" t="n">
        <v>0</v>
      </c>
      <c r="BM1393" s="6" t="n">
        <f aca="false">IFERROR(VALUE(F1393),"")</f>
        <v>193.26</v>
      </c>
      <c r="BN1393" s="6" t="str">
        <f aca="false">IF(R1393="-","",IFERROR(VALUE(LEFT(Q1393,LEN(Q1393)-2)),""))</f>
        <v/>
      </c>
      <c r="BO1393" s="6" t="str">
        <f aca="false">IF(R1393="-","",IFERROR(VALUE(LEFT(R1393,LEN(R1393)-5)),""))</f>
        <v/>
      </c>
      <c r="BP1393" s="6" t="str">
        <f aca="false">IF(R1393="-","",IFERROR(VALUE(F1393),""))</f>
        <v/>
      </c>
      <c r="BQ1393" s="4" t="n">
        <f aca="false">IF(R1393="-",1,0)</f>
        <v>1</v>
      </c>
    </row>
    <row r="1394" customFormat="false" ht="15" hidden="false" customHeight="false" outlineLevel="0" collapsed="false">
      <c r="A1394" s="0" t="s">
        <v>5295</v>
      </c>
      <c r="B1394" s="0" t="s">
        <v>5296</v>
      </c>
      <c r="C1394" s="0" t="s">
        <v>70</v>
      </c>
      <c r="D1394" s="0" t="s">
        <v>5266</v>
      </c>
      <c r="E1394" s="3" t="n">
        <v>46275</v>
      </c>
      <c r="F1394" s="4" t="s">
        <v>5302</v>
      </c>
      <c r="G1394" s="5" t="n">
        <v>0.2090625</v>
      </c>
      <c r="H1394" s="5" t="n">
        <v>0.0164699074074074</v>
      </c>
      <c r="I1394" s="5" t="n">
        <v>0.000150462962962963</v>
      </c>
      <c r="J1394" s="0" t="n">
        <v>0</v>
      </c>
      <c r="K1394" s="0" t="n">
        <v>3</v>
      </c>
      <c r="L1394" s="0" t="n">
        <v>0</v>
      </c>
      <c r="M1394" s="0" t="n">
        <v>0</v>
      </c>
      <c r="N1394" s="0" t="n">
        <v>0</v>
      </c>
      <c r="O1394" s="5" t="n">
        <v>0</v>
      </c>
      <c r="P1394" s="5" t="n">
        <v>0</v>
      </c>
      <c r="Q1394" s="4" t="s">
        <v>73</v>
      </c>
      <c r="R1394" s="4" t="s">
        <v>73</v>
      </c>
      <c r="S1394" s="5" t="n">
        <v>0</v>
      </c>
      <c r="T1394" s="5" t="n">
        <v>0</v>
      </c>
      <c r="U1394" s="5" t="n">
        <v>0</v>
      </c>
      <c r="V1394" s="5" t="n">
        <v>0</v>
      </c>
      <c r="W1394" s="5" t="n">
        <v>0</v>
      </c>
      <c r="X1394" s="5" t="n">
        <v>0</v>
      </c>
      <c r="Y1394" s="5" t="n">
        <v>0</v>
      </c>
      <c r="Z1394" s="0" t="n">
        <v>0</v>
      </c>
      <c r="AA1394" s="0" t="n">
        <v>0</v>
      </c>
      <c r="AB1394" s="0" t="n">
        <v>0</v>
      </c>
      <c r="AC1394" s="4" t="s">
        <v>158</v>
      </c>
      <c r="AD1394" s="4" t="s">
        <v>5238</v>
      </c>
      <c r="AE1394" s="4" t="s">
        <v>5301</v>
      </c>
      <c r="AF1394" s="4" t="s">
        <v>5303</v>
      </c>
      <c r="AG1394" s="5" t="n">
        <v>0.200706018518519</v>
      </c>
      <c r="AH1394" s="5" t="n">
        <v>0.110868055555556</v>
      </c>
      <c r="AI1394" s="5" t="n">
        <v>0</v>
      </c>
      <c r="AJ1394" s="5" t="n">
        <v>0</v>
      </c>
      <c r="AK1394" s="5" t="n">
        <v>0</v>
      </c>
      <c r="AL1394" s="5" t="n">
        <v>0</v>
      </c>
      <c r="AM1394" s="4" t="s">
        <v>78</v>
      </c>
      <c r="AN1394" s="0" t="n">
        <v>0</v>
      </c>
      <c r="AO1394" s="0" t="n">
        <v>0</v>
      </c>
      <c r="AP1394" s="0" t="n">
        <v>0</v>
      </c>
      <c r="AQ1394" s="0" t="n">
        <v>0</v>
      </c>
      <c r="AR1394" s="0" t="n">
        <v>0</v>
      </c>
      <c r="AS1394" s="0" t="n">
        <v>0</v>
      </c>
      <c r="AT1394" s="0" t="n">
        <v>0</v>
      </c>
      <c r="AU1394" s="0" t="n">
        <v>0</v>
      </c>
      <c r="AV1394" s="0" t="n">
        <v>0</v>
      </c>
      <c r="AW1394" s="0" t="n">
        <v>0</v>
      </c>
      <c r="AX1394" s="0" t="n">
        <v>0</v>
      </c>
      <c r="AY1394" s="0" t="n">
        <v>0</v>
      </c>
      <c r="AZ1394" s="0" t="n">
        <v>0</v>
      </c>
      <c r="BA1394" s="0" t="n">
        <v>0</v>
      </c>
      <c r="BB1394" s="0" t="n">
        <v>0</v>
      </c>
      <c r="BC1394" s="0" t="n">
        <v>0</v>
      </c>
      <c r="BD1394" s="0" t="n">
        <v>0</v>
      </c>
      <c r="BE1394" s="0" t="n">
        <v>0</v>
      </c>
      <c r="BF1394" s="0" t="n">
        <v>0</v>
      </c>
      <c r="BG1394" s="0" t="n">
        <v>0</v>
      </c>
      <c r="BH1394" s="0" t="n">
        <v>0</v>
      </c>
      <c r="BI1394" s="0" t="n">
        <v>0</v>
      </c>
      <c r="BJ1394" s="0" t="n">
        <v>0</v>
      </c>
      <c r="BK1394" s="0" t="n">
        <v>0</v>
      </c>
      <c r="BM1394" s="6" t="n">
        <f aca="false">IFERROR(VALUE(F1394),"")</f>
        <v>182.41</v>
      </c>
      <c r="BN1394" s="6" t="str">
        <f aca="false">IF(R1394="-","",IFERROR(VALUE(LEFT(Q1394,LEN(Q1394)-2)),""))</f>
        <v/>
      </c>
      <c r="BO1394" s="6" t="str">
        <f aca="false">IF(R1394="-","",IFERROR(VALUE(LEFT(R1394,LEN(R1394)-5)),""))</f>
        <v/>
      </c>
      <c r="BP1394" s="6" t="str">
        <f aca="false">IF(R1394="-","",IFERROR(VALUE(F1394),""))</f>
        <v/>
      </c>
      <c r="BQ1394" s="4" t="n">
        <f aca="false">IF(R1394="-",1,0)</f>
        <v>1</v>
      </c>
    </row>
    <row r="1395" customFormat="false" ht="15" hidden="false" customHeight="false" outlineLevel="0" collapsed="false">
      <c r="A1395" s="0" t="s">
        <v>5295</v>
      </c>
      <c r="B1395" s="0" t="s">
        <v>5296</v>
      </c>
      <c r="C1395" s="0" t="s">
        <v>70</v>
      </c>
      <c r="E1395" s="3" t="n">
        <v>46276</v>
      </c>
      <c r="F1395" s="4" t="s">
        <v>5304</v>
      </c>
      <c r="G1395" s="5" t="n">
        <v>0.164375</v>
      </c>
      <c r="H1395" s="5" t="n">
        <v>0</v>
      </c>
      <c r="I1395" s="5" t="n">
        <v>0</v>
      </c>
      <c r="J1395" s="0" t="n">
        <v>0</v>
      </c>
      <c r="K1395" s="0" t="n">
        <v>2</v>
      </c>
      <c r="L1395" s="0" t="n">
        <v>0</v>
      </c>
      <c r="M1395" s="0" t="n">
        <v>0</v>
      </c>
      <c r="N1395" s="0" t="n">
        <v>1</v>
      </c>
      <c r="O1395" s="5" t="n">
        <v>0</v>
      </c>
      <c r="P1395" s="5" t="n">
        <v>0</v>
      </c>
      <c r="Q1395" s="4" t="s">
        <v>73</v>
      </c>
      <c r="R1395" s="4" t="s">
        <v>73</v>
      </c>
      <c r="S1395" s="5" t="n">
        <v>0</v>
      </c>
      <c r="T1395" s="5" t="n">
        <v>0</v>
      </c>
      <c r="U1395" s="5" t="n">
        <v>0</v>
      </c>
      <c r="V1395" s="5" t="n">
        <v>0</v>
      </c>
      <c r="W1395" s="5" t="n">
        <v>0</v>
      </c>
      <c r="X1395" s="5" t="n">
        <v>0</v>
      </c>
      <c r="Y1395" s="5" t="n">
        <v>0</v>
      </c>
      <c r="Z1395" s="0" t="n">
        <v>0</v>
      </c>
      <c r="AA1395" s="0" t="n">
        <v>0</v>
      </c>
      <c r="AB1395" s="0" t="n">
        <v>0</v>
      </c>
      <c r="AC1395" s="4" t="s">
        <v>5238</v>
      </c>
      <c r="AD1395" s="4" t="s">
        <v>5238</v>
      </c>
      <c r="AE1395" s="4" t="s">
        <v>5303</v>
      </c>
      <c r="AF1395" s="4" t="s">
        <v>5305</v>
      </c>
      <c r="AG1395" s="5" t="n">
        <v>0.153842592592593</v>
      </c>
      <c r="AH1395" s="5" t="n">
        <v>0.075775462962963</v>
      </c>
      <c r="AI1395" s="5" t="n">
        <v>0</v>
      </c>
      <c r="AJ1395" s="5" t="n">
        <v>0</v>
      </c>
      <c r="AK1395" s="5" t="n">
        <v>0</v>
      </c>
      <c r="AL1395" s="5" t="n">
        <v>0</v>
      </c>
      <c r="AM1395" s="4" t="s">
        <v>78</v>
      </c>
      <c r="AN1395" s="0" t="n">
        <v>0</v>
      </c>
      <c r="AO1395" s="0" t="n">
        <v>0</v>
      </c>
      <c r="AP1395" s="0" t="n">
        <v>0</v>
      </c>
      <c r="AQ1395" s="0" t="n">
        <v>0</v>
      </c>
      <c r="AR1395" s="0" t="n">
        <v>0</v>
      </c>
      <c r="AS1395" s="0" t="n">
        <v>0</v>
      </c>
      <c r="AT1395" s="0" t="n">
        <v>0</v>
      </c>
      <c r="AU1395" s="0" t="n">
        <v>0</v>
      </c>
      <c r="AV1395" s="0" t="n">
        <v>0</v>
      </c>
      <c r="AW1395" s="0" t="n">
        <v>0</v>
      </c>
      <c r="AX1395" s="0" t="n">
        <v>0</v>
      </c>
      <c r="AY1395" s="0" t="n">
        <v>0</v>
      </c>
      <c r="AZ1395" s="0" t="n">
        <v>0</v>
      </c>
      <c r="BA1395" s="0" t="n">
        <v>0</v>
      </c>
      <c r="BB1395" s="0" t="n">
        <v>0</v>
      </c>
      <c r="BC1395" s="0" t="n">
        <v>0</v>
      </c>
      <c r="BD1395" s="0" t="n">
        <v>0</v>
      </c>
      <c r="BE1395" s="0" t="n">
        <v>0</v>
      </c>
      <c r="BF1395" s="0" t="n">
        <v>0</v>
      </c>
      <c r="BG1395" s="0" t="n">
        <v>0</v>
      </c>
      <c r="BH1395" s="0" t="n">
        <v>0</v>
      </c>
      <c r="BI1395" s="0" t="n">
        <v>0</v>
      </c>
      <c r="BJ1395" s="0" t="n">
        <v>0</v>
      </c>
      <c r="BK1395" s="0" t="n">
        <v>0</v>
      </c>
      <c r="BM1395" s="6" t="n">
        <f aca="false">IFERROR(VALUE(F1395),"")</f>
        <v>135.49</v>
      </c>
      <c r="BN1395" s="6" t="str">
        <f aca="false">IF(R1395="-","",IFERROR(VALUE(LEFT(Q1395,LEN(Q1395)-2)),""))</f>
        <v/>
      </c>
      <c r="BO1395" s="6" t="str">
        <f aca="false">IF(R1395="-","",IFERROR(VALUE(LEFT(R1395,LEN(R1395)-5)),""))</f>
        <v/>
      </c>
      <c r="BP1395" s="6" t="str">
        <f aca="false">IF(R1395="-","",IFERROR(VALUE(F1395),""))</f>
        <v/>
      </c>
      <c r="BQ1395" s="4" t="n">
        <f aca="false">IF(R1395="-",1,0)</f>
        <v>1</v>
      </c>
    </row>
    <row r="1396" customFormat="false" ht="15" hidden="false" customHeight="false" outlineLevel="0" collapsed="false">
      <c r="A1396" s="0" t="s">
        <v>5295</v>
      </c>
      <c r="B1396" s="0" t="s">
        <v>5296</v>
      </c>
      <c r="C1396" s="0" t="s">
        <v>70</v>
      </c>
      <c r="E1396" s="3" t="n">
        <v>46277</v>
      </c>
      <c r="F1396" s="4" t="s">
        <v>95</v>
      </c>
      <c r="G1396" s="5" t="n">
        <v>0</v>
      </c>
      <c r="H1396" s="5" t="n">
        <v>0</v>
      </c>
      <c r="I1396" s="5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5" t="n">
        <v>0</v>
      </c>
      <c r="P1396" s="5" t="n">
        <v>0</v>
      </c>
      <c r="Q1396" s="4" t="s">
        <v>73</v>
      </c>
      <c r="R1396" s="4" t="s">
        <v>73</v>
      </c>
      <c r="S1396" s="5" t="n">
        <v>0</v>
      </c>
      <c r="T1396" s="5" t="n">
        <v>0</v>
      </c>
      <c r="U1396" s="5" t="n">
        <v>0</v>
      </c>
      <c r="V1396" s="5" t="n">
        <v>0</v>
      </c>
      <c r="W1396" s="5" t="n">
        <v>0</v>
      </c>
      <c r="X1396" s="5" t="n">
        <v>0</v>
      </c>
      <c r="Y1396" s="5" t="n">
        <v>0</v>
      </c>
      <c r="Z1396" s="0" t="n">
        <v>0</v>
      </c>
      <c r="AA1396" s="0" t="n">
        <v>0</v>
      </c>
      <c r="AB1396" s="0" t="n">
        <v>0</v>
      </c>
      <c r="AE1396" s="4" t="s">
        <v>5305</v>
      </c>
      <c r="AF1396" s="4" t="s">
        <v>5305</v>
      </c>
      <c r="AG1396" s="5" t="n">
        <v>0</v>
      </c>
      <c r="AH1396" s="5" t="n">
        <v>0</v>
      </c>
      <c r="AI1396" s="5" t="n">
        <v>0</v>
      </c>
      <c r="AJ1396" s="5" t="n">
        <v>0</v>
      </c>
      <c r="AK1396" s="5" t="n">
        <v>0</v>
      </c>
      <c r="AL1396" s="5" t="n">
        <v>0</v>
      </c>
      <c r="AM1396" s="4" t="s">
        <v>78</v>
      </c>
      <c r="AN1396" s="0" t="n">
        <v>0</v>
      </c>
      <c r="AO1396" s="0" t="n">
        <v>0</v>
      </c>
      <c r="AP1396" s="0" t="n">
        <v>0</v>
      </c>
      <c r="AQ1396" s="0" t="n">
        <v>0</v>
      </c>
      <c r="AR1396" s="0" t="n">
        <v>0</v>
      </c>
      <c r="AS1396" s="0" t="n">
        <v>0</v>
      </c>
      <c r="AT1396" s="0" t="n">
        <v>0</v>
      </c>
      <c r="AU1396" s="0" t="n">
        <v>0</v>
      </c>
      <c r="AV1396" s="0" t="n">
        <v>0</v>
      </c>
      <c r="AW1396" s="0" t="n">
        <v>0</v>
      </c>
      <c r="AX1396" s="0" t="n">
        <v>0</v>
      </c>
      <c r="AY1396" s="0" t="n">
        <v>0</v>
      </c>
      <c r="AZ1396" s="0" t="n">
        <v>0</v>
      </c>
      <c r="BA1396" s="0" t="n">
        <v>0</v>
      </c>
      <c r="BB1396" s="0" t="n">
        <v>0</v>
      </c>
      <c r="BC1396" s="0" t="n">
        <v>0</v>
      </c>
      <c r="BD1396" s="0" t="n">
        <v>0</v>
      </c>
      <c r="BE1396" s="0" t="n">
        <v>0</v>
      </c>
      <c r="BF1396" s="0" t="n">
        <v>0</v>
      </c>
      <c r="BG1396" s="0" t="n">
        <v>0</v>
      </c>
      <c r="BH1396" s="0" t="n">
        <v>0</v>
      </c>
      <c r="BI1396" s="0" t="n">
        <v>0</v>
      </c>
      <c r="BJ1396" s="0" t="n">
        <v>0</v>
      </c>
      <c r="BK1396" s="0" t="n">
        <v>0</v>
      </c>
      <c r="BM1396" s="6" t="n">
        <f aca="false">IFERROR(VALUE(F1396),"")</f>
        <v>0</v>
      </c>
      <c r="BN1396" s="6" t="str">
        <f aca="false">IF(R1396="-","",IFERROR(VALUE(LEFT(Q1396,LEN(Q1396)-2)),""))</f>
        <v/>
      </c>
      <c r="BO1396" s="6" t="str">
        <f aca="false">IF(R1396="-","",IFERROR(VALUE(LEFT(R1396,LEN(R1396)-5)),""))</f>
        <v/>
      </c>
      <c r="BP1396" s="6" t="str">
        <f aca="false">IF(R1396="-","",IFERROR(VALUE(F1396),""))</f>
        <v/>
      </c>
      <c r="BQ1396" s="4" t="n">
        <f aca="false">IF(R1396="-",1,0)</f>
        <v>1</v>
      </c>
    </row>
    <row r="1397" customFormat="false" ht="15" hidden="false" customHeight="false" outlineLevel="0" collapsed="false">
      <c r="A1397" s="0" t="s">
        <v>5295</v>
      </c>
      <c r="B1397" s="0" t="s">
        <v>5296</v>
      </c>
      <c r="C1397" s="0" t="s">
        <v>70</v>
      </c>
      <c r="E1397" s="3" t="n">
        <v>46278</v>
      </c>
      <c r="F1397" s="4" t="s">
        <v>95</v>
      </c>
      <c r="G1397" s="5" t="n">
        <v>0</v>
      </c>
      <c r="H1397" s="5" t="n">
        <v>0</v>
      </c>
      <c r="I1397" s="5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5" t="n">
        <v>0</v>
      </c>
      <c r="P1397" s="5" t="n">
        <v>0</v>
      </c>
      <c r="Q1397" s="4" t="s">
        <v>73</v>
      </c>
      <c r="R1397" s="4" t="s">
        <v>73</v>
      </c>
      <c r="S1397" s="5" t="n">
        <v>0</v>
      </c>
      <c r="T1397" s="5" t="n">
        <v>0</v>
      </c>
      <c r="U1397" s="5" t="n">
        <v>0</v>
      </c>
      <c r="V1397" s="5" t="n">
        <v>0</v>
      </c>
      <c r="W1397" s="5" t="n">
        <v>0</v>
      </c>
      <c r="X1397" s="5" t="n">
        <v>0</v>
      </c>
      <c r="Y1397" s="5" t="n">
        <v>0</v>
      </c>
      <c r="Z1397" s="0" t="n">
        <v>0</v>
      </c>
      <c r="AA1397" s="0" t="n">
        <v>0</v>
      </c>
      <c r="AB1397" s="0" t="n">
        <v>0</v>
      </c>
      <c r="AE1397" s="4" t="s">
        <v>5305</v>
      </c>
      <c r="AF1397" s="4" t="s">
        <v>5305</v>
      </c>
      <c r="AG1397" s="5" t="n">
        <v>0</v>
      </c>
      <c r="AH1397" s="5" t="n">
        <v>0</v>
      </c>
      <c r="AI1397" s="5" t="n">
        <v>0</v>
      </c>
      <c r="AJ1397" s="5" t="n">
        <v>0</v>
      </c>
      <c r="AK1397" s="5" t="n">
        <v>0</v>
      </c>
      <c r="AL1397" s="5" t="n">
        <v>0</v>
      </c>
      <c r="AM1397" s="4" t="s">
        <v>78</v>
      </c>
      <c r="AN1397" s="0" t="n">
        <v>0</v>
      </c>
      <c r="AO1397" s="0" t="n">
        <v>0</v>
      </c>
      <c r="AP1397" s="0" t="n">
        <v>0</v>
      </c>
      <c r="AQ1397" s="0" t="n">
        <v>0</v>
      </c>
      <c r="AR1397" s="0" t="n">
        <v>0</v>
      </c>
      <c r="AS1397" s="0" t="n">
        <v>0</v>
      </c>
      <c r="AT1397" s="0" t="n">
        <v>0</v>
      </c>
      <c r="AU1397" s="0" t="n">
        <v>0</v>
      </c>
      <c r="AV1397" s="0" t="n">
        <v>0</v>
      </c>
      <c r="AW1397" s="0" t="n">
        <v>0</v>
      </c>
      <c r="AX1397" s="0" t="n">
        <v>0</v>
      </c>
      <c r="AY1397" s="0" t="n">
        <v>0</v>
      </c>
      <c r="AZ1397" s="0" t="n">
        <v>0</v>
      </c>
      <c r="BA1397" s="0" t="n">
        <v>0</v>
      </c>
      <c r="BB1397" s="0" t="n">
        <v>0</v>
      </c>
      <c r="BC1397" s="0" t="n">
        <v>0</v>
      </c>
      <c r="BD1397" s="0" t="n">
        <v>0</v>
      </c>
      <c r="BE1397" s="0" t="n">
        <v>0</v>
      </c>
      <c r="BF1397" s="0" t="n">
        <v>0</v>
      </c>
      <c r="BG1397" s="0" t="n">
        <v>0</v>
      </c>
      <c r="BH1397" s="0" t="n">
        <v>0</v>
      </c>
      <c r="BI1397" s="0" t="n">
        <v>0</v>
      </c>
      <c r="BJ1397" s="0" t="n">
        <v>0</v>
      </c>
      <c r="BK1397" s="0" t="n">
        <v>0</v>
      </c>
      <c r="BM1397" s="6" t="n">
        <f aca="false">IFERROR(VALUE(F1397),"")</f>
        <v>0</v>
      </c>
      <c r="BN1397" s="6" t="str">
        <f aca="false">IF(R1397="-","",IFERROR(VALUE(LEFT(Q1397,LEN(Q1397)-2)),""))</f>
        <v/>
      </c>
      <c r="BO1397" s="6" t="str">
        <f aca="false">IF(R1397="-","",IFERROR(VALUE(LEFT(R1397,LEN(R1397)-5)),""))</f>
        <v/>
      </c>
      <c r="BP1397" s="6" t="str">
        <f aca="false">IF(R1397="-","",IFERROR(VALUE(F1397),""))</f>
        <v/>
      </c>
      <c r="BQ1397" s="4" t="n">
        <f aca="false">IF(R1397="-",1,0)</f>
        <v>1</v>
      </c>
    </row>
    <row r="1398" customFormat="false" ht="15" hidden="false" customHeight="false" outlineLevel="0" collapsed="false">
      <c r="A1398" s="0" t="s">
        <v>5295</v>
      </c>
      <c r="B1398" s="0" t="s">
        <v>5296</v>
      </c>
      <c r="C1398" s="0" t="s">
        <v>70</v>
      </c>
      <c r="E1398" s="3" t="n">
        <v>46279</v>
      </c>
      <c r="F1398" s="4" t="s">
        <v>5306</v>
      </c>
      <c r="G1398" s="5" t="n">
        <v>0.443356481481482</v>
      </c>
      <c r="H1398" s="5" t="n">
        <v>0</v>
      </c>
      <c r="I1398" s="5" t="n">
        <v>0</v>
      </c>
      <c r="J1398" s="0" t="n">
        <v>0</v>
      </c>
      <c r="K1398" s="0" t="n">
        <v>5</v>
      </c>
      <c r="L1398" s="0" t="n">
        <v>0</v>
      </c>
      <c r="M1398" s="0" t="n">
        <v>0</v>
      </c>
      <c r="N1398" s="0" t="n">
        <v>1</v>
      </c>
      <c r="O1398" s="5" t="n">
        <v>0</v>
      </c>
      <c r="P1398" s="5" t="n">
        <v>0</v>
      </c>
      <c r="Q1398" s="4" t="s">
        <v>73</v>
      </c>
      <c r="R1398" s="4" t="s">
        <v>73</v>
      </c>
      <c r="S1398" s="5" t="n">
        <v>0</v>
      </c>
      <c r="T1398" s="5" t="n">
        <v>0</v>
      </c>
      <c r="U1398" s="5" t="n">
        <v>0</v>
      </c>
      <c r="V1398" s="5" t="n">
        <v>0</v>
      </c>
      <c r="W1398" s="5" t="n">
        <v>0</v>
      </c>
      <c r="X1398" s="5" t="n">
        <v>0</v>
      </c>
      <c r="Y1398" s="5" t="n">
        <v>0</v>
      </c>
      <c r="Z1398" s="0" t="n">
        <v>0</v>
      </c>
      <c r="AA1398" s="0" t="n">
        <v>0</v>
      </c>
      <c r="AB1398" s="0" t="n">
        <v>0</v>
      </c>
      <c r="AC1398" s="4" t="s">
        <v>5238</v>
      </c>
      <c r="AD1398" s="4" t="s">
        <v>159</v>
      </c>
      <c r="AE1398" s="4" t="s">
        <v>5305</v>
      </c>
      <c r="AF1398" s="4" t="s">
        <v>5307</v>
      </c>
      <c r="AG1398" s="5" t="n">
        <v>0.164421296296296</v>
      </c>
      <c r="AH1398" s="5" t="n">
        <v>0.170462962962963</v>
      </c>
      <c r="AI1398" s="5" t="n">
        <v>0</v>
      </c>
      <c r="AJ1398" s="5" t="n">
        <v>0</v>
      </c>
      <c r="AK1398" s="5" t="n">
        <v>0</v>
      </c>
      <c r="AL1398" s="5" t="n">
        <v>0</v>
      </c>
      <c r="AM1398" s="4" t="s">
        <v>78</v>
      </c>
      <c r="AN1398" s="0" t="n">
        <v>0</v>
      </c>
      <c r="AO1398" s="0" t="n">
        <v>0</v>
      </c>
      <c r="AP1398" s="0" t="n">
        <v>0</v>
      </c>
      <c r="AQ1398" s="0" t="n">
        <v>0</v>
      </c>
      <c r="AR1398" s="0" t="n">
        <v>0</v>
      </c>
      <c r="AS1398" s="0" t="n">
        <v>0</v>
      </c>
      <c r="AT1398" s="0" t="n">
        <v>0</v>
      </c>
      <c r="AU1398" s="0" t="n">
        <v>0</v>
      </c>
      <c r="AV1398" s="0" t="n">
        <v>0</v>
      </c>
      <c r="AW1398" s="0" t="n">
        <v>0</v>
      </c>
      <c r="AX1398" s="0" t="n">
        <v>0</v>
      </c>
      <c r="AY1398" s="0" t="n">
        <v>0</v>
      </c>
      <c r="AZ1398" s="0" t="n">
        <v>0</v>
      </c>
      <c r="BA1398" s="0" t="n">
        <v>0</v>
      </c>
      <c r="BB1398" s="0" t="n">
        <v>0</v>
      </c>
      <c r="BC1398" s="0" t="n">
        <v>0</v>
      </c>
      <c r="BD1398" s="0" t="n">
        <v>0</v>
      </c>
      <c r="BE1398" s="0" t="n">
        <v>0</v>
      </c>
      <c r="BF1398" s="0" t="n">
        <v>0</v>
      </c>
      <c r="BG1398" s="0" t="n">
        <v>0</v>
      </c>
      <c r="BH1398" s="0" t="n">
        <v>0</v>
      </c>
      <c r="BI1398" s="0" t="n">
        <v>0</v>
      </c>
      <c r="BJ1398" s="0" t="n">
        <v>0</v>
      </c>
      <c r="BK1398" s="0" t="n">
        <v>0</v>
      </c>
      <c r="BM1398" s="6" t="n">
        <f aca="false">IFERROR(VALUE(F1398),"")</f>
        <v>159.86</v>
      </c>
      <c r="BN1398" s="6" t="str">
        <f aca="false">IF(R1398="-","",IFERROR(VALUE(LEFT(Q1398,LEN(Q1398)-2)),""))</f>
        <v/>
      </c>
      <c r="BO1398" s="6" t="str">
        <f aca="false">IF(R1398="-","",IFERROR(VALUE(LEFT(R1398,LEN(R1398)-5)),""))</f>
        <v/>
      </c>
      <c r="BP1398" s="6" t="str">
        <f aca="false">IF(R1398="-","",IFERROR(VALUE(F1398),""))</f>
        <v/>
      </c>
      <c r="BQ1398" s="4" t="n">
        <f aca="false">IF(R1398="-",1,0)</f>
        <v>1</v>
      </c>
    </row>
    <row r="1399" customFormat="false" ht="15" hidden="false" customHeight="false" outlineLevel="0" collapsed="false">
      <c r="A1399" s="0" t="s">
        <v>5308</v>
      </c>
      <c r="B1399" s="0" t="s">
        <v>5309</v>
      </c>
      <c r="C1399" s="0" t="s">
        <v>70</v>
      </c>
      <c r="E1399" s="3" t="n">
        <v>46273</v>
      </c>
      <c r="F1399" s="4" t="s">
        <v>5310</v>
      </c>
      <c r="G1399" s="5" t="n">
        <v>0.182777777777778</v>
      </c>
      <c r="H1399" s="5" t="n">
        <v>0</v>
      </c>
      <c r="I1399" s="5" t="n">
        <v>0.000150462962962963</v>
      </c>
      <c r="J1399" s="0" t="n">
        <v>1</v>
      </c>
      <c r="K1399" s="0" t="n">
        <v>1</v>
      </c>
      <c r="L1399" s="0" t="n">
        <v>0</v>
      </c>
      <c r="M1399" s="0" t="n">
        <v>0</v>
      </c>
      <c r="N1399" s="0" t="n">
        <v>2</v>
      </c>
      <c r="O1399" s="5" t="n">
        <v>0</v>
      </c>
      <c r="P1399" s="5" t="n">
        <v>0</v>
      </c>
      <c r="Q1399" s="4" t="s">
        <v>73</v>
      </c>
      <c r="R1399" s="4" t="s">
        <v>73</v>
      </c>
      <c r="S1399" s="5" t="n">
        <v>0</v>
      </c>
      <c r="T1399" s="5" t="n">
        <v>0</v>
      </c>
      <c r="U1399" s="5" t="n">
        <v>0</v>
      </c>
      <c r="V1399" s="5" t="n">
        <v>0</v>
      </c>
      <c r="W1399" s="5" t="n">
        <v>0</v>
      </c>
      <c r="X1399" s="5" t="n">
        <v>0</v>
      </c>
      <c r="Y1399" s="5" t="n">
        <v>0</v>
      </c>
      <c r="Z1399" s="0" t="n">
        <v>0</v>
      </c>
      <c r="AA1399" s="0" t="n">
        <v>0</v>
      </c>
      <c r="AB1399" s="0" t="n">
        <v>0</v>
      </c>
      <c r="AC1399" s="4" t="s">
        <v>158</v>
      </c>
      <c r="AD1399" s="4" t="s">
        <v>159</v>
      </c>
      <c r="AE1399" s="4" t="s">
        <v>5311</v>
      </c>
      <c r="AF1399" s="4" t="s">
        <v>5312</v>
      </c>
      <c r="AG1399" s="5" t="n">
        <v>0.165185185185185</v>
      </c>
      <c r="AH1399" s="5" t="n">
        <v>0.0394675925925926</v>
      </c>
      <c r="AI1399" s="5" t="n">
        <v>0</v>
      </c>
      <c r="AJ1399" s="5" t="n">
        <v>0</v>
      </c>
      <c r="AK1399" s="5" t="n">
        <v>0</v>
      </c>
      <c r="AL1399" s="5" t="n">
        <v>0</v>
      </c>
      <c r="AM1399" s="4" t="s">
        <v>78</v>
      </c>
      <c r="AN1399" s="0" t="n">
        <v>0</v>
      </c>
      <c r="AO1399" s="0" t="n">
        <v>0</v>
      </c>
      <c r="AP1399" s="0" t="n">
        <v>0</v>
      </c>
      <c r="AQ1399" s="0" t="n">
        <v>0</v>
      </c>
      <c r="AR1399" s="0" t="n">
        <v>7</v>
      </c>
      <c r="AS1399" s="0" t="n">
        <v>0</v>
      </c>
      <c r="AT1399" s="0" t="n">
        <v>0</v>
      </c>
      <c r="AU1399" s="0" t="n">
        <v>0</v>
      </c>
      <c r="AV1399" s="0" t="n">
        <v>0</v>
      </c>
      <c r="AW1399" s="0" t="n">
        <v>0</v>
      </c>
      <c r="AX1399" s="0" t="n">
        <v>0</v>
      </c>
      <c r="AY1399" s="0" t="n">
        <v>0</v>
      </c>
      <c r="AZ1399" s="0" t="n">
        <v>0</v>
      </c>
      <c r="BA1399" s="0" t="n">
        <v>0</v>
      </c>
      <c r="BB1399" s="0" t="n">
        <v>0</v>
      </c>
      <c r="BC1399" s="0" t="n">
        <v>0</v>
      </c>
      <c r="BD1399" s="0" t="n">
        <v>0</v>
      </c>
      <c r="BE1399" s="0" t="n">
        <v>0</v>
      </c>
      <c r="BF1399" s="0" t="n">
        <v>0</v>
      </c>
      <c r="BG1399" s="0" t="n">
        <v>0</v>
      </c>
      <c r="BH1399" s="0" t="n">
        <v>0</v>
      </c>
      <c r="BI1399" s="0" t="n">
        <v>0</v>
      </c>
      <c r="BJ1399" s="0" t="n">
        <v>0</v>
      </c>
      <c r="BK1399" s="0" t="n">
        <v>0</v>
      </c>
      <c r="BM1399" s="6" t="n">
        <f aca="false">IFERROR(VALUE(F1399),"")</f>
        <v>162.87</v>
      </c>
      <c r="BN1399" s="6" t="str">
        <f aca="false">IF(R1399="-","",IFERROR(VALUE(LEFT(Q1399,LEN(Q1399)-2)),""))</f>
        <v/>
      </c>
      <c r="BO1399" s="6" t="str">
        <f aca="false">IF(R1399="-","",IFERROR(VALUE(LEFT(R1399,LEN(R1399)-5)),""))</f>
        <v/>
      </c>
      <c r="BP1399" s="6" t="str">
        <f aca="false">IF(R1399="-","",IFERROR(VALUE(F1399),""))</f>
        <v/>
      </c>
      <c r="BQ1399" s="4" t="n">
        <f aca="false">IF(R1399="-",1,0)</f>
        <v>1</v>
      </c>
    </row>
    <row r="1400" customFormat="false" ht="15" hidden="false" customHeight="false" outlineLevel="0" collapsed="false">
      <c r="A1400" s="0" t="s">
        <v>5308</v>
      </c>
      <c r="B1400" s="0" t="s">
        <v>5309</v>
      </c>
      <c r="C1400" s="0" t="s">
        <v>70</v>
      </c>
      <c r="D1400" s="0" t="s">
        <v>5313</v>
      </c>
      <c r="E1400" s="3" t="n">
        <v>46274</v>
      </c>
      <c r="F1400" s="4" t="s">
        <v>5314</v>
      </c>
      <c r="G1400" s="5" t="n">
        <v>0.17181712962963</v>
      </c>
      <c r="H1400" s="5" t="n">
        <v>0.00353009259259259</v>
      </c>
      <c r="I1400" s="5" t="n">
        <v>0.000659722222222222</v>
      </c>
      <c r="J1400" s="0" t="n">
        <v>1</v>
      </c>
      <c r="K1400" s="0" t="n">
        <v>2</v>
      </c>
      <c r="L1400" s="0" t="n">
        <v>0</v>
      </c>
      <c r="M1400" s="0" t="n">
        <v>0</v>
      </c>
      <c r="N1400" s="0" t="n">
        <v>3</v>
      </c>
      <c r="O1400" s="5" t="n">
        <v>0</v>
      </c>
      <c r="P1400" s="5" t="n">
        <v>0</v>
      </c>
      <c r="Q1400" s="4" t="s">
        <v>73</v>
      </c>
      <c r="R1400" s="4" t="s">
        <v>73</v>
      </c>
      <c r="S1400" s="5" t="n">
        <v>0</v>
      </c>
      <c r="T1400" s="5" t="n">
        <v>0</v>
      </c>
      <c r="U1400" s="5" t="n">
        <v>0</v>
      </c>
      <c r="V1400" s="5" t="n">
        <v>0</v>
      </c>
      <c r="W1400" s="5" t="n">
        <v>0</v>
      </c>
      <c r="X1400" s="5" t="n">
        <v>0</v>
      </c>
      <c r="Y1400" s="5" t="n">
        <v>0</v>
      </c>
      <c r="Z1400" s="0" t="n">
        <v>0</v>
      </c>
      <c r="AA1400" s="0" t="n">
        <v>0</v>
      </c>
      <c r="AB1400" s="0" t="n">
        <v>0</v>
      </c>
      <c r="AC1400" s="4" t="s">
        <v>159</v>
      </c>
      <c r="AD1400" s="4" t="s">
        <v>864</v>
      </c>
      <c r="AE1400" s="4" t="s">
        <v>5312</v>
      </c>
      <c r="AF1400" s="4" t="s">
        <v>5315</v>
      </c>
      <c r="AG1400" s="5" t="n">
        <v>0.135185185185185</v>
      </c>
      <c r="AH1400" s="5" t="n">
        <v>0.218043981481482</v>
      </c>
      <c r="AI1400" s="5" t="n">
        <v>0</v>
      </c>
      <c r="AJ1400" s="5" t="n">
        <v>0</v>
      </c>
      <c r="AK1400" s="5" t="n">
        <v>0</v>
      </c>
      <c r="AL1400" s="5" t="n">
        <v>0</v>
      </c>
      <c r="AM1400" s="4" t="s">
        <v>78</v>
      </c>
      <c r="AN1400" s="0" t="n">
        <v>0</v>
      </c>
      <c r="AO1400" s="0" t="n">
        <v>0</v>
      </c>
      <c r="AP1400" s="0" t="n">
        <v>0</v>
      </c>
      <c r="AQ1400" s="0" t="n">
        <v>0</v>
      </c>
      <c r="AR1400" s="0" t="n">
        <v>5</v>
      </c>
      <c r="AS1400" s="0" t="n">
        <v>0</v>
      </c>
      <c r="AT1400" s="0" t="n">
        <v>0</v>
      </c>
      <c r="AU1400" s="0" t="n">
        <v>0</v>
      </c>
      <c r="AV1400" s="0" t="n">
        <v>0</v>
      </c>
      <c r="AW1400" s="0" t="n">
        <v>0</v>
      </c>
      <c r="AX1400" s="0" t="n">
        <v>0</v>
      </c>
      <c r="AY1400" s="0" t="n">
        <v>0</v>
      </c>
      <c r="AZ1400" s="0" t="n">
        <v>0</v>
      </c>
      <c r="BA1400" s="0" t="n">
        <v>0</v>
      </c>
      <c r="BB1400" s="0" t="n">
        <v>0</v>
      </c>
      <c r="BC1400" s="0" t="n">
        <v>0</v>
      </c>
      <c r="BD1400" s="0" t="n">
        <v>0</v>
      </c>
      <c r="BE1400" s="0" t="n">
        <v>0</v>
      </c>
      <c r="BF1400" s="0" t="n">
        <v>0</v>
      </c>
      <c r="BG1400" s="0" t="n">
        <v>0</v>
      </c>
      <c r="BH1400" s="0" t="n">
        <v>0</v>
      </c>
      <c r="BI1400" s="0" t="n">
        <v>0</v>
      </c>
      <c r="BJ1400" s="0" t="n">
        <v>0</v>
      </c>
      <c r="BK1400" s="0" t="n">
        <v>0</v>
      </c>
      <c r="BM1400" s="6" t="n">
        <f aca="false">IFERROR(VALUE(F1400),"")</f>
        <v>151.16</v>
      </c>
      <c r="BN1400" s="6" t="str">
        <f aca="false">IF(R1400="-","",IFERROR(VALUE(LEFT(Q1400,LEN(Q1400)-2)),""))</f>
        <v/>
      </c>
      <c r="BO1400" s="6" t="str">
        <f aca="false">IF(R1400="-","",IFERROR(VALUE(LEFT(R1400,LEN(R1400)-5)),""))</f>
        <v/>
      </c>
      <c r="BP1400" s="6" t="str">
        <f aca="false">IF(R1400="-","",IFERROR(VALUE(F1400),""))</f>
        <v/>
      </c>
      <c r="BQ1400" s="4" t="n">
        <f aca="false">IF(R1400="-",1,0)</f>
        <v>1</v>
      </c>
    </row>
    <row r="1401" customFormat="false" ht="15" hidden="false" customHeight="false" outlineLevel="0" collapsed="false">
      <c r="A1401" s="0" t="s">
        <v>5308</v>
      </c>
      <c r="B1401" s="0" t="s">
        <v>5309</v>
      </c>
      <c r="C1401" s="0" t="s">
        <v>70</v>
      </c>
      <c r="D1401" s="0" t="s">
        <v>5279</v>
      </c>
      <c r="E1401" s="3" t="n">
        <v>46275</v>
      </c>
      <c r="F1401" s="4" t="s">
        <v>5316</v>
      </c>
      <c r="G1401" s="5" t="n">
        <v>0.150740740740741</v>
      </c>
      <c r="H1401" s="5" t="n">
        <v>0.0668981481481482</v>
      </c>
      <c r="I1401" s="5" t="n">
        <v>0.000613425925925926</v>
      </c>
      <c r="J1401" s="0" t="n">
        <v>0</v>
      </c>
      <c r="K1401" s="0" t="n">
        <v>3</v>
      </c>
      <c r="L1401" s="0" t="n">
        <v>0</v>
      </c>
      <c r="M1401" s="0" t="n">
        <v>0</v>
      </c>
      <c r="N1401" s="0" t="n">
        <v>9</v>
      </c>
      <c r="O1401" s="5" t="n">
        <v>0</v>
      </c>
      <c r="P1401" s="5" t="n">
        <v>0</v>
      </c>
      <c r="Q1401" s="4" t="s">
        <v>73</v>
      </c>
      <c r="R1401" s="4" t="s">
        <v>73</v>
      </c>
      <c r="S1401" s="5" t="n">
        <v>0</v>
      </c>
      <c r="T1401" s="5" t="n">
        <v>0</v>
      </c>
      <c r="U1401" s="5" t="n">
        <v>0</v>
      </c>
      <c r="V1401" s="5" t="n">
        <v>0</v>
      </c>
      <c r="W1401" s="5" t="n">
        <v>0</v>
      </c>
      <c r="X1401" s="5" t="n">
        <v>0</v>
      </c>
      <c r="Y1401" s="5" t="n">
        <v>0</v>
      </c>
      <c r="Z1401" s="0" t="n">
        <v>0</v>
      </c>
      <c r="AA1401" s="0" t="n">
        <v>0</v>
      </c>
      <c r="AB1401" s="0" t="n">
        <v>0</v>
      </c>
      <c r="AC1401" s="4" t="s">
        <v>864</v>
      </c>
      <c r="AD1401" s="4" t="s">
        <v>864</v>
      </c>
      <c r="AE1401" s="4" t="s">
        <v>5315</v>
      </c>
      <c r="AF1401" s="4" t="s">
        <v>5317</v>
      </c>
      <c r="AG1401" s="5" t="n">
        <v>0.145520833333333</v>
      </c>
      <c r="AH1401" s="5" t="n">
        <v>0.0237152777777778</v>
      </c>
      <c r="AI1401" s="5" t="n">
        <v>0</v>
      </c>
      <c r="AJ1401" s="5" t="n">
        <v>0</v>
      </c>
      <c r="AK1401" s="5" t="n">
        <v>0</v>
      </c>
      <c r="AL1401" s="5" t="n">
        <v>0</v>
      </c>
      <c r="AM1401" s="4" t="s">
        <v>78</v>
      </c>
      <c r="AN1401" s="0" t="n">
        <v>0</v>
      </c>
      <c r="AO1401" s="0" t="n">
        <v>0</v>
      </c>
      <c r="AP1401" s="0" t="n">
        <v>0</v>
      </c>
      <c r="AQ1401" s="0" t="n">
        <v>0</v>
      </c>
      <c r="AR1401" s="0" t="n">
        <v>5</v>
      </c>
      <c r="AS1401" s="0" t="n">
        <v>0</v>
      </c>
      <c r="AT1401" s="0" t="n">
        <v>0</v>
      </c>
      <c r="AU1401" s="0" t="n">
        <v>0</v>
      </c>
      <c r="AV1401" s="0" t="n">
        <v>0</v>
      </c>
      <c r="AW1401" s="0" t="n">
        <v>0</v>
      </c>
      <c r="AX1401" s="0" t="n">
        <v>0</v>
      </c>
      <c r="AY1401" s="0" t="n">
        <v>0</v>
      </c>
      <c r="AZ1401" s="0" t="n">
        <v>0</v>
      </c>
      <c r="BA1401" s="0" t="n">
        <v>0</v>
      </c>
      <c r="BB1401" s="0" t="n">
        <v>0</v>
      </c>
      <c r="BC1401" s="0" t="n">
        <v>0</v>
      </c>
      <c r="BD1401" s="0" t="n">
        <v>0</v>
      </c>
      <c r="BE1401" s="0" t="n">
        <v>0</v>
      </c>
      <c r="BF1401" s="0" t="n">
        <v>0</v>
      </c>
      <c r="BG1401" s="0" t="n">
        <v>0</v>
      </c>
      <c r="BH1401" s="0" t="n">
        <v>0</v>
      </c>
      <c r="BI1401" s="0" t="n">
        <v>0</v>
      </c>
      <c r="BJ1401" s="0" t="n">
        <v>0</v>
      </c>
      <c r="BK1401" s="0" t="n">
        <v>0</v>
      </c>
      <c r="BM1401" s="6" t="n">
        <f aca="false">IFERROR(VALUE(F1401),"")</f>
        <v>170.29</v>
      </c>
      <c r="BN1401" s="6" t="str">
        <f aca="false">IF(R1401="-","",IFERROR(VALUE(LEFT(Q1401,LEN(Q1401)-2)),""))</f>
        <v/>
      </c>
      <c r="BO1401" s="6" t="str">
        <f aca="false">IF(R1401="-","",IFERROR(VALUE(LEFT(R1401,LEN(R1401)-5)),""))</f>
        <v/>
      </c>
      <c r="BP1401" s="6" t="str">
        <f aca="false">IF(R1401="-","",IFERROR(VALUE(F1401),""))</f>
        <v/>
      </c>
      <c r="BQ1401" s="4" t="n">
        <f aca="false">IF(R1401="-",1,0)</f>
        <v>1</v>
      </c>
    </row>
    <row r="1402" customFormat="false" ht="15" hidden="false" customHeight="false" outlineLevel="0" collapsed="false">
      <c r="A1402" s="0" t="s">
        <v>5308</v>
      </c>
      <c r="B1402" s="0" t="s">
        <v>5309</v>
      </c>
      <c r="C1402" s="0" t="s">
        <v>70</v>
      </c>
      <c r="E1402" s="3" t="n">
        <v>46276</v>
      </c>
      <c r="F1402" s="4" t="s">
        <v>5318</v>
      </c>
      <c r="G1402" s="5" t="n">
        <v>0.179085648148148</v>
      </c>
      <c r="H1402" s="5" t="n">
        <v>0</v>
      </c>
      <c r="I1402" s="5" t="n">
        <v>0.000497685185185185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4</v>
      </c>
      <c r="O1402" s="5" t="n">
        <v>0</v>
      </c>
      <c r="P1402" s="5" t="n">
        <v>0</v>
      </c>
      <c r="Q1402" s="4" t="s">
        <v>73</v>
      </c>
      <c r="R1402" s="4" t="s">
        <v>73</v>
      </c>
      <c r="S1402" s="5" t="n">
        <v>0</v>
      </c>
      <c r="T1402" s="5" t="n">
        <v>0</v>
      </c>
      <c r="U1402" s="5" t="n">
        <v>0</v>
      </c>
      <c r="V1402" s="5" t="n">
        <v>0</v>
      </c>
      <c r="W1402" s="5" t="n">
        <v>0</v>
      </c>
      <c r="X1402" s="5" t="n">
        <v>0</v>
      </c>
      <c r="Y1402" s="5" t="n">
        <v>0</v>
      </c>
      <c r="Z1402" s="0" t="n">
        <v>0</v>
      </c>
      <c r="AA1402" s="0" t="n">
        <v>0</v>
      </c>
      <c r="AB1402" s="0" t="n">
        <v>0</v>
      </c>
      <c r="AC1402" s="4" t="s">
        <v>864</v>
      </c>
      <c r="AD1402" s="4" t="s">
        <v>864</v>
      </c>
      <c r="AE1402" s="4" t="s">
        <v>5317</v>
      </c>
      <c r="AF1402" s="4" t="s">
        <v>5319</v>
      </c>
      <c r="AG1402" s="5" t="n">
        <v>0.164212962962963</v>
      </c>
      <c r="AH1402" s="5" t="n">
        <v>0.165381944444445</v>
      </c>
      <c r="AI1402" s="5" t="n">
        <v>0</v>
      </c>
      <c r="AJ1402" s="5" t="n">
        <v>0</v>
      </c>
      <c r="AK1402" s="5" t="n">
        <v>0</v>
      </c>
      <c r="AL1402" s="5" t="n">
        <v>0</v>
      </c>
      <c r="AM1402" s="4" t="s">
        <v>78</v>
      </c>
      <c r="AN1402" s="0" t="n">
        <v>0</v>
      </c>
      <c r="AO1402" s="0" t="n">
        <v>0</v>
      </c>
      <c r="AP1402" s="0" t="n">
        <v>0</v>
      </c>
      <c r="AQ1402" s="0" t="n">
        <v>0</v>
      </c>
      <c r="AR1402" s="0" t="n">
        <v>0</v>
      </c>
      <c r="AS1402" s="0" t="n">
        <v>0</v>
      </c>
      <c r="AT1402" s="0" t="n">
        <v>0</v>
      </c>
      <c r="AU1402" s="0" t="n">
        <v>0</v>
      </c>
      <c r="AV1402" s="0" t="n">
        <v>0</v>
      </c>
      <c r="AW1402" s="0" t="n">
        <v>0</v>
      </c>
      <c r="AX1402" s="0" t="n">
        <v>0</v>
      </c>
      <c r="AY1402" s="0" t="n">
        <v>0</v>
      </c>
      <c r="AZ1402" s="0" t="n">
        <v>0</v>
      </c>
      <c r="BA1402" s="0" t="n">
        <v>0</v>
      </c>
      <c r="BB1402" s="0" t="n">
        <v>0</v>
      </c>
      <c r="BC1402" s="0" t="n">
        <v>0</v>
      </c>
      <c r="BD1402" s="0" t="n">
        <v>0</v>
      </c>
      <c r="BE1402" s="0" t="n">
        <v>0</v>
      </c>
      <c r="BF1402" s="0" t="n">
        <v>0</v>
      </c>
      <c r="BG1402" s="0" t="n">
        <v>0</v>
      </c>
      <c r="BH1402" s="0" t="n">
        <v>0</v>
      </c>
      <c r="BI1402" s="0" t="n">
        <v>0</v>
      </c>
      <c r="BJ1402" s="0" t="n">
        <v>0</v>
      </c>
      <c r="BK1402" s="0" t="n">
        <v>0</v>
      </c>
      <c r="BM1402" s="6" t="n">
        <f aca="false">IFERROR(VALUE(F1402),"")</f>
        <v>165.86</v>
      </c>
      <c r="BN1402" s="6" t="str">
        <f aca="false">IF(R1402="-","",IFERROR(VALUE(LEFT(Q1402,LEN(Q1402)-2)),""))</f>
        <v/>
      </c>
      <c r="BO1402" s="6" t="str">
        <f aca="false">IF(R1402="-","",IFERROR(VALUE(LEFT(R1402,LEN(R1402)-5)),""))</f>
        <v/>
      </c>
      <c r="BP1402" s="6" t="str">
        <f aca="false">IF(R1402="-","",IFERROR(VALUE(F1402),""))</f>
        <v/>
      </c>
      <c r="BQ1402" s="4" t="n">
        <f aca="false">IF(R1402="-",1,0)</f>
        <v>1</v>
      </c>
    </row>
    <row r="1403" customFormat="false" ht="15" hidden="false" customHeight="false" outlineLevel="0" collapsed="false">
      <c r="A1403" s="0" t="s">
        <v>5308</v>
      </c>
      <c r="B1403" s="0" t="s">
        <v>5309</v>
      </c>
      <c r="C1403" s="0" t="s">
        <v>70</v>
      </c>
      <c r="E1403" s="3" t="n">
        <v>46277</v>
      </c>
      <c r="F1403" s="4" t="s">
        <v>5320</v>
      </c>
      <c r="G1403" s="5" t="n">
        <v>0.104039351851852</v>
      </c>
      <c r="H1403" s="5" t="n">
        <v>0</v>
      </c>
      <c r="I1403" s="5" t="n">
        <v>0.000798611111111111</v>
      </c>
      <c r="J1403" s="0" t="n">
        <v>0</v>
      </c>
      <c r="K1403" s="0" t="n">
        <v>2</v>
      </c>
      <c r="L1403" s="0" t="n">
        <v>0</v>
      </c>
      <c r="M1403" s="0" t="n">
        <v>0</v>
      </c>
      <c r="N1403" s="0" t="n">
        <v>1</v>
      </c>
      <c r="O1403" s="5" t="n">
        <v>0</v>
      </c>
      <c r="P1403" s="5" t="n">
        <v>0</v>
      </c>
      <c r="Q1403" s="4" t="s">
        <v>73</v>
      </c>
      <c r="R1403" s="4" t="s">
        <v>73</v>
      </c>
      <c r="S1403" s="5" t="n">
        <v>0</v>
      </c>
      <c r="T1403" s="5" t="n">
        <v>0</v>
      </c>
      <c r="U1403" s="5" t="n">
        <v>0</v>
      </c>
      <c r="V1403" s="5" t="n">
        <v>0</v>
      </c>
      <c r="W1403" s="5" t="n">
        <v>0</v>
      </c>
      <c r="X1403" s="5" t="n">
        <v>0</v>
      </c>
      <c r="Y1403" s="5" t="n">
        <v>0</v>
      </c>
      <c r="Z1403" s="0" t="n">
        <v>0</v>
      </c>
      <c r="AA1403" s="0" t="n">
        <v>0</v>
      </c>
      <c r="AB1403" s="0" t="n">
        <v>0</v>
      </c>
      <c r="AC1403" s="4" t="s">
        <v>864</v>
      </c>
      <c r="AD1403" s="4" t="s">
        <v>158</v>
      </c>
      <c r="AE1403" s="4" t="s">
        <v>5319</v>
      </c>
      <c r="AF1403" s="4" t="s">
        <v>5321</v>
      </c>
      <c r="AG1403" s="5" t="n">
        <v>0.0967592592592593</v>
      </c>
      <c r="AH1403" s="5" t="n">
        <v>0.0328703703703704</v>
      </c>
      <c r="AI1403" s="5" t="n">
        <v>0</v>
      </c>
      <c r="AJ1403" s="5" t="n">
        <v>0</v>
      </c>
      <c r="AK1403" s="5" t="n">
        <v>0</v>
      </c>
      <c r="AL1403" s="5" t="n">
        <v>0</v>
      </c>
      <c r="AM1403" s="4" t="s">
        <v>78</v>
      </c>
      <c r="AN1403" s="0" t="n">
        <v>0</v>
      </c>
      <c r="AO1403" s="0" t="n">
        <v>0</v>
      </c>
      <c r="AP1403" s="0" t="n">
        <v>0</v>
      </c>
      <c r="AQ1403" s="0" t="n">
        <v>0</v>
      </c>
      <c r="AR1403" s="0" t="n">
        <v>0</v>
      </c>
      <c r="AS1403" s="0" t="n">
        <v>0</v>
      </c>
      <c r="AT1403" s="0" t="n">
        <v>0</v>
      </c>
      <c r="AU1403" s="0" t="n">
        <v>0</v>
      </c>
      <c r="AV1403" s="0" t="n">
        <v>0</v>
      </c>
      <c r="AW1403" s="0" t="n">
        <v>0</v>
      </c>
      <c r="AX1403" s="0" t="n">
        <v>0</v>
      </c>
      <c r="AY1403" s="0" t="n">
        <v>0</v>
      </c>
      <c r="AZ1403" s="0" t="n">
        <v>0</v>
      </c>
      <c r="BA1403" s="0" t="n">
        <v>0</v>
      </c>
      <c r="BB1403" s="0" t="n">
        <v>0</v>
      </c>
      <c r="BC1403" s="0" t="n">
        <v>0</v>
      </c>
      <c r="BD1403" s="0" t="n">
        <v>0</v>
      </c>
      <c r="BE1403" s="0" t="n">
        <v>0</v>
      </c>
      <c r="BF1403" s="0" t="n">
        <v>0</v>
      </c>
      <c r="BG1403" s="0" t="n">
        <v>0</v>
      </c>
      <c r="BH1403" s="0" t="n">
        <v>0</v>
      </c>
      <c r="BI1403" s="0" t="n">
        <v>0</v>
      </c>
      <c r="BJ1403" s="0" t="n">
        <v>0</v>
      </c>
      <c r="BK1403" s="0" t="n">
        <v>0</v>
      </c>
      <c r="BM1403" s="6" t="n">
        <f aca="false">IFERROR(VALUE(F1403),"")</f>
        <v>76.87</v>
      </c>
      <c r="BN1403" s="6" t="str">
        <f aca="false">IF(R1403="-","",IFERROR(VALUE(LEFT(Q1403,LEN(Q1403)-2)),""))</f>
        <v/>
      </c>
      <c r="BO1403" s="6" t="str">
        <f aca="false">IF(R1403="-","",IFERROR(VALUE(LEFT(R1403,LEN(R1403)-5)),""))</f>
        <v/>
      </c>
      <c r="BP1403" s="6" t="str">
        <f aca="false">IF(R1403="-","",IFERROR(VALUE(F1403),""))</f>
        <v/>
      </c>
      <c r="BQ1403" s="4" t="n">
        <f aca="false">IF(R1403="-",1,0)</f>
        <v>1</v>
      </c>
    </row>
    <row r="1404" customFormat="false" ht="15" hidden="false" customHeight="false" outlineLevel="0" collapsed="false">
      <c r="A1404" s="0" t="s">
        <v>5308</v>
      </c>
      <c r="B1404" s="0" t="s">
        <v>5309</v>
      </c>
      <c r="C1404" s="0" t="s">
        <v>70</v>
      </c>
      <c r="E1404" s="3" t="n">
        <v>46279</v>
      </c>
      <c r="F1404" s="4" t="s">
        <v>5322</v>
      </c>
      <c r="G1404" s="5" t="n">
        <v>0.181967592592593</v>
      </c>
      <c r="H1404" s="5" t="n">
        <v>0</v>
      </c>
      <c r="I1404" s="5" t="n">
        <v>0.000289351851851852</v>
      </c>
      <c r="J1404" s="0" t="n">
        <v>0</v>
      </c>
      <c r="K1404" s="0" t="n">
        <v>5</v>
      </c>
      <c r="L1404" s="0" t="n">
        <v>0</v>
      </c>
      <c r="M1404" s="0" t="n">
        <v>0</v>
      </c>
      <c r="N1404" s="0" t="n">
        <v>1</v>
      </c>
      <c r="O1404" s="5" t="n">
        <v>0</v>
      </c>
      <c r="P1404" s="5" t="n">
        <v>0</v>
      </c>
      <c r="Q1404" s="4" t="s">
        <v>73</v>
      </c>
      <c r="R1404" s="4" t="s">
        <v>73</v>
      </c>
      <c r="S1404" s="5" t="n">
        <v>0</v>
      </c>
      <c r="T1404" s="5" t="n">
        <v>0</v>
      </c>
      <c r="U1404" s="5" t="n">
        <v>0</v>
      </c>
      <c r="V1404" s="5" t="n">
        <v>0</v>
      </c>
      <c r="W1404" s="5" t="n">
        <v>0</v>
      </c>
      <c r="X1404" s="5" t="n">
        <v>0</v>
      </c>
      <c r="Y1404" s="5" t="n">
        <v>0</v>
      </c>
      <c r="Z1404" s="0" t="n">
        <v>0</v>
      </c>
      <c r="AA1404" s="0" t="n">
        <v>0</v>
      </c>
      <c r="AB1404" s="0" t="n">
        <v>0</v>
      </c>
      <c r="AC1404" s="4" t="s">
        <v>158</v>
      </c>
      <c r="AD1404" s="4" t="s">
        <v>864</v>
      </c>
      <c r="AE1404" s="4" t="s">
        <v>5321</v>
      </c>
      <c r="AF1404" s="4" t="s">
        <v>5323</v>
      </c>
      <c r="AG1404" s="5" t="n">
        <v>0.157199074074074</v>
      </c>
      <c r="AH1404" s="5" t="n">
        <v>0.101979166666667</v>
      </c>
      <c r="AI1404" s="5" t="n">
        <v>0</v>
      </c>
      <c r="AJ1404" s="5" t="n">
        <v>0</v>
      </c>
      <c r="AK1404" s="5" t="n">
        <v>0</v>
      </c>
      <c r="AL1404" s="5" t="n">
        <v>0</v>
      </c>
      <c r="AM1404" s="4" t="s">
        <v>78</v>
      </c>
      <c r="AN1404" s="0" t="n">
        <v>0</v>
      </c>
      <c r="AO1404" s="0" t="n">
        <v>0</v>
      </c>
      <c r="AP1404" s="0" t="n">
        <v>0</v>
      </c>
      <c r="AQ1404" s="0" t="n">
        <v>0</v>
      </c>
      <c r="AR1404" s="0" t="n">
        <v>0</v>
      </c>
      <c r="AS1404" s="0" t="n">
        <v>0</v>
      </c>
      <c r="AT1404" s="0" t="n">
        <v>0</v>
      </c>
      <c r="AU1404" s="0" t="n">
        <v>0</v>
      </c>
      <c r="AV1404" s="0" t="n">
        <v>0</v>
      </c>
      <c r="AW1404" s="0" t="n">
        <v>0</v>
      </c>
      <c r="AX1404" s="0" t="n">
        <v>0</v>
      </c>
      <c r="AY1404" s="0" t="n">
        <v>0</v>
      </c>
      <c r="AZ1404" s="0" t="n">
        <v>0</v>
      </c>
      <c r="BA1404" s="0" t="n">
        <v>0</v>
      </c>
      <c r="BB1404" s="0" t="n">
        <v>0</v>
      </c>
      <c r="BC1404" s="0" t="n">
        <v>0</v>
      </c>
      <c r="BD1404" s="0" t="n">
        <v>0</v>
      </c>
      <c r="BE1404" s="0" t="n">
        <v>0</v>
      </c>
      <c r="BF1404" s="0" t="n">
        <v>0</v>
      </c>
      <c r="BG1404" s="0" t="n">
        <v>0</v>
      </c>
      <c r="BH1404" s="0" t="n">
        <v>0</v>
      </c>
      <c r="BI1404" s="0" t="n">
        <v>0</v>
      </c>
      <c r="BJ1404" s="0" t="n">
        <v>0</v>
      </c>
      <c r="BK1404" s="0" t="n">
        <v>0</v>
      </c>
      <c r="BM1404" s="6" t="n">
        <f aca="false">IFERROR(VALUE(F1404),"")</f>
        <v>162.04</v>
      </c>
      <c r="BN1404" s="6" t="str">
        <f aca="false">IF(R1404="-","",IFERROR(VALUE(LEFT(Q1404,LEN(Q1404)-2)),""))</f>
        <v/>
      </c>
      <c r="BO1404" s="6" t="str">
        <f aca="false">IF(R1404="-","",IFERROR(VALUE(LEFT(R1404,LEN(R1404)-5)),""))</f>
        <v/>
      </c>
      <c r="BP1404" s="6" t="str">
        <f aca="false">IF(R1404="-","",IFERROR(VALUE(F1404),""))</f>
        <v/>
      </c>
      <c r="BQ1404" s="4" t="n">
        <f aca="false">IF(R1404="-",1,0)</f>
        <v>1</v>
      </c>
    </row>
    <row r="1405" customFormat="false" ht="15" hidden="false" customHeight="false" outlineLevel="0" collapsed="false">
      <c r="A1405" s="0" t="s">
        <v>5324</v>
      </c>
      <c r="B1405" s="0" t="s">
        <v>5325</v>
      </c>
      <c r="C1405" s="0" t="s">
        <v>70</v>
      </c>
      <c r="D1405" s="0" t="s">
        <v>5326</v>
      </c>
      <c r="E1405" s="3" t="n">
        <v>46273</v>
      </c>
      <c r="F1405" s="4" t="s">
        <v>5327</v>
      </c>
      <c r="G1405" s="5" t="n">
        <v>0.163101851851852</v>
      </c>
      <c r="H1405" s="5" t="n">
        <v>0.024849537037037</v>
      </c>
      <c r="I1405" s="5" t="n">
        <v>0.000671296296296296</v>
      </c>
      <c r="J1405" s="0" t="n">
        <v>0</v>
      </c>
      <c r="K1405" s="0" t="n">
        <v>1</v>
      </c>
      <c r="L1405" s="0" t="n">
        <v>0</v>
      </c>
      <c r="M1405" s="0" t="n">
        <v>0</v>
      </c>
      <c r="N1405" s="0" t="n">
        <v>0</v>
      </c>
      <c r="O1405" s="5" t="n">
        <v>0</v>
      </c>
      <c r="P1405" s="5" t="n">
        <v>0</v>
      </c>
      <c r="Q1405" s="4" t="s">
        <v>73</v>
      </c>
      <c r="R1405" s="4" t="s">
        <v>73</v>
      </c>
      <c r="S1405" s="5" t="n">
        <v>0</v>
      </c>
      <c r="T1405" s="5" t="n">
        <v>0</v>
      </c>
      <c r="U1405" s="5" t="n">
        <v>0</v>
      </c>
      <c r="V1405" s="5" t="n">
        <v>0</v>
      </c>
      <c r="W1405" s="5" t="n">
        <v>0</v>
      </c>
      <c r="X1405" s="5" t="n">
        <v>0</v>
      </c>
      <c r="Y1405" s="5" t="n">
        <v>0</v>
      </c>
      <c r="Z1405" s="0" t="n">
        <v>0</v>
      </c>
      <c r="AA1405" s="0" t="n">
        <v>0</v>
      </c>
      <c r="AB1405" s="0" t="n">
        <v>0</v>
      </c>
      <c r="AC1405" s="4" t="s">
        <v>158</v>
      </c>
      <c r="AD1405" s="4" t="s">
        <v>158</v>
      </c>
      <c r="AE1405" s="4" t="s">
        <v>5328</v>
      </c>
      <c r="AF1405" s="4" t="s">
        <v>5329</v>
      </c>
      <c r="AG1405" s="5" t="n">
        <v>0.142604166666667</v>
      </c>
      <c r="AH1405" s="5" t="n">
        <v>0.106967592592593</v>
      </c>
      <c r="AI1405" s="5" t="n">
        <v>0</v>
      </c>
      <c r="AJ1405" s="5" t="n">
        <v>0</v>
      </c>
      <c r="AK1405" s="5" t="n">
        <v>0</v>
      </c>
      <c r="AL1405" s="5" t="n">
        <v>0</v>
      </c>
      <c r="AM1405" s="4" t="s">
        <v>78</v>
      </c>
      <c r="AN1405" s="0" t="n">
        <v>0</v>
      </c>
      <c r="AO1405" s="0" t="n">
        <v>0</v>
      </c>
      <c r="AP1405" s="0" t="n">
        <v>0</v>
      </c>
      <c r="AQ1405" s="0" t="n">
        <v>0</v>
      </c>
      <c r="AR1405" s="0" t="n">
        <v>0</v>
      </c>
      <c r="AS1405" s="0" t="n">
        <v>0</v>
      </c>
      <c r="AT1405" s="0" t="n">
        <v>0</v>
      </c>
      <c r="AU1405" s="0" t="n">
        <v>0</v>
      </c>
      <c r="AV1405" s="0" t="n">
        <v>0</v>
      </c>
      <c r="AW1405" s="0" t="n">
        <v>0</v>
      </c>
      <c r="AX1405" s="0" t="n">
        <v>0</v>
      </c>
      <c r="AY1405" s="0" t="n">
        <v>0</v>
      </c>
      <c r="AZ1405" s="0" t="n">
        <v>0</v>
      </c>
      <c r="BA1405" s="0" t="n">
        <v>0</v>
      </c>
      <c r="BB1405" s="0" t="n">
        <v>0</v>
      </c>
      <c r="BC1405" s="0" t="n">
        <v>0</v>
      </c>
      <c r="BD1405" s="0" t="n">
        <v>0</v>
      </c>
      <c r="BE1405" s="0" t="n">
        <v>0</v>
      </c>
      <c r="BF1405" s="0" t="n">
        <v>0</v>
      </c>
      <c r="BG1405" s="0" t="n">
        <v>0</v>
      </c>
      <c r="BH1405" s="0" t="n">
        <v>0</v>
      </c>
      <c r="BI1405" s="0" t="n">
        <v>0</v>
      </c>
      <c r="BJ1405" s="0" t="n">
        <v>0</v>
      </c>
      <c r="BK1405" s="0" t="n">
        <v>0</v>
      </c>
      <c r="BM1405" s="6" t="n">
        <f aca="false">IFERROR(VALUE(F1405),"")</f>
        <v>102.98</v>
      </c>
      <c r="BN1405" s="6" t="str">
        <f aca="false">IF(R1405="-","",IFERROR(VALUE(LEFT(Q1405,LEN(Q1405)-2)),""))</f>
        <v/>
      </c>
      <c r="BO1405" s="6" t="str">
        <f aca="false">IF(R1405="-","",IFERROR(VALUE(LEFT(R1405,LEN(R1405)-5)),""))</f>
        <v/>
      </c>
      <c r="BP1405" s="6" t="str">
        <f aca="false">IF(R1405="-","",IFERROR(VALUE(F1405),""))</f>
        <v/>
      </c>
      <c r="BQ1405" s="4" t="n">
        <f aca="false">IF(R1405="-",1,0)</f>
        <v>1</v>
      </c>
    </row>
    <row r="1406" customFormat="false" ht="15" hidden="false" customHeight="false" outlineLevel="0" collapsed="false">
      <c r="A1406" s="0" t="s">
        <v>5324</v>
      </c>
      <c r="B1406" s="0" t="s">
        <v>5325</v>
      </c>
      <c r="C1406" s="0" t="s">
        <v>70</v>
      </c>
      <c r="D1406" s="0" t="s">
        <v>2326</v>
      </c>
      <c r="E1406" s="3" t="n">
        <v>46274</v>
      </c>
      <c r="F1406" s="4" t="s">
        <v>5330</v>
      </c>
      <c r="G1406" s="5" t="n">
        <v>0.168136574074074</v>
      </c>
      <c r="H1406" s="5" t="n">
        <v>0.029212962962963</v>
      </c>
      <c r="I1406" s="5" t="n">
        <v>0.000324074074074074</v>
      </c>
      <c r="J1406" s="0" t="n">
        <v>0</v>
      </c>
      <c r="K1406" s="0" t="n">
        <v>2</v>
      </c>
      <c r="L1406" s="0" t="n">
        <v>0</v>
      </c>
      <c r="M1406" s="0" t="n">
        <v>0</v>
      </c>
      <c r="N1406" s="0" t="n">
        <v>2</v>
      </c>
      <c r="O1406" s="5" t="n">
        <v>0</v>
      </c>
      <c r="P1406" s="5" t="n">
        <v>0</v>
      </c>
      <c r="Q1406" s="4" t="s">
        <v>73</v>
      </c>
      <c r="R1406" s="4" t="s">
        <v>73</v>
      </c>
      <c r="S1406" s="5" t="n">
        <v>0</v>
      </c>
      <c r="T1406" s="5" t="n">
        <v>0</v>
      </c>
      <c r="U1406" s="5" t="n">
        <v>0</v>
      </c>
      <c r="V1406" s="5" t="n">
        <v>0</v>
      </c>
      <c r="W1406" s="5" t="n">
        <v>0</v>
      </c>
      <c r="X1406" s="5" t="n">
        <v>0</v>
      </c>
      <c r="Y1406" s="5" t="n">
        <v>0</v>
      </c>
      <c r="Z1406" s="0" t="n">
        <v>0</v>
      </c>
      <c r="AA1406" s="0" t="n">
        <v>0</v>
      </c>
      <c r="AB1406" s="0" t="n">
        <v>0</v>
      </c>
      <c r="AC1406" s="4" t="s">
        <v>158</v>
      </c>
      <c r="AD1406" s="4" t="s">
        <v>158</v>
      </c>
      <c r="AE1406" s="4" t="s">
        <v>5329</v>
      </c>
      <c r="AF1406" s="4" t="s">
        <v>5331</v>
      </c>
      <c r="AG1406" s="5" t="n">
        <v>0.145798611111111</v>
      </c>
      <c r="AH1406" s="5" t="n">
        <v>0.145532407407407</v>
      </c>
      <c r="AI1406" s="5" t="n">
        <v>0</v>
      </c>
      <c r="AJ1406" s="5" t="n">
        <v>0</v>
      </c>
      <c r="AK1406" s="5" t="n">
        <v>0</v>
      </c>
      <c r="AL1406" s="5" t="n">
        <v>0</v>
      </c>
      <c r="AM1406" s="4" t="s">
        <v>78</v>
      </c>
      <c r="AN1406" s="0" t="n">
        <v>0</v>
      </c>
      <c r="AO1406" s="0" t="n">
        <v>1</v>
      </c>
      <c r="AP1406" s="0" t="n">
        <v>0</v>
      </c>
      <c r="AQ1406" s="0" t="n">
        <v>0</v>
      </c>
      <c r="AR1406" s="0" t="n">
        <v>0</v>
      </c>
      <c r="AS1406" s="0" t="n">
        <v>0</v>
      </c>
      <c r="AT1406" s="0" t="n">
        <v>0</v>
      </c>
      <c r="AU1406" s="0" t="n">
        <v>0</v>
      </c>
      <c r="AV1406" s="0" t="n">
        <v>0</v>
      </c>
      <c r="AW1406" s="0" t="n">
        <v>0</v>
      </c>
      <c r="AX1406" s="0" t="n">
        <v>0</v>
      </c>
      <c r="AY1406" s="0" t="n">
        <v>0</v>
      </c>
      <c r="AZ1406" s="0" t="n">
        <v>0</v>
      </c>
      <c r="BA1406" s="0" t="n">
        <v>0</v>
      </c>
      <c r="BB1406" s="0" t="n">
        <v>0</v>
      </c>
      <c r="BC1406" s="0" t="n">
        <v>0</v>
      </c>
      <c r="BD1406" s="0" t="n">
        <v>0</v>
      </c>
      <c r="BE1406" s="0" t="n">
        <v>0</v>
      </c>
      <c r="BF1406" s="0" t="n">
        <v>0</v>
      </c>
      <c r="BG1406" s="0" t="n">
        <v>0</v>
      </c>
      <c r="BH1406" s="0" t="n">
        <v>0</v>
      </c>
      <c r="BI1406" s="0" t="n">
        <v>0</v>
      </c>
      <c r="BJ1406" s="0" t="n">
        <v>0</v>
      </c>
      <c r="BK1406" s="0" t="n">
        <v>0</v>
      </c>
      <c r="BM1406" s="6" t="n">
        <f aca="false">IFERROR(VALUE(F1406),"")</f>
        <v>116.93</v>
      </c>
      <c r="BN1406" s="6" t="str">
        <f aca="false">IF(R1406="-","",IFERROR(VALUE(LEFT(Q1406,LEN(Q1406)-2)),""))</f>
        <v/>
      </c>
      <c r="BO1406" s="6" t="str">
        <f aca="false">IF(R1406="-","",IFERROR(VALUE(LEFT(R1406,LEN(R1406)-5)),""))</f>
        <v/>
      </c>
      <c r="BP1406" s="6" t="str">
        <f aca="false">IF(R1406="-","",IFERROR(VALUE(F1406),""))</f>
        <v/>
      </c>
      <c r="BQ1406" s="4" t="n">
        <f aca="false">IF(R1406="-",1,0)</f>
        <v>1</v>
      </c>
    </row>
    <row r="1407" customFormat="false" ht="15" hidden="false" customHeight="false" outlineLevel="0" collapsed="false">
      <c r="A1407" s="0" t="s">
        <v>5324</v>
      </c>
      <c r="B1407" s="0" t="s">
        <v>5325</v>
      </c>
      <c r="C1407" s="0" t="s">
        <v>70</v>
      </c>
      <c r="D1407" s="0" t="s">
        <v>5332</v>
      </c>
      <c r="E1407" s="3" t="n">
        <v>46275</v>
      </c>
      <c r="F1407" s="4" t="s">
        <v>5333</v>
      </c>
      <c r="G1407" s="5" t="n">
        <v>0.0837037037037037</v>
      </c>
      <c r="H1407" s="5" t="n">
        <v>0.00222222222222222</v>
      </c>
      <c r="I1407" s="5" t="n">
        <v>0.000347222222222222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1</v>
      </c>
      <c r="O1407" s="5" t="n">
        <v>0</v>
      </c>
      <c r="P1407" s="5" t="n">
        <v>0</v>
      </c>
      <c r="Q1407" s="4" t="s">
        <v>73</v>
      </c>
      <c r="R1407" s="4" t="s">
        <v>73</v>
      </c>
      <c r="S1407" s="5" t="n">
        <v>0</v>
      </c>
      <c r="T1407" s="5" t="n">
        <v>0</v>
      </c>
      <c r="U1407" s="5" t="n">
        <v>0</v>
      </c>
      <c r="V1407" s="5" t="n">
        <v>0</v>
      </c>
      <c r="W1407" s="5" t="n">
        <v>0</v>
      </c>
      <c r="X1407" s="5" t="n">
        <v>0</v>
      </c>
      <c r="Y1407" s="5" t="n">
        <v>0</v>
      </c>
      <c r="Z1407" s="0" t="n">
        <v>0</v>
      </c>
      <c r="AA1407" s="0" t="n">
        <v>0</v>
      </c>
      <c r="AB1407" s="0" t="n">
        <v>0</v>
      </c>
      <c r="AC1407" s="4" t="s">
        <v>158</v>
      </c>
      <c r="AD1407" s="4" t="s">
        <v>158</v>
      </c>
      <c r="AE1407" s="4" t="s">
        <v>5331</v>
      </c>
      <c r="AF1407" s="4" t="s">
        <v>5334</v>
      </c>
      <c r="AG1407" s="5" t="n">
        <v>0.0753819444444445</v>
      </c>
      <c r="AH1407" s="5" t="n">
        <v>0.0861689814814815</v>
      </c>
      <c r="AI1407" s="5" t="n">
        <v>0</v>
      </c>
      <c r="AJ1407" s="5" t="n">
        <v>0</v>
      </c>
      <c r="AK1407" s="5" t="n">
        <v>0</v>
      </c>
      <c r="AL1407" s="5" t="n">
        <v>0</v>
      </c>
      <c r="AM1407" s="4" t="s">
        <v>78</v>
      </c>
      <c r="AN1407" s="0" t="n">
        <v>0</v>
      </c>
      <c r="AO1407" s="0" t="n">
        <v>0</v>
      </c>
      <c r="AP1407" s="0" t="n">
        <v>0</v>
      </c>
      <c r="AQ1407" s="0" t="n">
        <v>0</v>
      </c>
      <c r="AR1407" s="0" t="n">
        <v>0</v>
      </c>
      <c r="AS1407" s="0" t="n">
        <v>0</v>
      </c>
      <c r="AT1407" s="0" t="n">
        <v>0</v>
      </c>
      <c r="AU1407" s="0" t="n">
        <v>0</v>
      </c>
      <c r="AV1407" s="0" t="n">
        <v>0</v>
      </c>
      <c r="AW1407" s="0" t="n">
        <v>0</v>
      </c>
      <c r="AX1407" s="0" t="n">
        <v>0</v>
      </c>
      <c r="AY1407" s="0" t="n">
        <v>0</v>
      </c>
      <c r="AZ1407" s="0" t="n">
        <v>0</v>
      </c>
      <c r="BA1407" s="0" t="n">
        <v>0</v>
      </c>
      <c r="BB1407" s="0" t="n">
        <v>0</v>
      </c>
      <c r="BC1407" s="0" t="n">
        <v>0</v>
      </c>
      <c r="BD1407" s="0" t="n">
        <v>0</v>
      </c>
      <c r="BE1407" s="0" t="n">
        <v>0</v>
      </c>
      <c r="BF1407" s="0" t="n">
        <v>0</v>
      </c>
      <c r="BG1407" s="0" t="n">
        <v>0</v>
      </c>
      <c r="BH1407" s="0" t="n">
        <v>0</v>
      </c>
      <c r="BI1407" s="0" t="n">
        <v>0</v>
      </c>
      <c r="BJ1407" s="0" t="n">
        <v>0</v>
      </c>
      <c r="BK1407" s="0" t="n">
        <v>0</v>
      </c>
      <c r="BM1407" s="6" t="n">
        <f aca="false">IFERROR(VALUE(F1407),"")</f>
        <v>55.54</v>
      </c>
      <c r="BN1407" s="6" t="str">
        <f aca="false">IF(R1407="-","",IFERROR(VALUE(LEFT(Q1407,LEN(Q1407)-2)),""))</f>
        <v/>
      </c>
      <c r="BO1407" s="6" t="str">
        <f aca="false">IF(R1407="-","",IFERROR(VALUE(LEFT(R1407,LEN(R1407)-5)),""))</f>
        <v/>
      </c>
      <c r="BP1407" s="6" t="str">
        <f aca="false">IF(R1407="-","",IFERROR(VALUE(F1407),""))</f>
        <v/>
      </c>
      <c r="BQ1407" s="4" t="n">
        <f aca="false">IF(R1407="-",1,0)</f>
        <v>1</v>
      </c>
    </row>
    <row r="1408" customFormat="false" ht="15" hidden="false" customHeight="false" outlineLevel="0" collapsed="false">
      <c r="A1408" s="0" t="s">
        <v>5324</v>
      </c>
      <c r="B1408" s="0" t="s">
        <v>5325</v>
      </c>
      <c r="C1408" s="0" t="s">
        <v>70</v>
      </c>
      <c r="D1408" s="0" t="s">
        <v>5335</v>
      </c>
      <c r="E1408" s="3" t="n">
        <v>46276</v>
      </c>
      <c r="F1408" s="4" t="s">
        <v>5336</v>
      </c>
      <c r="G1408" s="5" t="n">
        <v>0.1003125</v>
      </c>
      <c r="H1408" s="5" t="n">
        <v>0.0525347222222222</v>
      </c>
      <c r="I1408" s="5" t="n">
        <v>0.000416666666666667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2</v>
      </c>
      <c r="O1408" s="5" t="n">
        <v>0</v>
      </c>
      <c r="P1408" s="5" t="n">
        <v>0</v>
      </c>
      <c r="Q1408" s="4" t="s">
        <v>73</v>
      </c>
      <c r="R1408" s="4" t="s">
        <v>73</v>
      </c>
      <c r="S1408" s="5" t="n">
        <v>0</v>
      </c>
      <c r="T1408" s="5" t="n">
        <v>0</v>
      </c>
      <c r="U1408" s="5" t="n">
        <v>0</v>
      </c>
      <c r="V1408" s="5" t="n">
        <v>0</v>
      </c>
      <c r="W1408" s="5" t="n">
        <v>0</v>
      </c>
      <c r="X1408" s="5" t="n">
        <v>0</v>
      </c>
      <c r="Y1408" s="5" t="n">
        <v>0</v>
      </c>
      <c r="Z1408" s="0" t="n">
        <v>0</v>
      </c>
      <c r="AA1408" s="0" t="n">
        <v>0</v>
      </c>
      <c r="AB1408" s="0" t="n">
        <v>0</v>
      </c>
      <c r="AC1408" s="4" t="s">
        <v>158</v>
      </c>
      <c r="AD1408" s="4" t="s">
        <v>158</v>
      </c>
      <c r="AE1408" s="4" t="s">
        <v>5334</v>
      </c>
      <c r="AF1408" s="4" t="s">
        <v>5337</v>
      </c>
      <c r="AG1408" s="5" t="n">
        <v>0.0849652777777778</v>
      </c>
      <c r="AH1408" s="5" t="n">
        <v>0.109166666666667</v>
      </c>
      <c r="AI1408" s="5" t="n">
        <v>0</v>
      </c>
      <c r="AJ1408" s="5" t="n">
        <v>0</v>
      </c>
      <c r="AK1408" s="5" t="n">
        <v>0</v>
      </c>
      <c r="AL1408" s="5" t="n">
        <v>0</v>
      </c>
      <c r="AM1408" s="4" t="s">
        <v>78</v>
      </c>
      <c r="AN1408" s="0" t="n">
        <v>0</v>
      </c>
      <c r="AO1408" s="0" t="n">
        <v>0</v>
      </c>
      <c r="AP1408" s="0" t="n">
        <v>0</v>
      </c>
      <c r="AQ1408" s="0" t="n">
        <v>0</v>
      </c>
      <c r="AR1408" s="0" t="n">
        <v>0</v>
      </c>
      <c r="AS1408" s="0" t="n">
        <v>0</v>
      </c>
      <c r="AT1408" s="0" t="n">
        <v>0</v>
      </c>
      <c r="AU1408" s="0" t="n">
        <v>0</v>
      </c>
      <c r="AV1408" s="0" t="n">
        <v>0</v>
      </c>
      <c r="AW1408" s="0" t="n">
        <v>0</v>
      </c>
      <c r="AX1408" s="0" t="n">
        <v>0</v>
      </c>
      <c r="AY1408" s="0" t="n">
        <v>0</v>
      </c>
      <c r="AZ1408" s="0" t="n">
        <v>0</v>
      </c>
      <c r="BA1408" s="0" t="n">
        <v>0</v>
      </c>
      <c r="BB1408" s="0" t="n">
        <v>0</v>
      </c>
      <c r="BC1408" s="0" t="n">
        <v>0</v>
      </c>
      <c r="BD1408" s="0" t="n">
        <v>0</v>
      </c>
      <c r="BE1408" s="0" t="n">
        <v>0</v>
      </c>
      <c r="BF1408" s="0" t="n">
        <v>0</v>
      </c>
      <c r="BG1408" s="0" t="n">
        <v>0</v>
      </c>
      <c r="BH1408" s="0" t="n">
        <v>0</v>
      </c>
      <c r="BI1408" s="0" t="n">
        <v>0</v>
      </c>
      <c r="BJ1408" s="0" t="n">
        <v>0</v>
      </c>
      <c r="BK1408" s="0" t="n">
        <v>0</v>
      </c>
      <c r="BM1408" s="6" t="n">
        <f aca="false">IFERROR(VALUE(F1408),"")</f>
        <v>62.37</v>
      </c>
      <c r="BN1408" s="6" t="str">
        <f aca="false">IF(R1408="-","",IFERROR(VALUE(LEFT(Q1408,LEN(Q1408)-2)),""))</f>
        <v/>
      </c>
      <c r="BO1408" s="6" t="str">
        <f aca="false">IF(R1408="-","",IFERROR(VALUE(LEFT(R1408,LEN(R1408)-5)),""))</f>
        <v/>
      </c>
      <c r="BP1408" s="6" t="str">
        <f aca="false">IF(R1408="-","",IFERROR(VALUE(F1408),""))</f>
        <v/>
      </c>
      <c r="BQ1408" s="4" t="n">
        <f aca="false">IF(R1408="-",1,0)</f>
        <v>1</v>
      </c>
    </row>
    <row r="1409" customFormat="false" ht="15" hidden="false" customHeight="false" outlineLevel="0" collapsed="false">
      <c r="A1409" s="0" t="s">
        <v>5324</v>
      </c>
      <c r="B1409" s="0" t="s">
        <v>5325</v>
      </c>
      <c r="C1409" s="0" t="s">
        <v>70</v>
      </c>
      <c r="E1409" s="3" t="n">
        <v>46277</v>
      </c>
      <c r="F1409" s="4" t="s">
        <v>95</v>
      </c>
      <c r="G1409" s="5" t="n">
        <v>8.10185185185185E-005</v>
      </c>
      <c r="H1409" s="5" t="n">
        <v>0</v>
      </c>
      <c r="I1409" s="5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5" t="n">
        <v>0</v>
      </c>
      <c r="P1409" s="5" t="n">
        <v>0</v>
      </c>
      <c r="Q1409" s="4" t="s">
        <v>73</v>
      </c>
      <c r="R1409" s="4" t="s">
        <v>73</v>
      </c>
      <c r="S1409" s="5" t="n">
        <v>0</v>
      </c>
      <c r="T1409" s="5" t="n">
        <v>0</v>
      </c>
      <c r="U1409" s="5" t="n">
        <v>0</v>
      </c>
      <c r="V1409" s="5" t="n">
        <v>0</v>
      </c>
      <c r="W1409" s="5" t="n">
        <v>0</v>
      </c>
      <c r="X1409" s="5" t="n">
        <v>0</v>
      </c>
      <c r="Y1409" s="5" t="n">
        <v>0</v>
      </c>
      <c r="Z1409" s="0" t="n">
        <v>0</v>
      </c>
      <c r="AA1409" s="0" t="n">
        <v>0</v>
      </c>
      <c r="AB1409" s="0" t="n">
        <v>0</v>
      </c>
      <c r="AC1409" s="4" t="s">
        <v>158</v>
      </c>
      <c r="AD1409" s="4" t="s">
        <v>158</v>
      </c>
      <c r="AE1409" s="4" t="s">
        <v>5337</v>
      </c>
      <c r="AF1409" s="4" t="s">
        <v>5337</v>
      </c>
      <c r="AG1409" s="5" t="n">
        <v>0</v>
      </c>
      <c r="AH1409" s="5" t="n">
        <v>0.0192939814814815</v>
      </c>
      <c r="AI1409" s="5" t="n">
        <v>0</v>
      </c>
      <c r="AJ1409" s="5" t="n">
        <v>0</v>
      </c>
      <c r="AK1409" s="5" t="n">
        <v>0</v>
      </c>
      <c r="AL1409" s="5" t="n">
        <v>0</v>
      </c>
      <c r="AM1409" s="4" t="s">
        <v>78</v>
      </c>
      <c r="AN1409" s="0" t="n">
        <v>0</v>
      </c>
      <c r="AO1409" s="0" t="n">
        <v>0</v>
      </c>
      <c r="AP1409" s="0" t="n">
        <v>0</v>
      </c>
      <c r="AQ1409" s="0" t="n">
        <v>0</v>
      </c>
      <c r="AR1409" s="0" t="n">
        <v>0</v>
      </c>
      <c r="AS1409" s="0" t="n">
        <v>0</v>
      </c>
      <c r="AT1409" s="0" t="n">
        <v>0</v>
      </c>
      <c r="AU1409" s="0" t="n">
        <v>0</v>
      </c>
      <c r="AV1409" s="0" t="n">
        <v>0</v>
      </c>
      <c r="AW1409" s="0" t="n">
        <v>0</v>
      </c>
      <c r="AX1409" s="0" t="n">
        <v>0</v>
      </c>
      <c r="AY1409" s="0" t="n">
        <v>0</v>
      </c>
      <c r="AZ1409" s="0" t="n">
        <v>0</v>
      </c>
      <c r="BA1409" s="0" t="n">
        <v>0</v>
      </c>
      <c r="BB1409" s="0" t="n">
        <v>0</v>
      </c>
      <c r="BC1409" s="0" t="n">
        <v>0</v>
      </c>
      <c r="BD1409" s="0" t="n">
        <v>0</v>
      </c>
      <c r="BE1409" s="0" t="n">
        <v>0</v>
      </c>
      <c r="BF1409" s="0" t="n">
        <v>0</v>
      </c>
      <c r="BG1409" s="0" t="n">
        <v>0</v>
      </c>
      <c r="BH1409" s="0" t="n">
        <v>0</v>
      </c>
      <c r="BI1409" s="0" t="n">
        <v>0</v>
      </c>
      <c r="BJ1409" s="0" t="n">
        <v>0</v>
      </c>
      <c r="BK1409" s="0" t="n">
        <v>0</v>
      </c>
      <c r="BM1409" s="6" t="n">
        <f aca="false">IFERROR(VALUE(F1409),"")</f>
        <v>0</v>
      </c>
      <c r="BN1409" s="6" t="str">
        <f aca="false">IF(R1409="-","",IFERROR(VALUE(LEFT(Q1409,LEN(Q1409)-2)),""))</f>
        <v/>
      </c>
      <c r="BO1409" s="6" t="str">
        <f aca="false">IF(R1409="-","",IFERROR(VALUE(LEFT(R1409,LEN(R1409)-5)),""))</f>
        <v/>
      </c>
      <c r="BP1409" s="6" t="str">
        <f aca="false">IF(R1409="-","",IFERROR(VALUE(F1409),""))</f>
        <v/>
      </c>
      <c r="BQ1409" s="4" t="n">
        <f aca="false">IF(R1409="-",1,0)</f>
        <v>1</v>
      </c>
    </row>
    <row r="1410" customFormat="false" ht="15" hidden="false" customHeight="false" outlineLevel="0" collapsed="false">
      <c r="A1410" s="0" t="s">
        <v>5324</v>
      </c>
      <c r="B1410" s="0" t="s">
        <v>5325</v>
      </c>
      <c r="C1410" s="0" t="s">
        <v>70</v>
      </c>
      <c r="D1410" s="0" t="s">
        <v>2326</v>
      </c>
      <c r="E1410" s="3" t="n">
        <v>46279</v>
      </c>
      <c r="F1410" s="4" t="s">
        <v>5338</v>
      </c>
      <c r="G1410" s="5" t="n">
        <v>0.15505787037037</v>
      </c>
      <c r="H1410" s="5" t="n">
        <v>0.0240393518518519</v>
      </c>
      <c r="I1410" s="5" t="n">
        <v>0.000474537037037037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3</v>
      </c>
      <c r="O1410" s="5" t="n">
        <v>0</v>
      </c>
      <c r="P1410" s="5" t="n">
        <v>0</v>
      </c>
      <c r="Q1410" s="4" t="s">
        <v>73</v>
      </c>
      <c r="R1410" s="4" t="s">
        <v>73</v>
      </c>
      <c r="S1410" s="5" t="n">
        <v>0</v>
      </c>
      <c r="T1410" s="5" t="n">
        <v>0</v>
      </c>
      <c r="U1410" s="5" t="n">
        <v>0</v>
      </c>
      <c r="V1410" s="5" t="n">
        <v>0</v>
      </c>
      <c r="W1410" s="5" t="n">
        <v>0</v>
      </c>
      <c r="X1410" s="5" t="n">
        <v>0</v>
      </c>
      <c r="Y1410" s="5" t="n">
        <v>0</v>
      </c>
      <c r="Z1410" s="0" t="n">
        <v>0</v>
      </c>
      <c r="AA1410" s="0" t="n">
        <v>0</v>
      </c>
      <c r="AB1410" s="0" t="n">
        <v>0</v>
      </c>
      <c r="AC1410" s="4" t="s">
        <v>158</v>
      </c>
      <c r="AD1410" s="4" t="s">
        <v>158</v>
      </c>
      <c r="AE1410" s="4" t="s">
        <v>5337</v>
      </c>
      <c r="AF1410" s="4" t="s">
        <v>5339</v>
      </c>
      <c r="AG1410" s="5" t="n">
        <v>0.129456018518519</v>
      </c>
      <c r="AH1410" s="5" t="n">
        <v>0.0824074074074074</v>
      </c>
      <c r="AI1410" s="5" t="n">
        <v>0</v>
      </c>
      <c r="AJ1410" s="5" t="n">
        <v>0</v>
      </c>
      <c r="AK1410" s="5" t="n">
        <v>0</v>
      </c>
      <c r="AL1410" s="5" t="n">
        <v>0</v>
      </c>
      <c r="AM1410" s="4" t="s">
        <v>78</v>
      </c>
      <c r="AN1410" s="0" t="n">
        <v>0</v>
      </c>
      <c r="AO1410" s="0" t="n">
        <v>0</v>
      </c>
      <c r="AP1410" s="0" t="n">
        <v>0</v>
      </c>
      <c r="AQ1410" s="0" t="n">
        <v>0</v>
      </c>
      <c r="AR1410" s="0" t="n">
        <v>0</v>
      </c>
      <c r="AS1410" s="0" t="n">
        <v>0</v>
      </c>
      <c r="AT1410" s="0" t="n">
        <v>0</v>
      </c>
      <c r="AU1410" s="0" t="n">
        <v>0</v>
      </c>
      <c r="AV1410" s="0" t="n">
        <v>0</v>
      </c>
      <c r="AW1410" s="0" t="n">
        <v>0</v>
      </c>
      <c r="AX1410" s="0" t="n">
        <v>0</v>
      </c>
      <c r="AY1410" s="0" t="n">
        <v>0</v>
      </c>
      <c r="AZ1410" s="0" t="n">
        <v>0</v>
      </c>
      <c r="BA1410" s="0" t="n">
        <v>0</v>
      </c>
      <c r="BB1410" s="0" t="n">
        <v>0</v>
      </c>
      <c r="BC1410" s="0" t="n">
        <v>0</v>
      </c>
      <c r="BD1410" s="0" t="n">
        <v>0</v>
      </c>
      <c r="BE1410" s="0" t="n">
        <v>0</v>
      </c>
      <c r="BF1410" s="0" t="n">
        <v>0</v>
      </c>
      <c r="BG1410" s="0" t="n">
        <v>0</v>
      </c>
      <c r="BH1410" s="0" t="n">
        <v>0</v>
      </c>
      <c r="BI1410" s="0" t="n">
        <v>0</v>
      </c>
      <c r="BJ1410" s="0" t="n">
        <v>0</v>
      </c>
      <c r="BK1410" s="0" t="n">
        <v>0</v>
      </c>
      <c r="BM1410" s="6" t="n">
        <f aca="false">IFERROR(VALUE(F1410),"")</f>
        <v>101</v>
      </c>
      <c r="BN1410" s="6" t="str">
        <f aca="false">IF(R1410="-","",IFERROR(VALUE(LEFT(Q1410,LEN(Q1410)-2)),""))</f>
        <v/>
      </c>
      <c r="BO1410" s="6" t="str">
        <f aca="false">IF(R1410="-","",IFERROR(VALUE(LEFT(R1410,LEN(R1410)-5)),""))</f>
        <v/>
      </c>
      <c r="BP1410" s="6" t="str">
        <f aca="false">IF(R1410="-","",IFERROR(VALUE(F1410),""))</f>
        <v/>
      </c>
      <c r="BQ1410" s="4" t="n">
        <f aca="false">IF(R1410="-",1,0)</f>
        <v>1</v>
      </c>
    </row>
    <row r="1411" customFormat="false" ht="15" hidden="false" customHeight="false" outlineLevel="0" collapsed="false">
      <c r="A1411" s="0" t="s">
        <v>5340</v>
      </c>
      <c r="B1411" s="0" t="s">
        <v>5341</v>
      </c>
      <c r="C1411" s="0" t="s">
        <v>70</v>
      </c>
      <c r="E1411" s="3" t="n">
        <v>46273</v>
      </c>
      <c r="F1411" s="4" t="s">
        <v>5342</v>
      </c>
      <c r="G1411" s="5" t="n">
        <v>0.113576388888889</v>
      </c>
      <c r="H1411" s="5" t="n">
        <v>0</v>
      </c>
      <c r="I1411" s="5" t="n">
        <v>0.000185185185185185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1</v>
      </c>
      <c r="O1411" s="5" t="n">
        <v>0</v>
      </c>
      <c r="P1411" s="5" t="n">
        <v>0</v>
      </c>
      <c r="Q1411" s="4" t="s">
        <v>73</v>
      </c>
      <c r="R1411" s="4" t="s">
        <v>73</v>
      </c>
      <c r="S1411" s="5" t="n">
        <v>0</v>
      </c>
      <c r="T1411" s="5" t="n">
        <v>0</v>
      </c>
      <c r="U1411" s="5" t="n">
        <v>0</v>
      </c>
      <c r="V1411" s="5" t="n">
        <v>0</v>
      </c>
      <c r="W1411" s="5" t="n">
        <v>0</v>
      </c>
      <c r="X1411" s="5" t="n">
        <v>0</v>
      </c>
      <c r="Y1411" s="5" t="n">
        <v>0</v>
      </c>
      <c r="Z1411" s="0" t="n">
        <v>0</v>
      </c>
      <c r="AA1411" s="0" t="n">
        <v>0</v>
      </c>
      <c r="AB1411" s="0" t="n">
        <v>0</v>
      </c>
      <c r="AC1411" s="4" t="s">
        <v>158</v>
      </c>
      <c r="AD1411" s="4" t="s">
        <v>158</v>
      </c>
      <c r="AE1411" s="4" t="s">
        <v>5343</v>
      </c>
      <c r="AF1411" s="4" t="s">
        <v>5344</v>
      </c>
      <c r="AG1411" s="5" t="n">
        <v>0.101527777777778</v>
      </c>
      <c r="AH1411" s="5" t="n">
        <v>0.0513657407407407</v>
      </c>
      <c r="AI1411" s="5" t="n">
        <v>0</v>
      </c>
      <c r="AJ1411" s="5" t="n">
        <v>0</v>
      </c>
      <c r="AK1411" s="5" t="n">
        <v>0</v>
      </c>
      <c r="AL1411" s="5" t="n">
        <v>0</v>
      </c>
      <c r="AM1411" s="4" t="s">
        <v>78</v>
      </c>
      <c r="AN1411" s="0" t="n">
        <v>0</v>
      </c>
      <c r="AO1411" s="0" t="n">
        <v>0</v>
      </c>
      <c r="AP1411" s="0" t="n">
        <v>0</v>
      </c>
      <c r="AQ1411" s="0" t="n">
        <v>0</v>
      </c>
      <c r="AR1411" s="0" t="n">
        <v>0</v>
      </c>
      <c r="AS1411" s="0" t="n">
        <v>0</v>
      </c>
      <c r="AT1411" s="0" t="n">
        <v>0</v>
      </c>
      <c r="AU1411" s="0" t="n">
        <v>0</v>
      </c>
      <c r="AV1411" s="0" t="n">
        <v>0</v>
      </c>
      <c r="AW1411" s="0" t="n">
        <v>0</v>
      </c>
      <c r="AX1411" s="0" t="n">
        <v>0</v>
      </c>
      <c r="AY1411" s="0" t="n">
        <v>0</v>
      </c>
      <c r="AZ1411" s="0" t="n">
        <v>0</v>
      </c>
      <c r="BA1411" s="0" t="n">
        <v>0</v>
      </c>
      <c r="BB1411" s="0" t="n">
        <v>0</v>
      </c>
      <c r="BC1411" s="0" t="n">
        <v>0</v>
      </c>
      <c r="BD1411" s="0" t="n">
        <v>0</v>
      </c>
      <c r="BE1411" s="0" t="n">
        <v>0</v>
      </c>
      <c r="BF1411" s="0" t="n">
        <v>0</v>
      </c>
      <c r="BG1411" s="0" t="n">
        <v>0</v>
      </c>
      <c r="BH1411" s="0" t="n">
        <v>0</v>
      </c>
      <c r="BI1411" s="0" t="n">
        <v>0</v>
      </c>
      <c r="BJ1411" s="0" t="n">
        <v>0</v>
      </c>
      <c r="BK1411" s="0" t="n">
        <v>0</v>
      </c>
      <c r="BM1411" s="6" t="n">
        <f aca="false">IFERROR(VALUE(F1411),"")</f>
        <v>92.56</v>
      </c>
      <c r="BN1411" s="6" t="str">
        <f aca="false">IF(R1411="-","",IFERROR(VALUE(LEFT(Q1411,LEN(Q1411)-2)),""))</f>
        <v/>
      </c>
      <c r="BO1411" s="6" t="str">
        <f aca="false">IF(R1411="-","",IFERROR(VALUE(LEFT(R1411,LEN(R1411)-5)),""))</f>
        <v/>
      </c>
      <c r="BP1411" s="6" t="str">
        <f aca="false">IF(R1411="-","",IFERROR(VALUE(F1411),""))</f>
        <v/>
      </c>
      <c r="BQ1411" s="4" t="n">
        <f aca="false">IF(R1411="-",1,0)</f>
        <v>1</v>
      </c>
    </row>
    <row r="1412" customFormat="false" ht="15" hidden="false" customHeight="false" outlineLevel="0" collapsed="false">
      <c r="A1412" s="0" t="s">
        <v>5340</v>
      </c>
      <c r="B1412" s="0" t="s">
        <v>5341</v>
      </c>
      <c r="C1412" s="0" t="s">
        <v>70</v>
      </c>
      <c r="D1412" s="0" t="s">
        <v>5313</v>
      </c>
      <c r="E1412" s="3" t="n">
        <v>46274</v>
      </c>
      <c r="F1412" s="4" t="s">
        <v>5345</v>
      </c>
      <c r="G1412" s="5" t="n">
        <v>0.334201388888889</v>
      </c>
      <c r="H1412" s="5" t="n">
        <v>0.10056712962963</v>
      </c>
      <c r="I1412" s="5" t="n">
        <v>0.000104166666666667</v>
      </c>
      <c r="J1412" s="0" t="n">
        <v>4</v>
      </c>
      <c r="K1412" s="0" t="n">
        <v>4</v>
      </c>
      <c r="L1412" s="0" t="n">
        <v>0</v>
      </c>
      <c r="M1412" s="0" t="n">
        <v>0</v>
      </c>
      <c r="N1412" s="0" t="n">
        <v>10</v>
      </c>
      <c r="O1412" s="5" t="n">
        <v>0</v>
      </c>
      <c r="P1412" s="5" t="n">
        <v>0</v>
      </c>
      <c r="Q1412" s="4" t="s">
        <v>73</v>
      </c>
      <c r="R1412" s="4" t="s">
        <v>73</v>
      </c>
      <c r="S1412" s="5" t="n">
        <v>0</v>
      </c>
      <c r="T1412" s="5" t="n">
        <v>0</v>
      </c>
      <c r="U1412" s="5" t="n">
        <v>0</v>
      </c>
      <c r="V1412" s="5" t="n">
        <v>0</v>
      </c>
      <c r="W1412" s="5" t="n">
        <v>0</v>
      </c>
      <c r="X1412" s="5" t="n">
        <v>0</v>
      </c>
      <c r="Y1412" s="5" t="n">
        <v>0</v>
      </c>
      <c r="Z1412" s="0" t="n">
        <v>0</v>
      </c>
      <c r="AA1412" s="0" t="n">
        <v>0</v>
      </c>
      <c r="AB1412" s="0" t="n">
        <v>0</v>
      </c>
      <c r="AC1412" s="4" t="s">
        <v>158</v>
      </c>
      <c r="AD1412" s="4" t="s">
        <v>158</v>
      </c>
      <c r="AE1412" s="4" t="s">
        <v>5344</v>
      </c>
      <c r="AF1412" s="4" t="s">
        <v>5346</v>
      </c>
      <c r="AG1412" s="5" t="n">
        <v>0.295474537037037</v>
      </c>
      <c r="AH1412" s="5" t="n">
        <v>0.151296296296296</v>
      </c>
      <c r="AI1412" s="5" t="n">
        <v>0</v>
      </c>
      <c r="AJ1412" s="5" t="n">
        <v>0</v>
      </c>
      <c r="AK1412" s="5" t="n">
        <v>0</v>
      </c>
      <c r="AL1412" s="5" t="n">
        <v>0</v>
      </c>
      <c r="AM1412" s="4" t="s">
        <v>78</v>
      </c>
      <c r="AN1412" s="0" t="n">
        <v>0</v>
      </c>
      <c r="AO1412" s="0" t="n">
        <v>0</v>
      </c>
      <c r="AP1412" s="0" t="n">
        <v>0</v>
      </c>
      <c r="AQ1412" s="0" t="n">
        <v>0</v>
      </c>
      <c r="AR1412" s="0" t="n">
        <v>1</v>
      </c>
      <c r="AS1412" s="0" t="n">
        <v>0</v>
      </c>
      <c r="AT1412" s="0" t="n">
        <v>0</v>
      </c>
      <c r="AU1412" s="0" t="n">
        <v>0</v>
      </c>
      <c r="AV1412" s="0" t="n">
        <v>0</v>
      </c>
      <c r="AW1412" s="0" t="n">
        <v>0</v>
      </c>
      <c r="AX1412" s="0" t="n">
        <v>0</v>
      </c>
      <c r="AY1412" s="0" t="n">
        <v>0</v>
      </c>
      <c r="AZ1412" s="0" t="n">
        <v>0</v>
      </c>
      <c r="BA1412" s="0" t="n">
        <v>0</v>
      </c>
      <c r="BB1412" s="0" t="n">
        <v>0</v>
      </c>
      <c r="BC1412" s="0" t="n">
        <v>0</v>
      </c>
      <c r="BD1412" s="0" t="n">
        <v>0</v>
      </c>
      <c r="BE1412" s="0" t="n">
        <v>0</v>
      </c>
      <c r="BF1412" s="0" t="n">
        <v>0</v>
      </c>
      <c r="BG1412" s="0" t="n">
        <v>0</v>
      </c>
      <c r="BH1412" s="0" t="n">
        <v>0</v>
      </c>
      <c r="BI1412" s="0" t="n">
        <v>0</v>
      </c>
      <c r="BJ1412" s="0" t="n">
        <v>0</v>
      </c>
      <c r="BK1412" s="0" t="n">
        <v>0</v>
      </c>
      <c r="BM1412" s="6" t="n">
        <f aca="false">IFERROR(VALUE(F1412),"")</f>
        <v>302.79</v>
      </c>
      <c r="BN1412" s="6" t="str">
        <f aca="false">IF(R1412="-","",IFERROR(VALUE(LEFT(Q1412,LEN(Q1412)-2)),""))</f>
        <v/>
      </c>
      <c r="BO1412" s="6" t="str">
        <f aca="false">IF(R1412="-","",IFERROR(VALUE(LEFT(R1412,LEN(R1412)-5)),""))</f>
        <v/>
      </c>
      <c r="BP1412" s="6" t="str">
        <f aca="false">IF(R1412="-","",IFERROR(VALUE(F1412),""))</f>
        <v/>
      </c>
      <c r="BQ1412" s="4" t="n">
        <f aca="false">IF(R1412="-",1,0)</f>
        <v>1</v>
      </c>
    </row>
    <row r="1413" customFormat="false" ht="15" hidden="false" customHeight="false" outlineLevel="0" collapsed="false">
      <c r="A1413" s="0" t="s">
        <v>5340</v>
      </c>
      <c r="B1413" s="0" t="s">
        <v>5341</v>
      </c>
      <c r="C1413" s="0" t="s">
        <v>70</v>
      </c>
      <c r="E1413" s="3" t="n">
        <v>46275</v>
      </c>
      <c r="F1413" s="4" t="s">
        <v>5347</v>
      </c>
      <c r="G1413" s="5" t="n">
        <v>0.179293981481482</v>
      </c>
      <c r="H1413" s="5" t="n">
        <v>0</v>
      </c>
      <c r="I1413" s="5" t="n">
        <v>0.000162037037037037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6</v>
      </c>
      <c r="O1413" s="5" t="n">
        <v>0</v>
      </c>
      <c r="P1413" s="5" t="n">
        <v>0</v>
      </c>
      <c r="Q1413" s="4" t="s">
        <v>73</v>
      </c>
      <c r="R1413" s="4" t="s">
        <v>73</v>
      </c>
      <c r="S1413" s="5" t="n">
        <v>0</v>
      </c>
      <c r="T1413" s="5" t="n">
        <v>0</v>
      </c>
      <c r="U1413" s="5" t="n">
        <v>0</v>
      </c>
      <c r="V1413" s="5" t="n">
        <v>0</v>
      </c>
      <c r="W1413" s="5" t="n">
        <v>0</v>
      </c>
      <c r="X1413" s="5" t="n">
        <v>0</v>
      </c>
      <c r="Y1413" s="5" t="n">
        <v>0</v>
      </c>
      <c r="Z1413" s="0" t="n">
        <v>0</v>
      </c>
      <c r="AA1413" s="0" t="n">
        <v>0</v>
      </c>
      <c r="AB1413" s="0" t="n">
        <v>0</v>
      </c>
      <c r="AC1413" s="4" t="s">
        <v>158</v>
      </c>
      <c r="AD1413" s="4" t="s">
        <v>158</v>
      </c>
      <c r="AE1413" s="4" t="s">
        <v>5346</v>
      </c>
      <c r="AF1413" s="4" t="s">
        <v>5348</v>
      </c>
      <c r="AG1413" s="5" t="n">
        <v>0.147488425925926</v>
      </c>
      <c r="AH1413" s="5" t="n">
        <v>0.101342592592593</v>
      </c>
      <c r="AI1413" s="5" t="n">
        <v>0</v>
      </c>
      <c r="AJ1413" s="5" t="n">
        <v>0</v>
      </c>
      <c r="AK1413" s="5" t="n">
        <v>0</v>
      </c>
      <c r="AL1413" s="5" t="n">
        <v>0</v>
      </c>
      <c r="AM1413" s="4" t="s">
        <v>78</v>
      </c>
      <c r="AN1413" s="0" t="n">
        <v>0</v>
      </c>
      <c r="AO1413" s="0" t="n">
        <v>0</v>
      </c>
      <c r="AP1413" s="0" t="n">
        <v>0</v>
      </c>
      <c r="AQ1413" s="0" t="n">
        <v>0</v>
      </c>
      <c r="AR1413" s="0" t="n">
        <v>0</v>
      </c>
      <c r="AS1413" s="0" t="n">
        <v>0</v>
      </c>
      <c r="AT1413" s="0" t="n">
        <v>0</v>
      </c>
      <c r="AU1413" s="0" t="n">
        <v>0</v>
      </c>
      <c r="AV1413" s="0" t="n">
        <v>0</v>
      </c>
      <c r="AW1413" s="0" t="n">
        <v>0</v>
      </c>
      <c r="AX1413" s="0" t="n">
        <v>0</v>
      </c>
      <c r="AY1413" s="0" t="n">
        <v>0</v>
      </c>
      <c r="AZ1413" s="0" t="n">
        <v>0</v>
      </c>
      <c r="BA1413" s="0" t="n">
        <v>0</v>
      </c>
      <c r="BB1413" s="0" t="n">
        <v>0</v>
      </c>
      <c r="BC1413" s="0" t="n">
        <v>0</v>
      </c>
      <c r="BD1413" s="0" t="n">
        <v>0</v>
      </c>
      <c r="BE1413" s="0" t="n">
        <v>0</v>
      </c>
      <c r="BF1413" s="0" t="n">
        <v>0</v>
      </c>
      <c r="BG1413" s="0" t="n">
        <v>0</v>
      </c>
      <c r="BH1413" s="0" t="n">
        <v>0</v>
      </c>
      <c r="BI1413" s="0" t="n">
        <v>0</v>
      </c>
      <c r="BJ1413" s="0" t="n">
        <v>0</v>
      </c>
      <c r="BK1413" s="0" t="n">
        <v>0</v>
      </c>
      <c r="BM1413" s="6" t="n">
        <f aca="false">IFERROR(VALUE(F1413),"")</f>
        <v>169.76</v>
      </c>
      <c r="BN1413" s="6" t="str">
        <f aca="false">IF(R1413="-","",IFERROR(VALUE(LEFT(Q1413,LEN(Q1413)-2)),""))</f>
        <v/>
      </c>
      <c r="BO1413" s="6" t="str">
        <f aca="false">IF(R1413="-","",IFERROR(VALUE(LEFT(R1413,LEN(R1413)-5)),""))</f>
        <v/>
      </c>
      <c r="BP1413" s="6" t="str">
        <f aca="false">IF(R1413="-","",IFERROR(VALUE(F1413),""))</f>
        <v/>
      </c>
      <c r="BQ1413" s="4" t="n">
        <f aca="false">IF(R1413="-",1,0)</f>
        <v>1</v>
      </c>
    </row>
    <row r="1414" customFormat="false" ht="15" hidden="false" customHeight="false" outlineLevel="0" collapsed="false">
      <c r="A1414" s="0" t="s">
        <v>5340</v>
      </c>
      <c r="B1414" s="0" t="s">
        <v>5341</v>
      </c>
      <c r="C1414" s="0" t="s">
        <v>70</v>
      </c>
      <c r="D1414" s="0" t="s">
        <v>5313</v>
      </c>
      <c r="E1414" s="3" t="n">
        <v>46276</v>
      </c>
      <c r="F1414" s="4" t="s">
        <v>5349</v>
      </c>
      <c r="G1414" s="5" t="n">
        <v>0.32</v>
      </c>
      <c r="H1414" s="5" t="n">
        <v>0.0868287037037037</v>
      </c>
      <c r="I1414" s="5" t="n">
        <v>0.000578703703703704</v>
      </c>
      <c r="J1414" s="0" t="n">
        <v>0</v>
      </c>
      <c r="K1414" s="0" t="n">
        <v>5</v>
      </c>
      <c r="L1414" s="0" t="n">
        <v>0</v>
      </c>
      <c r="M1414" s="0" t="n">
        <v>0</v>
      </c>
      <c r="N1414" s="0" t="n">
        <v>21</v>
      </c>
      <c r="O1414" s="5" t="n">
        <v>0</v>
      </c>
      <c r="P1414" s="5" t="n">
        <v>0</v>
      </c>
      <c r="Q1414" s="4" t="s">
        <v>73</v>
      </c>
      <c r="R1414" s="4" t="s">
        <v>73</v>
      </c>
      <c r="S1414" s="5" t="n">
        <v>0</v>
      </c>
      <c r="T1414" s="5" t="n">
        <v>0</v>
      </c>
      <c r="U1414" s="5" t="n">
        <v>0</v>
      </c>
      <c r="V1414" s="5" t="n">
        <v>0</v>
      </c>
      <c r="W1414" s="5" t="n">
        <v>0</v>
      </c>
      <c r="X1414" s="5" t="n">
        <v>0</v>
      </c>
      <c r="Y1414" s="5" t="n">
        <v>0</v>
      </c>
      <c r="Z1414" s="0" t="n">
        <v>0</v>
      </c>
      <c r="AA1414" s="0" t="n">
        <v>0</v>
      </c>
      <c r="AB1414" s="0" t="n">
        <v>0</v>
      </c>
      <c r="AC1414" s="4" t="s">
        <v>864</v>
      </c>
      <c r="AD1414" s="4" t="s">
        <v>158</v>
      </c>
      <c r="AE1414" s="4" t="s">
        <v>5348</v>
      </c>
      <c r="AF1414" s="4" t="s">
        <v>5350</v>
      </c>
      <c r="AG1414" s="5" t="n">
        <v>0.290196759259259</v>
      </c>
      <c r="AH1414" s="5" t="n">
        <v>0.114166666666667</v>
      </c>
      <c r="AI1414" s="5" t="n">
        <v>0</v>
      </c>
      <c r="AJ1414" s="5" t="n">
        <v>0</v>
      </c>
      <c r="AK1414" s="5" t="n">
        <v>0</v>
      </c>
      <c r="AL1414" s="5" t="n">
        <v>0</v>
      </c>
      <c r="AM1414" s="4" t="s">
        <v>78</v>
      </c>
      <c r="AN1414" s="0" t="n">
        <v>0</v>
      </c>
      <c r="AO1414" s="0" t="n">
        <v>0</v>
      </c>
      <c r="AP1414" s="0" t="n">
        <v>0</v>
      </c>
      <c r="AQ1414" s="0" t="n">
        <v>0</v>
      </c>
      <c r="AR1414" s="0" t="n">
        <v>1</v>
      </c>
      <c r="AS1414" s="0" t="n">
        <v>0</v>
      </c>
      <c r="AT1414" s="0" t="n">
        <v>0</v>
      </c>
      <c r="AU1414" s="0" t="n">
        <v>0</v>
      </c>
      <c r="AV1414" s="0" t="n">
        <v>0</v>
      </c>
      <c r="AW1414" s="0" t="n">
        <v>0</v>
      </c>
      <c r="AX1414" s="0" t="n">
        <v>0</v>
      </c>
      <c r="AY1414" s="0" t="n">
        <v>0</v>
      </c>
      <c r="AZ1414" s="0" t="n">
        <v>0</v>
      </c>
      <c r="BA1414" s="0" t="n">
        <v>0</v>
      </c>
      <c r="BB1414" s="0" t="n">
        <v>0</v>
      </c>
      <c r="BC1414" s="0" t="n">
        <v>0</v>
      </c>
      <c r="BD1414" s="0" t="n">
        <v>0</v>
      </c>
      <c r="BE1414" s="0" t="n">
        <v>0</v>
      </c>
      <c r="BF1414" s="0" t="n">
        <v>0</v>
      </c>
      <c r="BG1414" s="0" t="n">
        <v>0</v>
      </c>
      <c r="BH1414" s="0" t="n">
        <v>0</v>
      </c>
      <c r="BI1414" s="0" t="n">
        <v>0</v>
      </c>
      <c r="BJ1414" s="0" t="n">
        <v>0</v>
      </c>
      <c r="BK1414" s="0" t="n">
        <v>0</v>
      </c>
      <c r="BM1414" s="6" t="n">
        <f aca="false">IFERROR(VALUE(F1414),"")</f>
        <v>307.25</v>
      </c>
      <c r="BN1414" s="6" t="str">
        <f aca="false">IF(R1414="-","",IFERROR(VALUE(LEFT(Q1414,LEN(Q1414)-2)),""))</f>
        <v/>
      </c>
      <c r="BO1414" s="6" t="str">
        <f aca="false">IF(R1414="-","",IFERROR(VALUE(LEFT(R1414,LEN(R1414)-5)),""))</f>
        <v/>
      </c>
      <c r="BP1414" s="6" t="str">
        <f aca="false">IF(R1414="-","",IFERROR(VALUE(F1414),""))</f>
        <v/>
      </c>
      <c r="BQ1414" s="4" t="n">
        <f aca="false">IF(R1414="-",1,0)</f>
        <v>1</v>
      </c>
    </row>
    <row r="1415" customFormat="false" ht="15" hidden="false" customHeight="false" outlineLevel="0" collapsed="false">
      <c r="A1415" s="0" t="s">
        <v>5340</v>
      </c>
      <c r="B1415" s="0" t="s">
        <v>5341</v>
      </c>
      <c r="C1415" s="0" t="s">
        <v>70</v>
      </c>
      <c r="E1415" s="3" t="n">
        <v>46277</v>
      </c>
      <c r="F1415" s="4" t="s">
        <v>5351</v>
      </c>
      <c r="G1415" s="5" t="n">
        <v>0.107337962962963</v>
      </c>
      <c r="H1415" s="5" t="n">
        <v>0</v>
      </c>
      <c r="I1415" s="5" t="n">
        <v>0.000416666666666667</v>
      </c>
      <c r="J1415" s="0" t="n">
        <v>0</v>
      </c>
      <c r="K1415" s="0" t="n">
        <v>1</v>
      </c>
      <c r="L1415" s="0" t="n">
        <v>0</v>
      </c>
      <c r="M1415" s="0" t="n">
        <v>0</v>
      </c>
      <c r="N1415" s="0" t="n">
        <v>1</v>
      </c>
      <c r="O1415" s="5" t="n">
        <v>0</v>
      </c>
      <c r="P1415" s="5" t="n">
        <v>0</v>
      </c>
      <c r="Q1415" s="4" t="s">
        <v>73</v>
      </c>
      <c r="R1415" s="4" t="s">
        <v>73</v>
      </c>
      <c r="S1415" s="5" t="n">
        <v>0</v>
      </c>
      <c r="T1415" s="5" t="n">
        <v>0</v>
      </c>
      <c r="U1415" s="5" t="n">
        <v>0</v>
      </c>
      <c r="V1415" s="5" t="n">
        <v>0</v>
      </c>
      <c r="W1415" s="5" t="n">
        <v>0</v>
      </c>
      <c r="X1415" s="5" t="n">
        <v>0</v>
      </c>
      <c r="Y1415" s="5" t="n">
        <v>0</v>
      </c>
      <c r="Z1415" s="0" t="n">
        <v>0</v>
      </c>
      <c r="AA1415" s="0" t="n">
        <v>0</v>
      </c>
      <c r="AB1415" s="0" t="n">
        <v>0</v>
      </c>
      <c r="AC1415" s="4" t="s">
        <v>158</v>
      </c>
      <c r="AD1415" s="4" t="s">
        <v>158</v>
      </c>
      <c r="AE1415" s="4" t="s">
        <v>5350</v>
      </c>
      <c r="AF1415" s="4" t="s">
        <v>5352</v>
      </c>
      <c r="AG1415" s="5" t="n">
        <v>0.0896412037037037</v>
      </c>
      <c r="AH1415" s="5" t="n">
        <v>0.0333680555555556</v>
      </c>
      <c r="AI1415" s="5" t="n">
        <v>0</v>
      </c>
      <c r="AJ1415" s="5" t="n">
        <v>0</v>
      </c>
      <c r="AK1415" s="5" t="n">
        <v>0</v>
      </c>
      <c r="AL1415" s="5" t="n">
        <v>0</v>
      </c>
      <c r="AM1415" s="4" t="s">
        <v>78</v>
      </c>
      <c r="AN1415" s="0" t="n">
        <v>0</v>
      </c>
      <c r="AO1415" s="0" t="n">
        <v>0</v>
      </c>
      <c r="AP1415" s="0" t="n">
        <v>0</v>
      </c>
      <c r="AQ1415" s="0" t="n">
        <v>0</v>
      </c>
      <c r="AR1415" s="0" t="n">
        <v>0</v>
      </c>
      <c r="AS1415" s="0" t="n">
        <v>0</v>
      </c>
      <c r="AT1415" s="0" t="n">
        <v>0</v>
      </c>
      <c r="AU1415" s="0" t="n">
        <v>0</v>
      </c>
      <c r="AV1415" s="0" t="n">
        <v>0</v>
      </c>
      <c r="AW1415" s="0" t="n">
        <v>0</v>
      </c>
      <c r="AX1415" s="0" t="n">
        <v>0</v>
      </c>
      <c r="AY1415" s="0" t="n">
        <v>0</v>
      </c>
      <c r="AZ1415" s="0" t="n">
        <v>0</v>
      </c>
      <c r="BA1415" s="0" t="n">
        <v>0</v>
      </c>
      <c r="BB1415" s="0" t="n">
        <v>0</v>
      </c>
      <c r="BC1415" s="0" t="n">
        <v>0</v>
      </c>
      <c r="BD1415" s="0" t="n">
        <v>0</v>
      </c>
      <c r="BE1415" s="0" t="n">
        <v>0</v>
      </c>
      <c r="BF1415" s="0" t="n">
        <v>0</v>
      </c>
      <c r="BG1415" s="0" t="n">
        <v>0</v>
      </c>
      <c r="BH1415" s="0" t="n">
        <v>0</v>
      </c>
      <c r="BI1415" s="0" t="n">
        <v>0</v>
      </c>
      <c r="BJ1415" s="0" t="n">
        <v>0</v>
      </c>
      <c r="BK1415" s="0" t="n">
        <v>0</v>
      </c>
      <c r="BM1415" s="6" t="n">
        <f aca="false">IFERROR(VALUE(F1415),"")</f>
        <v>75.1</v>
      </c>
      <c r="BN1415" s="6" t="str">
        <f aca="false">IF(R1415="-","",IFERROR(VALUE(LEFT(Q1415,LEN(Q1415)-2)),""))</f>
        <v/>
      </c>
      <c r="BO1415" s="6" t="str">
        <f aca="false">IF(R1415="-","",IFERROR(VALUE(LEFT(R1415,LEN(R1415)-5)),""))</f>
        <v/>
      </c>
      <c r="BP1415" s="6" t="str">
        <f aca="false">IF(R1415="-","",IFERROR(VALUE(F1415),""))</f>
        <v/>
      </c>
      <c r="BQ1415" s="4" t="n">
        <f aca="false">IF(R1415="-",1,0)</f>
        <v>1</v>
      </c>
    </row>
    <row r="1416" customFormat="false" ht="15" hidden="false" customHeight="false" outlineLevel="0" collapsed="false">
      <c r="A1416" s="0" t="s">
        <v>5340</v>
      </c>
      <c r="B1416" s="0" t="s">
        <v>5341</v>
      </c>
      <c r="C1416" s="0" t="s">
        <v>70</v>
      </c>
      <c r="E1416" s="3" t="n">
        <v>46279</v>
      </c>
      <c r="F1416" s="4" t="s">
        <v>5353</v>
      </c>
      <c r="G1416" s="5" t="n">
        <v>0.157465277777778</v>
      </c>
      <c r="H1416" s="5" t="n">
        <v>0</v>
      </c>
      <c r="I1416" s="5" t="n">
        <v>0.000104166666666667</v>
      </c>
      <c r="J1416" s="0" t="n">
        <v>3</v>
      </c>
      <c r="K1416" s="0" t="n">
        <v>6</v>
      </c>
      <c r="L1416" s="0" t="n">
        <v>0</v>
      </c>
      <c r="M1416" s="0" t="n">
        <v>0</v>
      </c>
      <c r="N1416" s="0" t="n">
        <v>1</v>
      </c>
      <c r="O1416" s="5" t="n">
        <v>0</v>
      </c>
      <c r="P1416" s="5" t="n">
        <v>0</v>
      </c>
      <c r="Q1416" s="4" t="s">
        <v>73</v>
      </c>
      <c r="R1416" s="4" t="s">
        <v>73</v>
      </c>
      <c r="S1416" s="5" t="n">
        <v>0</v>
      </c>
      <c r="T1416" s="5" t="n">
        <v>0</v>
      </c>
      <c r="U1416" s="5" t="n">
        <v>0</v>
      </c>
      <c r="V1416" s="5" t="n">
        <v>0</v>
      </c>
      <c r="W1416" s="5" t="n">
        <v>0</v>
      </c>
      <c r="X1416" s="5" t="n">
        <v>0</v>
      </c>
      <c r="Y1416" s="5" t="n">
        <v>0</v>
      </c>
      <c r="Z1416" s="0" t="n">
        <v>0</v>
      </c>
      <c r="AA1416" s="0" t="n">
        <v>0</v>
      </c>
      <c r="AB1416" s="0" t="n">
        <v>0</v>
      </c>
      <c r="AC1416" s="4" t="s">
        <v>158</v>
      </c>
      <c r="AD1416" s="4" t="s">
        <v>158</v>
      </c>
      <c r="AE1416" s="4" t="s">
        <v>5352</v>
      </c>
      <c r="AF1416" s="4" t="s">
        <v>5354</v>
      </c>
      <c r="AG1416" s="5" t="n">
        <v>0.139270833333333</v>
      </c>
      <c r="AH1416" s="5" t="n">
        <v>0.0565046296296296</v>
      </c>
      <c r="AI1416" s="5" t="n">
        <v>0</v>
      </c>
      <c r="AJ1416" s="5" t="n">
        <v>0</v>
      </c>
      <c r="AK1416" s="5" t="n">
        <v>0</v>
      </c>
      <c r="AL1416" s="5" t="n">
        <v>0</v>
      </c>
      <c r="AM1416" s="4" t="s">
        <v>78</v>
      </c>
      <c r="AN1416" s="0" t="n">
        <v>0</v>
      </c>
      <c r="AO1416" s="0" t="n">
        <v>0</v>
      </c>
      <c r="AP1416" s="0" t="n">
        <v>0</v>
      </c>
      <c r="AQ1416" s="0" t="n">
        <v>0</v>
      </c>
      <c r="AR1416" s="0" t="n">
        <v>0</v>
      </c>
      <c r="AS1416" s="0" t="n">
        <v>0</v>
      </c>
      <c r="AT1416" s="0" t="n">
        <v>0</v>
      </c>
      <c r="AU1416" s="0" t="n">
        <v>0</v>
      </c>
      <c r="AV1416" s="0" t="n">
        <v>0</v>
      </c>
      <c r="AW1416" s="0" t="n">
        <v>0</v>
      </c>
      <c r="AX1416" s="0" t="n">
        <v>0</v>
      </c>
      <c r="AY1416" s="0" t="n">
        <v>0</v>
      </c>
      <c r="AZ1416" s="0" t="n">
        <v>0</v>
      </c>
      <c r="BA1416" s="0" t="n">
        <v>0</v>
      </c>
      <c r="BB1416" s="0" t="n">
        <v>0</v>
      </c>
      <c r="BC1416" s="0" t="n">
        <v>0</v>
      </c>
      <c r="BD1416" s="0" t="n">
        <v>0</v>
      </c>
      <c r="BE1416" s="0" t="n">
        <v>0</v>
      </c>
      <c r="BF1416" s="0" t="n">
        <v>0</v>
      </c>
      <c r="BG1416" s="0" t="n">
        <v>0</v>
      </c>
      <c r="BH1416" s="0" t="n">
        <v>0</v>
      </c>
      <c r="BI1416" s="0" t="n">
        <v>0</v>
      </c>
      <c r="BJ1416" s="0" t="n">
        <v>0</v>
      </c>
      <c r="BK1416" s="0" t="n">
        <v>0</v>
      </c>
      <c r="BM1416" s="6" t="n">
        <f aca="false">IFERROR(VALUE(F1416),"")</f>
        <v>107.08</v>
      </c>
      <c r="BN1416" s="6" t="str">
        <f aca="false">IF(R1416="-","",IFERROR(VALUE(LEFT(Q1416,LEN(Q1416)-2)),""))</f>
        <v/>
      </c>
      <c r="BO1416" s="6" t="str">
        <f aca="false">IF(R1416="-","",IFERROR(VALUE(LEFT(R1416,LEN(R1416)-5)),""))</f>
        <v/>
      </c>
      <c r="BP1416" s="6" t="str">
        <f aca="false">IF(R1416="-","",IFERROR(VALUE(F1416),""))</f>
        <v/>
      </c>
      <c r="BQ1416" s="4" t="n">
        <f aca="false">IF(R1416="-",1,0)</f>
        <v>1</v>
      </c>
    </row>
    <row r="1417" customFormat="false" ht="15" hidden="false" customHeight="false" outlineLevel="0" collapsed="false">
      <c r="A1417" s="0" t="s">
        <v>5355</v>
      </c>
      <c r="B1417" s="0" t="s">
        <v>5356</v>
      </c>
      <c r="C1417" s="0" t="s">
        <v>70</v>
      </c>
      <c r="D1417" s="0" t="s">
        <v>5335</v>
      </c>
      <c r="E1417" s="3" t="n">
        <v>46273</v>
      </c>
      <c r="F1417" s="4" t="s">
        <v>5357</v>
      </c>
      <c r="G1417" s="5" t="n">
        <v>0.126724537037037</v>
      </c>
      <c r="H1417" s="5" t="n">
        <v>0.126724537037037</v>
      </c>
      <c r="I1417" s="5" t="n">
        <v>0.000115740740740741</v>
      </c>
      <c r="J1417" s="0" t="n">
        <v>0</v>
      </c>
      <c r="K1417" s="0" t="n">
        <v>3</v>
      </c>
      <c r="L1417" s="0" t="n">
        <v>0</v>
      </c>
      <c r="M1417" s="0" t="n">
        <v>0</v>
      </c>
      <c r="N1417" s="0" t="n">
        <v>8</v>
      </c>
      <c r="O1417" s="5" t="n">
        <v>0</v>
      </c>
      <c r="P1417" s="5" t="n">
        <v>0</v>
      </c>
      <c r="Q1417" s="4" t="s">
        <v>73</v>
      </c>
      <c r="R1417" s="4" t="s">
        <v>73</v>
      </c>
      <c r="S1417" s="5" t="n">
        <v>0</v>
      </c>
      <c r="T1417" s="5" t="n">
        <v>0</v>
      </c>
      <c r="U1417" s="5" t="n">
        <v>0</v>
      </c>
      <c r="V1417" s="5" t="n">
        <v>0</v>
      </c>
      <c r="W1417" s="5" t="n">
        <v>0</v>
      </c>
      <c r="X1417" s="5" t="n">
        <v>0</v>
      </c>
      <c r="Y1417" s="5" t="n">
        <v>0</v>
      </c>
      <c r="Z1417" s="0" t="n">
        <v>0</v>
      </c>
      <c r="AA1417" s="0" t="n">
        <v>0</v>
      </c>
      <c r="AB1417" s="0" t="n">
        <v>0</v>
      </c>
      <c r="AC1417" s="4" t="s">
        <v>158</v>
      </c>
      <c r="AD1417" s="4" t="s">
        <v>864</v>
      </c>
      <c r="AE1417" s="4" t="s">
        <v>5358</v>
      </c>
      <c r="AF1417" s="4" t="s">
        <v>5359</v>
      </c>
      <c r="AG1417" s="5" t="n">
        <v>0.108888888888889</v>
      </c>
      <c r="AH1417" s="5" t="n">
        <v>0.0476157407407407</v>
      </c>
      <c r="AI1417" s="5" t="n">
        <v>0</v>
      </c>
      <c r="AJ1417" s="5" t="n">
        <v>0</v>
      </c>
      <c r="AK1417" s="5" t="n">
        <v>0</v>
      </c>
      <c r="AL1417" s="5" t="n">
        <v>0</v>
      </c>
      <c r="AM1417" s="4" t="s">
        <v>78</v>
      </c>
      <c r="AN1417" s="0" t="n">
        <v>0</v>
      </c>
      <c r="AO1417" s="0" t="n">
        <v>0</v>
      </c>
      <c r="AP1417" s="0" t="n">
        <v>0</v>
      </c>
      <c r="AQ1417" s="0" t="n">
        <v>0</v>
      </c>
      <c r="AR1417" s="0" t="n">
        <v>0</v>
      </c>
      <c r="AS1417" s="0" t="n">
        <v>0</v>
      </c>
      <c r="AT1417" s="0" t="n">
        <v>0</v>
      </c>
      <c r="AU1417" s="0" t="n">
        <v>0</v>
      </c>
      <c r="AV1417" s="0" t="n">
        <v>0</v>
      </c>
      <c r="AW1417" s="0" t="n">
        <v>0</v>
      </c>
      <c r="AX1417" s="0" t="n">
        <v>0</v>
      </c>
      <c r="AY1417" s="0" t="n">
        <v>0</v>
      </c>
      <c r="AZ1417" s="0" t="n">
        <v>0</v>
      </c>
      <c r="BA1417" s="0" t="n">
        <v>0</v>
      </c>
      <c r="BB1417" s="0" t="n">
        <v>0</v>
      </c>
      <c r="BC1417" s="0" t="n">
        <v>0</v>
      </c>
      <c r="BD1417" s="0" t="n">
        <v>0</v>
      </c>
      <c r="BE1417" s="0" t="n">
        <v>0</v>
      </c>
      <c r="BF1417" s="0" t="n">
        <v>0</v>
      </c>
      <c r="BG1417" s="0" t="n">
        <v>0</v>
      </c>
      <c r="BH1417" s="0" t="n">
        <v>0</v>
      </c>
      <c r="BI1417" s="0" t="n">
        <v>0</v>
      </c>
      <c r="BJ1417" s="0" t="n">
        <v>0</v>
      </c>
      <c r="BK1417" s="0" t="n">
        <v>0</v>
      </c>
      <c r="BM1417" s="6" t="n">
        <f aca="false">IFERROR(VALUE(F1417),"")</f>
        <v>64.7</v>
      </c>
      <c r="BN1417" s="6" t="str">
        <f aca="false">IF(R1417="-","",IFERROR(VALUE(LEFT(Q1417,LEN(Q1417)-2)),""))</f>
        <v/>
      </c>
      <c r="BO1417" s="6" t="str">
        <f aca="false">IF(R1417="-","",IFERROR(VALUE(LEFT(R1417,LEN(R1417)-5)),""))</f>
        <v/>
      </c>
      <c r="BP1417" s="6" t="str">
        <f aca="false">IF(R1417="-","",IFERROR(VALUE(F1417),""))</f>
        <v/>
      </c>
      <c r="BQ1417" s="4" t="n">
        <f aca="false">IF(R1417="-",1,0)</f>
        <v>1</v>
      </c>
    </row>
    <row r="1418" customFormat="false" ht="15" hidden="false" customHeight="false" outlineLevel="0" collapsed="false">
      <c r="A1418" s="0" t="s">
        <v>5355</v>
      </c>
      <c r="B1418" s="0" t="s">
        <v>5356</v>
      </c>
      <c r="C1418" s="0" t="s">
        <v>70</v>
      </c>
      <c r="D1418" s="0" t="s">
        <v>5335</v>
      </c>
      <c r="E1418" s="3" t="n">
        <v>46274</v>
      </c>
      <c r="F1418" s="4" t="s">
        <v>5360</v>
      </c>
      <c r="G1418" s="5" t="n">
        <v>0.138553240740741</v>
      </c>
      <c r="H1418" s="5" t="n">
        <v>0.13556712962963</v>
      </c>
      <c r="I1418" s="5" t="n">
        <v>0.000381944444444445</v>
      </c>
      <c r="J1418" s="0" t="n">
        <v>1</v>
      </c>
      <c r="K1418" s="0" t="n">
        <v>6</v>
      </c>
      <c r="L1418" s="0" t="n">
        <v>0</v>
      </c>
      <c r="M1418" s="0" t="n">
        <v>0</v>
      </c>
      <c r="N1418" s="0" t="n">
        <v>7</v>
      </c>
      <c r="O1418" s="5" t="n">
        <v>0</v>
      </c>
      <c r="P1418" s="5" t="n">
        <v>0</v>
      </c>
      <c r="Q1418" s="4" t="s">
        <v>73</v>
      </c>
      <c r="R1418" s="4" t="s">
        <v>73</v>
      </c>
      <c r="S1418" s="5" t="n">
        <v>0</v>
      </c>
      <c r="T1418" s="5" t="n">
        <v>0</v>
      </c>
      <c r="U1418" s="5" t="n">
        <v>0</v>
      </c>
      <c r="V1418" s="5" t="n">
        <v>0</v>
      </c>
      <c r="W1418" s="5" t="n">
        <v>0</v>
      </c>
      <c r="X1418" s="5" t="n">
        <v>0</v>
      </c>
      <c r="Y1418" s="5" t="n">
        <v>0</v>
      </c>
      <c r="Z1418" s="0" t="n">
        <v>0</v>
      </c>
      <c r="AA1418" s="0" t="n">
        <v>0</v>
      </c>
      <c r="AB1418" s="0" t="n">
        <v>0</v>
      </c>
      <c r="AC1418" s="4" t="s">
        <v>864</v>
      </c>
      <c r="AD1418" s="4" t="s">
        <v>158</v>
      </c>
      <c r="AE1418" s="4" t="s">
        <v>5359</v>
      </c>
      <c r="AF1418" s="4" t="s">
        <v>5361</v>
      </c>
      <c r="AG1418" s="5" t="n">
        <v>0.125289351851852</v>
      </c>
      <c r="AH1418" s="5" t="n">
        <v>0.0534490740740741</v>
      </c>
      <c r="AI1418" s="5" t="n">
        <v>0</v>
      </c>
      <c r="AJ1418" s="5" t="n">
        <v>0</v>
      </c>
      <c r="AK1418" s="5" t="n">
        <v>0</v>
      </c>
      <c r="AL1418" s="5" t="n">
        <v>0</v>
      </c>
      <c r="AM1418" s="4" t="s">
        <v>78</v>
      </c>
      <c r="AN1418" s="0" t="n">
        <v>0</v>
      </c>
      <c r="AO1418" s="0" t="n">
        <v>0</v>
      </c>
      <c r="AP1418" s="0" t="n">
        <v>0</v>
      </c>
      <c r="AQ1418" s="0" t="n">
        <v>0</v>
      </c>
      <c r="AR1418" s="0" t="n">
        <v>2</v>
      </c>
      <c r="AS1418" s="0" t="n">
        <v>0</v>
      </c>
      <c r="AT1418" s="0" t="n">
        <v>0</v>
      </c>
      <c r="AU1418" s="0" t="n">
        <v>0</v>
      </c>
      <c r="AV1418" s="0" t="n">
        <v>0</v>
      </c>
      <c r="AW1418" s="0" t="n">
        <v>0</v>
      </c>
      <c r="AX1418" s="0" t="n">
        <v>0</v>
      </c>
      <c r="AY1418" s="0" t="n">
        <v>0</v>
      </c>
      <c r="AZ1418" s="0" t="n">
        <v>0</v>
      </c>
      <c r="BA1418" s="0" t="n">
        <v>0</v>
      </c>
      <c r="BB1418" s="0" t="n">
        <v>0</v>
      </c>
      <c r="BC1418" s="0" t="n">
        <v>0</v>
      </c>
      <c r="BD1418" s="0" t="n">
        <v>0</v>
      </c>
      <c r="BE1418" s="0" t="n">
        <v>0</v>
      </c>
      <c r="BF1418" s="0" t="n">
        <v>0</v>
      </c>
      <c r="BG1418" s="0" t="n">
        <v>0</v>
      </c>
      <c r="BH1418" s="0" t="n">
        <v>0</v>
      </c>
      <c r="BI1418" s="0" t="n">
        <v>0</v>
      </c>
      <c r="BJ1418" s="0" t="n">
        <v>0</v>
      </c>
      <c r="BK1418" s="0" t="n">
        <v>0</v>
      </c>
      <c r="BM1418" s="6" t="n">
        <f aca="false">IFERROR(VALUE(F1418),"")</f>
        <v>74.07</v>
      </c>
      <c r="BN1418" s="6" t="str">
        <f aca="false">IF(R1418="-","",IFERROR(VALUE(LEFT(Q1418,LEN(Q1418)-2)),""))</f>
        <v/>
      </c>
      <c r="BO1418" s="6" t="str">
        <f aca="false">IF(R1418="-","",IFERROR(VALUE(LEFT(R1418,LEN(R1418)-5)),""))</f>
        <v/>
      </c>
      <c r="BP1418" s="6" t="str">
        <f aca="false">IF(R1418="-","",IFERROR(VALUE(F1418),""))</f>
        <v/>
      </c>
      <c r="BQ1418" s="4" t="n">
        <f aca="false">IF(R1418="-",1,0)</f>
        <v>1</v>
      </c>
    </row>
    <row r="1419" customFormat="false" ht="15" hidden="false" customHeight="false" outlineLevel="0" collapsed="false">
      <c r="A1419" s="0" t="s">
        <v>5355</v>
      </c>
      <c r="B1419" s="0" t="s">
        <v>5356</v>
      </c>
      <c r="C1419" s="0" t="s">
        <v>70</v>
      </c>
      <c r="E1419" s="3" t="n">
        <v>46275</v>
      </c>
      <c r="F1419" s="4" t="s">
        <v>5362</v>
      </c>
      <c r="G1419" s="5" t="n">
        <v>0.0951157407407407</v>
      </c>
      <c r="H1419" s="5" t="n">
        <v>0</v>
      </c>
      <c r="I1419" s="5" t="n">
        <v>0.000289351851851852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5" t="n">
        <v>0</v>
      </c>
      <c r="P1419" s="5" t="n">
        <v>0</v>
      </c>
      <c r="Q1419" s="4" t="s">
        <v>73</v>
      </c>
      <c r="R1419" s="4" t="s">
        <v>73</v>
      </c>
      <c r="S1419" s="5" t="n">
        <v>0</v>
      </c>
      <c r="T1419" s="5" t="n">
        <v>0</v>
      </c>
      <c r="U1419" s="5" t="n">
        <v>0</v>
      </c>
      <c r="V1419" s="5" t="n">
        <v>0</v>
      </c>
      <c r="W1419" s="5" t="n">
        <v>0</v>
      </c>
      <c r="X1419" s="5" t="n">
        <v>0</v>
      </c>
      <c r="Y1419" s="5" t="n">
        <v>0</v>
      </c>
      <c r="Z1419" s="0" t="n">
        <v>0</v>
      </c>
      <c r="AA1419" s="0" t="n">
        <v>0</v>
      </c>
      <c r="AB1419" s="0" t="n">
        <v>0</v>
      </c>
      <c r="AC1419" s="4" t="s">
        <v>864</v>
      </c>
      <c r="AD1419" s="4" t="s">
        <v>158</v>
      </c>
      <c r="AE1419" s="4" t="s">
        <v>5361</v>
      </c>
      <c r="AF1419" s="4" t="s">
        <v>5363</v>
      </c>
      <c r="AG1419" s="5" t="n">
        <v>0.0906944444444444</v>
      </c>
      <c r="AH1419" s="5" t="n">
        <v>0.042662037037037</v>
      </c>
      <c r="AI1419" s="5" t="n">
        <v>0</v>
      </c>
      <c r="AJ1419" s="5" t="n">
        <v>0</v>
      </c>
      <c r="AK1419" s="5" t="n">
        <v>0</v>
      </c>
      <c r="AL1419" s="5" t="n">
        <v>0</v>
      </c>
      <c r="AM1419" s="4" t="s">
        <v>78</v>
      </c>
      <c r="AN1419" s="0" t="n">
        <v>0</v>
      </c>
      <c r="AO1419" s="0" t="n">
        <v>0</v>
      </c>
      <c r="AP1419" s="0" t="n">
        <v>0</v>
      </c>
      <c r="AQ1419" s="0" t="n">
        <v>0</v>
      </c>
      <c r="AR1419" s="0" t="n">
        <v>0</v>
      </c>
      <c r="AS1419" s="0" t="n">
        <v>0</v>
      </c>
      <c r="AT1419" s="0" t="n">
        <v>0</v>
      </c>
      <c r="AU1419" s="0" t="n">
        <v>0</v>
      </c>
      <c r="AV1419" s="0" t="n">
        <v>0</v>
      </c>
      <c r="AW1419" s="0" t="n">
        <v>0</v>
      </c>
      <c r="AX1419" s="0" t="n">
        <v>0</v>
      </c>
      <c r="AY1419" s="0" t="n">
        <v>0</v>
      </c>
      <c r="AZ1419" s="0" t="n">
        <v>0</v>
      </c>
      <c r="BA1419" s="0" t="n">
        <v>0</v>
      </c>
      <c r="BB1419" s="0" t="n">
        <v>0</v>
      </c>
      <c r="BC1419" s="0" t="n">
        <v>0</v>
      </c>
      <c r="BD1419" s="0" t="n">
        <v>0</v>
      </c>
      <c r="BE1419" s="0" t="n">
        <v>0</v>
      </c>
      <c r="BF1419" s="0" t="n">
        <v>0</v>
      </c>
      <c r="BG1419" s="0" t="n">
        <v>0</v>
      </c>
      <c r="BH1419" s="0" t="n">
        <v>0</v>
      </c>
      <c r="BI1419" s="0" t="n">
        <v>0</v>
      </c>
      <c r="BJ1419" s="0" t="n">
        <v>0</v>
      </c>
      <c r="BK1419" s="0" t="n">
        <v>0</v>
      </c>
      <c r="BM1419" s="6" t="n">
        <f aca="false">IFERROR(VALUE(F1419),"")</f>
        <v>88.86</v>
      </c>
      <c r="BN1419" s="6" t="str">
        <f aca="false">IF(R1419="-","",IFERROR(VALUE(LEFT(Q1419,LEN(Q1419)-2)),""))</f>
        <v/>
      </c>
      <c r="BO1419" s="6" t="str">
        <f aca="false">IF(R1419="-","",IFERROR(VALUE(LEFT(R1419,LEN(R1419)-5)),""))</f>
        <v/>
      </c>
      <c r="BP1419" s="6" t="str">
        <f aca="false">IF(R1419="-","",IFERROR(VALUE(F1419),""))</f>
        <v/>
      </c>
      <c r="BQ1419" s="4" t="n">
        <f aca="false">IF(R1419="-",1,0)</f>
        <v>1</v>
      </c>
    </row>
    <row r="1420" customFormat="false" ht="15" hidden="false" customHeight="false" outlineLevel="0" collapsed="false">
      <c r="A1420" s="0" t="s">
        <v>5355</v>
      </c>
      <c r="B1420" s="0" t="s">
        <v>5356</v>
      </c>
      <c r="C1420" s="0" t="s">
        <v>70</v>
      </c>
      <c r="D1420" s="0" t="s">
        <v>5364</v>
      </c>
      <c r="E1420" s="3" t="n">
        <v>46276</v>
      </c>
      <c r="F1420" s="4" t="s">
        <v>5365</v>
      </c>
      <c r="G1420" s="5" t="n">
        <v>0.198726851851852</v>
      </c>
      <c r="H1420" s="5" t="n">
        <v>0.191145833333333</v>
      </c>
      <c r="I1420" s="5" t="n">
        <v>0.00337962962962963</v>
      </c>
      <c r="J1420" s="0" t="n">
        <v>0</v>
      </c>
      <c r="K1420" s="0" t="n">
        <v>2</v>
      </c>
      <c r="L1420" s="0" t="n">
        <v>0</v>
      </c>
      <c r="M1420" s="0" t="n">
        <v>0</v>
      </c>
      <c r="N1420" s="0" t="n">
        <v>3</v>
      </c>
      <c r="O1420" s="5" t="n">
        <v>0</v>
      </c>
      <c r="P1420" s="5" t="n">
        <v>0</v>
      </c>
      <c r="Q1420" s="4" t="s">
        <v>73</v>
      </c>
      <c r="R1420" s="4" t="s">
        <v>73</v>
      </c>
      <c r="S1420" s="5" t="n">
        <v>0</v>
      </c>
      <c r="T1420" s="5" t="n">
        <v>0</v>
      </c>
      <c r="U1420" s="5" t="n">
        <v>0</v>
      </c>
      <c r="V1420" s="5" t="n">
        <v>0</v>
      </c>
      <c r="W1420" s="5" t="n">
        <v>0</v>
      </c>
      <c r="X1420" s="5" t="n">
        <v>0</v>
      </c>
      <c r="Y1420" s="5" t="n">
        <v>0</v>
      </c>
      <c r="Z1420" s="0" t="n">
        <v>0</v>
      </c>
      <c r="AA1420" s="0" t="n">
        <v>0</v>
      </c>
      <c r="AB1420" s="0" t="n">
        <v>0</v>
      </c>
      <c r="AC1420" s="4" t="s">
        <v>158</v>
      </c>
      <c r="AD1420" s="4" t="s">
        <v>158</v>
      </c>
      <c r="AE1420" s="4" t="s">
        <v>5363</v>
      </c>
      <c r="AF1420" s="4" t="s">
        <v>5366</v>
      </c>
      <c r="AG1420" s="5" t="n">
        <v>0.170277777777778</v>
      </c>
      <c r="AH1420" s="5" t="n">
        <v>0.0805555555555556</v>
      </c>
      <c r="AI1420" s="5" t="n">
        <v>0</v>
      </c>
      <c r="AJ1420" s="5" t="n">
        <v>0</v>
      </c>
      <c r="AK1420" s="5" t="n">
        <v>0</v>
      </c>
      <c r="AL1420" s="5" t="n">
        <v>0</v>
      </c>
      <c r="AM1420" s="4" t="s">
        <v>78</v>
      </c>
      <c r="AN1420" s="0" t="n">
        <v>0</v>
      </c>
      <c r="AO1420" s="0" t="n">
        <v>0</v>
      </c>
      <c r="AP1420" s="0" t="n">
        <v>0</v>
      </c>
      <c r="AQ1420" s="0" t="n">
        <v>0</v>
      </c>
      <c r="AR1420" s="0" t="n">
        <v>0</v>
      </c>
      <c r="AS1420" s="0" t="n">
        <v>0</v>
      </c>
      <c r="AT1420" s="0" t="n">
        <v>0</v>
      </c>
      <c r="AU1420" s="0" t="n">
        <v>0</v>
      </c>
      <c r="AV1420" s="0" t="n">
        <v>0</v>
      </c>
      <c r="AW1420" s="0" t="n">
        <v>0</v>
      </c>
      <c r="AX1420" s="0" t="n">
        <v>0</v>
      </c>
      <c r="AY1420" s="0" t="n">
        <v>0</v>
      </c>
      <c r="AZ1420" s="0" t="n">
        <v>0</v>
      </c>
      <c r="BA1420" s="0" t="n">
        <v>0</v>
      </c>
      <c r="BB1420" s="0" t="n">
        <v>0</v>
      </c>
      <c r="BC1420" s="0" t="n">
        <v>0</v>
      </c>
      <c r="BD1420" s="0" t="n">
        <v>0</v>
      </c>
      <c r="BE1420" s="0" t="n">
        <v>0</v>
      </c>
      <c r="BF1420" s="0" t="n">
        <v>0</v>
      </c>
      <c r="BG1420" s="0" t="n">
        <v>0</v>
      </c>
      <c r="BH1420" s="0" t="n">
        <v>0</v>
      </c>
      <c r="BI1420" s="0" t="n">
        <v>0</v>
      </c>
      <c r="BJ1420" s="0" t="n">
        <v>0</v>
      </c>
      <c r="BK1420" s="0" t="n">
        <v>0</v>
      </c>
      <c r="BM1420" s="6" t="n">
        <f aca="false">IFERROR(VALUE(F1420),"")</f>
        <v>118.88</v>
      </c>
      <c r="BN1420" s="6" t="str">
        <f aca="false">IF(R1420="-","",IFERROR(VALUE(LEFT(Q1420,LEN(Q1420)-2)),""))</f>
        <v/>
      </c>
      <c r="BO1420" s="6" t="str">
        <f aca="false">IF(R1420="-","",IFERROR(VALUE(LEFT(R1420,LEN(R1420)-5)),""))</f>
        <v/>
      </c>
      <c r="BP1420" s="6" t="str">
        <f aca="false">IF(R1420="-","",IFERROR(VALUE(F1420),""))</f>
        <v/>
      </c>
      <c r="BQ1420" s="4" t="n">
        <f aca="false">IF(R1420="-",1,0)</f>
        <v>1</v>
      </c>
    </row>
    <row r="1421" customFormat="false" ht="15" hidden="false" customHeight="false" outlineLevel="0" collapsed="false">
      <c r="A1421" s="0" t="s">
        <v>5355</v>
      </c>
      <c r="B1421" s="0" t="s">
        <v>5356</v>
      </c>
      <c r="C1421" s="0" t="s">
        <v>70</v>
      </c>
      <c r="E1421" s="3" t="n">
        <v>46277</v>
      </c>
      <c r="F1421" s="4" t="s">
        <v>457</v>
      </c>
      <c r="G1421" s="5" t="n">
        <v>0.00101851851851852</v>
      </c>
      <c r="H1421" s="5" t="n">
        <v>0</v>
      </c>
      <c r="I1421" s="5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5" t="n">
        <v>0</v>
      </c>
      <c r="P1421" s="5" t="n">
        <v>0</v>
      </c>
      <c r="Q1421" s="4" t="s">
        <v>73</v>
      </c>
      <c r="R1421" s="4" t="s">
        <v>73</v>
      </c>
      <c r="S1421" s="5" t="n">
        <v>0</v>
      </c>
      <c r="T1421" s="5" t="n">
        <v>0</v>
      </c>
      <c r="U1421" s="5" t="n">
        <v>0</v>
      </c>
      <c r="V1421" s="5" t="n">
        <v>0</v>
      </c>
      <c r="W1421" s="5" t="n">
        <v>0</v>
      </c>
      <c r="X1421" s="5" t="n">
        <v>0</v>
      </c>
      <c r="Y1421" s="5" t="n">
        <v>0</v>
      </c>
      <c r="Z1421" s="0" t="n">
        <v>0</v>
      </c>
      <c r="AA1421" s="0" t="n">
        <v>0</v>
      </c>
      <c r="AB1421" s="0" t="n">
        <v>0</v>
      </c>
      <c r="AC1421" s="4" t="s">
        <v>158</v>
      </c>
      <c r="AD1421" s="4" t="s">
        <v>158</v>
      </c>
      <c r="AE1421" s="4" t="s">
        <v>5366</v>
      </c>
      <c r="AF1421" s="4" t="s">
        <v>5366</v>
      </c>
      <c r="AG1421" s="5" t="n">
        <v>0.000405092592592593</v>
      </c>
      <c r="AH1421" s="5" t="n">
        <v>0.00875</v>
      </c>
      <c r="AI1421" s="5" t="n">
        <v>0</v>
      </c>
      <c r="AJ1421" s="5" t="n">
        <v>0</v>
      </c>
      <c r="AK1421" s="5" t="n">
        <v>0</v>
      </c>
      <c r="AL1421" s="5" t="n">
        <v>0</v>
      </c>
      <c r="AM1421" s="4" t="s">
        <v>78</v>
      </c>
      <c r="AN1421" s="0" t="n">
        <v>0</v>
      </c>
      <c r="AO1421" s="0" t="n">
        <v>0</v>
      </c>
      <c r="AP1421" s="0" t="n">
        <v>0</v>
      </c>
      <c r="AQ1421" s="0" t="n">
        <v>0</v>
      </c>
      <c r="AR1421" s="0" t="n">
        <v>0</v>
      </c>
      <c r="AS1421" s="0" t="n">
        <v>0</v>
      </c>
      <c r="AT1421" s="0" t="n">
        <v>0</v>
      </c>
      <c r="AU1421" s="0" t="n">
        <v>0</v>
      </c>
      <c r="AV1421" s="0" t="n">
        <v>0</v>
      </c>
      <c r="AW1421" s="0" t="n">
        <v>0</v>
      </c>
      <c r="AX1421" s="0" t="n">
        <v>0</v>
      </c>
      <c r="AY1421" s="0" t="n">
        <v>0</v>
      </c>
      <c r="AZ1421" s="0" t="n">
        <v>0</v>
      </c>
      <c r="BA1421" s="0" t="n">
        <v>0</v>
      </c>
      <c r="BB1421" s="0" t="n">
        <v>0</v>
      </c>
      <c r="BC1421" s="0" t="n">
        <v>0</v>
      </c>
      <c r="BD1421" s="0" t="n">
        <v>0</v>
      </c>
      <c r="BE1421" s="0" t="n">
        <v>0</v>
      </c>
      <c r="BF1421" s="0" t="n">
        <v>0</v>
      </c>
      <c r="BG1421" s="0" t="n">
        <v>0</v>
      </c>
      <c r="BH1421" s="0" t="n">
        <v>0</v>
      </c>
      <c r="BI1421" s="0" t="n">
        <v>0</v>
      </c>
      <c r="BJ1421" s="0" t="n">
        <v>0</v>
      </c>
      <c r="BK1421" s="0" t="n">
        <v>0</v>
      </c>
      <c r="BM1421" s="6" t="n">
        <f aca="false">IFERROR(VALUE(F1421),"")</f>
        <v>0.01</v>
      </c>
      <c r="BN1421" s="6" t="str">
        <f aca="false">IF(R1421="-","",IFERROR(VALUE(LEFT(Q1421,LEN(Q1421)-2)),""))</f>
        <v/>
      </c>
      <c r="BO1421" s="6" t="str">
        <f aca="false">IF(R1421="-","",IFERROR(VALUE(LEFT(R1421,LEN(R1421)-5)),""))</f>
        <v/>
      </c>
      <c r="BP1421" s="6" t="str">
        <f aca="false">IF(R1421="-","",IFERROR(VALUE(F1421),""))</f>
        <v/>
      </c>
      <c r="BQ1421" s="4" t="n">
        <f aca="false">IF(R1421="-",1,0)</f>
        <v>1</v>
      </c>
    </row>
    <row r="1422" customFormat="false" ht="15" hidden="false" customHeight="false" outlineLevel="0" collapsed="false">
      <c r="A1422" s="0" t="s">
        <v>5355</v>
      </c>
      <c r="B1422" s="0" t="s">
        <v>5356</v>
      </c>
      <c r="C1422" s="0" t="s">
        <v>70</v>
      </c>
      <c r="D1422" s="0" t="s">
        <v>5367</v>
      </c>
      <c r="E1422" s="3" t="n">
        <v>46279</v>
      </c>
      <c r="F1422" s="4" t="s">
        <v>5368</v>
      </c>
      <c r="G1422" s="5" t="n">
        <v>0.255671296296296</v>
      </c>
      <c r="H1422" s="5" t="n">
        <v>0.243796296296296</v>
      </c>
      <c r="I1422" s="5" t="n">
        <v>0.00130787037037037</v>
      </c>
      <c r="J1422" s="0" t="n">
        <v>2</v>
      </c>
      <c r="K1422" s="0" t="n">
        <v>4</v>
      </c>
      <c r="L1422" s="0" t="n">
        <v>0</v>
      </c>
      <c r="M1422" s="0" t="n">
        <v>0</v>
      </c>
      <c r="N1422" s="0" t="n">
        <v>3</v>
      </c>
      <c r="O1422" s="5" t="n">
        <v>0</v>
      </c>
      <c r="P1422" s="5" t="n">
        <v>0</v>
      </c>
      <c r="Q1422" s="4" t="s">
        <v>73</v>
      </c>
      <c r="R1422" s="4" t="s">
        <v>73</v>
      </c>
      <c r="S1422" s="5" t="n">
        <v>0</v>
      </c>
      <c r="T1422" s="5" t="n">
        <v>0</v>
      </c>
      <c r="U1422" s="5" t="n">
        <v>0</v>
      </c>
      <c r="V1422" s="5" t="n">
        <v>0</v>
      </c>
      <c r="W1422" s="5" t="n">
        <v>0</v>
      </c>
      <c r="X1422" s="5" t="n">
        <v>0</v>
      </c>
      <c r="Y1422" s="5" t="n">
        <v>0</v>
      </c>
      <c r="Z1422" s="0" t="n">
        <v>0</v>
      </c>
      <c r="AA1422" s="0" t="n">
        <v>0</v>
      </c>
      <c r="AB1422" s="0" t="n">
        <v>0</v>
      </c>
      <c r="AC1422" s="4" t="s">
        <v>158</v>
      </c>
      <c r="AD1422" s="4" t="s">
        <v>158</v>
      </c>
      <c r="AE1422" s="4" t="s">
        <v>5366</v>
      </c>
      <c r="AF1422" s="4" t="s">
        <v>5369</v>
      </c>
      <c r="AG1422" s="5" t="n">
        <v>0.21494212962963</v>
      </c>
      <c r="AH1422" s="5" t="n">
        <v>0.133020833333333</v>
      </c>
      <c r="AI1422" s="5" t="n">
        <v>0</v>
      </c>
      <c r="AJ1422" s="5" t="n">
        <v>0</v>
      </c>
      <c r="AK1422" s="5" t="n">
        <v>0</v>
      </c>
      <c r="AL1422" s="5" t="n">
        <v>0</v>
      </c>
      <c r="AM1422" s="4" t="s">
        <v>78</v>
      </c>
      <c r="AN1422" s="0" t="n">
        <v>0</v>
      </c>
      <c r="AO1422" s="0" t="n">
        <v>0</v>
      </c>
      <c r="AP1422" s="0" t="n">
        <v>0</v>
      </c>
      <c r="AQ1422" s="0" t="n">
        <v>0</v>
      </c>
      <c r="AR1422" s="0" t="n">
        <v>1</v>
      </c>
      <c r="AS1422" s="0" t="n">
        <v>0</v>
      </c>
      <c r="AT1422" s="0" t="n">
        <v>0</v>
      </c>
      <c r="AU1422" s="0" t="n">
        <v>0</v>
      </c>
      <c r="AV1422" s="0" t="n">
        <v>0</v>
      </c>
      <c r="AW1422" s="0" t="n">
        <v>0</v>
      </c>
      <c r="AX1422" s="0" t="n">
        <v>0</v>
      </c>
      <c r="AY1422" s="0" t="n">
        <v>0</v>
      </c>
      <c r="AZ1422" s="0" t="n">
        <v>0</v>
      </c>
      <c r="BA1422" s="0" t="n">
        <v>0</v>
      </c>
      <c r="BB1422" s="0" t="n">
        <v>0</v>
      </c>
      <c r="BC1422" s="0" t="n">
        <v>0</v>
      </c>
      <c r="BD1422" s="0" t="n">
        <v>0</v>
      </c>
      <c r="BE1422" s="0" t="n">
        <v>0</v>
      </c>
      <c r="BF1422" s="0" t="n">
        <v>0</v>
      </c>
      <c r="BG1422" s="0" t="n">
        <v>0</v>
      </c>
      <c r="BH1422" s="0" t="n">
        <v>0</v>
      </c>
      <c r="BI1422" s="0" t="n">
        <v>0</v>
      </c>
      <c r="BJ1422" s="0" t="n">
        <v>0</v>
      </c>
      <c r="BK1422" s="0" t="n">
        <v>0</v>
      </c>
      <c r="BM1422" s="6" t="n">
        <f aca="false">IFERROR(VALUE(F1422),"")</f>
        <v>154.53</v>
      </c>
      <c r="BN1422" s="6" t="str">
        <f aca="false">IF(R1422="-","",IFERROR(VALUE(LEFT(Q1422,LEN(Q1422)-2)),""))</f>
        <v/>
      </c>
      <c r="BO1422" s="6" t="str">
        <f aca="false">IF(R1422="-","",IFERROR(VALUE(LEFT(R1422,LEN(R1422)-5)),""))</f>
        <v/>
      </c>
      <c r="BP1422" s="6" t="str">
        <f aca="false">IF(R1422="-","",IFERROR(VALUE(F1422),""))</f>
        <v/>
      </c>
      <c r="BQ1422" s="4" t="n">
        <f aca="false">IF(R1422="-",1,0)</f>
        <v>1</v>
      </c>
    </row>
    <row r="1423" customFormat="false" ht="15" hidden="false" customHeight="false" outlineLevel="0" collapsed="false">
      <c r="A1423" s="0" t="s">
        <v>5370</v>
      </c>
      <c r="B1423" s="0" t="s">
        <v>5371</v>
      </c>
      <c r="C1423" s="0" t="s">
        <v>70</v>
      </c>
      <c r="D1423" s="0" t="s">
        <v>5372</v>
      </c>
      <c r="E1423" s="3" t="n">
        <v>46273</v>
      </c>
      <c r="F1423" s="4" t="s">
        <v>5373</v>
      </c>
      <c r="G1423" s="5" t="n">
        <v>0.103993055555556</v>
      </c>
      <c r="H1423" s="5" t="n">
        <v>0.102685185185185</v>
      </c>
      <c r="I1423" s="5" t="n">
        <v>0</v>
      </c>
      <c r="J1423" s="0" t="n">
        <v>1</v>
      </c>
      <c r="K1423" s="0" t="n">
        <v>0</v>
      </c>
      <c r="L1423" s="0" t="n">
        <v>0</v>
      </c>
      <c r="M1423" s="0" t="n">
        <v>0</v>
      </c>
      <c r="N1423" s="0" t="n">
        <v>0</v>
      </c>
      <c r="O1423" s="5" t="n">
        <v>0</v>
      </c>
      <c r="P1423" s="5" t="n">
        <v>0</v>
      </c>
      <c r="Q1423" s="4" t="s">
        <v>73</v>
      </c>
      <c r="R1423" s="4" t="s">
        <v>73</v>
      </c>
      <c r="S1423" s="5" t="n">
        <v>0</v>
      </c>
      <c r="T1423" s="5" t="n">
        <v>0</v>
      </c>
      <c r="U1423" s="5" t="n">
        <v>0</v>
      </c>
      <c r="V1423" s="5" t="n">
        <v>0</v>
      </c>
      <c r="W1423" s="5" t="n">
        <v>0</v>
      </c>
      <c r="X1423" s="5" t="n">
        <v>0</v>
      </c>
      <c r="Y1423" s="5" t="n">
        <v>0</v>
      </c>
      <c r="Z1423" s="0" t="n">
        <v>0</v>
      </c>
      <c r="AA1423" s="0" t="n">
        <v>0</v>
      </c>
      <c r="AB1423" s="0" t="n">
        <v>0</v>
      </c>
      <c r="AC1423" s="4" t="s">
        <v>5238</v>
      </c>
      <c r="AD1423" s="4" t="s">
        <v>5238</v>
      </c>
      <c r="AE1423" s="4" t="s">
        <v>5374</v>
      </c>
      <c r="AF1423" s="4" t="s">
        <v>5375</v>
      </c>
      <c r="AG1423" s="5" t="n">
        <v>0.0953935185185185</v>
      </c>
      <c r="AH1423" s="5" t="n">
        <v>0.0728240740740741</v>
      </c>
      <c r="AI1423" s="5" t="n">
        <v>0</v>
      </c>
      <c r="AJ1423" s="5" t="n">
        <v>0</v>
      </c>
      <c r="AK1423" s="5" t="n">
        <v>0</v>
      </c>
      <c r="AL1423" s="5" t="n">
        <v>0</v>
      </c>
      <c r="AM1423" s="4" t="s">
        <v>78</v>
      </c>
      <c r="AN1423" s="0" t="n">
        <v>0</v>
      </c>
      <c r="AO1423" s="0" t="n">
        <v>0</v>
      </c>
      <c r="AP1423" s="0" t="n">
        <v>0</v>
      </c>
      <c r="AQ1423" s="0" t="n">
        <v>0</v>
      </c>
      <c r="AR1423" s="0" t="n">
        <v>1</v>
      </c>
      <c r="AS1423" s="0" t="n">
        <v>0</v>
      </c>
      <c r="AT1423" s="0" t="n">
        <v>0</v>
      </c>
      <c r="AU1423" s="0" t="n">
        <v>0</v>
      </c>
      <c r="AV1423" s="0" t="n">
        <v>0</v>
      </c>
      <c r="AW1423" s="0" t="n">
        <v>0</v>
      </c>
      <c r="AX1423" s="0" t="n">
        <v>0</v>
      </c>
      <c r="AY1423" s="0" t="n">
        <v>0</v>
      </c>
      <c r="AZ1423" s="0" t="n">
        <v>0</v>
      </c>
      <c r="BA1423" s="0" t="n">
        <v>0</v>
      </c>
      <c r="BB1423" s="0" t="n">
        <v>0</v>
      </c>
      <c r="BC1423" s="0" t="n">
        <v>0</v>
      </c>
      <c r="BD1423" s="0" t="n">
        <v>0</v>
      </c>
      <c r="BE1423" s="0" t="n">
        <v>0</v>
      </c>
      <c r="BF1423" s="0" t="n">
        <v>0</v>
      </c>
      <c r="BG1423" s="0" t="n">
        <v>0</v>
      </c>
      <c r="BH1423" s="0" t="n">
        <v>0</v>
      </c>
      <c r="BI1423" s="0" t="n">
        <v>0</v>
      </c>
      <c r="BJ1423" s="0" t="n">
        <v>0</v>
      </c>
      <c r="BK1423" s="0" t="n">
        <v>0</v>
      </c>
      <c r="BM1423" s="6" t="n">
        <f aca="false">IFERROR(VALUE(F1423),"")</f>
        <v>47.45</v>
      </c>
      <c r="BN1423" s="6" t="str">
        <f aca="false">IF(R1423="-","",IFERROR(VALUE(LEFT(Q1423,LEN(Q1423)-2)),""))</f>
        <v/>
      </c>
      <c r="BO1423" s="6" t="str">
        <f aca="false">IF(R1423="-","",IFERROR(VALUE(LEFT(R1423,LEN(R1423)-5)),""))</f>
        <v/>
      </c>
      <c r="BP1423" s="6" t="str">
        <f aca="false">IF(R1423="-","",IFERROR(VALUE(F1423),""))</f>
        <v/>
      </c>
      <c r="BQ1423" s="4" t="n">
        <f aca="false">IF(R1423="-",1,0)</f>
        <v>1</v>
      </c>
    </row>
    <row r="1424" customFormat="false" ht="15" hidden="false" customHeight="false" outlineLevel="0" collapsed="false">
      <c r="A1424" s="0" t="s">
        <v>5370</v>
      </c>
      <c r="B1424" s="0" t="s">
        <v>5371</v>
      </c>
      <c r="C1424" s="0" t="s">
        <v>70</v>
      </c>
      <c r="D1424" s="0" t="s">
        <v>5372</v>
      </c>
      <c r="E1424" s="3" t="n">
        <v>46274</v>
      </c>
      <c r="F1424" s="4" t="s">
        <v>5376</v>
      </c>
      <c r="G1424" s="5" t="n">
        <v>0.0998611111111111</v>
      </c>
      <c r="H1424" s="5" t="n">
        <v>0.0998611111111111</v>
      </c>
      <c r="I1424" s="5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1</v>
      </c>
      <c r="O1424" s="5" t="n">
        <v>0</v>
      </c>
      <c r="P1424" s="5" t="n">
        <v>0</v>
      </c>
      <c r="Q1424" s="4" t="s">
        <v>73</v>
      </c>
      <c r="R1424" s="4" t="s">
        <v>73</v>
      </c>
      <c r="S1424" s="5" t="n">
        <v>0</v>
      </c>
      <c r="T1424" s="5" t="n">
        <v>0</v>
      </c>
      <c r="U1424" s="5" t="n">
        <v>0</v>
      </c>
      <c r="V1424" s="5" t="n">
        <v>0</v>
      </c>
      <c r="W1424" s="5" t="n">
        <v>0</v>
      </c>
      <c r="X1424" s="5" t="n">
        <v>0</v>
      </c>
      <c r="Y1424" s="5" t="n">
        <v>0</v>
      </c>
      <c r="Z1424" s="0" t="n">
        <v>0</v>
      </c>
      <c r="AA1424" s="0" t="n">
        <v>0</v>
      </c>
      <c r="AB1424" s="0" t="n">
        <v>0</v>
      </c>
      <c r="AC1424" s="4" t="s">
        <v>5238</v>
      </c>
      <c r="AD1424" s="4" t="s">
        <v>5238</v>
      </c>
      <c r="AE1424" s="4" t="s">
        <v>5375</v>
      </c>
      <c r="AF1424" s="4" t="s">
        <v>5377</v>
      </c>
      <c r="AG1424" s="5" t="n">
        <v>0.0918634259259259</v>
      </c>
      <c r="AH1424" s="5" t="n">
        <v>0.058125</v>
      </c>
      <c r="AI1424" s="5" t="n">
        <v>0</v>
      </c>
      <c r="AJ1424" s="5" t="n">
        <v>0</v>
      </c>
      <c r="AK1424" s="5" t="n">
        <v>0</v>
      </c>
      <c r="AL1424" s="5" t="n">
        <v>0</v>
      </c>
      <c r="AM1424" s="4" t="s">
        <v>78</v>
      </c>
      <c r="AN1424" s="0" t="n">
        <v>0</v>
      </c>
      <c r="AO1424" s="0" t="n">
        <v>0</v>
      </c>
      <c r="AP1424" s="0" t="n">
        <v>0</v>
      </c>
      <c r="AQ1424" s="0" t="n">
        <v>0</v>
      </c>
      <c r="AR1424" s="0" t="n">
        <v>0</v>
      </c>
      <c r="AS1424" s="0" t="n">
        <v>0</v>
      </c>
      <c r="AT1424" s="0" t="n">
        <v>0</v>
      </c>
      <c r="AU1424" s="0" t="n">
        <v>0</v>
      </c>
      <c r="AV1424" s="0" t="n">
        <v>0</v>
      </c>
      <c r="AW1424" s="0" t="n">
        <v>0</v>
      </c>
      <c r="AX1424" s="0" t="n">
        <v>0</v>
      </c>
      <c r="AY1424" s="0" t="n">
        <v>0</v>
      </c>
      <c r="AZ1424" s="0" t="n">
        <v>0</v>
      </c>
      <c r="BA1424" s="0" t="n">
        <v>0</v>
      </c>
      <c r="BB1424" s="0" t="n">
        <v>0</v>
      </c>
      <c r="BC1424" s="0" t="n">
        <v>0</v>
      </c>
      <c r="BD1424" s="0" t="n">
        <v>0</v>
      </c>
      <c r="BE1424" s="0" t="n">
        <v>0</v>
      </c>
      <c r="BF1424" s="0" t="n">
        <v>0</v>
      </c>
      <c r="BG1424" s="0" t="n">
        <v>0</v>
      </c>
      <c r="BH1424" s="0" t="n">
        <v>0</v>
      </c>
      <c r="BI1424" s="0" t="n">
        <v>0</v>
      </c>
      <c r="BJ1424" s="0" t="n">
        <v>0</v>
      </c>
      <c r="BK1424" s="0" t="n">
        <v>0</v>
      </c>
      <c r="BM1424" s="6" t="n">
        <f aca="false">IFERROR(VALUE(F1424),"")</f>
        <v>43.6</v>
      </c>
      <c r="BN1424" s="6" t="str">
        <f aca="false">IF(R1424="-","",IFERROR(VALUE(LEFT(Q1424,LEN(Q1424)-2)),""))</f>
        <v/>
      </c>
      <c r="BO1424" s="6" t="str">
        <f aca="false">IF(R1424="-","",IFERROR(VALUE(LEFT(R1424,LEN(R1424)-5)),""))</f>
        <v/>
      </c>
      <c r="BP1424" s="6" t="str">
        <f aca="false">IF(R1424="-","",IFERROR(VALUE(F1424),""))</f>
        <v/>
      </c>
      <c r="BQ1424" s="4" t="n">
        <f aca="false">IF(R1424="-",1,0)</f>
        <v>1</v>
      </c>
    </row>
    <row r="1425" customFormat="false" ht="15" hidden="false" customHeight="false" outlineLevel="0" collapsed="false">
      <c r="A1425" s="0" t="s">
        <v>5370</v>
      </c>
      <c r="B1425" s="0" t="s">
        <v>5371</v>
      </c>
      <c r="C1425" s="0" t="s">
        <v>70</v>
      </c>
      <c r="D1425" s="0" t="s">
        <v>5372</v>
      </c>
      <c r="E1425" s="3" t="n">
        <v>46275</v>
      </c>
      <c r="F1425" s="4" t="s">
        <v>5378</v>
      </c>
      <c r="G1425" s="5" t="n">
        <v>0.0798958333333333</v>
      </c>
      <c r="H1425" s="5" t="n">
        <v>0.0789236111111111</v>
      </c>
      <c r="I1425" s="5" t="n">
        <v>0</v>
      </c>
      <c r="J1425" s="0" t="n">
        <v>0</v>
      </c>
      <c r="K1425" s="0" t="n">
        <v>1</v>
      </c>
      <c r="L1425" s="0" t="n">
        <v>0</v>
      </c>
      <c r="M1425" s="0" t="n">
        <v>0</v>
      </c>
      <c r="N1425" s="0" t="n">
        <v>1</v>
      </c>
      <c r="O1425" s="5" t="n">
        <v>0</v>
      </c>
      <c r="P1425" s="5" t="n">
        <v>0</v>
      </c>
      <c r="Q1425" s="4" t="s">
        <v>73</v>
      </c>
      <c r="R1425" s="4" t="s">
        <v>73</v>
      </c>
      <c r="S1425" s="5" t="n">
        <v>0</v>
      </c>
      <c r="T1425" s="5" t="n">
        <v>0</v>
      </c>
      <c r="U1425" s="5" t="n">
        <v>0</v>
      </c>
      <c r="V1425" s="5" t="n">
        <v>0</v>
      </c>
      <c r="W1425" s="5" t="n">
        <v>0</v>
      </c>
      <c r="X1425" s="5" t="n">
        <v>0</v>
      </c>
      <c r="Y1425" s="5" t="n">
        <v>0</v>
      </c>
      <c r="Z1425" s="0" t="n">
        <v>0</v>
      </c>
      <c r="AA1425" s="0" t="n">
        <v>0</v>
      </c>
      <c r="AB1425" s="0" t="n">
        <v>0</v>
      </c>
      <c r="AC1425" s="4" t="s">
        <v>5238</v>
      </c>
      <c r="AD1425" s="4" t="s">
        <v>5238</v>
      </c>
      <c r="AE1425" s="4" t="s">
        <v>5377</v>
      </c>
      <c r="AF1425" s="4" t="s">
        <v>5379</v>
      </c>
      <c r="AG1425" s="5" t="n">
        <v>0.07125</v>
      </c>
      <c r="AH1425" s="5" t="n">
        <v>0.0328587962962963</v>
      </c>
      <c r="AI1425" s="5" t="n">
        <v>0</v>
      </c>
      <c r="AJ1425" s="5" t="n">
        <v>0</v>
      </c>
      <c r="AK1425" s="5" t="n">
        <v>0</v>
      </c>
      <c r="AL1425" s="5" t="n">
        <v>0</v>
      </c>
      <c r="AM1425" s="4" t="s">
        <v>78</v>
      </c>
      <c r="AN1425" s="0" t="n">
        <v>0</v>
      </c>
      <c r="AO1425" s="0" t="n">
        <v>0</v>
      </c>
      <c r="AP1425" s="0" t="n">
        <v>0</v>
      </c>
      <c r="AQ1425" s="0" t="n">
        <v>0</v>
      </c>
      <c r="AR1425" s="0" t="n">
        <v>2</v>
      </c>
      <c r="AS1425" s="0" t="n">
        <v>0</v>
      </c>
      <c r="AT1425" s="0" t="n">
        <v>0</v>
      </c>
      <c r="AU1425" s="0" t="n">
        <v>0</v>
      </c>
      <c r="AV1425" s="0" t="n">
        <v>0</v>
      </c>
      <c r="AW1425" s="0" t="n">
        <v>0</v>
      </c>
      <c r="AX1425" s="0" t="n">
        <v>0</v>
      </c>
      <c r="AY1425" s="0" t="n">
        <v>0</v>
      </c>
      <c r="AZ1425" s="0" t="n">
        <v>0</v>
      </c>
      <c r="BA1425" s="0" t="n">
        <v>0</v>
      </c>
      <c r="BB1425" s="0" t="n">
        <v>0</v>
      </c>
      <c r="BC1425" s="0" t="n">
        <v>0</v>
      </c>
      <c r="BD1425" s="0" t="n">
        <v>0</v>
      </c>
      <c r="BE1425" s="0" t="n">
        <v>0</v>
      </c>
      <c r="BF1425" s="0" t="n">
        <v>0</v>
      </c>
      <c r="BG1425" s="0" t="n">
        <v>0</v>
      </c>
      <c r="BH1425" s="0" t="n">
        <v>0</v>
      </c>
      <c r="BI1425" s="0" t="n">
        <v>0</v>
      </c>
      <c r="BJ1425" s="0" t="n">
        <v>0</v>
      </c>
      <c r="BK1425" s="0" t="n">
        <v>0</v>
      </c>
      <c r="BM1425" s="6" t="n">
        <f aca="false">IFERROR(VALUE(F1425),"")</f>
        <v>34.98</v>
      </c>
      <c r="BN1425" s="6" t="str">
        <f aca="false">IF(R1425="-","",IFERROR(VALUE(LEFT(Q1425,LEN(Q1425)-2)),""))</f>
        <v/>
      </c>
      <c r="BO1425" s="6" t="str">
        <f aca="false">IF(R1425="-","",IFERROR(VALUE(LEFT(R1425,LEN(R1425)-5)),""))</f>
        <v/>
      </c>
      <c r="BP1425" s="6" t="str">
        <f aca="false">IF(R1425="-","",IFERROR(VALUE(F1425),""))</f>
        <v/>
      </c>
      <c r="BQ1425" s="4" t="n">
        <f aca="false">IF(R1425="-",1,0)</f>
        <v>1</v>
      </c>
    </row>
    <row r="1426" customFormat="false" ht="15" hidden="false" customHeight="false" outlineLevel="0" collapsed="false">
      <c r="A1426" s="0" t="s">
        <v>5370</v>
      </c>
      <c r="B1426" s="0" t="s">
        <v>5371</v>
      </c>
      <c r="C1426" s="0" t="s">
        <v>70</v>
      </c>
      <c r="D1426" s="0" t="s">
        <v>5372</v>
      </c>
      <c r="E1426" s="3" t="n">
        <v>46276</v>
      </c>
      <c r="F1426" s="4" t="s">
        <v>5380</v>
      </c>
      <c r="G1426" s="5" t="n">
        <v>0.146956018518519</v>
      </c>
      <c r="H1426" s="5" t="n">
        <v>0.143414351851852</v>
      </c>
      <c r="I1426" s="5" t="n">
        <v>0</v>
      </c>
      <c r="J1426" s="0" t="n">
        <v>0</v>
      </c>
      <c r="K1426" s="0" t="n">
        <v>1</v>
      </c>
      <c r="L1426" s="0" t="n">
        <v>0</v>
      </c>
      <c r="M1426" s="0" t="n">
        <v>0</v>
      </c>
      <c r="N1426" s="0" t="n">
        <v>1</v>
      </c>
      <c r="O1426" s="5" t="n">
        <v>0</v>
      </c>
      <c r="P1426" s="5" t="n">
        <v>0</v>
      </c>
      <c r="Q1426" s="4" t="s">
        <v>73</v>
      </c>
      <c r="R1426" s="4" t="s">
        <v>73</v>
      </c>
      <c r="S1426" s="5" t="n">
        <v>0</v>
      </c>
      <c r="T1426" s="5" t="n">
        <v>0</v>
      </c>
      <c r="U1426" s="5" t="n">
        <v>0</v>
      </c>
      <c r="V1426" s="5" t="n">
        <v>0</v>
      </c>
      <c r="W1426" s="5" t="n">
        <v>0</v>
      </c>
      <c r="X1426" s="5" t="n">
        <v>0</v>
      </c>
      <c r="Y1426" s="5" t="n">
        <v>0</v>
      </c>
      <c r="Z1426" s="0" t="n">
        <v>0</v>
      </c>
      <c r="AA1426" s="0" t="n">
        <v>0</v>
      </c>
      <c r="AB1426" s="0" t="n">
        <v>0</v>
      </c>
      <c r="AC1426" s="4" t="s">
        <v>5238</v>
      </c>
      <c r="AD1426" s="4" t="s">
        <v>5238</v>
      </c>
      <c r="AE1426" s="4" t="s">
        <v>5379</v>
      </c>
      <c r="AF1426" s="4" t="s">
        <v>5381</v>
      </c>
      <c r="AG1426" s="5" t="n">
        <v>0.122141203703704</v>
      </c>
      <c r="AH1426" s="5" t="n">
        <v>0.0607986111111111</v>
      </c>
      <c r="AI1426" s="5" t="n">
        <v>0</v>
      </c>
      <c r="AJ1426" s="5" t="n">
        <v>0</v>
      </c>
      <c r="AK1426" s="5" t="n">
        <v>0</v>
      </c>
      <c r="AL1426" s="5" t="n">
        <v>0</v>
      </c>
      <c r="AM1426" s="4" t="s">
        <v>78</v>
      </c>
      <c r="AN1426" s="0" t="n">
        <v>0</v>
      </c>
      <c r="AO1426" s="0" t="n">
        <v>0</v>
      </c>
      <c r="AP1426" s="0" t="n">
        <v>0</v>
      </c>
      <c r="AQ1426" s="0" t="n">
        <v>0</v>
      </c>
      <c r="AR1426" s="0" t="n">
        <v>0</v>
      </c>
      <c r="AS1426" s="0" t="n">
        <v>0</v>
      </c>
      <c r="AT1426" s="0" t="n">
        <v>0</v>
      </c>
      <c r="AU1426" s="0" t="n">
        <v>0</v>
      </c>
      <c r="AV1426" s="0" t="n">
        <v>0</v>
      </c>
      <c r="AW1426" s="0" t="n">
        <v>0</v>
      </c>
      <c r="AX1426" s="0" t="n">
        <v>0</v>
      </c>
      <c r="AY1426" s="0" t="n">
        <v>0</v>
      </c>
      <c r="AZ1426" s="0" t="n">
        <v>0</v>
      </c>
      <c r="BA1426" s="0" t="n">
        <v>0</v>
      </c>
      <c r="BB1426" s="0" t="n">
        <v>0</v>
      </c>
      <c r="BC1426" s="0" t="n">
        <v>0</v>
      </c>
      <c r="BD1426" s="0" t="n">
        <v>0</v>
      </c>
      <c r="BE1426" s="0" t="n">
        <v>0</v>
      </c>
      <c r="BF1426" s="0" t="n">
        <v>0</v>
      </c>
      <c r="BG1426" s="0" t="n">
        <v>0</v>
      </c>
      <c r="BH1426" s="0" t="n">
        <v>0</v>
      </c>
      <c r="BI1426" s="0" t="n">
        <v>0</v>
      </c>
      <c r="BJ1426" s="0" t="n">
        <v>0</v>
      </c>
      <c r="BK1426" s="0" t="n">
        <v>0</v>
      </c>
      <c r="BM1426" s="6" t="n">
        <f aca="false">IFERROR(VALUE(F1426),"")</f>
        <v>90.46</v>
      </c>
      <c r="BN1426" s="6" t="str">
        <f aca="false">IF(R1426="-","",IFERROR(VALUE(LEFT(Q1426,LEN(Q1426)-2)),""))</f>
        <v/>
      </c>
      <c r="BO1426" s="6" t="str">
        <f aca="false">IF(R1426="-","",IFERROR(VALUE(LEFT(R1426,LEN(R1426)-5)),""))</f>
        <v/>
      </c>
      <c r="BP1426" s="6" t="str">
        <f aca="false">IF(R1426="-","",IFERROR(VALUE(F1426),""))</f>
        <v/>
      </c>
      <c r="BQ1426" s="4" t="n">
        <f aca="false">IF(R1426="-",1,0)</f>
        <v>1</v>
      </c>
    </row>
    <row r="1427" customFormat="false" ht="15" hidden="false" customHeight="false" outlineLevel="0" collapsed="false">
      <c r="A1427" s="0" t="s">
        <v>5370</v>
      </c>
      <c r="B1427" s="0" t="s">
        <v>5371</v>
      </c>
      <c r="C1427" s="0" t="s">
        <v>70</v>
      </c>
      <c r="E1427" s="3" t="n">
        <v>46277</v>
      </c>
      <c r="F1427" s="4" t="s">
        <v>95</v>
      </c>
      <c r="G1427" s="5" t="n">
        <v>0</v>
      </c>
      <c r="H1427" s="5" t="n">
        <v>0</v>
      </c>
      <c r="I1427" s="5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5" t="n">
        <v>0</v>
      </c>
      <c r="P1427" s="5" t="n">
        <v>0</v>
      </c>
      <c r="Q1427" s="4" t="s">
        <v>73</v>
      </c>
      <c r="R1427" s="4" t="s">
        <v>73</v>
      </c>
      <c r="S1427" s="5" t="n">
        <v>0</v>
      </c>
      <c r="T1427" s="5" t="n">
        <v>0</v>
      </c>
      <c r="U1427" s="5" t="n">
        <v>0</v>
      </c>
      <c r="V1427" s="5" t="n">
        <v>0</v>
      </c>
      <c r="W1427" s="5" t="n">
        <v>0</v>
      </c>
      <c r="X1427" s="5" t="n">
        <v>0</v>
      </c>
      <c r="Y1427" s="5" t="n">
        <v>0</v>
      </c>
      <c r="Z1427" s="0" t="n">
        <v>0</v>
      </c>
      <c r="AA1427" s="0" t="n">
        <v>0</v>
      </c>
      <c r="AB1427" s="0" t="n">
        <v>0</v>
      </c>
      <c r="AE1427" s="4" t="s">
        <v>5381</v>
      </c>
      <c r="AF1427" s="4" t="s">
        <v>5381</v>
      </c>
      <c r="AG1427" s="5" t="n">
        <v>0</v>
      </c>
      <c r="AH1427" s="5" t="n">
        <v>0</v>
      </c>
      <c r="AI1427" s="5" t="n">
        <v>0</v>
      </c>
      <c r="AJ1427" s="5" t="n">
        <v>0</v>
      </c>
      <c r="AK1427" s="5" t="n">
        <v>0</v>
      </c>
      <c r="AL1427" s="5" t="n">
        <v>0</v>
      </c>
      <c r="AM1427" s="4" t="s">
        <v>78</v>
      </c>
      <c r="AN1427" s="0" t="n">
        <v>0</v>
      </c>
      <c r="AO1427" s="0" t="n">
        <v>0</v>
      </c>
      <c r="AP1427" s="0" t="n">
        <v>0</v>
      </c>
      <c r="AQ1427" s="0" t="n">
        <v>0</v>
      </c>
      <c r="AR1427" s="0" t="n">
        <v>0</v>
      </c>
      <c r="AS1427" s="0" t="n">
        <v>0</v>
      </c>
      <c r="AT1427" s="0" t="n">
        <v>0</v>
      </c>
      <c r="AU1427" s="0" t="n">
        <v>0</v>
      </c>
      <c r="AV1427" s="0" t="n">
        <v>0</v>
      </c>
      <c r="AW1427" s="0" t="n">
        <v>0</v>
      </c>
      <c r="AX1427" s="0" t="n">
        <v>0</v>
      </c>
      <c r="AY1427" s="0" t="n">
        <v>0</v>
      </c>
      <c r="AZ1427" s="0" t="n">
        <v>0</v>
      </c>
      <c r="BA1427" s="0" t="n">
        <v>0</v>
      </c>
      <c r="BB1427" s="0" t="n">
        <v>0</v>
      </c>
      <c r="BC1427" s="0" t="n">
        <v>0</v>
      </c>
      <c r="BD1427" s="0" t="n">
        <v>0</v>
      </c>
      <c r="BE1427" s="0" t="n">
        <v>0</v>
      </c>
      <c r="BF1427" s="0" t="n">
        <v>0</v>
      </c>
      <c r="BG1427" s="0" t="n">
        <v>0</v>
      </c>
      <c r="BH1427" s="0" t="n">
        <v>0</v>
      </c>
      <c r="BI1427" s="0" t="n">
        <v>0</v>
      </c>
      <c r="BJ1427" s="0" t="n">
        <v>0</v>
      </c>
      <c r="BK1427" s="0" t="n">
        <v>0</v>
      </c>
      <c r="BM1427" s="6" t="n">
        <f aca="false">IFERROR(VALUE(F1427),"")</f>
        <v>0</v>
      </c>
      <c r="BN1427" s="6" t="str">
        <f aca="false">IF(R1427="-","",IFERROR(VALUE(LEFT(Q1427,LEN(Q1427)-2)),""))</f>
        <v/>
      </c>
      <c r="BO1427" s="6" t="str">
        <f aca="false">IF(R1427="-","",IFERROR(VALUE(LEFT(R1427,LEN(R1427)-5)),""))</f>
        <v/>
      </c>
      <c r="BP1427" s="6" t="str">
        <f aca="false">IF(R1427="-","",IFERROR(VALUE(F1427),""))</f>
        <v/>
      </c>
      <c r="BQ1427" s="4" t="n">
        <f aca="false">IF(R1427="-",1,0)</f>
        <v>1</v>
      </c>
    </row>
    <row r="1428" customFormat="false" ht="15" hidden="false" customHeight="false" outlineLevel="0" collapsed="false">
      <c r="A1428" s="0" t="s">
        <v>5370</v>
      </c>
      <c r="B1428" s="0" t="s">
        <v>5371</v>
      </c>
      <c r="C1428" s="0" t="s">
        <v>70</v>
      </c>
      <c r="E1428" s="3" t="n">
        <v>46278</v>
      </c>
      <c r="F1428" s="4" t="s">
        <v>95</v>
      </c>
      <c r="G1428" s="5" t="n">
        <v>0</v>
      </c>
      <c r="H1428" s="5" t="n">
        <v>0</v>
      </c>
      <c r="I1428" s="5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5" t="n">
        <v>0</v>
      </c>
      <c r="P1428" s="5" t="n">
        <v>0</v>
      </c>
      <c r="Q1428" s="4" t="s">
        <v>73</v>
      </c>
      <c r="R1428" s="4" t="s">
        <v>73</v>
      </c>
      <c r="S1428" s="5" t="n">
        <v>0</v>
      </c>
      <c r="T1428" s="5" t="n">
        <v>0</v>
      </c>
      <c r="U1428" s="5" t="n">
        <v>0</v>
      </c>
      <c r="V1428" s="5" t="n">
        <v>0</v>
      </c>
      <c r="W1428" s="5" t="n">
        <v>0</v>
      </c>
      <c r="X1428" s="5" t="n">
        <v>0</v>
      </c>
      <c r="Y1428" s="5" t="n">
        <v>0</v>
      </c>
      <c r="Z1428" s="0" t="n">
        <v>0</v>
      </c>
      <c r="AA1428" s="0" t="n">
        <v>0</v>
      </c>
      <c r="AB1428" s="0" t="n">
        <v>0</v>
      </c>
      <c r="AE1428" s="4" t="s">
        <v>5381</v>
      </c>
      <c r="AF1428" s="4" t="s">
        <v>5381</v>
      </c>
      <c r="AG1428" s="5" t="n">
        <v>0</v>
      </c>
      <c r="AH1428" s="5" t="n">
        <v>0</v>
      </c>
      <c r="AI1428" s="5" t="n">
        <v>0</v>
      </c>
      <c r="AJ1428" s="5" t="n">
        <v>0</v>
      </c>
      <c r="AK1428" s="5" t="n">
        <v>0</v>
      </c>
      <c r="AL1428" s="5" t="n">
        <v>0</v>
      </c>
      <c r="AM1428" s="4" t="s">
        <v>78</v>
      </c>
      <c r="AN1428" s="0" t="n">
        <v>0</v>
      </c>
      <c r="AO1428" s="0" t="n">
        <v>0</v>
      </c>
      <c r="AP1428" s="0" t="n">
        <v>0</v>
      </c>
      <c r="AQ1428" s="0" t="n">
        <v>0</v>
      </c>
      <c r="AR1428" s="0" t="n">
        <v>0</v>
      </c>
      <c r="AS1428" s="0" t="n">
        <v>0</v>
      </c>
      <c r="AT1428" s="0" t="n">
        <v>0</v>
      </c>
      <c r="AU1428" s="0" t="n">
        <v>0</v>
      </c>
      <c r="AV1428" s="0" t="n">
        <v>0</v>
      </c>
      <c r="AW1428" s="0" t="n">
        <v>0</v>
      </c>
      <c r="AX1428" s="0" t="n">
        <v>0</v>
      </c>
      <c r="AY1428" s="0" t="n">
        <v>0</v>
      </c>
      <c r="AZ1428" s="0" t="n">
        <v>0</v>
      </c>
      <c r="BA1428" s="0" t="n">
        <v>0</v>
      </c>
      <c r="BB1428" s="0" t="n">
        <v>0</v>
      </c>
      <c r="BC1428" s="0" t="n">
        <v>0</v>
      </c>
      <c r="BD1428" s="0" t="n">
        <v>0</v>
      </c>
      <c r="BE1428" s="0" t="n">
        <v>0</v>
      </c>
      <c r="BF1428" s="0" t="n">
        <v>0</v>
      </c>
      <c r="BG1428" s="0" t="n">
        <v>0</v>
      </c>
      <c r="BH1428" s="0" t="n">
        <v>0</v>
      </c>
      <c r="BI1428" s="0" t="n">
        <v>0</v>
      </c>
      <c r="BJ1428" s="0" t="n">
        <v>0</v>
      </c>
      <c r="BK1428" s="0" t="n">
        <v>0</v>
      </c>
      <c r="BM1428" s="6" t="n">
        <f aca="false">IFERROR(VALUE(F1428),"")</f>
        <v>0</v>
      </c>
      <c r="BN1428" s="6" t="str">
        <f aca="false">IF(R1428="-","",IFERROR(VALUE(LEFT(Q1428,LEN(Q1428)-2)),""))</f>
        <v/>
      </c>
      <c r="BO1428" s="6" t="str">
        <f aca="false">IF(R1428="-","",IFERROR(VALUE(LEFT(R1428,LEN(R1428)-5)),""))</f>
        <v/>
      </c>
      <c r="BP1428" s="6" t="str">
        <f aca="false">IF(R1428="-","",IFERROR(VALUE(F1428),""))</f>
        <v/>
      </c>
      <c r="BQ1428" s="4" t="n">
        <f aca="false">IF(R1428="-",1,0)</f>
        <v>1</v>
      </c>
    </row>
    <row r="1429" customFormat="false" ht="15" hidden="false" customHeight="false" outlineLevel="0" collapsed="false">
      <c r="A1429" s="0" t="s">
        <v>5370</v>
      </c>
      <c r="B1429" s="0" t="s">
        <v>5371</v>
      </c>
      <c r="C1429" s="0" t="s">
        <v>70</v>
      </c>
      <c r="D1429" s="0" t="s">
        <v>5372</v>
      </c>
      <c r="E1429" s="3" t="n">
        <v>46279</v>
      </c>
      <c r="F1429" s="4" t="s">
        <v>5382</v>
      </c>
      <c r="G1429" s="5" t="n">
        <v>0.10412037037037</v>
      </c>
      <c r="H1429" s="5" t="n">
        <v>0.102696759259259</v>
      </c>
      <c r="I1429" s="5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5" t="n">
        <v>0</v>
      </c>
      <c r="P1429" s="5" t="n">
        <v>0</v>
      </c>
      <c r="Q1429" s="4" t="s">
        <v>73</v>
      </c>
      <c r="R1429" s="4" t="s">
        <v>73</v>
      </c>
      <c r="S1429" s="5" t="n">
        <v>0</v>
      </c>
      <c r="T1429" s="5" t="n">
        <v>0</v>
      </c>
      <c r="U1429" s="5" t="n">
        <v>0</v>
      </c>
      <c r="V1429" s="5" t="n">
        <v>0</v>
      </c>
      <c r="W1429" s="5" t="n">
        <v>0</v>
      </c>
      <c r="X1429" s="5" t="n">
        <v>0</v>
      </c>
      <c r="Y1429" s="5" t="n">
        <v>0</v>
      </c>
      <c r="Z1429" s="0" t="n">
        <v>0</v>
      </c>
      <c r="AA1429" s="0" t="n">
        <v>0</v>
      </c>
      <c r="AB1429" s="0" t="n">
        <v>0</v>
      </c>
      <c r="AC1429" s="4" t="s">
        <v>5238</v>
      </c>
      <c r="AD1429" s="4" t="s">
        <v>5238</v>
      </c>
      <c r="AE1429" s="4" t="s">
        <v>5381</v>
      </c>
      <c r="AF1429" s="4" t="s">
        <v>5383</v>
      </c>
      <c r="AG1429" s="5" t="n">
        <v>0.0866550925925926</v>
      </c>
      <c r="AH1429" s="5" t="n">
        <v>0.083599537037037</v>
      </c>
      <c r="AI1429" s="5" t="n">
        <v>0</v>
      </c>
      <c r="AJ1429" s="5" t="n">
        <v>0</v>
      </c>
      <c r="AK1429" s="5" t="n">
        <v>0</v>
      </c>
      <c r="AL1429" s="5" t="n">
        <v>0</v>
      </c>
      <c r="AM1429" s="4" t="s">
        <v>78</v>
      </c>
      <c r="AN1429" s="0" t="n">
        <v>0</v>
      </c>
      <c r="AO1429" s="0" t="n">
        <v>0</v>
      </c>
      <c r="AP1429" s="0" t="n">
        <v>0</v>
      </c>
      <c r="AQ1429" s="0" t="n">
        <v>0</v>
      </c>
      <c r="AR1429" s="0" t="n">
        <v>2</v>
      </c>
      <c r="AS1429" s="0" t="n">
        <v>0</v>
      </c>
      <c r="AT1429" s="0" t="n">
        <v>0</v>
      </c>
      <c r="AU1429" s="0" t="n">
        <v>0</v>
      </c>
      <c r="AV1429" s="0" t="n">
        <v>0</v>
      </c>
      <c r="AW1429" s="0" t="n">
        <v>0</v>
      </c>
      <c r="AX1429" s="0" t="n">
        <v>0</v>
      </c>
      <c r="AY1429" s="0" t="n">
        <v>0</v>
      </c>
      <c r="AZ1429" s="0" t="n">
        <v>0</v>
      </c>
      <c r="BA1429" s="0" t="n">
        <v>0</v>
      </c>
      <c r="BB1429" s="0" t="n">
        <v>0</v>
      </c>
      <c r="BC1429" s="0" t="n">
        <v>0</v>
      </c>
      <c r="BD1429" s="0" t="n">
        <v>0</v>
      </c>
      <c r="BE1429" s="0" t="n">
        <v>0</v>
      </c>
      <c r="BF1429" s="0" t="n">
        <v>0</v>
      </c>
      <c r="BG1429" s="0" t="n">
        <v>0</v>
      </c>
      <c r="BH1429" s="0" t="n">
        <v>0</v>
      </c>
      <c r="BI1429" s="0" t="n">
        <v>0</v>
      </c>
      <c r="BJ1429" s="0" t="n">
        <v>0</v>
      </c>
      <c r="BK1429" s="0" t="n">
        <v>0</v>
      </c>
      <c r="BM1429" s="6" t="n">
        <f aca="false">IFERROR(VALUE(F1429),"")</f>
        <v>39.31</v>
      </c>
      <c r="BN1429" s="6" t="str">
        <f aca="false">IF(R1429="-","",IFERROR(VALUE(LEFT(Q1429,LEN(Q1429)-2)),""))</f>
        <v/>
      </c>
      <c r="BO1429" s="6" t="str">
        <f aca="false">IF(R1429="-","",IFERROR(VALUE(LEFT(R1429,LEN(R1429)-5)),""))</f>
        <v/>
      </c>
      <c r="BP1429" s="6" t="str">
        <f aca="false">IF(R1429="-","",IFERROR(VALUE(F1429),""))</f>
        <v/>
      </c>
      <c r="BQ1429" s="4" t="n">
        <f aca="false">IF(R1429="-",1,0)</f>
        <v>1</v>
      </c>
    </row>
    <row r="1430" customFormat="false" ht="15" hidden="false" customHeight="false" outlineLevel="0" collapsed="false">
      <c r="A1430" s="0" t="s">
        <v>5384</v>
      </c>
      <c r="B1430" s="0" t="s">
        <v>5385</v>
      </c>
      <c r="C1430" s="0" t="s">
        <v>70</v>
      </c>
      <c r="D1430" s="0" t="s">
        <v>5386</v>
      </c>
      <c r="E1430" s="3" t="n">
        <v>46273</v>
      </c>
      <c r="F1430" s="4" t="s">
        <v>5387</v>
      </c>
      <c r="G1430" s="5" t="n">
        <v>0.248194444444444</v>
      </c>
      <c r="H1430" s="5" t="n">
        <v>0.0881134259259259</v>
      </c>
      <c r="I1430" s="5" t="n">
        <v>0.00162037037037037</v>
      </c>
      <c r="J1430" s="0" t="n">
        <v>3</v>
      </c>
      <c r="K1430" s="0" t="n">
        <v>12</v>
      </c>
      <c r="L1430" s="0" t="n">
        <v>0</v>
      </c>
      <c r="M1430" s="0" t="n">
        <v>0</v>
      </c>
      <c r="N1430" s="0" t="n">
        <v>2</v>
      </c>
      <c r="O1430" s="5" t="n">
        <v>0</v>
      </c>
      <c r="P1430" s="5" t="n">
        <v>0</v>
      </c>
      <c r="Q1430" s="4" t="s">
        <v>73</v>
      </c>
      <c r="R1430" s="4" t="s">
        <v>73</v>
      </c>
      <c r="S1430" s="5" t="n">
        <v>0</v>
      </c>
      <c r="T1430" s="5" t="n">
        <v>0</v>
      </c>
      <c r="U1430" s="5" t="n">
        <v>0</v>
      </c>
      <c r="V1430" s="5" t="n">
        <v>0</v>
      </c>
      <c r="W1430" s="5" t="n">
        <v>0</v>
      </c>
      <c r="X1430" s="5" t="n">
        <v>0</v>
      </c>
      <c r="Y1430" s="5" t="n">
        <v>0</v>
      </c>
      <c r="Z1430" s="0" t="n">
        <v>0</v>
      </c>
      <c r="AA1430" s="0" t="n">
        <v>0</v>
      </c>
      <c r="AB1430" s="0" t="n">
        <v>0</v>
      </c>
      <c r="AC1430" s="4" t="s">
        <v>158</v>
      </c>
      <c r="AD1430" s="4" t="s">
        <v>864</v>
      </c>
      <c r="AE1430" s="4" t="s">
        <v>5388</v>
      </c>
      <c r="AF1430" s="4" t="s">
        <v>5389</v>
      </c>
      <c r="AG1430" s="5" t="n">
        <v>0.23</v>
      </c>
      <c r="AH1430" s="5" t="n">
        <v>0.119849537037037</v>
      </c>
      <c r="AI1430" s="5" t="n">
        <v>0</v>
      </c>
      <c r="AJ1430" s="5" t="n">
        <v>0</v>
      </c>
      <c r="AK1430" s="5" t="n">
        <v>0</v>
      </c>
      <c r="AL1430" s="5" t="n">
        <v>0</v>
      </c>
      <c r="AM1430" s="4" t="s">
        <v>78</v>
      </c>
      <c r="AN1430" s="0" t="n">
        <v>0</v>
      </c>
      <c r="AO1430" s="0" t="n">
        <v>7</v>
      </c>
      <c r="AP1430" s="0" t="n">
        <v>0</v>
      </c>
      <c r="AQ1430" s="0" t="n">
        <v>0</v>
      </c>
      <c r="AR1430" s="0" t="n">
        <v>0</v>
      </c>
      <c r="AS1430" s="0" t="n">
        <v>0</v>
      </c>
      <c r="AT1430" s="0" t="n">
        <v>0</v>
      </c>
      <c r="AU1430" s="0" t="n">
        <v>0</v>
      </c>
      <c r="AV1430" s="0" t="n">
        <v>0</v>
      </c>
      <c r="AW1430" s="0" t="n">
        <v>0</v>
      </c>
      <c r="AX1430" s="0" t="n">
        <v>0</v>
      </c>
      <c r="AY1430" s="0" t="n">
        <v>0</v>
      </c>
      <c r="AZ1430" s="0" t="n">
        <v>0</v>
      </c>
      <c r="BA1430" s="0" t="n">
        <v>0</v>
      </c>
      <c r="BB1430" s="0" t="n">
        <v>0</v>
      </c>
      <c r="BC1430" s="0" t="n">
        <v>0</v>
      </c>
      <c r="BD1430" s="0" t="n">
        <v>0</v>
      </c>
      <c r="BE1430" s="0" t="n">
        <v>0</v>
      </c>
      <c r="BF1430" s="0" t="n">
        <v>0</v>
      </c>
      <c r="BG1430" s="0" t="n">
        <v>0</v>
      </c>
      <c r="BH1430" s="0" t="n">
        <v>0</v>
      </c>
      <c r="BI1430" s="0" t="n">
        <v>0</v>
      </c>
      <c r="BJ1430" s="0" t="n">
        <v>0</v>
      </c>
      <c r="BK1430" s="0" t="n">
        <v>0</v>
      </c>
      <c r="BM1430" s="6" t="n">
        <f aca="false">IFERROR(VALUE(F1430),"")</f>
        <v>198.94</v>
      </c>
      <c r="BN1430" s="6" t="str">
        <f aca="false">IF(R1430="-","",IFERROR(VALUE(LEFT(Q1430,LEN(Q1430)-2)),""))</f>
        <v/>
      </c>
      <c r="BO1430" s="6" t="str">
        <f aca="false">IF(R1430="-","",IFERROR(VALUE(LEFT(R1430,LEN(R1430)-5)),""))</f>
        <v/>
      </c>
      <c r="BP1430" s="6" t="str">
        <f aca="false">IF(R1430="-","",IFERROR(VALUE(F1430),""))</f>
        <v/>
      </c>
      <c r="BQ1430" s="4" t="n">
        <f aca="false">IF(R1430="-",1,0)</f>
        <v>1</v>
      </c>
    </row>
    <row r="1431" customFormat="false" ht="15" hidden="false" customHeight="false" outlineLevel="0" collapsed="false">
      <c r="A1431" s="0" t="s">
        <v>5384</v>
      </c>
      <c r="B1431" s="0" t="s">
        <v>5385</v>
      </c>
      <c r="C1431" s="0" t="s">
        <v>70</v>
      </c>
      <c r="D1431" s="0" t="s">
        <v>5386</v>
      </c>
      <c r="E1431" s="3" t="n">
        <v>46274</v>
      </c>
      <c r="F1431" s="4" t="s">
        <v>5390</v>
      </c>
      <c r="G1431" s="5" t="n">
        <v>0.289328703703704</v>
      </c>
      <c r="H1431" s="5" t="n">
        <v>0.0992708333333333</v>
      </c>
      <c r="I1431" s="5" t="n">
        <v>0.00210648148148148</v>
      </c>
      <c r="J1431" s="0" t="n">
        <v>1</v>
      </c>
      <c r="K1431" s="0" t="n">
        <v>7</v>
      </c>
      <c r="L1431" s="0" t="n">
        <v>0</v>
      </c>
      <c r="M1431" s="0" t="n">
        <v>0</v>
      </c>
      <c r="N1431" s="0" t="n">
        <v>3</v>
      </c>
      <c r="O1431" s="5" t="n">
        <v>0</v>
      </c>
      <c r="P1431" s="5" t="n">
        <v>0</v>
      </c>
      <c r="Q1431" s="4" t="s">
        <v>73</v>
      </c>
      <c r="R1431" s="4" t="s">
        <v>73</v>
      </c>
      <c r="S1431" s="5" t="n">
        <v>0</v>
      </c>
      <c r="T1431" s="5" t="n">
        <v>0</v>
      </c>
      <c r="U1431" s="5" t="n">
        <v>0</v>
      </c>
      <c r="V1431" s="5" t="n">
        <v>0</v>
      </c>
      <c r="W1431" s="5" t="n">
        <v>0</v>
      </c>
      <c r="X1431" s="5" t="n">
        <v>0</v>
      </c>
      <c r="Y1431" s="5" t="n">
        <v>0</v>
      </c>
      <c r="Z1431" s="0" t="n">
        <v>0</v>
      </c>
      <c r="AA1431" s="0" t="n">
        <v>0</v>
      </c>
      <c r="AB1431" s="0" t="n">
        <v>0</v>
      </c>
      <c r="AC1431" s="4" t="s">
        <v>864</v>
      </c>
      <c r="AD1431" s="4" t="s">
        <v>158</v>
      </c>
      <c r="AE1431" s="4" t="s">
        <v>5389</v>
      </c>
      <c r="AF1431" s="4" t="s">
        <v>5391</v>
      </c>
      <c r="AG1431" s="5" t="n">
        <v>0.243993055555556</v>
      </c>
      <c r="AH1431" s="5" t="n">
        <v>0.141805555555556</v>
      </c>
      <c r="AI1431" s="5" t="n">
        <v>0</v>
      </c>
      <c r="AJ1431" s="5" t="n">
        <v>0</v>
      </c>
      <c r="AK1431" s="5" t="n">
        <v>0</v>
      </c>
      <c r="AL1431" s="5" t="n">
        <v>0</v>
      </c>
      <c r="AM1431" s="4" t="s">
        <v>78</v>
      </c>
      <c r="AN1431" s="0" t="n">
        <v>0</v>
      </c>
      <c r="AO1431" s="0" t="n">
        <v>0</v>
      </c>
      <c r="AP1431" s="0" t="n">
        <v>0</v>
      </c>
      <c r="AQ1431" s="0" t="n">
        <v>0</v>
      </c>
      <c r="AR1431" s="0" t="n">
        <v>0</v>
      </c>
      <c r="AS1431" s="0" t="n">
        <v>0</v>
      </c>
      <c r="AT1431" s="0" t="n">
        <v>0</v>
      </c>
      <c r="AU1431" s="0" t="n">
        <v>0</v>
      </c>
      <c r="AV1431" s="0" t="n">
        <v>0</v>
      </c>
      <c r="AW1431" s="0" t="n">
        <v>0</v>
      </c>
      <c r="AX1431" s="0" t="n">
        <v>0</v>
      </c>
      <c r="AY1431" s="0" t="n">
        <v>0</v>
      </c>
      <c r="AZ1431" s="0" t="n">
        <v>0</v>
      </c>
      <c r="BA1431" s="0" t="n">
        <v>0</v>
      </c>
      <c r="BB1431" s="0" t="n">
        <v>0</v>
      </c>
      <c r="BC1431" s="0" t="n">
        <v>0</v>
      </c>
      <c r="BD1431" s="0" t="n">
        <v>0</v>
      </c>
      <c r="BE1431" s="0" t="n">
        <v>0</v>
      </c>
      <c r="BF1431" s="0" t="n">
        <v>0</v>
      </c>
      <c r="BG1431" s="0" t="n">
        <v>0</v>
      </c>
      <c r="BH1431" s="0" t="n">
        <v>0</v>
      </c>
      <c r="BI1431" s="0" t="n">
        <v>0</v>
      </c>
      <c r="BJ1431" s="0" t="n">
        <v>0</v>
      </c>
      <c r="BK1431" s="0" t="n">
        <v>0</v>
      </c>
      <c r="BM1431" s="6" t="n">
        <f aca="false">IFERROR(VALUE(F1431),"")</f>
        <v>213.64</v>
      </c>
      <c r="BN1431" s="6" t="str">
        <f aca="false">IF(R1431="-","",IFERROR(VALUE(LEFT(Q1431,LEN(Q1431)-2)),""))</f>
        <v/>
      </c>
      <c r="BO1431" s="6" t="str">
        <f aca="false">IF(R1431="-","",IFERROR(VALUE(LEFT(R1431,LEN(R1431)-5)),""))</f>
        <v/>
      </c>
      <c r="BP1431" s="6" t="str">
        <f aca="false">IF(R1431="-","",IFERROR(VALUE(F1431),""))</f>
        <v/>
      </c>
      <c r="BQ1431" s="4" t="n">
        <f aca="false">IF(R1431="-",1,0)</f>
        <v>1</v>
      </c>
    </row>
    <row r="1432" customFormat="false" ht="15" hidden="false" customHeight="false" outlineLevel="0" collapsed="false">
      <c r="A1432" s="0" t="s">
        <v>5384</v>
      </c>
      <c r="B1432" s="0" t="s">
        <v>5385</v>
      </c>
      <c r="C1432" s="0" t="s">
        <v>70</v>
      </c>
      <c r="D1432" s="0" t="s">
        <v>5392</v>
      </c>
      <c r="E1432" s="3" t="n">
        <v>46275</v>
      </c>
      <c r="F1432" s="4" t="s">
        <v>5393</v>
      </c>
      <c r="G1432" s="5" t="n">
        <v>0.186145833333333</v>
      </c>
      <c r="H1432" s="5" t="n">
        <v>0.174988425925926</v>
      </c>
      <c r="I1432" s="5" t="n">
        <v>0.00415509259259259</v>
      </c>
      <c r="J1432" s="0" t="n">
        <v>1</v>
      </c>
      <c r="K1432" s="0" t="n">
        <v>6</v>
      </c>
      <c r="L1432" s="0" t="n">
        <v>0</v>
      </c>
      <c r="M1432" s="0" t="n">
        <v>0</v>
      </c>
      <c r="N1432" s="0" t="n">
        <v>10</v>
      </c>
      <c r="O1432" s="5" t="n">
        <v>0</v>
      </c>
      <c r="P1432" s="5" t="n">
        <v>0</v>
      </c>
      <c r="Q1432" s="4" t="s">
        <v>73</v>
      </c>
      <c r="R1432" s="4" t="s">
        <v>73</v>
      </c>
      <c r="S1432" s="5" t="n">
        <v>0</v>
      </c>
      <c r="T1432" s="5" t="n">
        <v>0</v>
      </c>
      <c r="U1432" s="5" t="n">
        <v>0</v>
      </c>
      <c r="V1432" s="5" t="n">
        <v>0</v>
      </c>
      <c r="W1432" s="5" t="n">
        <v>0</v>
      </c>
      <c r="X1432" s="5" t="n">
        <v>0</v>
      </c>
      <c r="Y1432" s="5" t="n">
        <v>0</v>
      </c>
      <c r="Z1432" s="0" t="n">
        <v>0</v>
      </c>
      <c r="AA1432" s="0" t="n">
        <v>0</v>
      </c>
      <c r="AB1432" s="0" t="n">
        <v>0</v>
      </c>
      <c r="AC1432" s="4" t="s">
        <v>158</v>
      </c>
      <c r="AD1432" s="4" t="s">
        <v>158</v>
      </c>
      <c r="AE1432" s="4" t="s">
        <v>5391</v>
      </c>
      <c r="AF1432" s="4" t="s">
        <v>5394</v>
      </c>
      <c r="AG1432" s="5" t="n">
        <v>0.163414351851852</v>
      </c>
      <c r="AH1432" s="5" t="n">
        <v>0.117106481481482</v>
      </c>
      <c r="AI1432" s="5" t="n">
        <v>0</v>
      </c>
      <c r="AJ1432" s="5" t="n">
        <v>0</v>
      </c>
      <c r="AK1432" s="5" t="n">
        <v>0</v>
      </c>
      <c r="AL1432" s="5" t="n">
        <v>0</v>
      </c>
      <c r="AM1432" s="4" t="s">
        <v>78</v>
      </c>
      <c r="AN1432" s="0" t="n">
        <v>0</v>
      </c>
      <c r="AO1432" s="0" t="n">
        <v>0</v>
      </c>
      <c r="AP1432" s="0" t="n">
        <v>0</v>
      </c>
      <c r="AQ1432" s="0" t="n">
        <v>0</v>
      </c>
      <c r="AR1432" s="0" t="n">
        <v>1</v>
      </c>
      <c r="AS1432" s="0" t="n">
        <v>0</v>
      </c>
      <c r="AT1432" s="0" t="n">
        <v>0</v>
      </c>
      <c r="AU1432" s="0" t="n">
        <v>0</v>
      </c>
      <c r="AV1432" s="0" t="n">
        <v>0</v>
      </c>
      <c r="AW1432" s="0" t="n">
        <v>0</v>
      </c>
      <c r="AX1432" s="0" t="n">
        <v>0</v>
      </c>
      <c r="AY1432" s="0" t="n">
        <v>0</v>
      </c>
      <c r="AZ1432" s="0" t="n">
        <v>0</v>
      </c>
      <c r="BA1432" s="0" t="n">
        <v>0</v>
      </c>
      <c r="BB1432" s="0" t="n">
        <v>0</v>
      </c>
      <c r="BC1432" s="0" t="n">
        <v>0</v>
      </c>
      <c r="BD1432" s="0" t="n">
        <v>0</v>
      </c>
      <c r="BE1432" s="0" t="n">
        <v>0</v>
      </c>
      <c r="BF1432" s="0" t="n">
        <v>0</v>
      </c>
      <c r="BG1432" s="0" t="n">
        <v>0</v>
      </c>
      <c r="BH1432" s="0" t="n">
        <v>0</v>
      </c>
      <c r="BI1432" s="0" t="n">
        <v>0</v>
      </c>
      <c r="BJ1432" s="0" t="n">
        <v>0</v>
      </c>
      <c r="BK1432" s="0" t="n">
        <v>0</v>
      </c>
      <c r="BM1432" s="6" t="n">
        <f aca="false">IFERROR(VALUE(F1432),"")</f>
        <v>123.55</v>
      </c>
      <c r="BN1432" s="6" t="str">
        <f aca="false">IF(R1432="-","",IFERROR(VALUE(LEFT(Q1432,LEN(Q1432)-2)),""))</f>
        <v/>
      </c>
      <c r="BO1432" s="6" t="str">
        <f aca="false">IF(R1432="-","",IFERROR(VALUE(LEFT(R1432,LEN(R1432)-5)),""))</f>
        <v/>
      </c>
      <c r="BP1432" s="6" t="str">
        <f aca="false">IF(R1432="-","",IFERROR(VALUE(F1432),""))</f>
        <v/>
      </c>
      <c r="BQ1432" s="4" t="n">
        <f aca="false">IF(R1432="-",1,0)</f>
        <v>1</v>
      </c>
    </row>
    <row r="1433" customFormat="false" ht="15" hidden="false" customHeight="false" outlineLevel="0" collapsed="false">
      <c r="A1433" s="0" t="s">
        <v>5384</v>
      </c>
      <c r="B1433" s="0" t="s">
        <v>5385</v>
      </c>
      <c r="C1433" s="0" t="s">
        <v>70</v>
      </c>
      <c r="D1433" s="0" t="s">
        <v>5395</v>
      </c>
      <c r="E1433" s="3" t="n">
        <v>46276</v>
      </c>
      <c r="F1433" s="4" t="s">
        <v>5396</v>
      </c>
      <c r="G1433" s="5" t="n">
        <v>0.242951388888889</v>
      </c>
      <c r="H1433" s="5" t="n">
        <v>0.0143402777777778</v>
      </c>
      <c r="I1433" s="5" t="n">
        <v>0.000335648148148148</v>
      </c>
      <c r="J1433" s="0" t="n">
        <v>0</v>
      </c>
      <c r="K1433" s="0" t="n">
        <v>2</v>
      </c>
      <c r="L1433" s="0" t="n">
        <v>0</v>
      </c>
      <c r="M1433" s="0" t="n">
        <v>0</v>
      </c>
      <c r="N1433" s="0" t="n">
        <v>3</v>
      </c>
      <c r="O1433" s="5" t="n">
        <v>0</v>
      </c>
      <c r="P1433" s="5" t="n">
        <v>0</v>
      </c>
      <c r="Q1433" s="4" t="s">
        <v>73</v>
      </c>
      <c r="R1433" s="4" t="s">
        <v>73</v>
      </c>
      <c r="S1433" s="5" t="n">
        <v>0</v>
      </c>
      <c r="T1433" s="5" t="n">
        <v>0</v>
      </c>
      <c r="U1433" s="5" t="n">
        <v>0</v>
      </c>
      <c r="V1433" s="5" t="n">
        <v>0</v>
      </c>
      <c r="W1433" s="5" t="n">
        <v>0</v>
      </c>
      <c r="X1433" s="5" t="n">
        <v>0</v>
      </c>
      <c r="Y1433" s="5" t="n">
        <v>0</v>
      </c>
      <c r="Z1433" s="0" t="n">
        <v>0</v>
      </c>
      <c r="AA1433" s="0" t="n">
        <v>0</v>
      </c>
      <c r="AB1433" s="0" t="n">
        <v>0</v>
      </c>
      <c r="AC1433" s="4" t="s">
        <v>158</v>
      </c>
      <c r="AD1433" s="4" t="s">
        <v>158</v>
      </c>
      <c r="AE1433" s="4" t="s">
        <v>5394</v>
      </c>
      <c r="AF1433" s="4" t="s">
        <v>5397</v>
      </c>
      <c r="AG1433" s="5" t="n">
        <v>0.207118055555556</v>
      </c>
      <c r="AH1433" s="5" t="n">
        <v>0.0777662037037037</v>
      </c>
      <c r="AI1433" s="5" t="n">
        <v>0</v>
      </c>
      <c r="AJ1433" s="5" t="n">
        <v>0</v>
      </c>
      <c r="AK1433" s="5" t="n">
        <v>0</v>
      </c>
      <c r="AL1433" s="5" t="n">
        <v>0</v>
      </c>
      <c r="AM1433" s="4" t="s">
        <v>78</v>
      </c>
      <c r="AN1433" s="0" t="n">
        <v>0</v>
      </c>
      <c r="AO1433" s="0" t="n">
        <v>0</v>
      </c>
      <c r="AP1433" s="0" t="n">
        <v>0</v>
      </c>
      <c r="AQ1433" s="0" t="n">
        <v>0</v>
      </c>
      <c r="AR1433" s="0" t="n">
        <v>0</v>
      </c>
      <c r="AS1433" s="0" t="n">
        <v>0</v>
      </c>
      <c r="AT1433" s="0" t="n">
        <v>0</v>
      </c>
      <c r="AU1433" s="0" t="n">
        <v>0</v>
      </c>
      <c r="AV1433" s="0" t="n">
        <v>0</v>
      </c>
      <c r="AW1433" s="0" t="n">
        <v>0</v>
      </c>
      <c r="AX1433" s="0" t="n">
        <v>0</v>
      </c>
      <c r="AY1433" s="0" t="n">
        <v>0</v>
      </c>
      <c r="AZ1433" s="0" t="n">
        <v>0</v>
      </c>
      <c r="BA1433" s="0" t="n">
        <v>0</v>
      </c>
      <c r="BB1433" s="0" t="n">
        <v>0</v>
      </c>
      <c r="BC1433" s="0" t="n">
        <v>0</v>
      </c>
      <c r="BD1433" s="0" t="n">
        <v>0</v>
      </c>
      <c r="BE1433" s="0" t="n">
        <v>0</v>
      </c>
      <c r="BF1433" s="0" t="n">
        <v>0</v>
      </c>
      <c r="BG1433" s="0" t="n">
        <v>0</v>
      </c>
      <c r="BH1433" s="0" t="n">
        <v>0</v>
      </c>
      <c r="BI1433" s="0" t="n">
        <v>0</v>
      </c>
      <c r="BJ1433" s="0" t="n">
        <v>0</v>
      </c>
      <c r="BK1433" s="0" t="n">
        <v>0</v>
      </c>
      <c r="BM1433" s="6" t="n">
        <f aca="false">IFERROR(VALUE(F1433),"")</f>
        <v>163.35</v>
      </c>
      <c r="BN1433" s="6" t="str">
        <f aca="false">IF(R1433="-","",IFERROR(VALUE(LEFT(Q1433,LEN(Q1433)-2)),""))</f>
        <v/>
      </c>
      <c r="BO1433" s="6" t="str">
        <f aca="false">IF(R1433="-","",IFERROR(VALUE(LEFT(R1433,LEN(R1433)-5)),""))</f>
        <v/>
      </c>
      <c r="BP1433" s="6" t="str">
        <f aca="false">IF(R1433="-","",IFERROR(VALUE(F1433),""))</f>
        <v/>
      </c>
      <c r="BQ1433" s="4" t="n">
        <f aca="false">IF(R1433="-",1,0)</f>
        <v>1</v>
      </c>
    </row>
    <row r="1434" customFormat="false" ht="15" hidden="false" customHeight="false" outlineLevel="0" collapsed="false">
      <c r="A1434" s="0" t="s">
        <v>5384</v>
      </c>
      <c r="B1434" s="0" t="s">
        <v>5385</v>
      </c>
      <c r="C1434" s="0" t="s">
        <v>70</v>
      </c>
      <c r="E1434" s="3" t="n">
        <v>46277</v>
      </c>
      <c r="F1434" s="4" t="s">
        <v>95</v>
      </c>
      <c r="G1434" s="5" t="n">
        <v>8.10185185185185E-005</v>
      </c>
      <c r="H1434" s="5" t="n">
        <v>0</v>
      </c>
      <c r="I1434" s="5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5" t="n">
        <v>0</v>
      </c>
      <c r="P1434" s="5" t="n">
        <v>0</v>
      </c>
      <c r="Q1434" s="4" t="s">
        <v>73</v>
      </c>
      <c r="R1434" s="4" t="s">
        <v>73</v>
      </c>
      <c r="S1434" s="5" t="n">
        <v>0</v>
      </c>
      <c r="T1434" s="5" t="n">
        <v>0</v>
      </c>
      <c r="U1434" s="5" t="n">
        <v>0</v>
      </c>
      <c r="V1434" s="5" t="n">
        <v>0</v>
      </c>
      <c r="W1434" s="5" t="n">
        <v>0</v>
      </c>
      <c r="X1434" s="5" t="n">
        <v>0</v>
      </c>
      <c r="Y1434" s="5" t="n">
        <v>0</v>
      </c>
      <c r="Z1434" s="0" t="n">
        <v>0</v>
      </c>
      <c r="AA1434" s="0" t="n">
        <v>0</v>
      </c>
      <c r="AB1434" s="0" t="n">
        <v>0</v>
      </c>
      <c r="AC1434" s="4" t="s">
        <v>158</v>
      </c>
      <c r="AD1434" s="4" t="s">
        <v>158</v>
      </c>
      <c r="AE1434" s="4" t="s">
        <v>5397</v>
      </c>
      <c r="AF1434" s="4" t="s">
        <v>5397</v>
      </c>
      <c r="AG1434" s="5" t="n">
        <v>0</v>
      </c>
      <c r="AH1434" s="5" t="n">
        <v>0.014837962962963</v>
      </c>
      <c r="AI1434" s="5" t="n">
        <v>0</v>
      </c>
      <c r="AJ1434" s="5" t="n">
        <v>0</v>
      </c>
      <c r="AK1434" s="5" t="n">
        <v>0</v>
      </c>
      <c r="AL1434" s="5" t="n">
        <v>0</v>
      </c>
      <c r="AM1434" s="4" t="s">
        <v>78</v>
      </c>
      <c r="AN1434" s="0" t="n">
        <v>0</v>
      </c>
      <c r="AO1434" s="0" t="n">
        <v>0</v>
      </c>
      <c r="AP1434" s="0" t="n">
        <v>0</v>
      </c>
      <c r="AQ1434" s="0" t="n">
        <v>0</v>
      </c>
      <c r="AR1434" s="0" t="n">
        <v>0</v>
      </c>
      <c r="AS1434" s="0" t="n">
        <v>0</v>
      </c>
      <c r="AT1434" s="0" t="n">
        <v>0</v>
      </c>
      <c r="AU1434" s="0" t="n">
        <v>0</v>
      </c>
      <c r="AV1434" s="0" t="n">
        <v>0</v>
      </c>
      <c r="AW1434" s="0" t="n">
        <v>0</v>
      </c>
      <c r="AX1434" s="0" t="n">
        <v>0</v>
      </c>
      <c r="AY1434" s="0" t="n">
        <v>0</v>
      </c>
      <c r="AZ1434" s="0" t="n">
        <v>0</v>
      </c>
      <c r="BA1434" s="0" t="n">
        <v>0</v>
      </c>
      <c r="BB1434" s="0" t="n">
        <v>0</v>
      </c>
      <c r="BC1434" s="0" t="n">
        <v>0</v>
      </c>
      <c r="BD1434" s="0" t="n">
        <v>0</v>
      </c>
      <c r="BE1434" s="0" t="n">
        <v>0</v>
      </c>
      <c r="BF1434" s="0" t="n">
        <v>0</v>
      </c>
      <c r="BG1434" s="0" t="n">
        <v>0</v>
      </c>
      <c r="BH1434" s="0" t="n">
        <v>0</v>
      </c>
      <c r="BI1434" s="0" t="n">
        <v>0</v>
      </c>
      <c r="BJ1434" s="0" t="n">
        <v>0</v>
      </c>
      <c r="BK1434" s="0" t="n">
        <v>0</v>
      </c>
      <c r="BM1434" s="6" t="n">
        <f aca="false">IFERROR(VALUE(F1434),"")</f>
        <v>0</v>
      </c>
      <c r="BN1434" s="6" t="str">
        <f aca="false">IF(R1434="-","",IFERROR(VALUE(LEFT(Q1434,LEN(Q1434)-2)),""))</f>
        <v/>
      </c>
      <c r="BO1434" s="6" t="str">
        <f aca="false">IF(R1434="-","",IFERROR(VALUE(LEFT(R1434,LEN(R1434)-5)),""))</f>
        <v/>
      </c>
      <c r="BP1434" s="6" t="str">
        <f aca="false">IF(R1434="-","",IFERROR(VALUE(F1434),""))</f>
        <v/>
      </c>
      <c r="BQ1434" s="4" t="n">
        <f aca="false">IF(R1434="-",1,0)</f>
        <v>1</v>
      </c>
    </row>
    <row r="1435" customFormat="false" ht="15" hidden="false" customHeight="false" outlineLevel="0" collapsed="false">
      <c r="A1435" s="0" t="s">
        <v>5384</v>
      </c>
      <c r="B1435" s="0" t="s">
        <v>5385</v>
      </c>
      <c r="C1435" s="0" t="s">
        <v>70</v>
      </c>
      <c r="D1435" s="0" t="s">
        <v>161</v>
      </c>
      <c r="E1435" s="3" t="n">
        <v>46278</v>
      </c>
      <c r="F1435" s="4" t="s">
        <v>5398</v>
      </c>
      <c r="G1435" s="5" t="n">
        <v>0.0965393518518519</v>
      </c>
      <c r="H1435" s="5" t="n">
        <v>0.0945833333333333</v>
      </c>
      <c r="I1435" s="5" t="n">
        <v>0.000578703703703704</v>
      </c>
      <c r="J1435" s="0" t="n">
        <v>1</v>
      </c>
      <c r="K1435" s="0" t="n">
        <v>1</v>
      </c>
      <c r="L1435" s="0" t="n">
        <v>0</v>
      </c>
      <c r="M1435" s="0" t="n">
        <v>0</v>
      </c>
      <c r="N1435" s="0" t="n">
        <v>1</v>
      </c>
      <c r="O1435" s="5" t="n">
        <v>0</v>
      </c>
      <c r="P1435" s="5" t="n">
        <v>0</v>
      </c>
      <c r="Q1435" s="4" t="s">
        <v>73</v>
      </c>
      <c r="R1435" s="4" t="s">
        <v>73</v>
      </c>
      <c r="S1435" s="5" t="n">
        <v>0</v>
      </c>
      <c r="T1435" s="5" t="n">
        <v>0</v>
      </c>
      <c r="U1435" s="5" t="n">
        <v>0</v>
      </c>
      <c r="V1435" s="5" t="n">
        <v>0</v>
      </c>
      <c r="W1435" s="5" t="n">
        <v>0</v>
      </c>
      <c r="X1435" s="5" t="n">
        <v>0</v>
      </c>
      <c r="Y1435" s="5" t="n">
        <v>0</v>
      </c>
      <c r="Z1435" s="0" t="n">
        <v>0</v>
      </c>
      <c r="AA1435" s="0" t="n">
        <v>0</v>
      </c>
      <c r="AB1435" s="0" t="n">
        <v>0</v>
      </c>
      <c r="AC1435" s="4" t="s">
        <v>158</v>
      </c>
      <c r="AD1435" s="4" t="s">
        <v>158</v>
      </c>
      <c r="AE1435" s="4" t="s">
        <v>5397</v>
      </c>
      <c r="AF1435" s="4" t="s">
        <v>5399</v>
      </c>
      <c r="AG1435" s="5" t="n">
        <v>0.0840740740740741</v>
      </c>
      <c r="AH1435" s="5" t="n">
        <v>0.0451851851851852</v>
      </c>
      <c r="AI1435" s="5" t="n">
        <v>0</v>
      </c>
      <c r="AJ1435" s="5" t="n">
        <v>0</v>
      </c>
      <c r="AK1435" s="5" t="n">
        <v>0</v>
      </c>
      <c r="AL1435" s="5" t="n">
        <v>0</v>
      </c>
      <c r="AM1435" s="4" t="s">
        <v>78</v>
      </c>
      <c r="AN1435" s="0" t="n">
        <v>0</v>
      </c>
      <c r="AO1435" s="0" t="n">
        <v>0</v>
      </c>
      <c r="AP1435" s="0" t="n">
        <v>0</v>
      </c>
      <c r="AQ1435" s="0" t="n">
        <v>0</v>
      </c>
      <c r="AR1435" s="0" t="n">
        <v>1</v>
      </c>
      <c r="AS1435" s="0" t="n">
        <v>0</v>
      </c>
      <c r="AT1435" s="0" t="n">
        <v>0</v>
      </c>
      <c r="AU1435" s="0" t="n">
        <v>0</v>
      </c>
      <c r="AV1435" s="0" t="n">
        <v>0</v>
      </c>
      <c r="AW1435" s="0" t="n">
        <v>0</v>
      </c>
      <c r="AX1435" s="0" t="n">
        <v>0</v>
      </c>
      <c r="AY1435" s="0" t="n">
        <v>0</v>
      </c>
      <c r="AZ1435" s="0" t="n">
        <v>0</v>
      </c>
      <c r="BA1435" s="0" t="n">
        <v>0</v>
      </c>
      <c r="BB1435" s="0" t="n">
        <v>0</v>
      </c>
      <c r="BC1435" s="0" t="n">
        <v>0</v>
      </c>
      <c r="BD1435" s="0" t="n">
        <v>0</v>
      </c>
      <c r="BE1435" s="0" t="n">
        <v>0</v>
      </c>
      <c r="BF1435" s="0" t="n">
        <v>0</v>
      </c>
      <c r="BG1435" s="0" t="n">
        <v>0</v>
      </c>
      <c r="BH1435" s="0" t="n">
        <v>0</v>
      </c>
      <c r="BI1435" s="0" t="n">
        <v>0</v>
      </c>
      <c r="BJ1435" s="0" t="n">
        <v>0</v>
      </c>
      <c r="BK1435" s="0" t="n">
        <v>0</v>
      </c>
      <c r="BM1435" s="6" t="n">
        <f aca="false">IFERROR(VALUE(F1435),"")</f>
        <v>72.87</v>
      </c>
      <c r="BN1435" s="6" t="str">
        <f aca="false">IF(R1435="-","",IFERROR(VALUE(LEFT(Q1435,LEN(Q1435)-2)),""))</f>
        <v/>
      </c>
      <c r="BO1435" s="6" t="str">
        <f aca="false">IF(R1435="-","",IFERROR(VALUE(LEFT(R1435,LEN(R1435)-5)),""))</f>
        <v/>
      </c>
      <c r="BP1435" s="6" t="str">
        <f aca="false">IF(R1435="-","",IFERROR(VALUE(F1435),""))</f>
        <v/>
      </c>
      <c r="BQ1435" s="4" t="n">
        <f aca="false">IF(R1435="-",1,0)</f>
        <v>1</v>
      </c>
    </row>
    <row r="1436" customFormat="false" ht="15" hidden="false" customHeight="false" outlineLevel="0" collapsed="false">
      <c r="A1436" s="0" t="s">
        <v>5384</v>
      </c>
      <c r="B1436" s="0" t="s">
        <v>5385</v>
      </c>
      <c r="C1436" s="0" t="s">
        <v>70</v>
      </c>
      <c r="D1436" s="0" t="s">
        <v>5400</v>
      </c>
      <c r="E1436" s="3" t="n">
        <v>46279</v>
      </c>
      <c r="F1436" s="4" t="s">
        <v>5401</v>
      </c>
      <c r="G1436" s="5" t="n">
        <v>0.266319444444444</v>
      </c>
      <c r="H1436" s="5" t="n">
        <v>0.244143518518519</v>
      </c>
      <c r="I1436" s="5" t="n">
        <v>0.00136574074074074</v>
      </c>
      <c r="J1436" s="0" t="n">
        <v>4</v>
      </c>
      <c r="K1436" s="0" t="n">
        <v>3</v>
      </c>
      <c r="L1436" s="0" t="n">
        <v>0</v>
      </c>
      <c r="M1436" s="0" t="n">
        <v>0</v>
      </c>
      <c r="N1436" s="0" t="n">
        <v>9</v>
      </c>
      <c r="O1436" s="5" t="n">
        <v>0</v>
      </c>
      <c r="P1436" s="5" t="n">
        <v>0</v>
      </c>
      <c r="Q1436" s="4" t="s">
        <v>73</v>
      </c>
      <c r="R1436" s="4" t="s">
        <v>73</v>
      </c>
      <c r="S1436" s="5" t="n">
        <v>0</v>
      </c>
      <c r="T1436" s="5" t="n">
        <v>0</v>
      </c>
      <c r="U1436" s="5" t="n">
        <v>0</v>
      </c>
      <c r="V1436" s="5" t="n">
        <v>0</v>
      </c>
      <c r="W1436" s="5" t="n">
        <v>0</v>
      </c>
      <c r="X1436" s="5" t="n">
        <v>0</v>
      </c>
      <c r="Y1436" s="5" t="n">
        <v>0</v>
      </c>
      <c r="Z1436" s="0" t="n">
        <v>0</v>
      </c>
      <c r="AA1436" s="0" t="n">
        <v>0</v>
      </c>
      <c r="AB1436" s="0" t="n">
        <v>0</v>
      </c>
      <c r="AC1436" s="4" t="s">
        <v>158</v>
      </c>
      <c r="AD1436" s="4" t="s">
        <v>158</v>
      </c>
      <c r="AE1436" s="4" t="s">
        <v>5399</v>
      </c>
      <c r="AF1436" s="4" t="s">
        <v>5402</v>
      </c>
      <c r="AG1436" s="5" t="n">
        <v>0.229849537037037</v>
      </c>
      <c r="AH1436" s="5" t="n">
        <v>0.115243055555556</v>
      </c>
      <c r="AI1436" s="5" t="n">
        <v>0</v>
      </c>
      <c r="AJ1436" s="5" t="n">
        <v>0</v>
      </c>
      <c r="AK1436" s="5" t="n">
        <v>0</v>
      </c>
      <c r="AL1436" s="5" t="n">
        <v>0</v>
      </c>
      <c r="AM1436" s="4" t="s">
        <v>78</v>
      </c>
      <c r="AN1436" s="0" t="n">
        <v>0</v>
      </c>
      <c r="AO1436" s="0" t="n">
        <v>0</v>
      </c>
      <c r="AP1436" s="0" t="n">
        <v>0</v>
      </c>
      <c r="AQ1436" s="0" t="n">
        <v>0</v>
      </c>
      <c r="AR1436" s="0" t="n">
        <v>0</v>
      </c>
      <c r="AS1436" s="0" t="n">
        <v>0</v>
      </c>
      <c r="AT1436" s="0" t="n">
        <v>0</v>
      </c>
      <c r="AU1436" s="0" t="n">
        <v>0</v>
      </c>
      <c r="AV1436" s="0" t="n">
        <v>0</v>
      </c>
      <c r="AW1436" s="0" t="n">
        <v>0</v>
      </c>
      <c r="AX1436" s="0" t="n">
        <v>0</v>
      </c>
      <c r="AY1436" s="0" t="n">
        <v>0</v>
      </c>
      <c r="AZ1436" s="0" t="n">
        <v>0</v>
      </c>
      <c r="BA1436" s="0" t="n">
        <v>0</v>
      </c>
      <c r="BB1436" s="0" t="n">
        <v>0</v>
      </c>
      <c r="BC1436" s="0" t="n">
        <v>0</v>
      </c>
      <c r="BD1436" s="0" t="n">
        <v>0</v>
      </c>
      <c r="BE1436" s="0" t="n">
        <v>0</v>
      </c>
      <c r="BF1436" s="0" t="n">
        <v>0</v>
      </c>
      <c r="BG1436" s="0" t="n">
        <v>0</v>
      </c>
      <c r="BH1436" s="0" t="n">
        <v>0</v>
      </c>
      <c r="BI1436" s="0" t="n">
        <v>0</v>
      </c>
      <c r="BJ1436" s="0" t="n">
        <v>0</v>
      </c>
      <c r="BK1436" s="0" t="n">
        <v>0</v>
      </c>
      <c r="BM1436" s="6" t="n">
        <f aca="false">IFERROR(VALUE(F1436),"")</f>
        <v>170.54</v>
      </c>
      <c r="BN1436" s="6" t="str">
        <f aca="false">IF(R1436="-","",IFERROR(VALUE(LEFT(Q1436,LEN(Q1436)-2)),""))</f>
        <v/>
      </c>
      <c r="BO1436" s="6" t="str">
        <f aca="false">IF(R1436="-","",IFERROR(VALUE(LEFT(R1436,LEN(R1436)-5)),""))</f>
        <v/>
      </c>
      <c r="BP1436" s="6" t="str">
        <f aca="false">IF(R1436="-","",IFERROR(VALUE(F1436),""))</f>
        <v/>
      </c>
      <c r="BQ1436" s="4" t="n">
        <f aca="false">IF(R1436="-",1,0)</f>
        <v>1</v>
      </c>
    </row>
    <row r="1437" customFormat="false" ht="15" hidden="false" customHeight="false" outlineLevel="0" collapsed="false">
      <c r="A1437" s="0" t="s">
        <v>5403</v>
      </c>
      <c r="B1437" s="0" t="s">
        <v>5404</v>
      </c>
      <c r="C1437" s="0" t="s">
        <v>70</v>
      </c>
      <c r="D1437" s="0" t="s">
        <v>5313</v>
      </c>
      <c r="E1437" s="3" t="n">
        <v>46273</v>
      </c>
      <c r="F1437" s="4" t="s">
        <v>5405</v>
      </c>
      <c r="G1437" s="5" t="n">
        <v>0.350636574074074</v>
      </c>
      <c r="H1437" s="5" t="n">
        <v>0.0962152777777778</v>
      </c>
      <c r="I1437" s="5" t="n">
        <v>0.0003125</v>
      </c>
      <c r="J1437" s="0" t="n">
        <v>3</v>
      </c>
      <c r="K1437" s="0" t="n">
        <v>6</v>
      </c>
      <c r="L1437" s="0" t="n">
        <v>0</v>
      </c>
      <c r="M1437" s="0" t="n">
        <v>0</v>
      </c>
      <c r="N1437" s="0" t="n">
        <v>5</v>
      </c>
      <c r="O1437" s="5" t="n">
        <v>0</v>
      </c>
      <c r="P1437" s="5" t="n">
        <v>0</v>
      </c>
      <c r="Q1437" s="4" t="s">
        <v>73</v>
      </c>
      <c r="R1437" s="4" t="s">
        <v>73</v>
      </c>
      <c r="S1437" s="5" t="n">
        <v>0</v>
      </c>
      <c r="T1437" s="5" t="n">
        <v>0</v>
      </c>
      <c r="U1437" s="5" t="n">
        <v>0</v>
      </c>
      <c r="V1437" s="5" t="n">
        <v>0</v>
      </c>
      <c r="W1437" s="5" t="n">
        <v>0</v>
      </c>
      <c r="X1437" s="5" t="n">
        <v>0</v>
      </c>
      <c r="Y1437" s="5" t="n">
        <v>0</v>
      </c>
      <c r="Z1437" s="0" t="n">
        <v>0</v>
      </c>
      <c r="AA1437" s="0" t="n">
        <v>0</v>
      </c>
      <c r="AB1437" s="0" t="n">
        <v>0</v>
      </c>
      <c r="AC1437" s="4" t="s">
        <v>158</v>
      </c>
      <c r="AD1437" s="4" t="s">
        <v>158</v>
      </c>
      <c r="AE1437" s="4" t="s">
        <v>5406</v>
      </c>
      <c r="AF1437" s="4" t="s">
        <v>5407</v>
      </c>
      <c r="AG1437" s="5" t="n">
        <v>0.327199074074074</v>
      </c>
      <c r="AH1437" s="5" t="n">
        <v>0.161053240740741</v>
      </c>
      <c r="AI1437" s="5" t="n">
        <v>0</v>
      </c>
      <c r="AJ1437" s="5" t="n">
        <v>0</v>
      </c>
      <c r="AK1437" s="5" t="n">
        <v>0</v>
      </c>
      <c r="AL1437" s="5" t="n">
        <v>0</v>
      </c>
      <c r="AM1437" s="4" t="s">
        <v>78</v>
      </c>
      <c r="AN1437" s="0" t="n">
        <v>0</v>
      </c>
      <c r="AO1437" s="0" t="n">
        <v>0</v>
      </c>
      <c r="AP1437" s="0" t="n">
        <v>0</v>
      </c>
      <c r="AQ1437" s="0" t="n">
        <v>0</v>
      </c>
      <c r="AR1437" s="0" t="n">
        <v>1</v>
      </c>
      <c r="AS1437" s="0" t="n">
        <v>0</v>
      </c>
      <c r="AT1437" s="0" t="n">
        <v>0</v>
      </c>
      <c r="AU1437" s="0" t="n">
        <v>0</v>
      </c>
      <c r="AV1437" s="0" t="n">
        <v>0</v>
      </c>
      <c r="AW1437" s="0" t="n">
        <v>0</v>
      </c>
      <c r="AX1437" s="0" t="n">
        <v>0</v>
      </c>
      <c r="AY1437" s="0" t="n">
        <v>0</v>
      </c>
      <c r="AZ1437" s="0" t="n">
        <v>0</v>
      </c>
      <c r="BA1437" s="0" t="n">
        <v>0</v>
      </c>
      <c r="BB1437" s="0" t="n">
        <v>0</v>
      </c>
      <c r="BC1437" s="0" t="n">
        <v>0</v>
      </c>
      <c r="BD1437" s="0" t="n">
        <v>0</v>
      </c>
      <c r="BE1437" s="0" t="n">
        <v>0</v>
      </c>
      <c r="BF1437" s="0" t="n">
        <v>0</v>
      </c>
      <c r="BG1437" s="0" t="n">
        <v>0</v>
      </c>
      <c r="BH1437" s="0" t="n">
        <v>0</v>
      </c>
      <c r="BI1437" s="0" t="n">
        <v>0</v>
      </c>
      <c r="BJ1437" s="0" t="n">
        <v>0</v>
      </c>
      <c r="BK1437" s="0" t="n">
        <v>0</v>
      </c>
      <c r="BM1437" s="6" t="n">
        <f aca="false">IFERROR(VALUE(F1437),"")</f>
        <v>302.88</v>
      </c>
      <c r="BN1437" s="6" t="str">
        <f aca="false">IF(R1437="-","",IFERROR(VALUE(LEFT(Q1437,LEN(Q1437)-2)),""))</f>
        <v/>
      </c>
      <c r="BO1437" s="6" t="str">
        <f aca="false">IF(R1437="-","",IFERROR(VALUE(LEFT(R1437,LEN(R1437)-5)),""))</f>
        <v/>
      </c>
      <c r="BP1437" s="6" t="str">
        <f aca="false">IF(R1437="-","",IFERROR(VALUE(F1437),""))</f>
        <v/>
      </c>
      <c r="BQ1437" s="4" t="n">
        <f aca="false">IF(R1437="-",1,0)</f>
        <v>1</v>
      </c>
    </row>
    <row r="1438" customFormat="false" ht="15" hidden="false" customHeight="false" outlineLevel="0" collapsed="false">
      <c r="A1438" s="0" t="s">
        <v>5403</v>
      </c>
      <c r="B1438" s="0" t="s">
        <v>5404</v>
      </c>
      <c r="C1438" s="0" t="s">
        <v>70</v>
      </c>
      <c r="D1438" s="0" t="s">
        <v>5408</v>
      </c>
      <c r="E1438" s="3" t="n">
        <v>46274</v>
      </c>
      <c r="F1438" s="4" t="s">
        <v>5409</v>
      </c>
      <c r="G1438" s="5" t="n">
        <v>0.251053240740741</v>
      </c>
      <c r="H1438" s="5" t="n">
        <v>0.0598263888888889</v>
      </c>
      <c r="I1438" s="5" t="n">
        <v>0.00252314814814815</v>
      </c>
      <c r="J1438" s="0" t="n">
        <v>2</v>
      </c>
      <c r="K1438" s="0" t="n">
        <v>3</v>
      </c>
      <c r="L1438" s="0" t="n">
        <v>0</v>
      </c>
      <c r="M1438" s="0" t="n">
        <v>0</v>
      </c>
      <c r="N1438" s="0" t="n">
        <v>10</v>
      </c>
      <c r="O1438" s="5" t="n">
        <v>0</v>
      </c>
      <c r="P1438" s="5" t="n">
        <v>0</v>
      </c>
      <c r="Q1438" s="4" t="s">
        <v>73</v>
      </c>
      <c r="R1438" s="4" t="s">
        <v>73</v>
      </c>
      <c r="S1438" s="5" t="n">
        <v>0</v>
      </c>
      <c r="T1438" s="5" t="n">
        <v>0</v>
      </c>
      <c r="U1438" s="5" t="n">
        <v>0</v>
      </c>
      <c r="V1438" s="5" t="n">
        <v>0</v>
      </c>
      <c r="W1438" s="5" t="n">
        <v>0</v>
      </c>
      <c r="X1438" s="5" t="n">
        <v>0</v>
      </c>
      <c r="Y1438" s="5" t="n">
        <v>0</v>
      </c>
      <c r="Z1438" s="0" t="n">
        <v>0</v>
      </c>
      <c r="AA1438" s="0" t="n">
        <v>0</v>
      </c>
      <c r="AB1438" s="0" t="n">
        <v>0</v>
      </c>
      <c r="AC1438" s="4" t="s">
        <v>864</v>
      </c>
      <c r="AD1438" s="4" t="s">
        <v>158</v>
      </c>
      <c r="AE1438" s="4" t="s">
        <v>5407</v>
      </c>
      <c r="AF1438" s="4" t="s">
        <v>5410</v>
      </c>
      <c r="AG1438" s="5" t="n">
        <v>0.218900462962963</v>
      </c>
      <c r="AH1438" s="5" t="n">
        <v>0.19962962962963</v>
      </c>
      <c r="AI1438" s="5" t="n">
        <v>0</v>
      </c>
      <c r="AJ1438" s="5" t="n">
        <v>0</v>
      </c>
      <c r="AK1438" s="5" t="n">
        <v>0</v>
      </c>
      <c r="AL1438" s="5" t="n">
        <v>0</v>
      </c>
      <c r="AM1438" s="4" t="s">
        <v>78</v>
      </c>
      <c r="AN1438" s="0" t="n">
        <v>0</v>
      </c>
      <c r="AO1438" s="0" t="n">
        <v>0</v>
      </c>
      <c r="AP1438" s="0" t="n">
        <v>0</v>
      </c>
      <c r="AQ1438" s="0" t="n">
        <v>0</v>
      </c>
      <c r="AR1438" s="0" t="n">
        <v>0</v>
      </c>
      <c r="AS1438" s="0" t="n">
        <v>0</v>
      </c>
      <c r="AT1438" s="0" t="n">
        <v>0</v>
      </c>
      <c r="AU1438" s="0" t="n">
        <v>0</v>
      </c>
      <c r="AV1438" s="0" t="n">
        <v>0</v>
      </c>
      <c r="AW1438" s="0" t="n">
        <v>0</v>
      </c>
      <c r="AX1438" s="0" t="n">
        <v>0</v>
      </c>
      <c r="AY1438" s="0" t="n">
        <v>0</v>
      </c>
      <c r="AZ1438" s="0" t="n">
        <v>0</v>
      </c>
      <c r="BA1438" s="0" t="n">
        <v>0</v>
      </c>
      <c r="BB1438" s="0" t="n">
        <v>0</v>
      </c>
      <c r="BC1438" s="0" t="n">
        <v>0</v>
      </c>
      <c r="BD1438" s="0" t="n">
        <v>0</v>
      </c>
      <c r="BE1438" s="0" t="n">
        <v>0</v>
      </c>
      <c r="BF1438" s="0" t="n">
        <v>0</v>
      </c>
      <c r="BG1438" s="0" t="n">
        <v>0</v>
      </c>
      <c r="BH1438" s="0" t="n">
        <v>0</v>
      </c>
      <c r="BI1438" s="0" t="n">
        <v>0</v>
      </c>
      <c r="BJ1438" s="0" t="n">
        <v>0</v>
      </c>
      <c r="BK1438" s="0" t="n">
        <v>0</v>
      </c>
      <c r="BM1438" s="6" t="n">
        <f aca="false">IFERROR(VALUE(F1438),"")</f>
        <v>156.49</v>
      </c>
      <c r="BN1438" s="6" t="str">
        <f aca="false">IF(R1438="-","",IFERROR(VALUE(LEFT(Q1438,LEN(Q1438)-2)),""))</f>
        <v/>
      </c>
      <c r="BO1438" s="6" t="str">
        <f aca="false">IF(R1438="-","",IFERROR(VALUE(LEFT(R1438,LEN(R1438)-5)),""))</f>
        <v/>
      </c>
      <c r="BP1438" s="6" t="str">
        <f aca="false">IF(R1438="-","",IFERROR(VALUE(F1438),""))</f>
        <v/>
      </c>
      <c r="BQ1438" s="4" t="n">
        <f aca="false">IF(R1438="-",1,0)</f>
        <v>1</v>
      </c>
    </row>
    <row r="1439" customFormat="false" ht="15" hidden="false" customHeight="false" outlineLevel="0" collapsed="false">
      <c r="A1439" s="0" t="s">
        <v>5403</v>
      </c>
      <c r="B1439" s="0" t="s">
        <v>5404</v>
      </c>
      <c r="C1439" s="0" t="s">
        <v>70</v>
      </c>
      <c r="E1439" s="3" t="n">
        <v>46275</v>
      </c>
      <c r="F1439" s="4" t="s">
        <v>5411</v>
      </c>
      <c r="G1439" s="5" t="n">
        <v>0.189074074074074</v>
      </c>
      <c r="H1439" s="5" t="n">
        <v>0</v>
      </c>
      <c r="I1439" s="5" t="n">
        <v>0.000196759259259259</v>
      </c>
      <c r="J1439" s="0" t="n">
        <v>4</v>
      </c>
      <c r="K1439" s="0" t="n">
        <v>3</v>
      </c>
      <c r="L1439" s="0" t="n">
        <v>0</v>
      </c>
      <c r="M1439" s="0" t="n">
        <v>0</v>
      </c>
      <c r="N1439" s="0" t="n">
        <v>6</v>
      </c>
      <c r="O1439" s="5" t="n">
        <v>0</v>
      </c>
      <c r="P1439" s="5" t="n">
        <v>0</v>
      </c>
      <c r="Q1439" s="4" t="s">
        <v>73</v>
      </c>
      <c r="R1439" s="4" t="s">
        <v>73</v>
      </c>
      <c r="S1439" s="5" t="n">
        <v>0</v>
      </c>
      <c r="T1439" s="5" t="n">
        <v>0</v>
      </c>
      <c r="U1439" s="5" t="n">
        <v>0</v>
      </c>
      <c r="V1439" s="5" t="n">
        <v>0</v>
      </c>
      <c r="W1439" s="5" t="n">
        <v>0</v>
      </c>
      <c r="X1439" s="5" t="n">
        <v>0</v>
      </c>
      <c r="Y1439" s="5" t="n">
        <v>0</v>
      </c>
      <c r="Z1439" s="0" t="n">
        <v>0</v>
      </c>
      <c r="AA1439" s="0" t="n">
        <v>0</v>
      </c>
      <c r="AB1439" s="0" t="n">
        <v>0</v>
      </c>
      <c r="AC1439" s="4" t="s">
        <v>158</v>
      </c>
      <c r="AD1439" s="4" t="s">
        <v>158</v>
      </c>
      <c r="AE1439" s="4" t="s">
        <v>5410</v>
      </c>
      <c r="AF1439" s="4" t="s">
        <v>5412</v>
      </c>
      <c r="AG1439" s="5" t="n">
        <v>0.180104166666667</v>
      </c>
      <c r="AH1439" s="5" t="n">
        <v>0.0775694444444444</v>
      </c>
      <c r="AI1439" s="5" t="n">
        <v>0</v>
      </c>
      <c r="AJ1439" s="5" t="n">
        <v>0</v>
      </c>
      <c r="AK1439" s="5" t="n">
        <v>0</v>
      </c>
      <c r="AL1439" s="5" t="n">
        <v>0</v>
      </c>
      <c r="AM1439" s="4" t="s">
        <v>78</v>
      </c>
      <c r="AN1439" s="0" t="n">
        <v>0</v>
      </c>
      <c r="AO1439" s="0" t="n">
        <v>0</v>
      </c>
      <c r="AP1439" s="0" t="n">
        <v>0</v>
      </c>
      <c r="AQ1439" s="0" t="n">
        <v>0</v>
      </c>
      <c r="AR1439" s="0" t="n">
        <v>0</v>
      </c>
      <c r="AS1439" s="0" t="n">
        <v>0</v>
      </c>
      <c r="AT1439" s="0" t="n">
        <v>0</v>
      </c>
      <c r="AU1439" s="0" t="n">
        <v>0</v>
      </c>
      <c r="AV1439" s="0" t="n">
        <v>0</v>
      </c>
      <c r="AW1439" s="0" t="n">
        <v>0</v>
      </c>
      <c r="AX1439" s="0" t="n">
        <v>0</v>
      </c>
      <c r="AY1439" s="0" t="n">
        <v>0</v>
      </c>
      <c r="AZ1439" s="0" t="n">
        <v>0</v>
      </c>
      <c r="BA1439" s="0" t="n">
        <v>0</v>
      </c>
      <c r="BB1439" s="0" t="n">
        <v>0</v>
      </c>
      <c r="BC1439" s="0" t="n">
        <v>0</v>
      </c>
      <c r="BD1439" s="0" t="n">
        <v>0</v>
      </c>
      <c r="BE1439" s="0" t="n">
        <v>0</v>
      </c>
      <c r="BF1439" s="0" t="n">
        <v>0</v>
      </c>
      <c r="BG1439" s="0" t="n">
        <v>0</v>
      </c>
      <c r="BH1439" s="0" t="n">
        <v>0</v>
      </c>
      <c r="BI1439" s="0" t="n">
        <v>0</v>
      </c>
      <c r="BJ1439" s="0" t="n">
        <v>0</v>
      </c>
      <c r="BK1439" s="0" t="n">
        <v>0</v>
      </c>
      <c r="BM1439" s="6" t="n">
        <f aca="false">IFERROR(VALUE(F1439),"")</f>
        <v>158.18</v>
      </c>
      <c r="BN1439" s="6" t="str">
        <f aca="false">IF(R1439="-","",IFERROR(VALUE(LEFT(Q1439,LEN(Q1439)-2)),""))</f>
        <v/>
      </c>
      <c r="BO1439" s="6" t="str">
        <f aca="false">IF(R1439="-","",IFERROR(VALUE(LEFT(R1439,LEN(R1439)-5)),""))</f>
        <v/>
      </c>
      <c r="BP1439" s="6" t="str">
        <f aca="false">IF(R1439="-","",IFERROR(VALUE(F1439),""))</f>
        <v/>
      </c>
      <c r="BQ1439" s="4" t="n">
        <f aca="false">IF(R1439="-",1,0)</f>
        <v>1</v>
      </c>
    </row>
    <row r="1440" customFormat="false" ht="15" hidden="false" customHeight="false" outlineLevel="0" collapsed="false">
      <c r="A1440" s="0" t="s">
        <v>5403</v>
      </c>
      <c r="B1440" s="0" t="s">
        <v>5404</v>
      </c>
      <c r="C1440" s="0" t="s">
        <v>70</v>
      </c>
      <c r="E1440" s="3" t="n">
        <v>46276</v>
      </c>
      <c r="F1440" s="4" t="s">
        <v>5413</v>
      </c>
      <c r="G1440" s="5" t="n">
        <v>0.336655092592593</v>
      </c>
      <c r="H1440" s="5" t="n">
        <v>0</v>
      </c>
      <c r="I1440" s="5" t="n">
        <v>0.000590277777777778</v>
      </c>
      <c r="J1440" s="0" t="n">
        <v>2</v>
      </c>
      <c r="K1440" s="0" t="n">
        <v>3</v>
      </c>
      <c r="L1440" s="0" t="n">
        <v>0</v>
      </c>
      <c r="M1440" s="0" t="n">
        <v>0</v>
      </c>
      <c r="N1440" s="0" t="n">
        <v>16</v>
      </c>
      <c r="O1440" s="5" t="n">
        <v>0</v>
      </c>
      <c r="P1440" s="5" t="n">
        <v>0</v>
      </c>
      <c r="Q1440" s="4" t="s">
        <v>73</v>
      </c>
      <c r="R1440" s="4" t="s">
        <v>73</v>
      </c>
      <c r="S1440" s="5" t="n">
        <v>0</v>
      </c>
      <c r="T1440" s="5" t="n">
        <v>0</v>
      </c>
      <c r="U1440" s="5" t="n">
        <v>0</v>
      </c>
      <c r="V1440" s="5" t="n">
        <v>0</v>
      </c>
      <c r="W1440" s="5" t="n">
        <v>0</v>
      </c>
      <c r="X1440" s="5" t="n">
        <v>0</v>
      </c>
      <c r="Y1440" s="5" t="n">
        <v>0</v>
      </c>
      <c r="Z1440" s="0" t="n">
        <v>0</v>
      </c>
      <c r="AA1440" s="0" t="n">
        <v>0</v>
      </c>
      <c r="AB1440" s="0" t="n">
        <v>0</v>
      </c>
      <c r="AC1440" s="4" t="s">
        <v>158</v>
      </c>
      <c r="AD1440" s="4" t="s">
        <v>158</v>
      </c>
      <c r="AE1440" s="4" t="s">
        <v>5412</v>
      </c>
      <c r="AF1440" s="4" t="s">
        <v>5414</v>
      </c>
      <c r="AG1440" s="5" t="n">
        <v>0.313912037037037</v>
      </c>
      <c r="AH1440" s="5" t="n">
        <v>0.161990740740741</v>
      </c>
      <c r="AI1440" s="5" t="n">
        <v>0</v>
      </c>
      <c r="AJ1440" s="5" t="n">
        <v>0</v>
      </c>
      <c r="AK1440" s="5" t="n">
        <v>0</v>
      </c>
      <c r="AL1440" s="5" t="n">
        <v>0</v>
      </c>
      <c r="AM1440" s="4" t="s">
        <v>78</v>
      </c>
      <c r="AN1440" s="0" t="n">
        <v>0</v>
      </c>
      <c r="AO1440" s="0" t="n">
        <v>0</v>
      </c>
      <c r="AP1440" s="0" t="n">
        <v>0</v>
      </c>
      <c r="AQ1440" s="0" t="n">
        <v>0</v>
      </c>
      <c r="AR1440" s="0" t="n">
        <v>0</v>
      </c>
      <c r="AS1440" s="0" t="n">
        <v>0</v>
      </c>
      <c r="AT1440" s="0" t="n">
        <v>0</v>
      </c>
      <c r="AU1440" s="0" t="n">
        <v>0</v>
      </c>
      <c r="AV1440" s="0" t="n">
        <v>0</v>
      </c>
      <c r="AW1440" s="0" t="n">
        <v>0</v>
      </c>
      <c r="AX1440" s="0" t="n">
        <v>0</v>
      </c>
      <c r="AY1440" s="0" t="n">
        <v>0</v>
      </c>
      <c r="AZ1440" s="0" t="n">
        <v>0</v>
      </c>
      <c r="BA1440" s="0" t="n">
        <v>0</v>
      </c>
      <c r="BB1440" s="0" t="n">
        <v>0</v>
      </c>
      <c r="BC1440" s="0" t="n">
        <v>0</v>
      </c>
      <c r="BD1440" s="0" t="n">
        <v>0</v>
      </c>
      <c r="BE1440" s="0" t="n">
        <v>0</v>
      </c>
      <c r="BF1440" s="0" t="n">
        <v>0</v>
      </c>
      <c r="BG1440" s="0" t="n">
        <v>0</v>
      </c>
      <c r="BH1440" s="0" t="n">
        <v>0</v>
      </c>
      <c r="BI1440" s="0" t="n">
        <v>0</v>
      </c>
      <c r="BJ1440" s="0" t="n">
        <v>0</v>
      </c>
      <c r="BK1440" s="0" t="n">
        <v>0</v>
      </c>
      <c r="BM1440" s="6" t="n">
        <f aca="false">IFERROR(VALUE(F1440),"")</f>
        <v>271.08</v>
      </c>
      <c r="BN1440" s="6" t="str">
        <f aca="false">IF(R1440="-","",IFERROR(VALUE(LEFT(Q1440,LEN(Q1440)-2)),""))</f>
        <v/>
      </c>
      <c r="BO1440" s="6" t="str">
        <f aca="false">IF(R1440="-","",IFERROR(VALUE(LEFT(R1440,LEN(R1440)-5)),""))</f>
        <v/>
      </c>
      <c r="BP1440" s="6" t="str">
        <f aca="false">IF(R1440="-","",IFERROR(VALUE(F1440),""))</f>
        <v/>
      </c>
      <c r="BQ1440" s="4" t="n">
        <f aca="false">IF(R1440="-",1,0)</f>
        <v>1</v>
      </c>
    </row>
    <row r="1441" customFormat="false" ht="15" hidden="false" customHeight="false" outlineLevel="0" collapsed="false">
      <c r="A1441" s="0" t="s">
        <v>5403</v>
      </c>
      <c r="B1441" s="0" t="s">
        <v>5404</v>
      </c>
      <c r="C1441" s="0" t="s">
        <v>70</v>
      </c>
      <c r="E1441" s="3" t="n">
        <v>46277</v>
      </c>
      <c r="F1441" s="4" t="s">
        <v>5415</v>
      </c>
      <c r="G1441" s="5" t="n">
        <v>0.101574074074074</v>
      </c>
      <c r="H1441" s="5" t="n">
        <v>0</v>
      </c>
      <c r="I1441" s="5" t="n">
        <v>0.00729166666666667</v>
      </c>
      <c r="J1441" s="0" t="n">
        <v>2</v>
      </c>
      <c r="K1441" s="0" t="n">
        <v>2</v>
      </c>
      <c r="L1441" s="0" t="n">
        <v>0</v>
      </c>
      <c r="M1441" s="0" t="n">
        <v>0</v>
      </c>
      <c r="N1441" s="0" t="n">
        <v>17</v>
      </c>
      <c r="O1441" s="5" t="n">
        <v>0</v>
      </c>
      <c r="P1441" s="5" t="n">
        <v>0</v>
      </c>
      <c r="Q1441" s="4" t="s">
        <v>73</v>
      </c>
      <c r="R1441" s="4" t="s">
        <v>73</v>
      </c>
      <c r="S1441" s="5" t="n">
        <v>0</v>
      </c>
      <c r="T1441" s="5" t="n">
        <v>0</v>
      </c>
      <c r="U1441" s="5" t="n">
        <v>0</v>
      </c>
      <c r="V1441" s="5" t="n">
        <v>0</v>
      </c>
      <c r="W1441" s="5" t="n">
        <v>0</v>
      </c>
      <c r="X1441" s="5" t="n">
        <v>0</v>
      </c>
      <c r="Y1441" s="5" t="n">
        <v>0</v>
      </c>
      <c r="Z1441" s="0" t="n">
        <v>0</v>
      </c>
      <c r="AA1441" s="0" t="n">
        <v>0</v>
      </c>
      <c r="AB1441" s="0" t="n">
        <v>0</v>
      </c>
      <c r="AC1441" s="4" t="s">
        <v>158</v>
      </c>
      <c r="AD1441" s="4" t="s">
        <v>158</v>
      </c>
      <c r="AE1441" s="4" t="s">
        <v>5414</v>
      </c>
      <c r="AF1441" s="4" t="s">
        <v>5416</v>
      </c>
      <c r="AG1441" s="5" t="n">
        <v>0.0886226851851852</v>
      </c>
      <c r="AH1441" s="5" t="n">
        <v>0.0480324074074074</v>
      </c>
      <c r="AI1441" s="5" t="n">
        <v>0</v>
      </c>
      <c r="AJ1441" s="5" t="n">
        <v>0</v>
      </c>
      <c r="AK1441" s="5" t="n">
        <v>0</v>
      </c>
      <c r="AL1441" s="5" t="n">
        <v>0</v>
      </c>
      <c r="AM1441" s="4" t="s">
        <v>78</v>
      </c>
      <c r="AN1441" s="0" t="n">
        <v>0</v>
      </c>
      <c r="AO1441" s="0" t="n">
        <v>0</v>
      </c>
      <c r="AP1441" s="0" t="n">
        <v>0</v>
      </c>
      <c r="AQ1441" s="0" t="n">
        <v>0</v>
      </c>
      <c r="AR1441" s="0" t="n">
        <v>1</v>
      </c>
      <c r="AS1441" s="0" t="n">
        <v>0</v>
      </c>
      <c r="AT1441" s="0" t="n">
        <v>0</v>
      </c>
      <c r="AU1441" s="0" t="n">
        <v>0</v>
      </c>
      <c r="AV1441" s="0" t="n">
        <v>0</v>
      </c>
      <c r="AW1441" s="0" t="n">
        <v>0</v>
      </c>
      <c r="AX1441" s="0" t="n">
        <v>0</v>
      </c>
      <c r="AY1441" s="0" t="n">
        <v>0</v>
      </c>
      <c r="AZ1441" s="0" t="n">
        <v>0</v>
      </c>
      <c r="BA1441" s="0" t="n">
        <v>0</v>
      </c>
      <c r="BB1441" s="0" t="n">
        <v>0</v>
      </c>
      <c r="BC1441" s="0" t="n">
        <v>0</v>
      </c>
      <c r="BD1441" s="0" t="n">
        <v>0</v>
      </c>
      <c r="BE1441" s="0" t="n">
        <v>0</v>
      </c>
      <c r="BF1441" s="0" t="n">
        <v>0</v>
      </c>
      <c r="BG1441" s="0" t="n">
        <v>0</v>
      </c>
      <c r="BH1441" s="0" t="n">
        <v>0</v>
      </c>
      <c r="BI1441" s="0" t="n">
        <v>0</v>
      </c>
      <c r="BJ1441" s="0" t="n">
        <v>0</v>
      </c>
      <c r="BK1441" s="0" t="n">
        <v>0</v>
      </c>
      <c r="BM1441" s="6" t="n">
        <f aca="false">IFERROR(VALUE(F1441),"")</f>
        <v>79.78</v>
      </c>
      <c r="BN1441" s="6" t="str">
        <f aca="false">IF(R1441="-","",IFERROR(VALUE(LEFT(Q1441,LEN(Q1441)-2)),""))</f>
        <v/>
      </c>
      <c r="BO1441" s="6" t="str">
        <f aca="false">IF(R1441="-","",IFERROR(VALUE(LEFT(R1441,LEN(R1441)-5)),""))</f>
        <v/>
      </c>
      <c r="BP1441" s="6" t="str">
        <f aca="false">IF(R1441="-","",IFERROR(VALUE(F1441),""))</f>
        <v/>
      </c>
      <c r="BQ1441" s="4" t="n">
        <f aca="false">IF(R1441="-",1,0)</f>
        <v>1</v>
      </c>
    </row>
    <row r="1442" customFormat="false" ht="15" hidden="false" customHeight="false" outlineLevel="0" collapsed="false">
      <c r="A1442" s="0" t="s">
        <v>5403</v>
      </c>
      <c r="B1442" s="0" t="s">
        <v>5404</v>
      </c>
      <c r="C1442" s="0" t="s">
        <v>70</v>
      </c>
      <c r="D1442" s="0" t="s">
        <v>5313</v>
      </c>
      <c r="E1442" s="3" t="n">
        <v>46279</v>
      </c>
      <c r="F1442" s="4" t="s">
        <v>5417</v>
      </c>
      <c r="G1442" s="5" t="n">
        <v>0.311215277777778</v>
      </c>
      <c r="H1442" s="5" t="n">
        <v>0.0831597222222222</v>
      </c>
      <c r="I1442" s="5" t="n">
        <v>0.000358796296296296</v>
      </c>
      <c r="J1442" s="0" t="n">
        <v>1</v>
      </c>
      <c r="K1442" s="0" t="n">
        <v>2</v>
      </c>
      <c r="L1442" s="0" t="n">
        <v>0</v>
      </c>
      <c r="M1442" s="0" t="n">
        <v>0</v>
      </c>
      <c r="N1442" s="0" t="n">
        <v>4</v>
      </c>
      <c r="O1442" s="5" t="n">
        <v>0</v>
      </c>
      <c r="P1442" s="5" t="n">
        <v>0</v>
      </c>
      <c r="Q1442" s="4" t="s">
        <v>73</v>
      </c>
      <c r="R1442" s="4" t="s">
        <v>73</v>
      </c>
      <c r="S1442" s="5" t="n">
        <v>0</v>
      </c>
      <c r="T1442" s="5" t="n">
        <v>0</v>
      </c>
      <c r="U1442" s="5" t="n">
        <v>0</v>
      </c>
      <c r="V1442" s="5" t="n">
        <v>0</v>
      </c>
      <c r="W1442" s="5" t="n">
        <v>0</v>
      </c>
      <c r="X1442" s="5" t="n">
        <v>0</v>
      </c>
      <c r="Y1442" s="5" t="n">
        <v>0</v>
      </c>
      <c r="Z1442" s="0" t="n">
        <v>0</v>
      </c>
      <c r="AA1442" s="0" t="n">
        <v>0</v>
      </c>
      <c r="AB1442" s="0" t="n">
        <v>0</v>
      </c>
      <c r="AC1442" s="4" t="s">
        <v>864</v>
      </c>
      <c r="AD1442" s="4" t="s">
        <v>158</v>
      </c>
      <c r="AE1442" s="4" t="s">
        <v>5416</v>
      </c>
      <c r="AF1442" s="4" t="s">
        <v>5418</v>
      </c>
      <c r="AG1442" s="5" t="n">
        <v>0.285787037037037</v>
      </c>
      <c r="AH1442" s="5" t="n">
        <v>0.120972222222222</v>
      </c>
      <c r="AI1442" s="5" t="n">
        <v>0</v>
      </c>
      <c r="AJ1442" s="5" t="n">
        <v>0</v>
      </c>
      <c r="AK1442" s="5" t="n">
        <v>0</v>
      </c>
      <c r="AL1442" s="5" t="n">
        <v>0</v>
      </c>
      <c r="AM1442" s="4" t="s">
        <v>78</v>
      </c>
      <c r="AN1442" s="0" t="n">
        <v>0</v>
      </c>
      <c r="AO1442" s="0" t="n">
        <v>0</v>
      </c>
      <c r="AP1442" s="0" t="n">
        <v>0</v>
      </c>
      <c r="AQ1442" s="0" t="n">
        <v>0</v>
      </c>
      <c r="AR1442" s="0" t="n">
        <v>0</v>
      </c>
      <c r="AS1442" s="0" t="n">
        <v>0</v>
      </c>
      <c r="AT1442" s="0" t="n">
        <v>0</v>
      </c>
      <c r="AU1442" s="0" t="n">
        <v>0</v>
      </c>
      <c r="AV1442" s="0" t="n">
        <v>0</v>
      </c>
      <c r="AW1442" s="0" t="n">
        <v>0</v>
      </c>
      <c r="AX1442" s="0" t="n">
        <v>0</v>
      </c>
      <c r="AY1442" s="0" t="n">
        <v>0</v>
      </c>
      <c r="AZ1442" s="0" t="n">
        <v>0</v>
      </c>
      <c r="BA1442" s="0" t="n">
        <v>0</v>
      </c>
      <c r="BB1442" s="0" t="n">
        <v>0</v>
      </c>
      <c r="BC1442" s="0" t="n">
        <v>0</v>
      </c>
      <c r="BD1442" s="0" t="n">
        <v>0</v>
      </c>
      <c r="BE1442" s="0" t="n">
        <v>0</v>
      </c>
      <c r="BF1442" s="0" t="n">
        <v>0</v>
      </c>
      <c r="BG1442" s="0" t="n">
        <v>0</v>
      </c>
      <c r="BH1442" s="0" t="n">
        <v>0</v>
      </c>
      <c r="BI1442" s="0" t="n">
        <v>0</v>
      </c>
      <c r="BJ1442" s="0" t="n">
        <v>0</v>
      </c>
      <c r="BK1442" s="0" t="n">
        <v>0</v>
      </c>
      <c r="BM1442" s="6" t="n">
        <f aca="false">IFERROR(VALUE(F1442),"")</f>
        <v>267.06</v>
      </c>
      <c r="BN1442" s="6" t="str">
        <f aca="false">IF(R1442="-","",IFERROR(VALUE(LEFT(Q1442,LEN(Q1442)-2)),""))</f>
        <v/>
      </c>
      <c r="BO1442" s="6" t="str">
        <f aca="false">IF(R1442="-","",IFERROR(VALUE(LEFT(R1442,LEN(R1442)-5)),""))</f>
        <v/>
      </c>
      <c r="BP1442" s="6" t="str">
        <f aca="false">IF(R1442="-","",IFERROR(VALUE(F1442),""))</f>
        <v/>
      </c>
      <c r="BQ1442" s="4" t="n">
        <f aca="false">IF(R1442="-",1,0)</f>
        <v>1</v>
      </c>
    </row>
    <row r="1443" customFormat="false" ht="15" hidden="false" customHeight="false" outlineLevel="0" collapsed="false">
      <c r="A1443" s="0" t="s">
        <v>5419</v>
      </c>
      <c r="B1443" s="0" t="s">
        <v>5420</v>
      </c>
      <c r="C1443" s="0" t="s">
        <v>70</v>
      </c>
      <c r="D1443" s="0" t="s">
        <v>5421</v>
      </c>
      <c r="E1443" s="3" t="n">
        <v>46273</v>
      </c>
      <c r="F1443" s="4" t="s">
        <v>5422</v>
      </c>
      <c r="G1443" s="5" t="n">
        <v>0.184537037037037</v>
      </c>
      <c r="H1443" s="5" t="n">
        <v>0.182094907407407</v>
      </c>
      <c r="I1443" s="5" t="n">
        <v>0.000972222222222222</v>
      </c>
      <c r="J1443" s="0" t="n">
        <v>0</v>
      </c>
      <c r="K1443" s="0" t="n">
        <v>4</v>
      </c>
      <c r="L1443" s="0" t="n">
        <v>0</v>
      </c>
      <c r="M1443" s="0" t="n">
        <v>0</v>
      </c>
      <c r="N1443" s="0" t="n">
        <v>5</v>
      </c>
      <c r="O1443" s="5" t="n">
        <v>0</v>
      </c>
      <c r="P1443" s="5" t="n">
        <v>0</v>
      </c>
      <c r="Q1443" s="4" t="s">
        <v>73</v>
      </c>
      <c r="R1443" s="4" t="s">
        <v>73</v>
      </c>
      <c r="S1443" s="5" t="n">
        <v>0</v>
      </c>
      <c r="T1443" s="5" t="n">
        <v>0</v>
      </c>
      <c r="U1443" s="5" t="n">
        <v>0</v>
      </c>
      <c r="V1443" s="5" t="n">
        <v>0</v>
      </c>
      <c r="W1443" s="5" t="n">
        <v>0</v>
      </c>
      <c r="X1443" s="5" t="n">
        <v>0</v>
      </c>
      <c r="Y1443" s="5" t="n">
        <v>0</v>
      </c>
      <c r="Z1443" s="0" t="n">
        <v>0</v>
      </c>
      <c r="AA1443" s="0" t="n">
        <v>0</v>
      </c>
      <c r="AB1443" s="0" t="n">
        <v>0</v>
      </c>
      <c r="AC1443" s="4" t="s">
        <v>158</v>
      </c>
      <c r="AD1443" s="4" t="s">
        <v>158</v>
      </c>
      <c r="AE1443" s="4" t="s">
        <v>5423</v>
      </c>
      <c r="AF1443" s="4" t="s">
        <v>5424</v>
      </c>
      <c r="AG1443" s="5" t="n">
        <v>0.173599537037037</v>
      </c>
      <c r="AH1443" s="5" t="n">
        <v>0.0730092592592593</v>
      </c>
      <c r="AI1443" s="5" t="n">
        <v>0</v>
      </c>
      <c r="AJ1443" s="5" t="n">
        <v>0</v>
      </c>
      <c r="AK1443" s="5" t="n">
        <v>0</v>
      </c>
      <c r="AL1443" s="5" t="n">
        <v>0</v>
      </c>
      <c r="AM1443" s="4" t="s">
        <v>78</v>
      </c>
      <c r="AN1443" s="0" t="n">
        <v>0</v>
      </c>
      <c r="AO1443" s="0" t="n">
        <v>0</v>
      </c>
      <c r="AP1443" s="0" t="n">
        <v>0</v>
      </c>
      <c r="AQ1443" s="0" t="n">
        <v>0</v>
      </c>
      <c r="AR1443" s="0" t="n">
        <v>1</v>
      </c>
      <c r="AS1443" s="0" t="n">
        <v>0</v>
      </c>
      <c r="AT1443" s="0" t="n">
        <v>0</v>
      </c>
      <c r="AU1443" s="0" t="n">
        <v>0</v>
      </c>
      <c r="AV1443" s="0" t="n">
        <v>0</v>
      </c>
      <c r="AW1443" s="0" t="n">
        <v>0</v>
      </c>
      <c r="AX1443" s="0" t="n">
        <v>0</v>
      </c>
      <c r="AY1443" s="0" t="n">
        <v>0</v>
      </c>
      <c r="AZ1443" s="0" t="n">
        <v>0</v>
      </c>
      <c r="BA1443" s="0" t="n">
        <v>0</v>
      </c>
      <c r="BB1443" s="0" t="n">
        <v>0</v>
      </c>
      <c r="BC1443" s="0" t="n">
        <v>0</v>
      </c>
      <c r="BD1443" s="0" t="n">
        <v>0</v>
      </c>
      <c r="BE1443" s="0" t="n">
        <v>0</v>
      </c>
      <c r="BF1443" s="0" t="n">
        <v>0</v>
      </c>
      <c r="BG1443" s="0" t="n">
        <v>0</v>
      </c>
      <c r="BH1443" s="0" t="n">
        <v>0</v>
      </c>
      <c r="BI1443" s="0" t="n">
        <v>0</v>
      </c>
      <c r="BJ1443" s="0" t="n">
        <v>0</v>
      </c>
      <c r="BK1443" s="0" t="n">
        <v>0</v>
      </c>
      <c r="BM1443" s="6" t="n">
        <f aca="false">IFERROR(VALUE(F1443),"")</f>
        <v>182.72</v>
      </c>
      <c r="BN1443" s="6" t="str">
        <f aca="false">IF(R1443="-","",IFERROR(VALUE(LEFT(Q1443,LEN(Q1443)-2)),""))</f>
        <v/>
      </c>
      <c r="BO1443" s="6" t="str">
        <f aca="false">IF(R1443="-","",IFERROR(VALUE(LEFT(R1443,LEN(R1443)-5)),""))</f>
        <v/>
      </c>
      <c r="BP1443" s="6" t="str">
        <f aca="false">IF(R1443="-","",IFERROR(VALUE(F1443),""))</f>
        <v/>
      </c>
      <c r="BQ1443" s="4" t="n">
        <f aca="false">IF(R1443="-",1,0)</f>
        <v>1</v>
      </c>
    </row>
    <row r="1444" customFormat="false" ht="15" hidden="false" customHeight="false" outlineLevel="0" collapsed="false">
      <c r="A1444" s="0" t="s">
        <v>5419</v>
      </c>
      <c r="B1444" s="0" t="s">
        <v>5420</v>
      </c>
      <c r="C1444" s="0" t="s">
        <v>70</v>
      </c>
      <c r="D1444" s="0" t="s">
        <v>5421</v>
      </c>
      <c r="E1444" s="3" t="n">
        <v>46274</v>
      </c>
      <c r="F1444" s="4" t="s">
        <v>5425</v>
      </c>
      <c r="G1444" s="5" t="n">
        <v>0.072962962962963</v>
      </c>
      <c r="H1444" s="5" t="n">
        <v>0.0699768518518519</v>
      </c>
      <c r="I1444" s="5" t="n">
        <v>0.000578703703703704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5" t="n">
        <v>0</v>
      </c>
      <c r="P1444" s="5" t="n">
        <v>0</v>
      </c>
      <c r="Q1444" s="4" t="s">
        <v>73</v>
      </c>
      <c r="R1444" s="4" t="s">
        <v>73</v>
      </c>
      <c r="S1444" s="5" t="n">
        <v>0</v>
      </c>
      <c r="T1444" s="5" t="n">
        <v>0</v>
      </c>
      <c r="U1444" s="5" t="n">
        <v>0</v>
      </c>
      <c r="V1444" s="5" t="n">
        <v>0</v>
      </c>
      <c r="W1444" s="5" t="n">
        <v>0</v>
      </c>
      <c r="X1444" s="5" t="n">
        <v>0</v>
      </c>
      <c r="Y1444" s="5" t="n">
        <v>0</v>
      </c>
      <c r="Z1444" s="0" t="n">
        <v>0</v>
      </c>
      <c r="AA1444" s="0" t="n">
        <v>0</v>
      </c>
      <c r="AB1444" s="0" t="n">
        <v>0</v>
      </c>
      <c r="AC1444" s="4" t="s">
        <v>158</v>
      </c>
      <c r="AD1444" s="4" t="s">
        <v>158</v>
      </c>
      <c r="AE1444" s="4" t="s">
        <v>5424</v>
      </c>
      <c r="AF1444" s="4" t="s">
        <v>5426</v>
      </c>
      <c r="AG1444" s="5" t="n">
        <v>0.0710763888888889</v>
      </c>
      <c r="AH1444" s="5" t="n">
        <v>0.0308217592592593</v>
      </c>
      <c r="AI1444" s="5" t="n">
        <v>0</v>
      </c>
      <c r="AJ1444" s="5" t="n">
        <v>0</v>
      </c>
      <c r="AK1444" s="5" t="n">
        <v>0</v>
      </c>
      <c r="AL1444" s="5" t="n">
        <v>0</v>
      </c>
      <c r="AM1444" s="4" t="s">
        <v>78</v>
      </c>
      <c r="AN1444" s="0" t="n">
        <v>0</v>
      </c>
      <c r="AO1444" s="0" t="n">
        <v>0</v>
      </c>
      <c r="AP1444" s="0" t="n">
        <v>0</v>
      </c>
      <c r="AQ1444" s="0" t="n">
        <v>0</v>
      </c>
      <c r="AR1444" s="0" t="n">
        <v>0</v>
      </c>
      <c r="AS1444" s="0" t="n">
        <v>0</v>
      </c>
      <c r="AT1444" s="0" t="n">
        <v>0</v>
      </c>
      <c r="AU1444" s="0" t="n">
        <v>0</v>
      </c>
      <c r="AV1444" s="0" t="n">
        <v>0</v>
      </c>
      <c r="AW1444" s="0" t="n">
        <v>0</v>
      </c>
      <c r="AX1444" s="0" t="n">
        <v>0</v>
      </c>
      <c r="AY1444" s="0" t="n">
        <v>0</v>
      </c>
      <c r="AZ1444" s="0" t="n">
        <v>0</v>
      </c>
      <c r="BA1444" s="0" t="n">
        <v>0</v>
      </c>
      <c r="BB1444" s="0" t="n">
        <v>0</v>
      </c>
      <c r="BC1444" s="0" t="n">
        <v>0</v>
      </c>
      <c r="BD1444" s="0" t="n">
        <v>0</v>
      </c>
      <c r="BE1444" s="0" t="n">
        <v>0</v>
      </c>
      <c r="BF1444" s="0" t="n">
        <v>0</v>
      </c>
      <c r="BG1444" s="0" t="n">
        <v>0</v>
      </c>
      <c r="BH1444" s="0" t="n">
        <v>0</v>
      </c>
      <c r="BI1444" s="0" t="n">
        <v>0</v>
      </c>
      <c r="BJ1444" s="0" t="n">
        <v>0</v>
      </c>
      <c r="BK1444" s="0" t="n">
        <v>0</v>
      </c>
      <c r="BM1444" s="6" t="n">
        <f aca="false">IFERROR(VALUE(F1444),"")</f>
        <v>80.15</v>
      </c>
      <c r="BN1444" s="6" t="str">
        <f aca="false">IF(R1444="-","",IFERROR(VALUE(LEFT(Q1444,LEN(Q1444)-2)),""))</f>
        <v/>
      </c>
      <c r="BO1444" s="6" t="str">
        <f aca="false">IF(R1444="-","",IFERROR(VALUE(LEFT(R1444,LEN(R1444)-5)),""))</f>
        <v/>
      </c>
      <c r="BP1444" s="6" t="str">
        <f aca="false">IF(R1444="-","",IFERROR(VALUE(F1444),""))</f>
        <v/>
      </c>
      <c r="BQ1444" s="4" t="n">
        <f aca="false">IF(R1444="-",1,0)</f>
        <v>1</v>
      </c>
    </row>
    <row r="1445" customFormat="false" ht="15" hidden="false" customHeight="false" outlineLevel="0" collapsed="false">
      <c r="A1445" s="0" t="s">
        <v>5419</v>
      </c>
      <c r="B1445" s="0" t="s">
        <v>5420</v>
      </c>
      <c r="C1445" s="0" t="s">
        <v>70</v>
      </c>
      <c r="D1445" s="0" t="s">
        <v>5421</v>
      </c>
      <c r="E1445" s="3" t="n">
        <v>46275</v>
      </c>
      <c r="F1445" s="4" t="s">
        <v>5427</v>
      </c>
      <c r="G1445" s="5" t="n">
        <v>0.0973726851851852</v>
      </c>
      <c r="H1445" s="5" t="n">
        <v>0.0347916666666667</v>
      </c>
      <c r="I1445" s="5" t="n">
        <v>0.000393518518518519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5" t="n">
        <v>0</v>
      </c>
      <c r="P1445" s="5" t="n">
        <v>0</v>
      </c>
      <c r="Q1445" s="4" t="s">
        <v>73</v>
      </c>
      <c r="R1445" s="4" t="s">
        <v>73</v>
      </c>
      <c r="S1445" s="5" t="n">
        <v>0</v>
      </c>
      <c r="T1445" s="5" t="n">
        <v>0</v>
      </c>
      <c r="U1445" s="5" t="n">
        <v>0</v>
      </c>
      <c r="V1445" s="5" t="n">
        <v>0</v>
      </c>
      <c r="W1445" s="5" t="n">
        <v>0</v>
      </c>
      <c r="X1445" s="5" t="n">
        <v>0</v>
      </c>
      <c r="Y1445" s="5" t="n">
        <v>0</v>
      </c>
      <c r="Z1445" s="0" t="n">
        <v>0</v>
      </c>
      <c r="AA1445" s="0" t="n">
        <v>0</v>
      </c>
      <c r="AB1445" s="0" t="n">
        <v>0</v>
      </c>
      <c r="AC1445" s="4" t="s">
        <v>158</v>
      </c>
      <c r="AD1445" s="4" t="s">
        <v>158</v>
      </c>
      <c r="AE1445" s="4" t="s">
        <v>5426</v>
      </c>
      <c r="AF1445" s="4" t="s">
        <v>5428</v>
      </c>
      <c r="AG1445" s="5" t="n">
        <v>0.086712962962963</v>
      </c>
      <c r="AH1445" s="5" t="n">
        <v>0.0276736111111111</v>
      </c>
      <c r="AI1445" s="5" t="n">
        <v>0</v>
      </c>
      <c r="AJ1445" s="5" t="n">
        <v>0</v>
      </c>
      <c r="AK1445" s="5" t="n">
        <v>0</v>
      </c>
      <c r="AL1445" s="5" t="n">
        <v>0</v>
      </c>
      <c r="AM1445" s="4" t="s">
        <v>78</v>
      </c>
      <c r="AN1445" s="0" t="n">
        <v>0</v>
      </c>
      <c r="AO1445" s="0" t="n">
        <v>0</v>
      </c>
      <c r="AP1445" s="0" t="n">
        <v>0</v>
      </c>
      <c r="AQ1445" s="0" t="n">
        <v>0</v>
      </c>
      <c r="AR1445" s="0" t="n">
        <v>0</v>
      </c>
      <c r="AS1445" s="0" t="n">
        <v>0</v>
      </c>
      <c r="AT1445" s="0" t="n">
        <v>0</v>
      </c>
      <c r="AU1445" s="0" t="n">
        <v>0</v>
      </c>
      <c r="AV1445" s="0" t="n">
        <v>0</v>
      </c>
      <c r="AW1445" s="0" t="n">
        <v>0</v>
      </c>
      <c r="AX1445" s="0" t="n">
        <v>0</v>
      </c>
      <c r="AY1445" s="0" t="n">
        <v>0</v>
      </c>
      <c r="AZ1445" s="0" t="n">
        <v>0</v>
      </c>
      <c r="BA1445" s="0" t="n">
        <v>0</v>
      </c>
      <c r="BB1445" s="0" t="n">
        <v>0</v>
      </c>
      <c r="BC1445" s="0" t="n">
        <v>0</v>
      </c>
      <c r="BD1445" s="0" t="n">
        <v>0</v>
      </c>
      <c r="BE1445" s="0" t="n">
        <v>0</v>
      </c>
      <c r="BF1445" s="0" t="n">
        <v>0</v>
      </c>
      <c r="BG1445" s="0" t="n">
        <v>0</v>
      </c>
      <c r="BH1445" s="0" t="n">
        <v>0</v>
      </c>
      <c r="BI1445" s="0" t="n">
        <v>0</v>
      </c>
      <c r="BJ1445" s="0" t="n">
        <v>0</v>
      </c>
      <c r="BK1445" s="0" t="n">
        <v>0</v>
      </c>
      <c r="BM1445" s="6" t="n">
        <f aca="false">IFERROR(VALUE(F1445),"")</f>
        <v>85.73</v>
      </c>
      <c r="BN1445" s="6" t="str">
        <f aca="false">IF(R1445="-","",IFERROR(VALUE(LEFT(Q1445,LEN(Q1445)-2)),""))</f>
        <v/>
      </c>
      <c r="BO1445" s="6" t="str">
        <f aca="false">IF(R1445="-","",IFERROR(VALUE(LEFT(R1445,LEN(R1445)-5)),""))</f>
        <v/>
      </c>
      <c r="BP1445" s="6" t="str">
        <f aca="false">IF(R1445="-","",IFERROR(VALUE(F1445),""))</f>
        <v/>
      </c>
      <c r="BQ1445" s="4" t="n">
        <f aca="false">IF(R1445="-",1,0)</f>
        <v>1</v>
      </c>
    </row>
    <row r="1446" customFormat="false" ht="15" hidden="false" customHeight="false" outlineLevel="0" collapsed="false">
      <c r="A1446" s="0" t="s">
        <v>5419</v>
      </c>
      <c r="B1446" s="0" t="s">
        <v>5420</v>
      </c>
      <c r="C1446" s="0" t="s">
        <v>70</v>
      </c>
      <c r="E1446" s="3" t="n">
        <v>46276</v>
      </c>
      <c r="F1446" s="4" t="s">
        <v>5429</v>
      </c>
      <c r="G1446" s="5" t="n">
        <v>0.137175925925926</v>
      </c>
      <c r="H1446" s="5" t="n">
        <v>0</v>
      </c>
      <c r="I1446" s="5" t="n">
        <v>0.000625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5" t="n">
        <v>0</v>
      </c>
      <c r="P1446" s="5" t="n">
        <v>0</v>
      </c>
      <c r="Q1446" s="4" t="s">
        <v>73</v>
      </c>
      <c r="R1446" s="4" t="s">
        <v>73</v>
      </c>
      <c r="S1446" s="5" t="n">
        <v>0</v>
      </c>
      <c r="T1446" s="5" t="n">
        <v>0</v>
      </c>
      <c r="U1446" s="5" t="n">
        <v>0</v>
      </c>
      <c r="V1446" s="5" t="n">
        <v>0</v>
      </c>
      <c r="W1446" s="5" t="n">
        <v>0</v>
      </c>
      <c r="X1446" s="5" t="n">
        <v>0</v>
      </c>
      <c r="Y1446" s="5" t="n">
        <v>0</v>
      </c>
      <c r="Z1446" s="0" t="n">
        <v>0</v>
      </c>
      <c r="AA1446" s="0" t="n">
        <v>0</v>
      </c>
      <c r="AB1446" s="0" t="n">
        <v>0</v>
      </c>
      <c r="AC1446" s="4" t="s">
        <v>158</v>
      </c>
      <c r="AD1446" s="4" t="s">
        <v>158</v>
      </c>
      <c r="AE1446" s="4" t="s">
        <v>5428</v>
      </c>
      <c r="AF1446" s="4" t="s">
        <v>5430</v>
      </c>
      <c r="AG1446" s="5" t="n">
        <v>0.121712962962963</v>
      </c>
      <c r="AH1446" s="5" t="n">
        <v>0.0737384259259259</v>
      </c>
      <c r="AI1446" s="5" t="n">
        <v>0</v>
      </c>
      <c r="AJ1446" s="5" t="n">
        <v>0</v>
      </c>
      <c r="AK1446" s="5" t="n">
        <v>0</v>
      </c>
      <c r="AL1446" s="5" t="n">
        <v>0</v>
      </c>
      <c r="AM1446" s="4" t="s">
        <v>78</v>
      </c>
      <c r="AN1446" s="0" t="n">
        <v>0</v>
      </c>
      <c r="AO1446" s="0" t="n">
        <v>2</v>
      </c>
      <c r="AP1446" s="0" t="n">
        <v>0</v>
      </c>
      <c r="AQ1446" s="0" t="n">
        <v>0</v>
      </c>
      <c r="AR1446" s="0" t="n">
        <v>0</v>
      </c>
      <c r="AS1446" s="0" t="n">
        <v>0</v>
      </c>
      <c r="AT1446" s="0" t="n">
        <v>0</v>
      </c>
      <c r="AU1446" s="0" t="n">
        <v>0</v>
      </c>
      <c r="AV1446" s="0" t="n">
        <v>0</v>
      </c>
      <c r="AW1446" s="0" t="n">
        <v>0</v>
      </c>
      <c r="AX1446" s="0" t="n">
        <v>0</v>
      </c>
      <c r="AY1446" s="0" t="n">
        <v>0</v>
      </c>
      <c r="AZ1446" s="0" t="n">
        <v>0</v>
      </c>
      <c r="BA1446" s="0" t="n">
        <v>0</v>
      </c>
      <c r="BB1446" s="0" t="n">
        <v>0</v>
      </c>
      <c r="BC1446" s="0" t="n">
        <v>0</v>
      </c>
      <c r="BD1446" s="0" t="n">
        <v>0</v>
      </c>
      <c r="BE1446" s="0" t="n">
        <v>0</v>
      </c>
      <c r="BF1446" s="0" t="n">
        <v>0</v>
      </c>
      <c r="BG1446" s="0" t="n">
        <v>0</v>
      </c>
      <c r="BH1446" s="0" t="n">
        <v>0</v>
      </c>
      <c r="BI1446" s="0" t="n">
        <v>0</v>
      </c>
      <c r="BJ1446" s="0" t="n">
        <v>0</v>
      </c>
      <c r="BK1446" s="0" t="n">
        <v>0</v>
      </c>
      <c r="BM1446" s="6" t="n">
        <f aca="false">IFERROR(VALUE(F1446),"")</f>
        <v>98.46</v>
      </c>
      <c r="BN1446" s="6" t="str">
        <f aca="false">IF(R1446="-","",IFERROR(VALUE(LEFT(Q1446,LEN(Q1446)-2)),""))</f>
        <v/>
      </c>
      <c r="BO1446" s="6" t="str">
        <f aca="false">IF(R1446="-","",IFERROR(VALUE(LEFT(R1446,LEN(R1446)-5)),""))</f>
        <v/>
      </c>
      <c r="BP1446" s="6" t="str">
        <f aca="false">IF(R1446="-","",IFERROR(VALUE(F1446),""))</f>
        <v/>
      </c>
      <c r="BQ1446" s="4" t="n">
        <f aca="false">IF(R1446="-",1,0)</f>
        <v>1</v>
      </c>
    </row>
    <row r="1447" customFormat="false" ht="15" hidden="false" customHeight="false" outlineLevel="0" collapsed="false">
      <c r="A1447" s="0" t="s">
        <v>5419</v>
      </c>
      <c r="B1447" s="0" t="s">
        <v>5420</v>
      </c>
      <c r="C1447" s="0" t="s">
        <v>70</v>
      </c>
      <c r="E1447" s="3" t="n">
        <v>46277</v>
      </c>
      <c r="F1447" s="4" t="s">
        <v>95</v>
      </c>
      <c r="G1447" s="5" t="n">
        <v>0.000115740740740741</v>
      </c>
      <c r="H1447" s="5" t="n">
        <v>0</v>
      </c>
      <c r="I1447" s="5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5" t="n">
        <v>0</v>
      </c>
      <c r="P1447" s="5" t="n">
        <v>0</v>
      </c>
      <c r="Q1447" s="4" t="s">
        <v>73</v>
      </c>
      <c r="R1447" s="4" t="s">
        <v>73</v>
      </c>
      <c r="S1447" s="5" t="n">
        <v>0</v>
      </c>
      <c r="T1447" s="5" t="n">
        <v>0</v>
      </c>
      <c r="U1447" s="5" t="n">
        <v>0</v>
      </c>
      <c r="V1447" s="5" t="n">
        <v>0</v>
      </c>
      <c r="W1447" s="5" t="n">
        <v>0</v>
      </c>
      <c r="X1447" s="5" t="n">
        <v>0</v>
      </c>
      <c r="Y1447" s="5" t="n">
        <v>0</v>
      </c>
      <c r="Z1447" s="0" t="n">
        <v>0</v>
      </c>
      <c r="AA1447" s="0" t="n">
        <v>0</v>
      </c>
      <c r="AB1447" s="0" t="n">
        <v>0</v>
      </c>
      <c r="AC1447" s="4" t="s">
        <v>158</v>
      </c>
      <c r="AD1447" s="4" t="s">
        <v>158</v>
      </c>
      <c r="AE1447" s="4" t="s">
        <v>5430</v>
      </c>
      <c r="AF1447" s="4" t="s">
        <v>5430</v>
      </c>
      <c r="AG1447" s="5" t="n">
        <v>0</v>
      </c>
      <c r="AH1447" s="5" t="n">
        <v>0.00056712962962963</v>
      </c>
      <c r="AI1447" s="5" t="n">
        <v>0</v>
      </c>
      <c r="AJ1447" s="5" t="n">
        <v>0</v>
      </c>
      <c r="AK1447" s="5" t="n">
        <v>0</v>
      </c>
      <c r="AL1447" s="5" t="n">
        <v>0</v>
      </c>
      <c r="AM1447" s="4" t="s">
        <v>78</v>
      </c>
      <c r="AN1447" s="0" t="n">
        <v>0</v>
      </c>
      <c r="AO1447" s="0" t="n">
        <v>0</v>
      </c>
      <c r="AP1447" s="0" t="n">
        <v>0</v>
      </c>
      <c r="AQ1447" s="0" t="n">
        <v>0</v>
      </c>
      <c r="AR1447" s="0" t="n">
        <v>0</v>
      </c>
      <c r="AS1447" s="0" t="n">
        <v>0</v>
      </c>
      <c r="AT1447" s="0" t="n">
        <v>0</v>
      </c>
      <c r="AU1447" s="0" t="n">
        <v>0</v>
      </c>
      <c r="AV1447" s="0" t="n">
        <v>0</v>
      </c>
      <c r="AW1447" s="0" t="n">
        <v>0</v>
      </c>
      <c r="AX1447" s="0" t="n">
        <v>0</v>
      </c>
      <c r="AY1447" s="0" t="n">
        <v>0</v>
      </c>
      <c r="AZ1447" s="0" t="n">
        <v>0</v>
      </c>
      <c r="BA1447" s="0" t="n">
        <v>0</v>
      </c>
      <c r="BB1447" s="0" t="n">
        <v>0</v>
      </c>
      <c r="BC1447" s="0" t="n">
        <v>0</v>
      </c>
      <c r="BD1447" s="0" t="n">
        <v>0</v>
      </c>
      <c r="BE1447" s="0" t="n">
        <v>0</v>
      </c>
      <c r="BF1447" s="0" t="n">
        <v>0</v>
      </c>
      <c r="BG1447" s="0" t="n">
        <v>0</v>
      </c>
      <c r="BH1447" s="0" t="n">
        <v>0</v>
      </c>
      <c r="BI1447" s="0" t="n">
        <v>0</v>
      </c>
      <c r="BJ1447" s="0" t="n">
        <v>0</v>
      </c>
      <c r="BK1447" s="0" t="n">
        <v>0</v>
      </c>
      <c r="BM1447" s="6" t="n">
        <f aca="false">IFERROR(VALUE(F1447),"")</f>
        <v>0</v>
      </c>
      <c r="BN1447" s="6" t="str">
        <f aca="false">IF(R1447="-","",IFERROR(VALUE(LEFT(Q1447,LEN(Q1447)-2)),""))</f>
        <v/>
      </c>
      <c r="BO1447" s="6" t="str">
        <f aca="false">IF(R1447="-","",IFERROR(VALUE(LEFT(R1447,LEN(R1447)-5)),""))</f>
        <v/>
      </c>
      <c r="BP1447" s="6" t="str">
        <f aca="false">IF(R1447="-","",IFERROR(VALUE(F1447),""))</f>
        <v/>
      </c>
      <c r="BQ1447" s="4" t="n">
        <f aca="false">IF(R1447="-",1,0)</f>
        <v>1</v>
      </c>
    </row>
    <row r="1448" customFormat="false" ht="15" hidden="false" customHeight="false" outlineLevel="0" collapsed="false">
      <c r="A1448" s="0" t="s">
        <v>5419</v>
      </c>
      <c r="B1448" s="0" t="s">
        <v>5420</v>
      </c>
      <c r="C1448" s="0" t="s">
        <v>70</v>
      </c>
      <c r="E1448" s="3" t="n">
        <v>46279</v>
      </c>
      <c r="F1448" s="4" t="s">
        <v>5431</v>
      </c>
      <c r="G1448" s="5" t="n">
        <v>0.0942013888888889</v>
      </c>
      <c r="H1448" s="5" t="n">
        <v>0</v>
      </c>
      <c r="I1448" s="5" t="n">
        <v>0.000196759259259259</v>
      </c>
      <c r="J1448" s="0" t="n">
        <v>1</v>
      </c>
      <c r="K1448" s="0" t="n">
        <v>0</v>
      </c>
      <c r="L1448" s="0" t="n">
        <v>0</v>
      </c>
      <c r="M1448" s="0" t="n">
        <v>0</v>
      </c>
      <c r="N1448" s="0" t="n">
        <v>0</v>
      </c>
      <c r="O1448" s="5" t="n">
        <v>0</v>
      </c>
      <c r="P1448" s="5" t="n">
        <v>0</v>
      </c>
      <c r="Q1448" s="4" t="s">
        <v>73</v>
      </c>
      <c r="R1448" s="4" t="s">
        <v>73</v>
      </c>
      <c r="S1448" s="5" t="n">
        <v>0</v>
      </c>
      <c r="T1448" s="5" t="n">
        <v>0</v>
      </c>
      <c r="U1448" s="5" t="n">
        <v>0</v>
      </c>
      <c r="V1448" s="5" t="n">
        <v>0</v>
      </c>
      <c r="W1448" s="5" t="n">
        <v>0</v>
      </c>
      <c r="X1448" s="5" t="n">
        <v>0</v>
      </c>
      <c r="Y1448" s="5" t="n">
        <v>0</v>
      </c>
      <c r="Z1448" s="0" t="n">
        <v>0</v>
      </c>
      <c r="AA1448" s="0" t="n">
        <v>0</v>
      </c>
      <c r="AB1448" s="0" t="n">
        <v>0</v>
      </c>
      <c r="AC1448" s="4" t="s">
        <v>158</v>
      </c>
      <c r="AD1448" s="4" t="s">
        <v>158</v>
      </c>
      <c r="AE1448" s="4" t="s">
        <v>5430</v>
      </c>
      <c r="AF1448" s="4" t="s">
        <v>5432</v>
      </c>
      <c r="AG1448" s="5" t="n">
        <v>0.0834837962962963</v>
      </c>
      <c r="AH1448" s="5" t="n">
        <v>0.0323958333333333</v>
      </c>
      <c r="AI1448" s="5" t="n">
        <v>0</v>
      </c>
      <c r="AJ1448" s="5" t="n">
        <v>0</v>
      </c>
      <c r="AK1448" s="5" t="n">
        <v>0</v>
      </c>
      <c r="AL1448" s="5" t="n">
        <v>0</v>
      </c>
      <c r="AM1448" s="4" t="s">
        <v>78</v>
      </c>
      <c r="AN1448" s="0" t="n">
        <v>0</v>
      </c>
      <c r="AO1448" s="0" t="n">
        <v>0</v>
      </c>
      <c r="AP1448" s="0" t="n">
        <v>0</v>
      </c>
      <c r="AQ1448" s="0" t="n">
        <v>0</v>
      </c>
      <c r="AR1448" s="0" t="n">
        <v>0</v>
      </c>
      <c r="AS1448" s="0" t="n">
        <v>0</v>
      </c>
      <c r="AT1448" s="0" t="n">
        <v>0</v>
      </c>
      <c r="AU1448" s="0" t="n">
        <v>0</v>
      </c>
      <c r="AV1448" s="0" t="n">
        <v>0</v>
      </c>
      <c r="AW1448" s="0" t="n">
        <v>0</v>
      </c>
      <c r="AX1448" s="0" t="n">
        <v>0</v>
      </c>
      <c r="AY1448" s="0" t="n">
        <v>0</v>
      </c>
      <c r="AZ1448" s="0" t="n">
        <v>0</v>
      </c>
      <c r="BA1448" s="0" t="n">
        <v>0</v>
      </c>
      <c r="BB1448" s="0" t="n">
        <v>0</v>
      </c>
      <c r="BC1448" s="0" t="n">
        <v>0</v>
      </c>
      <c r="BD1448" s="0" t="n">
        <v>0</v>
      </c>
      <c r="BE1448" s="0" t="n">
        <v>0</v>
      </c>
      <c r="BF1448" s="0" t="n">
        <v>0</v>
      </c>
      <c r="BG1448" s="0" t="n">
        <v>0</v>
      </c>
      <c r="BH1448" s="0" t="n">
        <v>0</v>
      </c>
      <c r="BI1448" s="0" t="n">
        <v>0</v>
      </c>
      <c r="BJ1448" s="0" t="n">
        <v>0</v>
      </c>
      <c r="BK1448" s="0" t="n">
        <v>0</v>
      </c>
      <c r="BM1448" s="6" t="n">
        <f aca="false">IFERROR(VALUE(F1448),"")</f>
        <v>84.85</v>
      </c>
      <c r="BN1448" s="6" t="str">
        <f aca="false">IF(R1448="-","",IFERROR(VALUE(LEFT(Q1448,LEN(Q1448)-2)),""))</f>
        <v/>
      </c>
      <c r="BO1448" s="6" t="str">
        <f aca="false">IF(R1448="-","",IFERROR(VALUE(LEFT(R1448,LEN(R1448)-5)),""))</f>
        <v/>
      </c>
      <c r="BP1448" s="6" t="str">
        <f aca="false">IF(R1448="-","",IFERROR(VALUE(F1448),""))</f>
        <v/>
      </c>
      <c r="BQ1448" s="4" t="n">
        <f aca="false">IF(R1448="-",1,0)</f>
        <v>1</v>
      </c>
    </row>
    <row r="1449" customFormat="false" ht="15" hidden="false" customHeight="false" outlineLevel="0" collapsed="false">
      <c r="A1449" s="0" t="s">
        <v>5433</v>
      </c>
      <c r="B1449" s="0" t="s">
        <v>5434</v>
      </c>
      <c r="C1449" s="0" t="s">
        <v>70</v>
      </c>
      <c r="E1449" s="3" t="n">
        <v>46273</v>
      </c>
      <c r="F1449" s="4" t="s">
        <v>5435</v>
      </c>
      <c r="G1449" s="5" t="n">
        <v>0.176319444444444</v>
      </c>
      <c r="H1449" s="5" t="n">
        <v>0</v>
      </c>
      <c r="I1449" s="5" t="n">
        <v>0.00037037037037037</v>
      </c>
      <c r="J1449" s="0" t="n">
        <v>1</v>
      </c>
      <c r="K1449" s="0" t="n">
        <v>0</v>
      </c>
      <c r="L1449" s="0" t="n">
        <v>0</v>
      </c>
      <c r="M1449" s="0" t="n">
        <v>0</v>
      </c>
      <c r="N1449" s="0" t="n">
        <v>4</v>
      </c>
      <c r="O1449" s="5" t="n">
        <v>0</v>
      </c>
      <c r="P1449" s="5" t="n">
        <v>0</v>
      </c>
      <c r="Q1449" s="4" t="s">
        <v>73</v>
      </c>
      <c r="R1449" s="4" t="s">
        <v>73</v>
      </c>
      <c r="S1449" s="5" t="n">
        <v>0</v>
      </c>
      <c r="T1449" s="5" t="n">
        <v>0</v>
      </c>
      <c r="U1449" s="5" t="n">
        <v>0</v>
      </c>
      <c r="V1449" s="5" t="n">
        <v>0</v>
      </c>
      <c r="W1449" s="5" t="n">
        <v>0</v>
      </c>
      <c r="X1449" s="5" t="n">
        <v>0</v>
      </c>
      <c r="Y1449" s="5" t="n">
        <v>0</v>
      </c>
      <c r="Z1449" s="0" t="n">
        <v>0</v>
      </c>
      <c r="AA1449" s="0" t="n">
        <v>0</v>
      </c>
      <c r="AB1449" s="0" t="n">
        <v>0</v>
      </c>
      <c r="AC1449" s="4" t="s">
        <v>158</v>
      </c>
      <c r="AD1449" s="4" t="s">
        <v>158</v>
      </c>
      <c r="AE1449" s="4" t="s">
        <v>5436</v>
      </c>
      <c r="AF1449" s="4" t="s">
        <v>5437</v>
      </c>
      <c r="AG1449" s="5" t="n">
        <v>0.158171296296296</v>
      </c>
      <c r="AH1449" s="5" t="n">
        <v>0.0796875</v>
      </c>
      <c r="AI1449" s="5" t="n">
        <v>0</v>
      </c>
      <c r="AJ1449" s="5" t="n">
        <v>0</v>
      </c>
      <c r="AK1449" s="5" t="n">
        <v>0</v>
      </c>
      <c r="AL1449" s="5" t="n">
        <v>0</v>
      </c>
      <c r="AM1449" s="4" t="s">
        <v>78</v>
      </c>
      <c r="AN1449" s="0" t="n">
        <v>0</v>
      </c>
      <c r="AO1449" s="0" t="n">
        <v>0</v>
      </c>
      <c r="AP1449" s="0" t="n">
        <v>0</v>
      </c>
      <c r="AQ1449" s="0" t="n">
        <v>0</v>
      </c>
      <c r="AR1449" s="0" t="n">
        <v>1</v>
      </c>
      <c r="AS1449" s="0" t="n">
        <v>0</v>
      </c>
      <c r="AT1449" s="0" t="n">
        <v>0</v>
      </c>
      <c r="AU1449" s="0" t="n">
        <v>0</v>
      </c>
      <c r="AV1449" s="0" t="n">
        <v>0</v>
      </c>
      <c r="AW1449" s="0" t="n">
        <v>0</v>
      </c>
      <c r="AX1449" s="0" t="n">
        <v>0</v>
      </c>
      <c r="AY1449" s="0" t="n">
        <v>0</v>
      </c>
      <c r="AZ1449" s="0" t="n">
        <v>0</v>
      </c>
      <c r="BA1449" s="0" t="n">
        <v>0</v>
      </c>
      <c r="BB1449" s="0" t="n">
        <v>0</v>
      </c>
      <c r="BC1449" s="0" t="n">
        <v>0</v>
      </c>
      <c r="BD1449" s="0" t="n">
        <v>0</v>
      </c>
      <c r="BE1449" s="0" t="n">
        <v>0</v>
      </c>
      <c r="BF1449" s="0" t="n">
        <v>0</v>
      </c>
      <c r="BG1449" s="0" t="n">
        <v>0</v>
      </c>
      <c r="BH1449" s="0" t="n">
        <v>0</v>
      </c>
      <c r="BI1449" s="0" t="n">
        <v>0</v>
      </c>
      <c r="BJ1449" s="0" t="n">
        <v>0</v>
      </c>
      <c r="BK1449" s="0" t="n">
        <v>0</v>
      </c>
      <c r="BM1449" s="6" t="n">
        <f aca="false">IFERROR(VALUE(F1449),"")</f>
        <v>169.21</v>
      </c>
      <c r="BN1449" s="6" t="str">
        <f aca="false">IF(R1449="-","",IFERROR(VALUE(LEFT(Q1449,LEN(Q1449)-2)),""))</f>
        <v/>
      </c>
      <c r="BO1449" s="6" t="str">
        <f aca="false">IF(R1449="-","",IFERROR(VALUE(LEFT(R1449,LEN(R1449)-5)),""))</f>
        <v/>
      </c>
      <c r="BP1449" s="6" t="str">
        <f aca="false">IF(R1449="-","",IFERROR(VALUE(F1449),""))</f>
        <v/>
      </c>
      <c r="BQ1449" s="4" t="n">
        <f aca="false">IF(R1449="-",1,0)</f>
        <v>1</v>
      </c>
    </row>
    <row r="1450" customFormat="false" ht="15" hidden="false" customHeight="false" outlineLevel="0" collapsed="false">
      <c r="A1450" s="0" t="s">
        <v>5433</v>
      </c>
      <c r="B1450" s="0" t="s">
        <v>5434</v>
      </c>
      <c r="C1450" s="0" t="s">
        <v>70</v>
      </c>
      <c r="E1450" s="3" t="n">
        <v>46274</v>
      </c>
      <c r="F1450" s="4" t="s">
        <v>5438</v>
      </c>
      <c r="G1450" s="5" t="n">
        <v>0.175671296296296</v>
      </c>
      <c r="H1450" s="5" t="n">
        <v>0</v>
      </c>
      <c r="I1450" s="5" t="n">
        <v>0.000381944444444445</v>
      </c>
      <c r="J1450" s="0" t="n">
        <v>1</v>
      </c>
      <c r="K1450" s="0" t="n">
        <v>2</v>
      </c>
      <c r="L1450" s="0" t="n">
        <v>0</v>
      </c>
      <c r="M1450" s="0" t="n">
        <v>0</v>
      </c>
      <c r="N1450" s="0" t="n">
        <v>1</v>
      </c>
      <c r="O1450" s="5" t="n">
        <v>0</v>
      </c>
      <c r="P1450" s="5" t="n">
        <v>0</v>
      </c>
      <c r="Q1450" s="4" t="s">
        <v>73</v>
      </c>
      <c r="R1450" s="4" t="s">
        <v>73</v>
      </c>
      <c r="S1450" s="5" t="n">
        <v>0</v>
      </c>
      <c r="T1450" s="5" t="n">
        <v>0</v>
      </c>
      <c r="U1450" s="5" t="n">
        <v>0</v>
      </c>
      <c r="V1450" s="5" t="n">
        <v>0</v>
      </c>
      <c r="W1450" s="5" t="n">
        <v>0</v>
      </c>
      <c r="X1450" s="5" t="n">
        <v>0</v>
      </c>
      <c r="Y1450" s="5" t="n">
        <v>0</v>
      </c>
      <c r="Z1450" s="0" t="n">
        <v>0</v>
      </c>
      <c r="AA1450" s="0" t="n">
        <v>0</v>
      </c>
      <c r="AB1450" s="0" t="n">
        <v>0</v>
      </c>
      <c r="AC1450" s="4" t="s">
        <v>158</v>
      </c>
      <c r="AD1450" s="4" t="s">
        <v>158</v>
      </c>
      <c r="AE1450" s="4" t="s">
        <v>5437</v>
      </c>
      <c r="AF1450" s="4" t="s">
        <v>5439</v>
      </c>
      <c r="AG1450" s="5" t="n">
        <v>0.165763888888889</v>
      </c>
      <c r="AH1450" s="5" t="n">
        <v>0.0994675925925926</v>
      </c>
      <c r="AI1450" s="5" t="n">
        <v>0</v>
      </c>
      <c r="AJ1450" s="5" t="n">
        <v>0</v>
      </c>
      <c r="AK1450" s="5" t="n">
        <v>0</v>
      </c>
      <c r="AL1450" s="5" t="n">
        <v>0</v>
      </c>
      <c r="AM1450" s="4" t="s">
        <v>78</v>
      </c>
      <c r="AN1450" s="0" t="n">
        <v>0</v>
      </c>
      <c r="AO1450" s="0" t="n">
        <v>0</v>
      </c>
      <c r="AP1450" s="0" t="n">
        <v>0</v>
      </c>
      <c r="AQ1450" s="0" t="n">
        <v>0</v>
      </c>
      <c r="AR1450" s="0" t="n">
        <v>0</v>
      </c>
      <c r="AS1450" s="0" t="n">
        <v>0</v>
      </c>
      <c r="AT1450" s="0" t="n">
        <v>0</v>
      </c>
      <c r="AU1450" s="0" t="n">
        <v>0</v>
      </c>
      <c r="AV1450" s="0" t="n">
        <v>0</v>
      </c>
      <c r="AW1450" s="0" t="n">
        <v>0</v>
      </c>
      <c r="AX1450" s="0" t="n">
        <v>0</v>
      </c>
      <c r="AY1450" s="0" t="n">
        <v>0</v>
      </c>
      <c r="AZ1450" s="0" t="n">
        <v>0</v>
      </c>
      <c r="BA1450" s="0" t="n">
        <v>0</v>
      </c>
      <c r="BB1450" s="0" t="n">
        <v>0</v>
      </c>
      <c r="BC1450" s="0" t="n">
        <v>0</v>
      </c>
      <c r="BD1450" s="0" t="n">
        <v>0</v>
      </c>
      <c r="BE1450" s="0" t="n">
        <v>0</v>
      </c>
      <c r="BF1450" s="0" t="n">
        <v>0</v>
      </c>
      <c r="BG1450" s="0" t="n">
        <v>0</v>
      </c>
      <c r="BH1450" s="0" t="n">
        <v>0</v>
      </c>
      <c r="BI1450" s="0" t="n">
        <v>0</v>
      </c>
      <c r="BJ1450" s="0" t="n">
        <v>0</v>
      </c>
      <c r="BK1450" s="0" t="n">
        <v>0</v>
      </c>
      <c r="BM1450" s="6" t="n">
        <f aca="false">IFERROR(VALUE(F1450),"")</f>
        <v>171</v>
      </c>
      <c r="BN1450" s="6" t="str">
        <f aca="false">IF(R1450="-","",IFERROR(VALUE(LEFT(Q1450,LEN(Q1450)-2)),""))</f>
        <v/>
      </c>
      <c r="BO1450" s="6" t="str">
        <f aca="false">IF(R1450="-","",IFERROR(VALUE(LEFT(R1450,LEN(R1450)-5)),""))</f>
        <v/>
      </c>
      <c r="BP1450" s="6" t="str">
        <f aca="false">IF(R1450="-","",IFERROR(VALUE(F1450),""))</f>
        <v/>
      </c>
      <c r="BQ1450" s="4" t="n">
        <f aca="false">IF(R1450="-",1,0)</f>
        <v>1</v>
      </c>
    </row>
    <row r="1451" customFormat="false" ht="15" hidden="false" customHeight="false" outlineLevel="0" collapsed="false">
      <c r="A1451" s="0" t="s">
        <v>5433</v>
      </c>
      <c r="B1451" s="0" t="s">
        <v>5434</v>
      </c>
      <c r="C1451" s="0" t="s">
        <v>70</v>
      </c>
      <c r="E1451" s="3" t="n">
        <v>46275</v>
      </c>
      <c r="F1451" s="4" t="s">
        <v>5440</v>
      </c>
      <c r="G1451" s="5" t="n">
        <v>0.273136574074074</v>
      </c>
      <c r="H1451" s="5" t="n">
        <v>0</v>
      </c>
      <c r="I1451" s="5" t="n">
        <v>0.0003125</v>
      </c>
      <c r="J1451" s="0" t="n">
        <v>1</v>
      </c>
      <c r="K1451" s="0" t="n">
        <v>2</v>
      </c>
      <c r="L1451" s="0" t="n">
        <v>0</v>
      </c>
      <c r="M1451" s="0" t="n">
        <v>0</v>
      </c>
      <c r="N1451" s="0" t="n">
        <v>6</v>
      </c>
      <c r="O1451" s="5" t="n">
        <v>0</v>
      </c>
      <c r="P1451" s="5" t="n">
        <v>0</v>
      </c>
      <c r="Q1451" s="4" t="s">
        <v>73</v>
      </c>
      <c r="R1451" s="4" t="s">
        <v>73</v>
      </c>
      <c r="S1451" s="5" t="n">
        <v>0</v>
      </c>
      <c r="T1451" s="5" t="n">
        <v>0</v>
      </c>
      <c r="U1451" s="5" t="n">
        <v>0</v>
      </c>
      <c r="V1451" s="5" t="n">
        <v>0</v>
      </c>
      <c r="W1451" s="5" t="n">
        <v>0</v>
      </c>
      <c r="X1451" s="5" t="n">
        <v>0</v>
      </c>
      <c r="Y1451" s="5" t="n">
        <v>0</v>
      </c>
      <c r="Z1451" s="0" t="n">
        <v>0</v>
      </c>
      <c r="AA1451" s="0" t="n">
        <v>0</v>
      </c>
      <c r="AB1451" s="0" t="n">
        <v>0</v>
      </c>
      <c r="AC1451" s="4" t="s">
        <v>158</v>
      </c>
      <c r="AD1451" s="4" t="s">
        <v>158</v>
      </c>
      <c r="AE1451" s="4" t="s">
        <v>5439</v>
      </c>
      <c r="AF1451" s="4" t="s">
        <v>5441</v>
      </c>
      <c r="AG1451" s="5" t="n">
        <v>0.241458333333333</v>
      </c>
      <c r="AH1451" s="5" t="n">
        <v>0.140555555555556</v>
      </c>
      <c r="AI1451" s="5" t="n">
        <v>0</v>
      </c>
      <c r="AJ1451" s="5" t="n">
        <v>0</v>
      </c>
      <c r="AK1451" s="5" t="n">
        <v>0</v>
      </c>
      <c r="AL1451" s="5" t="n">
        <v>0</v>
      </c>
      <c r="AM1451" s="4" t="s">
        <v>78</v>
      </c>
      <c r="AN1451" s="0" t="n">
        <v>0</v>
      </c>
      <c r="AO1451" s="0" t="n">
        <v>1</v>
      </c>
      <c r="AP1451" s="0" t="n">
        <v>0</v>
      </c>
      <c r="AQ1451" s="0" t="n">
        <v>0</v>
      </c>
      <c r="AR1451" s="0" t="n">
        <v>0</v>
      </c>
      <c r="AS1451" s="0" t="n">
        <v>0</v>
      </c>
      <c r="AT1451" s="0" t="n">
        <v>0</v>
      </c>
      <c r="AU1451" s="0" t="n">
        <v>0</v>
      </c>
      <c r="AV1451" s="0" t="n">
        <v>0</v>
      </c>
      <c r="AW1451" s="0" t="n">
        <v>0</v>
      </c>
      <c r="AX1451" s="0" t="n">
        <v>0</v>
      </c>
      <c r="AY1451" s="0" t="n">
        <v>0</v>
      </c>
      <c r="AZ1451" s="0" t="n">
        <v>0</v>
      </c>
      <c r="BA1451" s="0" t="n">
        <v>0</v>
      </c>
      <c r="BB1451" s="0" t="n">
        <v>0</v>
      </c>
      <c r="BC1451" s="0" t="n">
        <v>0</v>
      </c>
      <c r="BD1451" s="0" t="n">
        <v>0</v>
      </c>
      <c r="BE1451" s="0" t="n">
        <v>0</v>
      </c>
      <c r="BF1451" s="0" t="n">
        <v>0</v>
      </c>
      <c r="BG1451" s="0" t="n">
        <v>0</v>
      </c>
      <c r="BH1451" s="0" t="n">
        <v>0</v>
      </c>
      <c r="BI1451" s="0" t="n">
        <v>0</v>
      </c>
      <c r="BJ1451" s="0" t="n">
        <v>0</v>
      </c>
      <c r="BK1451" s="0" t="n">
        <v>0</v>
      </c>
      <c r="BM1451" s="6" t="n">
        <f aca="false">IFERROR(VALUE(F1451),"")</f>
        <v>228.35</v>
      </c>
      <c r="BN1451" s="6" t="str">
        <f aca="false">IF(R1451="-","",IFERROR(VALUE(LEFT(Q1451,LEN(Q1451)-2)),""))</f>
        <v/>
      </c>
      <c r="BO1451" s="6" t="str">
        <f aca="false">IF(R1451="-","",IFERROR(VALUE(LEFT(R1451,LEN(R1451)-5)),""))</f>
        <v/>
      </c>
      <c r="BP1451" s="6" t="str">
        <f aca="false">IF(R1451="-","",IFERROR(VALUE(F1451),""))</f>
        <v/>
      </c>
      <c r="BQ1451" s="4" t="n">
        <f aca="false">IF(R1451="-",1,0)</f>
        <v>1</v>
      </c>
    </row>
    <row r="1452" customFormat="false" ht="15" hidden="false" customHeight="false" outlineLevel="0" collapsed="false">
      <c r="A1452" s="0" t="s">
        <v>5433</v>
      </c>
      <c r="B1452" s="0" t="s">
        <v>5434</v>
      </c>
      <c r="C1452" s="0" t="s">
        <v>70</v>
      </c>
      <c r="D1452" s="0" t="s">
        <v>5442</v>
      </c>
      <c r="E1452" s="3" t="n">
        <v>46276</v>
      </c>
      <c r="F1452" s="4" t="s">
        <v>5443</v>
      </c>
      <c r="G1452" s="5" t="n">
        <v>0.192523148148148</v>
      </c>
      <c r="H1452" s="5" t="n">
        <v>0.00924768518518519</v>
      </c>
      <c r="I1452" s="5" t="n">
        <v>0.000150462962962963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5" t="n">
        <v>0</v>
      </c>
      <c r="P1452" s="5" t="n">
        <v>0</v>
      </c>
      <c r="Q1452" s="4" t="s">
        <v>73</v>
      </c>
      <c r="R1452" s="4" t="s">
        <v>73</v>
      </c>
      <c r="S1452" s="5" t="n">
        <v>0</v>
      </c>
      <c r="T1452" s="5" t="n">
        <v>0</v>
      </c>
      <c r="U1452" s="5" t="n">
        <v>0</v>
      </c>
      <c r="V1452" s="5" t="n">
        <v>0</v>
      </c>
      <c r="W1452" s="5" t="n">
        <v>0</v>
      </c>
      <c r="X1452" s="5" t="n">
        <v>0</v>
      </c>
      <c r="Y1452" s="5" t="n">
        <v>0</v>
      </c>
      <c r="Z1452" s="0" t="n">
        <v>0</v>
      </c>
      <c r="AA1452" s="0" t="n">
        <v>0</v>
      </c>
      <c r="AB1452" s="0" t="n">
        <v>0</v>
      </c>
      <c r="AC1452" s="4" t="s">
        <v>158</v>
      </c>
      <c r="AD1452" s="4" t="s">
        <v>158</v>
      </c>
      <c r="AE1452" s="4" t="s">
        <v>5441</v>
      </c>
      <c r="AF1452" s="4" t="s">
        <v>5444</v>
      </c>
      <c r="AG1452" s="5" t="n">
        <v>0.174849537037037</v>
      </c>
      <c r="AH1452" s="5" t="n">
        <v>0.106087962962963</v>
      </c>
      <c r="AI1452" s="5" t="n">
        <v>0</v>
      </c>
      <c r="AJ1452" s="5" t="n">
        <v>0</v>
      </c>
      <c r="AK1452" s="5" t="n">
        <v>0</v>
      </c>
      <c r="AL1452" s="5" t="n">
        <v>0</v>
      </c>
      <c r="AM1452" s="4" t="s">
        <v>78</v>
      </c>
      <c r="AN1452" s="0" t="n">
        <v>0</v>
      </c>
      <c r="AO1452" s="0" t="n">
        <v>0</v>
      </c>
      <c r="AP1452" s="0" t="n">
        <v>0</v>
      </c>
      <c r="AQ1452" s="0" t="n">
        <v>0</v>
      </c>
      <c r="AR1452" s="0" t="n">
        <v>0</v>
      </c>
      <c r="AS1452" s="0" t="n">
        <v>0</v>
      </c>
      <c r="AT1452" s="0" t="n">
        <v>0</v>
      </c>
      <c r="AU1452" s="0" t="n">
        <v>0</v>
      </c>
      <c r="AV1452" s="0" t="n">
        <v>0</v>
      </c>
      <c r="AW1452" s="0" t="n">
        <v>0</v>
      </c>
      <c r="AX1452" s="0" t="n">
        <v>0</v>
      </c>
      <c r="AY1452" s="0" t="n">
        <v>0</v>
      </c>
      <c r="AZ1452" s="0" t="n">
        <v>0</v>
      </c>
      <c r="BA1452" s="0" t="n">
        <v>0</v>
      </c>
      <c r="BB1452" s="0" t="n">
        <v>0</v>
      </c>
      <c r="BC1452" s="0" t="n">
        <v>0</v>
      </c>
      <c r="BD1452" s="0" t="n">
        <v>0</v>
      </c>
      <c r="BE1452" s="0" t="n">
        <v>0</v>
      </c>
      <c r="BF1452" s="0" t="n">
        <v>0</v>
      </c>
      <c r="BG1452" s="0" t="n">
        <v>0</v>
      </c>
      <c r="BH1452" s="0" t="n">
        <v>0</v>
      </c>
      <c r="BI1452" s="0" t="n">
        <v>0</v>
      </c>
      <c r="BJ1452" s="0" t="n">
        <v>0</v>
      </c>
      <c r="BK1452" s="0" t="n">
        <v>0</v>
      </c>
      <c r="BM1452" s="6" t="n">
        <f aca="false">IFERROR(VALUE(F1452),"")</f>
        <v>170.98</v>
      </c>
      <c r="BN1452" s="6" t="str">
        <f aca="false">IF(R1452="-","",IFERROR(VALUE(LEFT(Q1452,LEN(Q1452)-2)),""))</f>
        <v/>
      </c>
      <c r="BO1452" s="6" t="str">
        <f aca="false">IF(R1452="-","",IFERROR(VALUE(LEFT(R1452,LEN(R1452)-5)),""))</f>
        <v/>
      </c>
      <c r="BP1452" s="6" t="str">
        <f aca="false">IF(R1452="-","",IFERROR(VALUE(F1452),""))</f>
        <v/>
      </c>
      <c r="BQ1452" s="4" t="n">
        <f aca="false">IF(R1452="-",1,0)</f>
        <v>1</v>
      </c>
    </row>
    <row r="1453" customFormat="false" ht="15" hidden="false" customHeight="false" outlineLevel="0" collapsed="false">
      <c r="A1453" s="0" t="s">
        <v>5433</v>
      </c>
      <c r="B1453" s="0" t="s">
        <v>5434</v>
      </c>
      <c r="C1453" s="0" t="s">
        <v>70</v>
      </c>
      <c r="E1453" s="3" t="n">
        <v>46277</v>
      </c>
      <c r="F1453" s="4" t="s">
        <v>95</v>
      </c>
      <c r="G1453" s="5" t="n">
        <v>4.62962962962963E-005</v>
      </c>
      <c r="H1453" s="5" t="n">
        <v>0</v>
      </c>
      <c r="I1453" s="5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5" t="n">
        <v>0</v>
      </c>
      <c r="P1453" s="5" t="n">
        <v>0</v>
      </c>
      <c r="Q1453" s="4" t="s">
        <v>73</v>
      </c>
      <c r="R1453" s="4" t="s">
        <v>73</v>
      </c>
      <c r="S1453" s="5" t="n">
        <v>0</v>
      </c>
      <c r="T1453" s="5" t="n">
        <v>0</v>
      </c>
      <c r="U1453" s="5" t="n">
        <v>0</v>
      </c>
      <c r="V1453" s="5" t="n">
        <v>0</v>
      </c>
      <c r="W1453" s="5" t="n">
        <v>0</v>
      </c>
      <c r="X1453" s="5" t="n">
        <v>0</v>
      </c>
      <c r="Y1453" s="5" t="n">
        <v>0</v>
      </c>
      <c r="Z1453" s="0" t="n">
        <v>0</v>
      </c>
      <c r="AA1453" s="0" t="n">
        <v>0</v>
      </c>
      <c r="AB1453" s="0" t="n">
        <v>0</v>
      </c>
      <c r="AC1453" s="4" t="s">
        <v>159</v>
      </c>
      <c r="AD1453" s="4" t="s">
        <v>158</v>
      </c>
      <c r="AE1453" s="4" t="s">
        <v>5444</v>
      </c>
      <c r="AF1453" s="4" t="s">
        <v>5444</v>
      </c>
      <c r="AG1453" s="5" t="n">
        <v>0</v>
      </c>
      <c r="AH1453" s="5" t="n">
        <v>0.0165856481481482</v>
      </c>
      <c r="AI1453" s="5" t="n">
        <v>0</v>
      </c>
      <c r="AJ1453" s="5" t="n">
        <v>0</v>
      </c>
      <c r="AK1453" s="5" t="n">
        <v>0</v>
      </c>
      <c r="AL1453" s="5" t="n">
        <v>0</v>
      </c>
      <c r="AM1453" s="4" t="s">
        <v>78</v>
      </c>
      <c r="AN1453" s="0" t="n">
        <v>0</v>
      </c>
      <c r="AO1453" s="0" t="n">
        <v>0</v>
      </c>
      <c r="AP1453" s="0" t="n">
        <v>0</v>
      </c>
      <c r="AQ1453" s="0" t="n">
        <v>0</v>
      </c>
      <c r="AR1453" s="0" t="n">
        <v>0</v>
      </c>
      <c r="AS1453" s="0" t="n">
        <v>0</v>
      </c>
      <c r="AT1453" s="0" t="n">
        <v>0</v>
      </c>
      <c r="AU1453" s="0" t="n">
        <v>0</v>
      </c>
      <c r="AV1453" s="0" t="n">
        <v>0</v>
      </c>
      <c r="AW1453" s="0" t="n">
        <v>0</v>
      </c>
      <c r="AX1453" s="0" t="n">
        <v>0</v>
      </c>
      <c r="AY1453" s="0" t="n">
        <v>0</v>
      </c>
      <c r="AZ1453" s="0" t="n">
        <v>0</v>
      </c>
      <c r="BA1453" s="0" t="n">
        <v>0</v>
      </c>
      <c r="BB1453" s="0" t="n">
        <v>0</v>
      </c>
      <c r="BC1453" s="0" t="n">
        <v>0</v>
      </c>
      <c r="BD1453" s="0" t="n">
        <v>0</v>
      </c>
      <c r="BE1453" s="0" t="n">
        <v>0</v>
      </c>
      <c r="BF1453" s="0" t="n">
        <v>0</v>
      </c>
      <c r="BG1453" s="0" t="n">
        <v>0</v>
      </c>
      <c r="BH1453" s="0" t="n">
        <v>0</v>
      </c>
      <c r="BI1453" s="0" t="n">
        <v>0</v>
      </c>
      <c r="BJ1453" s="0" t="n">
        <v>0</v>
      </c>
      <c r="BK1453" s="0" t="n">
        <v>0</v>
      </c>
      <c r="BM1453" s="6" t="n">
        <f aca="false">IFERROR(VALUE(F1453),"")</f>
        <v>0</v>
      </c>
      <c r="BN1453" s="6" t="str">
        <f aca="false">IF(R1453="-","",IFERROR(VALUE(LEFT(Q1453,LEN(Q1453)-2)),""))</f>
        <v/>
      </c>
      <c r="BO1453" s="6" t="str">
        <f aca="false">IF(R1453="-","",IFERROR(VALUE(LEFT(R1453,LEN(R1453)-5)),""))</f>
        <v/>
      </c>
      <c r="BP1453" s="6" t="str">
        <f aca="false">IF(R1453="-","",IFERROR(VALUE(F1453),""))</f>
        <v/>
      </c>
      <c r="BQ1453" s="4" t="n">
        <f aca="false">IF(R1453="-",1,0)</f>
        <v>1</v>
      </c>
    </row>
    <row r="1454" customFormat="false" ht="15" hidden="false" customHeight="false" outlineLevel="0" collapsed="false">
      <c r="A1454" s="0" t="s">
        <v>5433</v>
      </c>
      <c r="B1454" s="0" t="s">
        <v>5434</v>
      </c>
      <c r="C1454" s="0" t="s">
        <v>70</v>
      </c>
      <c r="E1454" s="3" t="n">
        <v>46279</v>
      </c>
      <c r="F1454" s="4" t="s">
        <v>5445</v>
      </c>
      <c r="G1454" s="5" t="n">
        <v>0.229328703703704</v>
      </c>
      <c r="H1454" s="5" t="n">
        <v>0</v>
      </c>
      <c r="I1454" s="5" t="n">
        <v>0.00056712962962963</v>
      </c>
      <c r="J1454" s="0" t="n">
        <v>0</v>
      </c>
      <c r="K1454" s="0" t="n">
        <v>2</v>
      </c>
      <c r="L1454" s="0" t="n">
        <v>0</v>
      </c>
      <c r="M1454" s="0" t="n">
        <v>0</v>
      </c>
      <c r="N1454" s="0" t="n">
        <v>3</v>
      </c>
      <c r="O1454" s="5" t="n">
        <v>0</v>
      </c>
      <c r="P1454" s="5" t="n">
        <v>0</v>
      </c>
      <c r="Q1454" s="4" t="s">
        <v>73</v>
      </c>
      <c r="R1454" s="4" t="s">
        <v>73</v>
      </c>
      <c r="S1454" s="5" t="n">
        <v>0</v>
      </c>
      <c r="T1454" s="5" t="n">
        <v>0</v>
      </c>
      <c r="U1454" s="5" t="n">
        <v>0</v>
      </c>
      <c r="V1454" s="5" t="n">
        <v>0</v>
      </c>
      <c r="W1454" s="5" t="n">
        <v>0</v>
      </c>
      <c r="X1454" s="5" t="n">
        <v>0</v>
      </c>
      <c r="Y1454" s="5" t="n">
        <v>0</v>
      </c>
      <c r="Z1454" s="0" t="n">
        <v>0</v>
      </c>
      <c r="AA1454" s="0" t="n">
        <v>0</v>
      </c>
      <c r="AB1454" s="0" t="n">
        <v>0</v>
      </c>
      <c r="AC1454" s="4" t="s">
        <v>158</v>
      </c>
      <c r="AD1454" s="4" t="s">
        <v>158</v>
      </c>
      <c r="AE1454" s="4" t="s">
        <v>5444</v>
      </c>
      <c r="AF1454" s="4" t="s">
        <v>5446</v>
      </c>
      <c r="AG1454" s="5" t="n">
        <v>0.201157407407407</v>
      </c>
      <c r="AH1454" s="5" t="n">
        <v>0.142476851851852</v>
      </c>
      <c r="AI1454" s="5" t="n">
        <v>0</v>
      </c>
      <c r="AJ1454" s="5" t="n">
        <v>0</v>
      </c>
      <c r="AK1454" s="5" t="n">
        <v>0</v>
      </c>
      <c r="AL1454" s="5" t="n">
        <v>0</v>
      </c>
      <c r="AM1454" s="4" t="s">
        <v>78</v>
      </c>
      <c r="AN1454" s="0" t="n">
        <v>0</v>
      </c>
      <c r="AO1454" s="0" t="n">
        <v>0</v>
      </c>
      <c r="AP1454" s="0" t="n">
        <v>0</v>
      </c>
      <c r="AQ1454" s="0" t="n">
        <v>0</v>
      </c>
      <c r="AR1454" s="0" t="n">
        <v>0</v>
      </c>
      <c r="AS1454" s="0" t="n">
        <v>0</v>
      </c>
      <c r="AT1454" s="0" t="n">
        <v>0</v>
      </c>
      <c r="AU1454" s="0" t="n">
        <v>0</v>
      </c>
      <c r="AV1454" s="0" t="n">
        <v>0</v>
      </c>
      <c r="AW1454" s="0" t="n">
        <v>0</v>
      </c>
      <c r="AX1454" s="0" t="n">
        <v>0</v>
      </c>
      <c r="AY1454" s="0" t="n">
        <v>0</v>
      </c>
      <c r="AZ1454" s="0" t="n">
        <v>0</v>
      </c>
      <c r="BA1454" s="0" t="n">
        <v>0</v>
      </c>
      <c r="BB1454" s="0" t="n">
        <v>0</v>
      </c>
      <c r="BC1454" s="0" t="n">
        <v>0</v>
      </c>
      <c r="BD1454" s="0" t="n">
        <v>0</v>
      </c>
      <c r="BE1454" s="0" t="n">
        <v>0</v>
      </c>
      <c r="BF1454" s="0" t="n">
        <v>0</v>
      </c>
      <c r="BG1454" s="0" t="n">
        <v>0</v>
      </c>
      <c r="BH1454" s="0" t="n">
        <v>0</v>
      </c>
      <c r="BI1454" s="0" t="n">
        <v>0</v>
      </c>
      <c r="BJ1454" s="0" t="n">
        <v>0</v>
      </c>
      <c r="BK1454" s="0" t="n">
        <v>0</v>
      </c>
      <c r="BM1454" s="6" t="n">
        <f aca="false">IFERROR(VALUE(F1454),"")</f>
        <v>175.68</v>
      </c>
      <c r="BN1454" s="6" t="str">
        <f aca="false">IF(R1454="-","",IFERROR(VALUE(LEFT(Q1454,LEN(Q1454)-2)),""))</f>
        <v/>
      </c>
      <c r="BO1454" s="6" t="str">
        <f aca="false">IF(R1454="-","",IFERROR(VALUE(LEFT(R1454,LEN(R1454)-5)),""))</f>
        <v/>
      </c>
      <c r="BP1454" s="6" t="str">
        <f aca="false">IF(R1454="-","",IFERROR(VALUE(F1454),""))</f>
        <v/>
      </c>
      <c r="BQ1454" s="4" t="n">
        <f aca="false">IF(R1454="-",1,0)</f>
        <v>1</v>
      </c>
    </row>
    <row r="1455" customFormat="false" ht="15" hidden="false" customHeight="false" outlineLevel="0" collapsed="false">
      <c r="A1455" s="0" t="s">
        <v>5447</v>
      </c>
      <c r="B1455" s="0" t="s">
        <v>5448</v>
      </c>
      <c r="C1455" s="0" t="s">
        <v>70</v>
      </c>
      <c r="D1455" s="0" t="s">
        <v>5449</v>
      </c>
      <c r="E1455" s="3" t="n">
        <v>46273</v>
      </c>
      <c r="F1455" s="4" t="s">
        <v>5450</v>
      </c>
      <c r="G1455" s="5" t="n">
        <v>0.242210648148148</v>
      </c>
      <c r="H1455" s="5" t="n">
        <v>0.128969907407407</v>
      </c>
      <c r="I1455" s="5" t="n">
        <v>0.000856481481481482</v>
      </c>
      <c r="J1455" s="0" t="n">
        <v>5</v>
      </c>
      <c r="K1455" s="0" t="n">
        <v>15</v>
      </c>
      <c r="L1455" s="0" t="n">
        <v>0</v>
      </c>
      <c r="M1455" s="0" t="n">
        <v>0</v>
      </c>
      <c r="N1455" s="0" t="n">
        <v>28</v>
      </c>
      <c r="O1455" s="5" t="n">
        <v>0</v>
      </c>
      <c r="P1455" s="5" t="n">
        <v>0</v>
      </c>
      <c r="Q1455" s="4" t="s">
        <v>73</v>
      </c>
      <c r="R1455" s="4" t="s">
        <v>73</v>
      </c>
      <c r="S1455" s="5" t="n">
        <v>0</v>
      </c>
      <c r="T1455" s="5" t="n">
        <v>0</v>
      </c>
      <c r="U1455" s="5" t="n">
        <v>0</v>
      </c>
      <c r="V1455" s="5" t="n">
        <v>0</v>
      </c>
      <c r="W1455" s="5" t="n">
        <v>0</v>
      </c>
      <c r="X1455" s="5" t="n">
        <v>0</v>
      </c>
      <c r="Y1455" s="5" t="n">
        <v>0</v>
      </c>
      <c r="Z1455" s="0" t="n">
        <v>0</v>
      </c>
      <c r="AA1455" s="0" t="n">
        <v>0</v>
      </c>
      <c r="AB1455" s="0" t="n">
        <v>0</v>
      </c>
      <c r="AC1455" s="4" t="s">
        <v>159</v>
      </c>
      <c r="AD1455" s="4" t="s">
        <v>158</v>
      </c>
      <c r="AE1455" s="4" t="s">
        <v>5451</v>
      </c>
      <c r="AF1455" s="4" t="s">
        <v>5452</v>
      </c>
      <c r="AG1455" s="5" t="n">
        <v>0.187847222222222</v>
      </c>
      <c r="AH1455" s="5" t="n">
        <v>0.16880787037037</v>
      </c>
      <c r="AI1455" s="5" t="n">
        <v>0</v>
      </c>
      <c r="AJ1455" s="5" t="n">
        <v>0</v>
      </c>
      <c r="AK1455" s="5" t="n">
        <v>0</v>
      </c>
      <c r="AL1455" s="5" t="n">
        <v>0</v>
      </c>
      <c r="AM1455" s="4" t="s">
        <v>78</v>
      </c>
      <c r="AN1455" s="0" t="n">
        <v>0</v>
      </c>
      <c r="AO1455" s="0" t="n">
        <v>1</v>
      </c>
      <c r="AP1455" s="0" t="n">
        <v>0</v>
      </c>
      <c r="AQ1455" s="0" t="n">
        <v>0</v>
      </c>
      <c r="AR1455" s="0" t="n">
        <v>1</v>
      </c>
      <c r="AS1455" s="0" t="n">
        <v>0</v>
      </c>
      <c r="AT1455" s="0" t="n">
        <v>0</v>
      </c>
      <c r="AU1455" s="0" t="n">
        <v>0</v>
      </c>
      <c r="AV1455" s="0" t="n">
        <v>0</v>
      </c>
      <c r="AW1455" s="0" t="n">
        <v>0</v>
      </c>
      <c r="AX1455" s="0" t="n">
        <v>0</v>
      </c>
      <c r="AY1455" s="0" t="n">
        <v>0</v>
      </c>
      <c r="AZ1455" s="0" t="n">
        <v>0</v>
      </c>
      <c r="BA1455" s="0" t="n">
        <v>0</v>
      </c>
      <c r="BB1455" s="0" t="n">
        <v>0</v>
      </c>
      <c r="BC1455" s="0" t="n">
        <v>0</v>
      </c>
      <c r="BD1455" s="0" t="n">
        <v>0</v>
      </c>
      <c r="BE1455" s="0" t="n">
        <v>0</v>
      </c>
      <c r="BF1455" s="0" t="n">
        <v>0</v>
      </c>
      <c r="BG1455" s="0" t="n">
        <v>0</v>
      </c>
      <c r="BH1455" s="0" t="n">
        <v>0</v>
      </c>
      <c r="BI1455" s="0" t="n">
        <v>0</v>
      </c>
      <c r="BJ1455" s="0" t="n">
        <v>0</v>
      </c>
      <c r="BK1455" s="0" t="n">
        <v>0</v>
      </c>
      <c r="BM1455" s="6" t="n">
        <f aca="false">IFERROR(VALUE(F1455),"")</f>
        <v>183.28</v>
      </c>
      <c r="BN1455" s="6" t="str">
        <f aca="false">IF(R1455="-","",IFERROR(VALUE(LEFT(Q1455,LEN(Q1455)-2)),""))</f>
        <v/>
      </c>
      <c r="BO1455" s="6" t="str">
        <f aca="false">IF(R1455="-","",IFERROR(VALUE(LEFT(R1455,LEN(R1455)-5)),""))</f>
        <v/>
      </c>
      <c r="BP1455" s="6" t="str">
        <f aca="false">IF(R1455="-","",IFERROR(VALUE(F1455),""))</f>
        <v/>
      </c>
      <c r="BQ1455" s="4" t="n">
        <f aca="false">IF(R1455="-",1,0)</f>
        <v>1</v>
      </c>
    </row>
    <row r="1456" customFormat="false" ht="15" hidden="false" customHeight="false" outlineLevel="0" collapsed="false">
      <c r="A1456" s="0" t="s">
        <v>5447</v>
      </c>
      <c r="B1456" s="0" t="s">
        <v>5448</v>
      </c>
      <c r="C1456" s="0" t="s">
        <v>70</v>
      </c>
      <c r="D1456" s="0" t="s">
        <v>5453</v>
      </c>
      <c r="E1456" s="3" t="n">
        <v>46274</v>
      </c>
      <c r="F1456" s="4" t="s">
        <v>5454</v>
      </c>
      <c r="G1456" s="5" t="n">
        <v>0.23400462962963</v>
      </c>
      <c r="H1456" s="5" t="n">
        <v>0.144201388888889</v>
      </c>
      <c r="I1456" s="5" t="n">
        <v>0.000405092592592593</v>
      </c>
      <c r="J1456" s="0" t="n">
        <v>0</v>
      </c>
      <c r="K1456" s="0" t="n">
        <v>6</v>
      </c>
      <c r="L1456" s="0" t="n">
        <v>0</v>
      </c>
      <c r="M1456" s="0" t="n">
        <v>0</v>
      </c>
      <c r="N1456" s="0" t="n">
        <v>4</v>
      </c>
      <c r="O1456" s="5" t="n">
        <v>0</v>
      </c>
      <c r="P1456" s="5" t="n">
        <v>0</v>
      </c>
      <c r="Q1456" s="4" t="s">
        <v>73</v>
      </c>
      <c r="R1456" s="4" t="s">
        <v>73</v>
      </c>
      <c r="S1456" s="5" t="n">
        <v>0</v>
      </c>
      <c r="T1456" s="5" t="n">
        <v>0</v>
      </c>
      <c r="U1456" s="5" t="n">
        <v>0</v>
      </c>
      <c r="V1456" s="5" t="n">
        <v>0</v>
      </c>
      <c r="W1456" s="5" t="n">
        <v>0</v>
      </c>
      <c r="X1456" s="5" t="n">
        <v>0</v>
      </c>
      <c r="Y1456" s="5" t="n">
        <v>0</v>
      </c>
      <c r="Z1456" s="0" t="n">
        <v>0</v>
      </c>
      <c r="AA1456" s="0" t="n">
        <v>0</v>
      </c>
      <c r="AB1456" s="0" t="n">
        <v>0</v>
      </c>
      <c r="AC1456" s="4" t="s">
        <v>159</v>
      </c>
      <c r="AD1456" s="4" t="s">
        <v>158</v>
      </c>
      <c r="AE1456" s="4" t="s">
        <v>5452</v>
      </c>
      <c r="AF1456" s="4" t="s">
        <v>5455</v>
      </c>
      <c r="AG1456" s="5" t="n">
        <v>0.221087962962963</v>
      </c>
      <c r="AH1456" s="5" t="n">
        <v>0.135972222222222</v>
      </c>
      <c r="AI1456" s="5" t="n">
        <v>0</v>
      </c>
      <c r="AJ1456" s="5" t="n">
        <v>0</v>
      </c>
      <c r="AK1456" s="5" t="n">
        <v>0</v>
      </c>
      <c r="AL1456" s="5" t="n">
        <v>0</v>
      </c>
      <c r="AM1456" s="4" t="s">
        <v>78</v>
      </c>
      <c r="AN1456" s="0" t="n">
        <v>0</v>
      </c>
      <c r="AO1456" s="0" t="n">
        <v>0</v>
      </c>
      <c r="AP1456" s="0" t="n">
        <v>0</v>
      </c>
      <c r="AQ1456" s="0" t="n">
        <v>0</v>
      </c>
      <c r="AR1456" s="0" t="n">
        <v>3</v>
      </c>
      <c r="AS1456" s="0" t="n">
        <v>0</v>
      </c>
      <c r="AT1456" s="0" t="n">
        <v>0</v>
      </c>
      <c r="AU1456" s="0" t="n">
        <v>0</v>
      </c>
      <c r="AV1456" s="0" t="n">
        <v>0</v>
      </c>
      <c r="AW1456" s="0" t="n">
        <v>0</v>
      </c>
      <c r="AX1456" s="0" t="n">
        <v>0</v>
      </c>
      <c r="AY1456" s="0" t="n">
        <v>0</v>
      </c>
      <c r="AZ1456" s="0" t="n">
        <v>0</v>
      </c>
      <c r="BA1456" s="0" t="n">
        <v>0</v>
      </c>
      <c r="BB1456" s="0" t="n">
        <v>0</v>
      </c>
      <c r="BC1456" s="0" t="n">
        <v>0</v>
      </c>
      <c r="BD1456" s="0" t="n">
        <v>0</v>
      </c>
      <c r="BE1456" s="0" t="n">
        <v>0</v>
      </c>
      <c r="BF1456" s="0" t="n">
        <v>0</v>
      </c>
      <c r="BG1456" s="0" t="n">
        <v>0</v>
      </c>
      <c r="BH1456" s="0" t="n">
        <v>0</v>
      </c>
      <c r="BI1456" s="0" t="n">
        <v>0</v>
      </c>
      <c r="BJ1456" s="0" t="n">
        <v>0</v>
      </c>
      <c r="BK1456" s="0" t="n">
        <v>0</v>
      </c>
      <c r="BM1456" s="6" t="n">
        <f aca="false">IFERROR(VALUE(F1456),"")</f>
        <v>196.08</v>
      </c>
      <c r="BN1456" s="6" t="str">
        <f aca="false">IF(R1456="-","",IFERROR(VALUE(LEFT(Q1456,LEN(Q1456)-2)),""))</f>
        <v/>
      </c>
      <c r="BO1456" s="6" t="str">
        <f aca="false">IF(R1456="-","",IFERROR(VALUE(LEFT(R1456,LEN(R1456)-5)),""))</f>
        <v/>
      </c>
      <c r="BP1456" s="6" t="str">
        <f aca="false">IF(R1456="-","",IFERROR(VALUE(F1456),""))</f>
        <v/>
      </c>
      <c r="BQ1456" s="4" t="n">
        <f aca="false">IF(R1456="-",1,0)</f>
        <v>1</v>
      </c>
    </row>
    <row r="1457" customFormat="false" ht="15" hidden="false" customHeight="false" outlineLevel="0" collapsed="false">
      <c r="A1457" s="0" t="s">
        <v>5447</v>
      </c>
      <c r="B1457" s="0" t="s">
        <v>5448</v>
      </c>
      <c r="C1457" s="0" t="s">
        <v>70</v>
      </c>
      <c r="D1457" s="0" t="s">
        <v>5456</v>
      </c>
      <c r="E1457" s="3" t="n">
        <v>46275</v>
      </c>
      <c r="F1457" s="4" t="s">
        <v>5457</v>
      </c>
      <c r="G1457" s="5" t="n">
        <v>0.2384375</v>
      </c>
      <c r="H1457" s="5" t="n">
        <v>0.148958333333333</v>
      </c>
      <c r="I1457" s="5" t="n">
        <v>0.000532407407407407</v>
      </c>
      <c r="J1457" s="0" t="n">
        <v>4</v>
      </c>
      <c r="K1457" s="0" t="n">
        <v>14</v>
      </c>
      <c r="L1457" s="0" t="n">
        <v>0</v>
      </c>
      <c r="M1457" s="0" t="n">
        <v>0</v>
      </c>
      <c r="N1457" s="0" t="n">
        <v>23</v>
      </c>
      <c r="O1457" s="5" t="n">
        <v>0</v>
      </c>
      <c r="P1457" s="5" t="n">
        <v>0</v>
      </c>
      <c r="Q1457" s="4" t="s">
        <v>73</v>
      </c>
      <c r="R1457" s="4" t="s">
        <v>73</v>
      </c>
      <c r="S1457" s="5" t="n">
        <v>0</v>
      </c>
      <c r="T1457" s="5" t="n">
        <v>0</v>
      </c>
      <c r="U1457" s="5" t="n">
        <v>0</v>
      </c>
      <c r="V1457" s="5" t="n">
        <v>0</v>
      </c>
      <c r="W1457" s="5" t="n">
        <v>0</v>
      </c>
      <c r="X1457" s="5" t="n">
        <v>0</v>
      </c>
      <c r="Y1457" s="5" t="n">
        <v>0</v>
      </c>
      <c r="Z1457" s="0" t="n">
        <v>0</v>
      </c>
      <c r="AA1457" s="0" t="n">
        <v>0</v>
      </c>
      <c r="AB1457" s="0" t="n">
        <v>0</v>
      </c>
      <c r="AC1457" s="4" t="s">
        <v>159</v>
      </c>
      <c r="AD1457" s="4" t="s">
        <v>158</v>
      </c>
      <c r="AE1457" s="4" t="s">
        <v>5455</v>
      </c>
      <c r="AF1457" s="4" t="s">
        <v>5458</v>
      </c>
      <c r="AG1457" s="5" t="n">
        <v>0.214467592592593</v>
      </c>
      <c r="AH1457" s="5" t="n">
        <v>0.0734143518518519</v>
      </c>
      <c r="AI1457" s="5" t="n">
        <v>0</v>
      </c>
      <c r="AJ1457" s="5" t="n">
        <v>0</v>
      </c>
      <c r="AK1457" s="5" t="n">
        <v>0</v>
      </c>
      <c r="AL1457" s="5" t="n">
        <v>0</v>
      </c>
      <c r="AM1457" s="4" t="s">
        <v>78</v>
      </c>
      <c r="AN1457" s="0" t="n">
        <v>0</v>
      </c>
      <c r="AO1457" s="0" t="n">
        <v>0</v>
      </c>
      <c r="AP1457" s="0" t="n">
        <v>0</v>
      </c>
      <c r="AQ1457" s="0" t="n">
        <v>0</v>
      </c>
      <c r="AR1457" s="0" t="n">
        <v>2</v>
      </c>
      <c r="AS1457" s="0" t="n">
        <v>0</v>
      </c>
      <c r="AT1457" s="0" t="n">
        <v>0</v>
      </c>
      <c r="AU1457" s="0" t="n">
        <v>0</v>
      </c>
      <c r="AV1457" s="0" t="n">
        <v>0</v>
      </c>
      <c r="AW1457" s="0" t="n">
        <v>0</v>
      </c>
      <c r="AX1457" s="0" t="n">
        <v>0</v>
      </c>
      <c r="AY1457" s="0" t="n">
        <v>0</v>
      </c>
      <c r="AZ1457" s="0" t="n">
        <v>0</v>
      </c>
      <c r="BA1457" s="0" t="n">
        <v>0</v>
      </c>
      <c r="BB1457" s="0" t="n">
        <v>0</v>
      </c>
      <c r="BC1457" s="0" t="n">
        <v>0</v>
      </c>
      <c r="BD1457" s="0" t="n">
        <v>0</v>
      </c>
      <c r="BE1457" s="0" t="n">
        <v>0</v>
      </c>
      <c r="BF1457" s="0" t="n">
        <v>0</v>
      </c>
      <c r="BG1457" s="0" t="n">
        <v>0</v>
      </c>
      <c r="BH1457" s="0" t="n">
        <v>0</v>
      </c>
      <c r="BI1457" s="0" t="n">
        <v>0</v>
      </c>
      <c r="BJ1457" s="0" t="n">
        <v>0</v>
      </c>
      <c r="BK1457" s="0" t="n">
        <v>0</v>
      </c>
      <c r="BM1457" s="6" t="n">
        <f aca="false">IFERROR(VALUE(F1457),"")</f>
        <v>206.05</v>
      </c>
      <c r="BN1457" s="6" t="str">
        <f aca="false">IF(R1457="-","",IFERROR(VALUE(LEFT(Q1457,LEN(Q1457)-2)),""))</f>
        <v/>
      </c>
      <c r="BO1457" s="6" t="str">
        <f aca="false">IF(R1457="-","",IFERROR(VALUE(LEFT(R1457,LEN(R1457)-5)),""))</f>
        <v/>
      </c>
      <c r="BP1457" s="6" t="str">
        <f aca="false">IF(R1457="-","",IFERROR(VALUE(F1457),""))</f>
        <v/>
      </c>
      <c r="BQ1457" s="4" t="n">
        <f aca="false">IF(R1457="-",1,0)</f>
        <v>1</v>
      </c>
    </row>
    <row r="1458" customFormat="false" ht="15" hidden="false" customHeight="false" outlineLevel="0" collapsed="false">
      <c r="A1458" s="0" t="s">
        <v>5447</v>
      </c>
      <c r="B1458" s="0" t="s">
        <v>5448</v>
      </c>
      <c r="C1458" s="0" t="s">
        <v>70</v>
      </c>
      <c r="D1458" s="0" t="s">
        <v>5456</v>
      </c>
      <c r="E1458" s="3" t="n">
        <v>46276</v>
      </c>
      <c r="F1458" s="4" t="s">
        <v>5459</v>
      </c>
      <c r="G1458" s="5" t="n">
        <v>0.219444444444444</v>
      </c>
      <c r="H1458" s="5" t="n">
        <v>0.131435185185185</v>
      </c>
      <c r="I1458" s="5" t="n">
        <v>0.000300925925925926</v>
      </c>
      <c r="J1458" s="0" t="n">
        <v>2</v>
      </c>
      <c r="K1458" s="0" t="n">
        <v>5</v>
      </c>
      <c r="L1458" s="0" t="n">
        <v>0</v>
      </c>
      <c r="M1458" s="0" t="n">
        <v>0</v>
      </c>
      <c r="N1458" s="0" t="n">
        <v>2</v>
      </c>
      <c r="O1458" s="5" t="n">
        <v>0</v>
      </c>
      <c r="P1458" s="5" t="n">
        <v>0</v>
      </c>
      <c r="Q1458" s="4" t="s">
        <v>73</v>
      </c>
      <c r="R1458" s="4" t="s">
        <v>73</v>
      </c>
      <c r="S1458" s="5" t="n">
        <v>0</v>
      </c>
      <c r="T1458" s="5" t="n">
        <v>0</v>
      </c>
      <c r="U1458" s="5" t="n">
        <v>0</v>
      </c>
      <c r="V1458" s="5" t="n">
        <v>0</v>
      </c>
      <c r="W1458" s="5" t="n">
        <v>0</v>
      </c>
      <c r="X1458" s="5" t="n">
        <v>0</v>
      </c>
      <c r="Y1458" s="5" t="n">
        <v>0</v>
      </c>
      <c r="Z1458" s="0" t="n">
        <v>0</v>
      </c>
      <c r="AA1458" s="0" t="n">
        <v>0</v>
      </c>
      <c r="AB1458" s="0" t="n">
        <v>0</v>
      </c>
      <c r="AC1458" s="4" t="s">
        <v>159</v>
      </c>
      <c r="AD1458" s="4" t="s">
        <v>158</v>
      </c>
      <c r="AE1458" s="4" t="s">
        <v>5458</v>
      </c>
      <c r="AF1458" s="4" t="s">
        <v>5460</v>
      </c>
      <c r="AG1458" s="5" t="n">
        <v>0.203865740740741</v>
      </c>
      <c r="AH1458" s="5" t="n">
        <v>0.118506944444444</v>
      </c>
      <c r="AI1458" s="5" t="n">
        <v>0</v>
      </c>
      <c r="AJ1458" s="5" t="n">
        <v>0</v>
      </c>
      <c r="AK1458" s="5" t="n">
        <v>0</v>
      </c>
      <c r="AL1458" s="5" t="n">
        <v>0</v>
      </c>
      <c r="AM1458" s="4" t="s">
        <v>78</v>
      </c>
      <c r="AN1458" s="0" t="n">
        <v>0</v>
      </c>
      <c r="AO1458" s="0" t="n">
        <v>0</v>
      </c>
      <c r="AP1458" s="0" t="n">
        <v>0</v>
      </c>
      <c r="AQ1458" s="0" t="n">
        <v>0</v>
      </c>
      <c r="AR1458" s="0" t="n">
        <v>3</v>
      </c>
      <c r="AS1458" s="0" t="n">
        <v>0</v>
      </c>
      <c r="AT1458" s="0" t="n">
        <v>0</v>
      </c>
      <c r="AU1458" s="0" t="n">
        <v>0</v>
      </c>
      <c r="AV1458" s="0" t="n">
        <v>0</v>
      </c>
      <c r="AW1458" s="0" t="n">
        <v>0</v>
      </c>
      <c r="AX1458" s="0" t="n">
        <v>0</v>
      </c>
      <c r="AY1458" s="0" t="n">
        <v>0</v>
      </c>
      <c r="AZ1458" s="0" t="n">
        <v>0</v>
      </c>
      <c r="BA1458" s="0" t="n">
        <v>0</v>
      </c>
      <c r="BB1458" s="0" t="n">
        <v>0</v>
      </c>
      <c r="BC1458" s="0" t="n">
        <v>0</v>
      </c>
      <c r="BD1458" s="0" t="n">
        <v>0</v>
      </c>
      <c r="BE1458" s="0" t="n">
        <v>0</v>
      </c>
      <c r="BF1458" s="0" t="n">
        <v>0</v>
      </c>
      <c r="BG1458" s="0" t="n">
        <v>0</v>
      </c>
      <c r="BH1458" s="0" t="n">
        <v>0</v>
      </c>
      <c r="BI1458" s="0" t="n">
        <v>0</v>
      </c>
      <c r="BJ1458" s="0" t="n">
        <v>0</v>
      </c>
      <c r="BK1458" s="0" t="n">
        <v>0</v>
      </c>
      <c r="BM1458" s="6" t="n">
        <f aca="false">IFERROR(VALUE(F1458),"")</f>
        <v>203.91</v>
      </c>
      <c r="BN1458" s="6" t="str">
        <f aca="false">IF(R1458="-","",IFERROR(VALUE(LEFT(Q1458,LEN(Q1458)-2)),""))</f>
        <v/>
      </c>
      <c r="BO1458" s="6" t="str">
        <f aca="false">IF(R1458="-","",IFERROR(VALUE(LEFT(R1458,LEN(R1458)-5)),""))</f>
        <v/>
      </c>
      <c r="BP1458" s="6" t="str">
        <f aca="false">IF(R1458="-","",IFERROR(VALUE(F1458),""))</f>
        <v/>
      </c>
      <c r="BQ1458" s="4" t="n">
        <f aca="false">IF(R1458="-",1,0)</f>
        <v>1</v>
      </c>
    </row>
    <row r="1459" customFormat="false" ht="15" hidden="false" customHeight="false" outlineLevel="0" collapsed="false">
      <c r="A1459" s="0" t="s">
        <v>5447</v>
      </c>
      <c r="B1459" s="0" t="s">
        <v>5448</v>
      </c>
      <c r="C1459" s="0" t="s">
        <v>70</v>
      </c>
      <c r="E1459" s="3" t="n">
        <v>46277</v>
      </c>
      <c r="F1459" s="4" t="s">
        <v>95</v>
      </c>
      <c r="G1459" s="5" t="n">
        <v>0</v>
      </c>
      <c r="H1459" s="5" t="n">
        <v>0</v>
      </c>
      <c r="I1459" s="5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5" t="n">
        <v>0</v>
      </c>
      <c r="P1459" s="5" t="n">
        <v>0</v>
      </c>
      <c r="Q1459" s="4" t="s">
        <v>73</v>
      </c>
      <c r="R1459" s="4" t="s">
        <v>73</v>
      </c>
      <c r="S1459" s="5" t="n">
        <v>0</v>
      </c>
      <c r="T1459" s="5" t="n">
        <v>0</v>
      </c>
      <c r="U1459" s="5" t="n">
        <v>0</v>
      </c>
      <c r="V1459" s="5" t="n">
        <v>0</v>
      </c>
      <c r="W1459" s="5" t="n">
        <v>0</v>
      </c>
      <c r="X1459" s="5" t="n">
        <v>0</v>
      </c>
      <c r="Y1459" s="5" t="n">
        <v>0</v>
      </c>
      <c r="Z1459" s="0" t="n">
        <v>0</v>
      </c>
      <c r="AA1459" s="0" t="n">
        <v>0</v>
      </c>
      <c r="AB1459" s="0" t="n">
        <v>0</v>
      </c>
      <c r="AC1459" s="4" t="s">
        <v>158</v>
      </c>
      <c r="AD1459" s="4" t="s">
        <v>158</v>
      </c>
      <c r="AE1459" s="4" t="s">
        <v>5460</v>
      </c>
      <c r="AF1459" s="4" t="s">
        <v>5460</v>
      </c>
      <c r="AG1459" s="5" t="n">
        <v>0</v>
      </c>
      <c r="AH1459" s="5" t="n">
        <v>0.000914351851851852</v>
      </c>
      <c r="AI1459" s="5" t="n">
        <v>0</v>
      </c>
      <c r="AJ1459" s="5" t="n">
        <v>0</v>
      </c>
      <c r="AK1459" s="5" t="n">
        <v>0</v>
      </c>
      <c r="AL1459" s="5" t="n">
        <v>0</v>
      </c>
      <c r="AM1459" s="4" t="s">
        <v>78</v>
      </c>
      <c r="AN1459" s="0" t="n">
        <v>0</v>
      </c>
      <c r="AO1459" s="0" t="n">
        <v>0</v>
      </c>
      <c r="AP1459" s="0" t="n">
        <v>0</v>
      </c>
      <c r="AQ1459" s="0" t="n">
        <v>0</v>
      </c>
      <c r="AR1459" s="0" t="n">
        <v>0</v>
      </c>
      <c r="AS1459" s="0" t="n">
        <v>0</v>
      </c>
      <c r="AT1459" s="0" t="n">
        <v>0</v>
      </c>
      <c r="AU1459" s="0" t="n">
        <v>0</v>
      </c>
      <c r="AV1459" s="0" t="n">
        <v>0</v>
      </c>
      <c r="AW1459" s="0" t="n">
        <v>0</v>
      </c>
      <c r="AX1459" s="0" t="n">
        <v>0</v>
      </c>
      <c r="AY1459" s="0" t="n">
        <v>0</v>
      </c>
      <c r="AZ1459" s="0" t="n">
        <v>0</v>
      </c>
      <c r="BA1459" s="0" t="n">
        <v>0</v>
      </c>
      <c r="BB1459" s="0" t="n">
        <v>0</v>
      </c>
      <c r="BC1459" s="0" t="n">
        <v>0</v>
      </c>
      <c r="BD1459" s="0" t="n">
        <v>0</v>
      </c>
      <c r="BE1459" s="0" t="n">
        <v>0</v>
      </c>
      <c r="BF1459" s="0" t="n">
        <v>0</v>
      </c>
      <c r="BG1459" s="0" t="n">
        <v>0</v>
      </c>
      <c r="BH1459" s="0" t="n">
        <v>0</v>
      </c>
      <c r="BI1459" s="0" t="n">
        <v>0</v>
      </c>
      <c r="BJ1459" s="0" t="n">
        <v>0</v>
      </c>
      <c r="BK1459" s="0" t="n">
        <v>0</v>
      </c>
      <c r="BM1459" s="6" t="n">
        <f aca="false">IFERROR(VALUE(F1459),"")</f>
        <v>0</v>
      </c>
      <c r="BN1459" s="6" t="str">
        <f aca="false">IF(R1459="-","",IFERROR(VALUE(LEFT(Q1459,LEN(Q1459)-2)),""))</f>
        <v/>
      </c>
      <c r="BO1459" s="6" t="str">
        <f aca="false">IF(R1459="-","",IFERROR(VALUE(LEFT(R1459,LEN(R1459)-5)),""))</f>
        <v/>
      </c>
      <c r="BP1459" s="6" t="str">
        <f aca="false">IF(R1459="-","",IFERROR(VALUE(F1459),""))</f>
        <v/>
      </c>
      <c r="BQ1459" s="4" t="n">
        <f aca="false">IF(R1459="-",1,0)</f>
        <v>1</v>
      </c>
    </row>
    <row r="1460" customFormat="false" ht="15" hidden="false" customHeight="false" outlineLevel="0" collapsed="false">
      <c r="A1460" s="0" t="s">
        <v>5447</v>
      </c>
      <c r="B1460" s="0" t="s">
        <v>5448</v>
      </c>
      <c r="C1460" s="0" t="s">
        <v>70</v>
      </c>
      <c r="D1460" s="0" t="s">
        <v>5456</v>
      </c>
      <c r="E1460" s="3" t="n">
        <v>46279</v>
      </c>
      <c r="F1460" s="4" t="s">
        <v>5461</v>
      </c>
      <c r="G1460" s="5" t="n">
        <v>0.228344907407407</v>
      </c>
      <c r="H1460" s="5" t="n">
        <v>0.135335648148148</v>
      </c>
      <c r="I1460" s="5" t="n">
        <v>0.000706018518518519</v>
      </c>
      <c r="J1460" s="0" t="n">
        <v>2</v>
      </c>
      <c r="K1460" s="0" t="n">
        <v>12</v>
      </c>
      <c r="L1460" s="0" t="n">
        <v>0</v>
      </c>
      <c r="M1460" s="0" t="n">
        <v>0</v>
      </c>
      <c r="N1460" s="0" t="n">
        <v>26</v>
      </c>
      <c r="O1460" s="5" t="n">
        <v>0</v>
      </c>
      <c r="P1460" s="5" t="n">
        <v>0</v>
      </c>
      <c r="Q1460" s="4" t="s">
        <v>73</v>
      </c>
      <c r="R1460" s="4" t="s">
        <v>73</v>
      </c>
      <c r="S1460" s="5" t="n">
        <v>0</v>
      </c>
      <c r="T1460" s="5" t="n">
        <v>0</v>
      </c>
      <c r="U1460" s="5" t="n">
        <v>0</v>
      </c>
      <c r="V1460" s="5" t="n">
        <v>0</v>
      </c>
      <c r="W1460" s="5" t="n">
        <v>0</v>
      </c>
      <c r="X1460" s="5" t="n">
        <v>0</v>
      </c>
      <c r="Y1460" s="5" t="n">
        <v>0</v>
      </c>
      <c r="Z1460" s="0" t="n">
        <v>0</v>
      </c>
      <c r="AA1460" s="0" t="n">
        <v>0</v>
      </c>
      <c r="AB1460" s="0" t="n">
        <v>0</v>
      </c>
      <c r="AC1460" s="4" t="s">
        <v>158</v>
      </c>
      <c r="AD1460" s="4" t="s">
        <v>158</v>
      </c>
      <c r="AE1460" s="4" t="s">
        <v>5460</v>
      </c>
      <c r="AF1460" s="4" t="s">
        <v>5462</v>
      </c>
      <c r="AG1460" s="5" t="n">
        <v>0.200185185185185</v>
      </c>
      <c r="AH1460" s="5" t="n">
        <v>0.131018518518519</v>
      </c>
      <c r="AI1460" s="5" t="n">
        <v>0</v>
      </c>
      <c r="AJ1460" s="5" t="n">
        <v>0</v>
      </c>
      <c r="AK1460" s="5" t="n">
        <v>0</v>
      </c>
      <c r="AL1460" s="5" t="n">
        <v>0</v>
      </c>
      <c r="AM1460" s="4" t="s">
        <v>78</v>
      </c>
      <c r="AN1460" s="0" t="n">
        <v>0</v>
      </c>
      <c r="AO1460" s="0" t="n">
        <v>0</v>
      </c>
      <c r="AP1460" s="0" t="n">
        <v>0</v>
      </c>
      <c r="AQ1460" s="0" t="n">
        <v>0</v>
      </c>
      <c r="AR1460" s="0" t="n">
        <v>2</v>
      </c>
      <c r="AS1460" s="0" t="n">
        <v>0</v>
      </c>
      <c r="AT1460" s="0" t="n">
        <v>0</v>
      </c>
      <c r="AU1460" s="0" t="n">
        <v>0</v>
      </c>
      <c r="AV1460" s="0" t="n">
        <v>0</v>
      </c>
      <c r="AW1460" s="0" t="n">
        <v>0</v>
      </c>
      <c r="AX1460" s="0" t="n">
        <v>0</v>
      </c>
      <c r="AY1460" s="0" t="n">
        <v>0</v>
      </c>
      <c r="AZ1460" s="0" t="n">
        <v>0</v>
      </c>
      <c r="BA1460" s="0" t="n">
        <v>0</v>
      </c>
      <c r="BB1460" s="0" t="n">
        <v>0</v>
      </c>
      <c r="BC1460" s="0" t="n">
        <v>0</v>
      </c>
      <c r="BD1460" s="0" t="n">
        <v>0</v>
      </c>
      <c r="BE1460" s="0" t="n">
        <v>0</v>
      </c>
      <c r="BF1460" s="0" t="n">
        <v>0</v>
      </c>
      <c r="BG1460" s="0" t="n">
        <v>0</v>
      </c>
      <c r="BH1460" s="0" t="n">
        <v>0</v>
      </c>
      <c r="BI1460" s="0" t="n">
        <v>0</v>
      </c>
      <c r="BJ1460" s="0" t="n">
        <v>0</v>
      </c>
      <c r="BK1460" s="0" t="n">
        <v>0</v>
      </c>
      <c r="BM1460" s="6" t="n">
        <f aca="false">IFERROR(VALUE(F1460),"")</f>
        <v>198.95</v>
      </c>
      <c r="BN1460" s="6" t="str">
        <f aca="false">IF(R1460="-","",IFERROR(VALUE(LEFT(Q1460,LEN(Q1460)-2)),""))</f>
        <v/>
      </c>
      <c r="BO1460" s="6" t="str">
        <f aca="false">IF(R1460="-","",IFERROR(VALUE(LEFT(R1460,LEN(R1460)-5)),""))</f>
        <v/>
      </c>
      <c r="BP1460" s="6" t="str">
        <f aca="false">IF(R1460="-","",IFERROR(VALUE(F1460),""))</f>
        <v/>
      </c>
      <c r="BQ1460" s="4" t="n">
        <f aca="false">IF(R1460="-",1,0)</f>
        <v>1</v>
      </c>
    </row>
    <row r="1461" customFormat="false" ht="15" hidden="false" customHeight="false" outlineLevel="0" collapsed="false">
      <c r="A1461" s="0" t="s">
        <v>5463</v>
      </c>
      <c r="B1461" s="0" t="s">
        <v>5464</v>
      </c>
      <c r="C1461" s="0" t="s">
        <v>70</v>
      </c>
      <c r="D1461" s="0" t="s">
        <v>5465</v>
      </c>
      <c r="E1461" s="3" t="n">
        <v>46273</v>
      </c>
      <c r="F1461" s="4" t="s">
        <v>5466</v>
      </c>
      <c r="G1461" s="5" t="n">
        <v>0.221203703703704</v>
      </c>
      <c r="H1461" s="5" t="n">
        <v>0.218518518518519</v>
      </c>
      <c r="I1461" s="5" t="n">
        <v>0.000451388888888889</v>
      </c>
      <c r="J1461" s="0" t="n">
        <v>0</v>
      </c>
      <c r="K1461" s="0" t="n">
        <v>2</v>
      </c>
      <c r="L1461" s="0" t="n">
        <v>0</v>
      </c>
      <c r="M1461" s="0" t="n">
        <v>0</v>
      </c>
      <c r="N1461" s="0" t="n">
        <v>3</v>
      </c>
      <c r="O1461" s="5" t="n">
        <v>0</v>
      </c>
      <c r="P1461" s="5" t="n">
        <v>0</v>
      </c>
      <c r="Q1461" s="4" t="s">
        <v>73</v>
      </c>
      <c r="R1461" s="4" t="s">
        <v>73</v>
      </c>
      <c r="S1461" s="5" t="n">
        <v>0</v>
      </c>
      <c r="T1461" s="5" t="n">
        <v>0</v>
      </c>
      <c r="U1461" s="5" t="n">
        <v>0</v>
      </c>
      <c r="V1461" s="5" t="n">
        <v>0</v>
      </c>
      <c r="W1461" s="5" t="n">
        <v>0</v>
      </c>
      <c r="X1461" s="5" t="n">
        <v>0</v>
      </c>
      <c r="Y1461" s="5" t="n">
        <v>0</v>
      </c>
      <c r="Z1461" s="0" t="n">
        <v>0</v>
      </c>
      <c r="AA1461" s="0" t="n">
        <v>0</v>
      </c>
      <c r="AB1461" s="0" t="n">
        <v>0</v>
      </c>
      <c r="AC1461" s="4" t="s">
        <v>159</v>
      </c>
      <c r="AD1461" s="4" t="s">
        <v>158</v>
      </c>
      <c r="AE1461" s="4" t="s">
        <v>5467</v>
      </c>
      <c r="AF1461" s="4" t="s">
        <v>5468</v>
      </c>
      <c r="AG1461" s="5" t="n">
        <v>0.203009259259259</v>
      </c>
      <c r="AH1461" s="5" t="n">
        <v>0.0921180555555556</v>
      </c>
      <c r="AI1461" s="5" t="n">
        <v>0</v>
      </c>
      <c r="AJ1461" s="5" t="n">
        <v>0</v>
      </c>
      <c r="AK1461" s="5" t="n">
        <v>0</v>
      </c>
      <c r="AL1461" s="5" t="n">
        <v>0</v>
      </c>
      <c r="AM1461" s="4" t="s">
        <v>78</v>
      </c>
      <c r="AN1461" s="0" t="n">
        <v>0</v>
      </c>
      <c r="AO1461" s="0" t="n">
        <v>0</v>
      </c>
      <c r="AP1461" s="0" t="n">
        <v>0</v>
      </c>
      <c r="AQ1461" s="0" t="n">
        <v>0</v>
      </c>
      <c r="AR1461" s="0" t="n">
        <v>0</v>
      </c>
      <c r="AS1461" s="0" t="n">
        <v>0</v>
      </c>
      <c r="AT1461" s="0" t="n">
        <v>0</v>
      </c>
      <c r="AU1461" s="0" t="n">
        <v>0</v>
      </c>
      <c r="AV1461" s="0" t="n">
        <v>0</v>
      </c>
      <c r="AW1461" s="0" t="n">
        <v>0</v>
      </c>
      <c r="AX1461" s="0" t="n">
        <v>0</v>
      </c>
      <c r="AY1461" s="0" t="n">
        <v>0</v>
      </c>
      <c r="AZ1461" s="0" t="n">
        <v>0</v>
      </c>
      <c r="BA1461" s="0" t="n">
        <v>0</v>
      </c>
      <c r="BB1461" s="0" t="n">
        <v>0</v>
      </c>
      <c r="BC1461" s="0" t="n">
        <v>0</v>
      </c>
      <c r="BD1461" s="0" t="n">
        <v>0</v>
      </c>
      <c r="BE1461" s="0" t="n">
        <v>0</v>
      </c>
      <c r="BF1461" s="0" t="n">
        <v>0</v>
      </c>
      <c r="BG1461" s="0" t="n">
        <v>0</v>
      </c>
      <c r="BH1461" s="0" t="n">
        <v>0</v>
      </c>
      <c r="BI1461" s="0" t="n">
        <v>0</v>
      </c>
      <c r="BJ1461" s="0" t="n">
        <v>0</v>
      </c>
      <c r="BK1461" s="0" t="n">
        <v>0</v>
      </c>
      <c r="BM1461" s="6" t="n">
        <f aca="false">IFERROR(VALUE(F1461),"")</f>
        <v>146.7</v>
      </c>
      <c r="BN1461" s="6" t="str">
        <f aca="false">IF(R1461="-","",IFERROR(VALUE(LEFT(Q1461,LEN(Q1461)-2)),""))</f>
        <v/>
      </c>
      <c r="BO1461" s="6" t="str">
        <f aca="false">IF(R1461="-","",IFERROR(VALUE(LEFT(R1461,LEN(R1461)-5)),""))</f>
        <v/>
      </c>
      <c r="BP1461" s="6" t="str">
        <f aca="false">IF(R1461="-","",IFERROR(VALUE(F1461),""))</f>
        <v/>
      </c>
      <c r="BQ1461" s="4" t="n">
        <f aca="false">IF(R1461="-",1,0)</f>
        <v>1</v>
      </c>
    </row>
    <row r="1462" customFormat="false" ht="15" hidden="false" customHeight="false" outlineLevel="0" collapsed="false">
      <c r="A1462" s="0" t="s">
        <v>5463</v>
      </c>
      <c r="B1462" s="0" t="s">
        <v>5464</v>
      </c>
      <c r="C1462" s="0" t="s">
        <v>70</v>
      </c>
      <c r="D1462" s="0" t="s">
        <v>5469</v>
      </c>
      <c r="E1462" s="3" t="n">
        <v>46274</v>
      </c>
      <c r="F1462" s="4" t="s">
        <v>1916</v>
      </c>
      <c r="G1462" s="5" t="n">
        <v>0.245173611111111</v>
      </c>
      <c r="H1462" s="5" t="n">
        <v>0.241111111111111</v>
      </c>
      <c r="I1462" s="5" t="n">
        <v>0.00100694444444444</v>
      </c>
      <c r="J1462" s="0" t="n">
        <v>1</v>
      </c>
      <c r="K1462" s="0" t="n">
        <v>3</v>
      </c>
      <c r="L1462" s="0" t="n">
        <v>0</v>
      </c>
      <c r="M1462" s="0" t="n">
        <v>0</v>
      </c>
      <c r="N1462" s="0" t="n">
        <v>5</v>
      </c>
      <c r="O1462" s="5" t="n">
        <v>0</v>
      </c>
      <c r="P1462" s="5" t="n">
        <v>0</v>
      </c>
      <c r="Q1462" s="4" t="s">
        <v>73</v>
      </c>
      <c r="R1462" s="4" t="s">
        <v>73</v>
      </c>
      <c r="S1462" s="5" t="n">
        <v>0</v>
      </c>
      <c r="T1462" s="5" t="n">
        <v>0</v>
      </c>
      <c r="U1462" s="5" t="n">
        <v>0</v>
      </c>
      <c r="V1462" s="5" t="n">
        <v>0</v>
      </c>
      <c r="W1462" s="5" t="n">
        <v>0</v>
      </c>
      <c r="X1462" s="5" t="n">
        <v>0</v>
      </c>
      <c r="Y1462" s="5" t="n">
        <v>0</v>
      </c>
      <c r="Z1462" s="0" t="n">
        <v>0</v>
      </c>
      <c r="AA1462" s="0" t="n">
        <v>0</v>
      </c>
      <c r="AB1462" s="0" t="n">
        <v>0</v>
      </c>
      <c r="AC1462" s="4" t="s">
        <v>158</v>
      </c>
      <c r="AD1462" s="4" t="s">
        <v>158</v>
      </c>
      <c r="AE1462" s="4" t="s">
        <v>5468</v>
      </c>
      <c r="AF1462" s="4" t="s">
        <v>5470</v>
      </c>
      <c r="AG1462" s="5" t="n">
        <v>0.223935185185185</v>
      </c>
      <c r="AH1462" s="5" t="n">
        <v>0.177766203703704</v>
      </c>
      <c r="AI1462" s="5" t="n">
        <v>0</v>
      </c>
      <c r="AJ1462" s="5" t="n">
        <v>0</v>
      </c>
      <c r="AK1462" s="5" t="n">
        <v>0</v>
      </c>
      <c r="AL1462" s="5" t="n">
        <v>0</v>
      </c>
      <c r="AM1462" s="4" t="s">
        <v>78</v>
      </c>
      <c r="AN1462" s="0" t="n">
        <v>0</v>
      </c>
      <c r="AO1462" s="0" t="n">
        <v>0</v>
      </c>
      <c r="AP1462" s="0" t="n">
        <v>0</v>
      </c>
      <c r="AQ1462" s="0" t="n">
        <v>0</v>
      </c>
      <c r="AR1462" s="0" t="n">
        <v>2</v>
      </c>
      <c r="AS1462" s="0" t="n">
        <v>0</v>
      </c>
      <c r="AT1462" s="0" t="n">
        <v>0</v>
      </c>
      <c r="AU1462" s="0" t="n">
        <v>0</v>
      </c>
      <c r="AV1462" s="0" t="n">
        <v>0</v>
      </c>
      <c r="AW1462" s="0" t="n">
        <v>0</v>
      </c>
      <c r="AX1462" s="0" t="n">
        <v>0</v>
      </c>
      <c r="AY1462" s="0" t="n">
        <v>0</v>
      </c>
      <c r="AZ1462" s="0" t="n">
        <v>0</v>
      </c>
      <c r="BA1462" s="0" t="n">
        <v>0</v>
      </c>
      <c r="BB1462" s="0" t="n">
        <v>0</v>
      </c>
      <c r="BC1462" s="0" t="n">
        <v>0</v>
      </c>
      <c r="BD1462" s="0" t="n">
        <v>0</v>
      </c>
      <c r="BE1462" s="0" t="n">
        <v>0</v>
      </c>
      <c r="BF1462" s="0" t="n">
        <v>0</v>
      </c>
      <c r="BG1462" s="0" t="n">
        <v>0</v>
      </c>
      <c r="BH1462" s="0" t="n">
        <v>0</v>
      </c>
      <c r="BI1462" s="0" t="n">
        <v>0</v>
      </c>
      <c r="BJ1462" s="0" t="n">
        <v>0</v>
      </c>
      <c r="BK1462" s="0" t="n">
        <v>0</v>
      </c>
      <c r="BM1462" s="6" t="n">
        <f aca="false">IFERROR(VALUE(F1462),"")</f>
        <v>177.11</v>
      </c>
      <c r="BN1462" s="6" t="str">
        <f aca="false">IF(R1462="-","",IFERROR(VALUE(LEFT(Q1462,LEN(Q1462)-2)),""))</f>
        <v/>
      </c>
      <c r="BO1462" s="6" t="str">
        <f aca="false">IF(R1462="-","",IFERROR(VALUE(LEFT(R1462,LEN(R1462)-5)),""))</f>
        <v/>
      </c>
      <c r="BP1462" s="6" t="str">
        <f aca="false">IF(R1462="-","",IFERROR(VALUE(F1462),""))</f>
        <v/>
      </c>
      <c r="BQ1462" s="4" t="n">
        <f aca="false">IF(R1462="-",1,0)</f>
        <v>1</v>
      </c>
    </row>
    <row r="1463" customFormat="false" ht="15" hidden="false" customHeight="false" outlineLevel="0" collapsed="false">
      <c r="A1463" s="0" t="s">
        <v>5463</v>
      </c>
      <c r="B1463" s="0" t="s">
        <v>5464</v>
      </c>
      <c r="C1463" s="0" t="s">
        <v>70</v>
      </c>
      <c r="D1463" s="0" t="s">
        <v>5465</v>
      </c>
      <c r="E1463" s="3" t="n">
        <v>46275</v>
      </c>
      <c r="F1463" s="4" t="s">
        <v>5471</v>
      </c>
      <c r="G1463" s="5" t="n">
        <v>0.218877314814815</v>
      </c>
      <c r="H1463" s="5" t="n">
        <v>0.214965277777778</v>
      </c>
      <c r="I1463" s="5" t="n">
        <v>0.000532407407407407</v>
      </c>
      <c r="J1463" s="0" t="n">
        <v>0</v>
      </c>
      <c r="K1463" s="0" t="n">
        <v>2</v>
      </c>
      <c r="L1463" s="0" t="n">
        <v>0</v>
      </c>
      <c r="M1463" s="0" t="n">
        <v>0</v>
      </c>
      <c r="N1463" s="0" t="n">
        <v>10</v>
      </c>
      <c r="O1463" s="5" t="n">
        <v>0</v>
      </c>
      <c r="P1463" s="5" t="n">
        <v>0</v>
      </c>
      <c r="Q1463" s="4" t="s">
        <v>73</v>
      </c>
      <c r="R1463" s="4" t="s">
        <v>73</v>
      </c>
      <c r="S1463" s="5" t="n">
        <v>0</v>
      </c>
      <c r="T1463" s="5" t="n">
        <v>0</v>
      </c>
      <c r="U1463" s="5" t="n">
        <v>0</v>
      </c>
      <c r="V1463" s="5" t="n">
        <v>0</v>
      </c>
      <c r="W1463" s="5" t="n">
        <v>0</v>
      </c>
      <c r="X1463" s="5" t="n">
        <v>0</v>
      </c>
      <c r="Y1463" s="5" t="n">
        <v>0</v>
      </c>
      <c r="Z1463" s="0" t="n">
        <v>0</v>
      </c>
      <c r="AA1463" s="0" t="n">
        <v>0</v>
      </c>
      <c r="AB1463" s="0" t="n">
        <v>0</v>
      </c>
      <c r="AC1463" s="4" t="s">
        <v>158</v>
      </c>
      <c r="AD1463" s="4" t="s">
        <v>158</v>
      </c>
      <c r="AE1463" s="4" t="s">
        <v>5470</v>
      </c>
      <c r="AF1463" s="4" t="s">
        <v>5472</v>
      </c>
      <c r="AG1463" s="5" t="n">
        <v>0.197476851851852</v>
      </c>
      <c r="AH1463" s="5" t="n">
        <v>0.120740740740741</v>
      </c>
      <c r="AI1463" s="5" t="n">
        <v>0</v>
      </c>
      <c r="AJ1463" s="5" t="n">
        <v>0</v>
      </c>
      <c r="AK1463" s="5" t="n">
        <v>0</v>
      </c>
      <c r="AL1463" s="5" t="n">
        <v>0</v>
      </c>
      <c r="AM1463" s="4" t="s">
        <v>78</v>
      </c>
      <c r="AN1463" s="0" t="n">
        <v>0</v>
      </c>
      <c r="AO1463" s="0" t="n">
        <v>2</v>
      </c>
      <c r="AP1463" s="0" t="n">
        <v>0</v>
      </c>
      <c r="AQ1463" s="0" t="n">
        <v>0</v>
      </c>
      <c r="AR1463" s="0" t="n">
        <v>0</v>
      </c>
      <c r="AS1463" s="0" t="n">
        <v>0</v>
      </c>
      <c r="AT1463" s="0" t="n">
        <v>0</v>
      </c>
      <c r="AU1463" s="0" t="n">
        <v>0</v>
      </c>
      <c r="AV1463" s="0" t="n">
        <v>0</v>
      </c>
      <c r="AW1463" s="0" t="n">
        <v>0</v>
      </c>
      <c r="AX1463" s="0" t="n">
        <v>0</v>
      </c>
      <c r="AY1463" s="0" t="n">
        <v>0</v>
      </c>
      <c r="AZ1463" s="0" t="n">
        <v>0</v>
      </c>
      <c r="BA1463" s="0" t="n">
        <v>0</v>
      </c>
      <c r="BB1463" s="0" t="n">
        <v>0</v>
      </c>
      <c r="BC1463" s="0" t="n">
        <v>0</v>
      </c>
      <c r="BD1463" s="0" t="n">
        <v>0</v>
      </c>
      <c r="BE1463" s="0" t="n">
        <v>0</v>
      </c>
      <c r="BF1463" s="0" t="n">
        <v>0</v>
      </c>
      <c r="BG1463" s="0" t="n">
        <v>0</v>
      </c>
      <c r="BH1463" s="0" t="n">
        <v>0</v>
      </c>
      <c r="BI1463" s="0" t="n">
        <v>0</v>
      </c>
      <c r="BJ1463" s="0" t="n">
        <v>0</v>
      </c>
      <c r="BK1463" s="0" t="n">
        <v>0</v>
      </c>
      <c r="BM1463" s="6" t="n">
        <f aca="false">IFERROR(VALUE(F1463),"")</f>
        <v>151.09</v>
      </c>
      <c r="BN1463" s="6" t="str">
        <f aca="false">IF(R1463="-","",IFERROR(VALUE(LEFT(Q1463,LEN(Q1463)-2)),""))</f>
        <v/>
      </c>
      <c r="BO1463" s="6" t="str">
        <f aca="false">IF(R1463="-","",IFERROR(VALUE(LEFT(R1463,LEN(R1463)-5)),""))</f>
        <v/>
      </c>
      <c r="BP1463" s="6" t="str">
        <f aca="false">IF(R1463="-","",IFERROR(VALUE(F1463),""))</f>
        <v/>
      </c>
      <c r="BQ1463" s="4" t="n">
        <f aca="false">IF(R1463="-",1,0)</f>
        <v>1</v>
      </c>
    </row>
    <row r="1464" customFormat="false" ht="15" hidden="false" customHeight="false" outlineLevel="0" collapsed="false">
      <c r="A1464" s="0" t="s">
        <v>5463</v>
      </c>
      <c r="B1464" s="0" t="s">
        <v>5464</v>
      </c>
      <c r="C1464" s="0" t="s">
        <v>70</v>
      </c>
      <c r="D1464" s="0" t="s">
        <v>5465</v>
      </c>
      <c r="E1464" s="3" t="n">
        <v>46276</v>
      </c>
      <c r="F1464" s="4" t="s">
        <v>5473</v>
      </c>
      <c r="G1464" s="5" t="n">
        <v>0.210775462962963</v>
      </c>
      <c r="H1464" s="5" t="n">
        <v>0.0897453703703704</v>
      </c>
      <c r="I1464" s="5" t="n">
        <v>0.000648148148148148</v>
      </c>
      <c r="J1464" s="0" t="n">
        <v>1</v>
      </c>
      <c r="K1464" s="0" t="n">
        <v>3</v>
      </c>
      <c r="L1464" s="0" t="n">
        <v>0</v>
      </c>
      <c r="M1464" s="0" t="n">
        <v>0</v>
      </c>
      <c r="N1464" s="0" t="n">
        <v>11</v>
      </c>
      <c r="O1464" s="5" t="n">
        <v>0</v>
      </c>
      <c r="P1464" s="5" t="n">
        <v>0</v>
      </c>
      <c r="Q1464" s="4" t="s">
        <v>73</v>
      </c>
      <c r="R1464" s="4" t="s">
        <v>73</v>
      </c>
      <c r="S1464" s="5" t="n">
        <v>0</v>
      </c>
      <c r="T1464" s="5" t="n">
        <v>0</v>
      </c>
      <c r="U1464" s="5" t="n">
        <v>0</v>
      </c>
      <c r="V1464" s="5" t="n">
        <v>0</v>
      </c>
      <c r="W1464" s="5" t="n">
        <v>0</v>
      </c>
      <c r="X1464" s="5" t="n">
        <v>0</v>
      </c>
      <c r="Y1464" s="5" t="n">
        <v>0</v>
      </c>
      <c r="Z1464" s="0" t="n">
        <v>0</v>
      </c>
      <c r="AA1464" s="0" t="n">
        <v>0</v>
      </c>
      <c r="AB1464" s="0" t="n">
        <v>0</v>
      </c>
      <c r="AC1464" s="4" t="s">
        <v>159</v>
      </c>
      <c r="AD1464" s="4" t="s">
        <v>158</v>
      </c>
      <c r="AE1464" s="4" t="s">
        <v>5472</v>
      </c>
      <c r="AF1464" s="4" t="s">
        <v>5474</v>
      </c>
      <c r="AG1464" s="5" t="n">
        <v>0.192962962962963</v>
      </c>
      <c r="AH1464" s="5" t="n">
        <v>0.165694444444444</v>
      </c>
      <c r="AI1464" s="5" t="n">
        <v>0</v>
      </c>
      <c r="AJ1464" s="5" t="n">
        <v>0</v>
      </c>
      <c r="AK1464" s="5" t="n">
        <v>0</v>
      </c>
      <c r="AL1464" s="5" t="n">
        <v>0</v>
      </c>
      <c r="AM1464" s="4" t="s">
        <v>78</v>
      </c>
      <c r="AN1464" s="0" t="n">
        <v>0</v>
      </c>
      <c r="AO1464" s="0" t="n">
        <v>0</v>
      </c>
      <c r="AP1464" s="0" t="n">
        <v>0</v>
      </c>
      <c r="AQ1464" s="0" t="n">
        <v>0</v>
      </c>
      <c r="AR1464" s="0" t="n">
        <v>1</v>
      </c>
      <c r="AS1464" s="0" t="n">
        <v>0</v>
      </c>
      <c r="AT1464" s="0" t="n">
        <v>0</v>
      </c>
      <c r="AU1464" s="0" t="n">
        <v>0</v>
      </c>
      <c r="AV1464" s="0" t="n">
        <v>0</v>
      </c>
      <c r="AW1464" s="0" t="n">
        <v>0</v>
      </c>
      <c r="AX1464" s="0" t="n">
        <v>0</v>
      </c>
      <c r="AY1464" s="0" t="n">
        <v>0</v>
      </c>
      <c r="AZ1464" s="0" t="n">
        <v>0</v>
      </c>
      <c r="BA1464" s="0" t="n">
        <v>0</v>
      </c>
      <c r="BB1464" s="0" t="n">
        <v>0</v>
      </c>
      <c r="BC1464" s="0" t="n">
        <v>0</v>
      </c>
      <c r="BD1464" s="0" t="n">
        <v>0</v>
      </c>
      <c r="BE1464" s="0" t="n">
        <v>0</v>
      </c>
      <c r="BF1464" s="0" t="n">
        <v>0</v>
      </c>
      <c r="BG1464" s="0" t="n">
        <v>0</v>
      </c>
      <c r="BH1464" s="0" t="n">
        <v>0</v>
      </c>
      <c r="BI1464" s="0" t="n">
        <v>0</v>
      </c>
      <c r="BJ1464" s="0" t="n">
        <v>0</v>
      </c>
      <c r="BK1464" s="0" t="n">
        <v>0</v>
      </c>
      <c r="BM1464" s="6" t="n">
        <f aca="false">IFERROR(VALUE(F1464),"")</f>
        <v>151.74</v>
      </c>
      <c r="BN1464" s="6" t="str">
        <f aca="false">IF(R1464="-","",IFERROR(VALUE(LEFT(Q1464,LEN(Q1464)-2)),""))</f>
        <v/>
      </c>
      <c r="BO1464" s="6" t="str">
        <f aca="false">IF(R1464="-","",IFERROR(VALUE(LEFT(R1464,LEN(R1464)-5)),""))</f>
        <v/>
      </c>
      <c r="BP1464" s="6" t="str">
        <f aca="false">IF(R1464="-","",IFERROR(VALUE(F1464),""))</f>
        <v/>
      </c>
      <c r="BQ1464" s="4" t="n">
        <f aca="false">IF(R1464="-",1,0)</f>
        <v>1</v>
      </c>
    </row>
    <row r="1465" customFormat="false" ht="15" hidden="false" customHeight="false" outlineLevel="0" collapsed="false">
      <c r="A1465" s="0" t="s">
        <v>5463</v>
      </c>
      <c r="B1465" s="0" t="s">
        <v>5464</v>
      </c>
      <c r="C1465" s="0" t="s">
        <v>70</v>
      </c>
      <c r="E1465" s="3" t="n">
        <v>46277</v>
      </c>
      <c r="F1465" s="4" t="s">
        <v>95</v>
      </c>
      <c r="G1465" s="5" t="n">
        <v>0</v>
      </c>
      <c r="H1465" s="5" t="n">
        <v>0</v>
      </c>
      <c r="I1465" s="5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5" t="n">
        <v>0</v>
      </c>
      <c r="P1465" s="5" t="n">
        <v>0</v>
      </c>
      <c r="Q1465" s="4" t="s">
        <v>73</v>
      </c>
      <c r="R1465" s="4" t="s">
        <v>73</v>
      </c>
      <c r="S1465" s="5" t="n">
        <v>0</v>
      </c>
      <c r="T1465" s="5" t="n">
        <v>0</v>
      </c>
      <c r="U1465" s="5" t="n">
        <v>0</v>
      </c>
      <c r="V1465" s="5" t="n">
        <v>0</v>
      </c>
      <c r="W1465" s="5" t="n">
        <v>0</v>
      </c>
      <c r="X1465" s="5" t="n">
        <v>0</v>
      </c>
      <c r="Y1465" s="5" t="n">
        <v>0</v>
      </c>
      <c r="Z1465" s="0" t="n">
        <v>0</v>
      </c>
      <c r="AA1465" s="0" t="n">
        <v>0</v>
      </c>
      <c r="AB1465" s="0" t="n">
        <v>0</v>
      </c>
      <c r="AC1465" s="4" t="s">
        <v>158</v>
      </c>
      <c r="AD1465" s="4" t="s">
        <v>158</v>
      </c>
      <c r="AE1465" s="4" t="s">
        <v>5474</v>
      </c>
      <c r="AF1465" s="4" t="s">
        <v>5474</v>
      </c>
      <c r="AG1465" s="5" t="n">
        <v>0</v>
      </c>
      <c r="AH1465" s="5" t="n">
        <v>0.000914351851851852</v>
      </c>
      <c r="AI1465" s="5" t="n">
        <v>0</v>
      </c>
      <c r="AJ1465" s="5" t="n">
        <v>0</v>
      </c>
      <c r="AK1465" s="5" t="n">
        <v>0</v>
      </c>
      <c r="AL1465" s="5" t="n">
        <v>0</v>
      </c>
      <c r="AM1465" s="4" t="s">
        <v>78</v>
      </c>
      <c r="AN1465" s="0" t="n">
        <v>0</v>
      </c>
      <c r="AO1465" s="0" t="n">
        <v>0</v>
      </c>
      <c r="AP1465" s="0" t="n">
        <v>0</v>
      </c>
      <c r="AQ1465" s="0" t="n">
        <v>0</v>
      </c>
      <c r="AR1465" s="0" t="n">
        <v>0</v>
      </c>
      <c r="AS1465" s="0" t="n">
        <v>0</v>
      </c>
      <c r="AT1465" s="0" t="n">
        <v>0</v>
      </c>
      <c r="AU1465" s="0" t="n">
        <v>0</v>
      </c>
      <c r="AV1465" s="0" t="n">
        <v>0</v>
      </c>
      <c r="AW1465" s="0" t="n">
        <v>0</v>
      </c>
      <c r="AX1465" s="0" t="n">
        <v>0</v>
      </c>
      <c r="AY1465" s="0" t="n">
        <v>0</v>
      </c>
      <c r="AZ1465" s="0" t="n">
        <v>0</v>
      </c>
      <c r="BA1465" s="0" t="n">
        <v>0</v>
      </c>
      <c r="BB1465" s="0" t="n">
        <v>0</v>
      </c>
      <c r="BC1465" s="0" t="n">
        <v>0</v>
      </c>
      <c r="BD1465" s="0" t="n">
        <v>0</v>
      </c>
      <c r="BE1465" s="0" t="n">
        <v>0</v>
      </c>
      <c r="BF1465" s="0" t="n">
        <v>0</v>
      </c>
      <c r="BG1465" s="0" t="n">
        <v>0</v>
      </c>
      <c r="BH1465" s="0" t="n">
        <v>0</v>
      </c>
      <c r="BI1465" s="0" t="n">
        <v>0</v>
      </c>
      <c r="BJ1465" s="0" t="n">
        <v>0</v>
      </c>
      <c r="BK1465" s="0" t="n">
        <v>0</v>
      </c>
      <c r="BM1465" s="6" t="n">
        <f aca="false">IFERROR(VALUE(F1465),"")</f>
        <v>0</v>
      </c>
      <c r="BN1465" s="6" t="str">
        <f aca="false">IF(R1465="-","",IFERROR(VALUE(LEFT(Q1465,LEN(Q1465)-2)),""))</f>
        <v/>
      </c>
      <c r="BO1465" s="6" t="str">
        <f aca="false">IF(R1465="-","",IFERROR(VALUE(LEFT(R1465,LEN(R1465)-5)),""))</f>
        <v/>
      </c>
      <c r="BP1465" s="6" t="str">
        <f aca="false">IF(R1465="-","",IFERROR(VALUE(F1465),""))</f>
        <v/>
      </c>
      <c r="BQ1465" s="4" t="n">
        <f aca="false">IF(R1465="-",1,0)</f>
        <v>1</v>
      </c>
    </row>
    <row r="1466" customFormat="false" ht="15" hidden="false" customHeight="false" outlineLevel="0" collapsed="false">
      <c r="A1466" s="0" t="s">
        <v>5463</v>
      </c>
      <c r="B1466" s="0" t="s">
        <v>5464</v>
      </c>
      <c r="C1466" s="0" t="s">
        <v>70</v>
      </c>
      <c r="D1466" s="0" t="s">
        <v>5465</v>
      </c>
      <c r="E1466" s="3" t="n">
        <v>46279</v>
      </c>
      <c r="F1466" s="4" t="s">
        <v>5475</v>
      </c>
      <c r="G1466" s="5" t="n">
        <v>0.333043981481482</v>
      </c>
      <c r="H1466" s="5" t="n">
        <v>0.0555671296296296</v>
      </c>
      <c r="I1466" s="5" t="n">
        <v>0.000335648148148148</v>
      </c>
      <c r="J1466" s="0" t="n">
        <v>0</v>
      </c>
      <c r="K1466" s="0" t="n">
        <v>1</v>
      </c>
      <c r="L1466" s="0" t="n">
        <v>0</v>
      </c>
      <c r="M1466" s="0" t="n">
        <v>0</v>
      </c>
      <c r="N1466" s="0" t="n">
        <v>1</v>
      </c>
      <c r="O1466" s="5" t="n">
        <v>0</v>
      </c>
      <c r="P1466" s="5" t="n">
        <v>0</v>
      </c>
      <c r="Q1466" s="4" t="s">
        <v>73</v>
      </c>
      <c r="R1466" s="4" t="s">
        <v>73</v>
      </c>
      <c r="S1466" s="5" t="n">
        <v>0</v>
      </c>
      <c r="T1466" s="5" t="n">
        <v>0</v>
      </c>
      <c r="U1466" s="5" t="n">
        <v>0</v>
      </c>
      <c r="V1466" s="5" t="n">
        <v>0</v>
      </c>
      <c r="W1466" s="5" t="n">
        <v>0</v>
      </c>
      <c r="X1466" s="5" t="n">
        <v>0</v>
      </c>
      <c r="Y1466" s="5" t="n">
        <v>0</v>
      </c>
      <c r="Z1466" s="0" t="n">
        <v>0</v>
      </c>
      <c r="AA1466" s="0" t="n">
        <v>0</v>
      </c>
      <c r="AB1466" s="0" t="n">
        <v>0</v>
      </c>
      <c r="AC1466" s="4" t="s">
        <v>158</v>
      </c>
      <c r="AD1466" s="4" t="s">
        <v>158</v>
      </c>
      <c r="AE1466" s="4" t="s">
        <v>5474</v>
      </c>
      <c r="AF1466" s="4" t="s">
        <v>5476</v>
      </c>
      <c r="AG1466" s="5" t="n">
        <v>0.0629513888888889</v>
      </c>
      <c r="AH1466" s="5" t="n">
        <v>0.0767013888888889</v>
      </c>
      <c r="AI1466" s="5" t="n">
        <v>0</v>
      </c>
      <c r="AJ1466" s="5" t="n">
        <v>0</v>
      </c>
      <c r="AK1466" s="5" t="n">
        <v>0</v>
      </c>
      <c r="AL1466" s="5" t="n">
        <v>0</v>
      </c>
      <c r="AM1466" s="4" t="s">
        <v>78</v>
      </c>
      <c r="AN1466" s="0" t="n">
        <v>0</v>
      </c>
      <c r="AO1466" s="0" t="n">
        <v>0</v>
      </c>
      <c r="AP1466" s="0" t="n">
        <v>0</v>
      </c>
      <c r="AQ1466" s="0" t="n">
        <v>0</v>
      </c>
      <c r="AR1466" s="0" t="n">
        <v>1</v>
      </c>
      <c r="AS1466" s="0" t="n">
        <v>0</v>
      </c>
      <c r="AT1466" s="0" t="n">
        <v>0</v>
      </c>
      <c r="AU1466" s="0" t="n">
        <v>0</v>
      </c>
      <c r="AV1466" s="0" t="n">
        <v>0</v>
      </c>
      <c r="AW1466" s="0" t="n">
        <v>0</v>
      </c>
      <c r="AX1466" s="0" t="n">
        <v>0</v>
      </c>
      <c r="AY1466" s="0" t="n">
        <v>0</v>
      </c>
      <c r="AZ1466" s="0" t="n">
        <v>0</v>
      </c>
      <c r="BA1466" s="0" t="n">
        <v>0</v>
      </c>
      <c r="BB1466" s="0" t="n">
        <v>0</v>
      </c>
      <c r="BC1466" s="0" t="n">
        <v>0</v>
      </c>
      <c r="BD1466" s="0" t="n">
        <v>0</v>
      </c>
      <c r="BE1466" s="0" t="n">
        <v>0</v>
      </c>
      <c r="BF1466" s="0" t="n">
        <v>0</v>
      </c>
      <c r="BG1466" s="0" t="n">
        <v>0</v>
      </c>
      <c r="BH1466" s="0" t="n">
        <v>0</v>
      </c>
      <c r="BI1466" s="0" t="n">
        <v>0</v>
      </c>
      <c r="BJ1466" s="0" t="n">
        <v>0</v>
      </c>
      <c r="BK1466" s="0" t="n">
        <v>0</v>
      </c>
      <c r="BM1466" s="6" t="n">
        <f aca="false">IFERROR(VALUE(F1466),"")</f>
        <v>37.39</v>
      </c>
      <c r="BN1466" s="6" t="str">
        <f aca="false">IF(R1466="-","",IFERROR(VALUE(LEFT(Q1466,LEN(Q1466)-2)),""))</f>
        <v/>
      </c>
      <c r="BO1466" s="6" t="str">
        <f aca="false">IF(R1466="-","",IFERROR(VALUE(LEFT(R1466,LEN(R1466)-5)),""))</f>
        <v/>
      </c>
      <c r="BP1466" s="6" t="str">
        <f aca="false">IF(R1466="-","",IFERROR(VALUE(F1466),""))</f>
        <v/>
      </c>
      <c r="BQ1466" s="4" t="n">
        <f aca="false">IF(R1466="-",1,0)</f>
        <v>1</v>
      </c>
    </row>
    <row r="1467" customFormat="false" ht="15" hidden="false" customHeight="false" outlineLevel="0" collapsed="false">
      <c r="A1467" s="0" t="s">
        <v>5477</v>
      </c>
      <c r="B1467" s="0" t="s">
        <v>5478</v>
      </c>
      <c r="C1467" s="0" t="s">
        <v>70</v>
      </c>
      <c r="E1467" s="3" t="n">
        <v>46273</v>
      </c>
      <c r="F1467" s="4" t="s">
        <v>5479</v>
      </c>
      <c r="G1467" s="5" t="n">
        <v>0.352962962962963</v>
      </c>
      <c r="H1467" s="5" t="n">
        <v>0</v>
      </c>
      <c r="I1467" s="5" t="n">
        <v>0.000289351851851852</v>
      </c>
      <c r="J1467" s="0" t="n">
        <v>1</v>
      </c>
      <c r="K1467" s="0" t="n">
        <v>9</v>
      </c>
      <c r="L1467" s="0" t="n">
        <v>0</v>
      </c>
      <c r="M1467" s="0" t="n">
        <v>0</v>
      </c>
      <c r="N1467" s="0" t="n">
        <v>28</v>
      </c>
      <c r="O1467" s="5" t="n">
        <v>0</v>
      </c>
      <c r="P1467" s="5" t="n">
        <v>0</v>
      </c>
      <c r="Q1467" s="4" t="s">
        <v>73</v>
      </c>
      <c r="R1467" s="4" t="s">
        <v>73</v>
      </c>
      <c r="S1467" s="5" t="n">
        <v>0</v>
      </c>
      <c r="T1467" s="5" t="n">
        <v>0</v>
      </c>
      <c r="U1467" s="5" t="n">
        <v>0</v>
      </c>
      <c r="V1467" s="5" t="n">
        <v>0</v>
      </c>
      <c r="W1467" s="5" t="n">
        <v>0</v>
      </c>
      <c r="X1467" s="5" t="n">
        <v>0</v>
      </c>
      <c r="Y1467" s="5" t="n">
        <v>0</v>
      </c>
      <c r="Z1467" s="0" t="n">
        <v>0</v>
      </c>
      <c r="AA1467" s="0" t="n">
        <v>0</v>
      </c>
      <c r="AB1467" s="0" t="n">
        <v>0</v>
      </c>
      <c r="AC1467" s="4" t="s">
        <v>158</v>
      </c>
      <c r="AD1467" s="4" t="s">
        <v>158</v>
      </c>
      <c r="AE1467" s="4" t="s">
        <v>5480</v>
      </c>
      <c r="AF1467" s="4" t="s">
        <v>5481</v>
      </c>
      <c r="AG1467" s="5" t="n">
        <v>0.262002314814815</v>
      </c>
      <c r="AH1467" s="5" t="n">
        <v>0.194988425925926</v>
      </c>
      <c r="AI1467" s="5" t="n">
        <v>0</v>
      </c>
      <c r="AJ1467" s="5" t="n">
        <v>0</v>
      </c>
      <c r="AK1467" s="5" t="n">
        <v>0</v>
      </c>
      <c r="AL1467" s="5" t="n">
        <v>0</v>
      </c>
      <c r="AM1467" s="4" t="s">
        <v>78</v>
      </c>
      <c r="AN1467" s="0" t="n">
        <v>0</v>
      </c>
      <c r="AO1467" s="0" t="n">
        <v>0</v>
      </c>
      <c r="AP1467" s="0" t="n">
        <v>0</v>
      </c>
      <c r="AQ1467" s="0" t="n">
        <v>0</v>
      </c>
      <c r="AR1467" s="0" t="n">
        <v>2</v>
      </c>
      <c r="AS1467" s="0" t="n">
        <v>0</v>
      </c>
      <c r="AT1467" s="0" t="n">
        <v>0</v>
      </c>
      <c r="AU1467" s="0" t="n">
        <v>0</v>
      </c>
      <c r="AV1467" s="0" t="n">
        <v>0</v>
      </c>
      <c r="AW1467" s="0" t="n">
        <v>0</v>
      </c>
      <c r="AX1467" s="0" t="n">
        <v>0</v>
      </c>
      <c r="AY1467" s="0" t="n">
        <v>0</v>
      </c>
      <c r="AZ1467" s="0" t="n">
        <v>0</v>
      </c>
      <c r="BA1467" s="0" t="n">
        <v>0</v>
      </c>
      <c r="BB1467" s="0" t="n">
        <v>0</v>
      </c>
      <c r="BC1467" s="0" t="n">
        <v>0</v>
      </c>
      <c r="BD1467" s="0" t="n">
        <v>0</v>
      </c>
      <c r="BE1467" s="0" t="n">
        <v>0</v>
      </c>
      <c r="BF1467" s="0" t="n">
        <v>0</v>
      </c>
      <c r="BG1467" s="0" t="n">
        <v>0</v>
      </c>
      <c r="BH1467" s="0" t="n">
        <v>0</v>
      </c>
      <c r="BI1467" s="0" t="n">
        <v>0</v>
      </c>
      <c r="BJ1467" s="0" t="n">
        <v>0</v>
      </c>
      <c r="BK1467" s="0" t="n">
        <v>0</v>
      </c>
      <c r="BM1467" s="6" t="n">
        <f aca="false">IFERROR(VALUE(F1467),"")</f>
        <v>168.79</v>
      </c>
      <c r="BN1467" s="6" t="str">
        <f aca="false">IF(R1467="-","",IFERROR(VALUE(LEFT(Q1467,LEN(Q1467)-2)),""))</f>
        <v/>
      </c>
      <c r="BO1467" s="6" t="str">
        <f aca="false">IF(R1467="-","",IFERROR(VALUE(LEFT(R1467,LEN(R1467)-5)),""))</f>
        <v/>
      </c>
      <c r="BP1467" s="6" t="str">
        <f aca="false">IF(R1467="-","",IFERROR(VALUE(F1467),""))</f>
        <v/>
      </c>
      <c r="BQ1467" s="4" t="n">
        <f aca="false">IF(R1467="-",1,0)</f>
        <v>1</v>
      </c>
    </row>
    <row r="1468" customFormat="false" ht="15" hidden="false" customHeight="false" outlineLevel="0" collapsed="false">
      <c r="A1468" s="0" t="s">
        <v>5477</v>
      </c>
      <c r="B1468" s="0" t="s">
        <v>5478</v>
      </c>
      <c r="C1468" s="0" t="s">
        <v>70</v>
      </c>
      <c r="E1468" s="3" t="n">
        <v>46274</v>
      </c>
      <c r="F1468" s="4" t="s">
        <v>5482</v>
      </c>
      <c r="G1468" s="5" t="n">
        <v>0.278171296296296</v>
      </c>
      <c r="H1468" s="5" t="n">
        <v>0</v>
      </c>
      <c r="I1468" s="5" t="n">
        <v>0.00165509259259259</v>
      </c>
      <c r="J1468" s="0" t="n">
        <v>0</v>
      </c>
      <c r="K1468" s="0" t="n">
        <v>6</v>
      </c>
      <c r="L1468" s="0" t="n">
        <v>0</v>
      </c>
      <c r="M1468" s="0" t="n">
        <v>0</v>
      </c>
      <c r="N1468" s="0" t="n">
        <v>23</v>
      </c>
      <c r="O1468" s="5" t="n">
        <v>0</v>
      </c>
      <c r="P1468" s="5" t="n">
        <v>0</v>
      </c>
      <c r="Q1468" s="4" t="s">
        <v>73</v>
      </c>
      <c r="R1468" s="4" t="s">
        <v>73</v>
      </c>
      <c r="S1468" s="5" t="n">
        <v>0</v>
      </c>
      <c r="T1468" s="5" t="n">
        <v>0</v>
      </c>
      <c r="U1468" s="5" t="n">
        <v>0</v>
      </c>
      <c r="V1468" s="5" t="n">
        <v>0</v>
      </c>
      <c r="W1468" s="5" t="n">
        <v>0</v>
      </c>
      <c r="X1468" s="5" t="n">
        <v>0</v>
      </c>
      <c r="Y1468" s="5" t="n">
        <v>0</v>
      </c>
      <c r="Z1468" s="0" t="n">
        <v>0</v>
      </c>
      <c r="AA1468" s="0" t="n">
        <v>0</v>
      </c>
      <c r="AB1468" s="0" t="n">
        <v>0</v>
      </c>
      <c r="AC1468" s="4" t="s">
        <v>158</v>
      </c>
      <c r="AD1468" s="4" t="s">
        <v>158</v>
      </c>
      <c r="AE1468" s="4" t="s">
        <v>5481</v>
      </c>
      <c r="AF1468" s="4" t="s">
        <v>5483</v>
      </c>
      <c r="AG1468" s="5" t="n">
        <v>0.23025462962963</v>
      </c>
      <c r="AH1468" s="5" t="n">
        <v>0.122523148148148</v>
      </c>
      <c r="AI1468" s="5" t="n">
        <v>0</v>
      </c>
      <c r="AJ1468" s="5" t="n">
        <v>0</v>
      </c>
      <c r="AK1468" s="5" t="n">
        <v>0</v>
      </c>
      <c r="AL1468" s="5" t="n">
        <v>0</v>
      </c>
      <c r="AM1468" s="4" t="s">
        <v>78</v>
      </c>
      <c r="AN1468" s="0" t="n">
        <v>0</v>
      </c>
      <c r="AO1468" s="0" t="n">
        <v>1</v>
      </c>
      <c r="AP1468" s="0" t="n">
        <v>0</v>
      </c>
      <c r="AQ1468" s="0" t="n">
        <v>0</v>
      </c>
      <c r="AR1468" s="0" t="n">
        <v>1</v>
      </c>
      <c r="AS1468" s="0" t="n">
        <v>0</v>
      </c>
      <c r="AT1468" s="0" t="n">
        <v>0</v>
      </c>
      <c r="AU1468" s="0" t="n">
        <v>0</v>
      </c>
      <c r="AV1468" s="0" t="n">
        <v>0</v>
      </c>
      <c r="AW1468" s="0" t="n">
        <v>0</v>
      </c>
      <c r="AX1468" s="0" t="n">
        <v>0</v>
      </c>
      <c r="AY1468" s="0" t="n">
        <v>0</v>
      </c>
      <c r="AZ1468" s="0" t="n">
        <v>0</v>
      </c>
      <c r="BA1468" s="0" t="n">
        <v>0</v>
      </c>
      <c r="BB1468" s="0" t="n">
        <v>0</v>
      </c>
      <c r="BC1468" s="0" t="n">
        <v>0</v>
      </c>
      <c r="BD1468" s="0" t="n">
        <v>0</v>
      </c>
      <c r="BE1468" s="0" t="n">
        <v>0</v>
      </c>
      <c r="BF1468" s="0" t="n">
        <v>0</v>
      </c>
      <c r="BG1468" s="0" t="n">
        <v>0</v>
      </c>
      <c r="BH1468" s="0" t="n">
        <v>0</v>
      </c>
      <c r="BI1468" s="0" t="n">
        <v>0</v>
      </c>
      <c r="BJ1468" s="0" t="n">
        <v>0</v>
      </c>
      <c r="BK1468" s="0" t="n">
        <v>0</v>
      </c>
      <c r="BM1468" s="6" t="n">
        <f aca="false">IFERROR(VALUE(F1468),"")</f>
        <v>162.73</v>
      </c>
      <c r="BN1468" s="6" t="str">
        <f aca="false">IF(R1468="-","",IFERROR(VALUE(LEFT(Q1468,LEN(Q1468)-2)),""))</f>
        <v/>
      </c>
      <c r="BO1468" s="6" t="str">
        <f aca="false">IF(R1468="-","",IFERROR(VALUE(LEFT(R1468,LEN(R1468)-5)),""))</f>
        <v/>
      </c>
      <c r="BP1468" s="6" t="str">
        <f aca="false">IF(R1468="-","",IFERROR(VALUE(F1468),""))</f>
        <v/>
      </c>
      <c r="BQ1468" s="4" t="n">
        <f aca="false">IF(R1468="-",1,0)</f>
        <v>1</v>
      </c>
    </row>
    <row r="1469" customFormat="false" ht="15" hidden="false" customHeight="false" outlineLevel="0" collapsed="false">
      <c r="A1469" s="0" t="s">
        <v>5477</v>
      </c>
      <c r="B1469" s="0" t="s">
        <v>5478</v>
      </c>
      <c r="C1469" s="0" t="s">
        <v>70</v>
      </c>
      <c r="E1469" s="3" t="n">
        <v>46275</v>
      </c>
      <c r="F1469" s="4" t="s">
        <v>5484</v>
      </c>
      <c r="G1469" s="5" t="n">
        <v>0.269872685185185</v>
      </c>
      <c r="H1469" s="5" t="n">
        <v>0</v>
      </c>
      <c r="I1469" s="5" t="n">
        <v>0.00210648148148148</v>
      </c>
      <c r="J1469" s="0" t="n">
        <v>0</v>
      </c>
      <c r="K1469" s="0" t="n">
        <v>4</v>
      </c>
      <c r="L1469" s="0" t="n">
        <v>0</v>
      </c>
      <c r="M1469" s="0" t="n">
        <v>0</v>
      </c>
      <c r="N1469" s="0" t="n">
        <v>22</v>
      </c>
      <c r="O1469" s="5" t="n">
        <v>0</v>
      </c>
      <c r="P1469" s="5" t="n">
        <v>0</v>
      </c>
      <c r="Q1469" s="4" t="s">
        <v>73</v>
      </c>
      <c r="R1469" s="4" t="s">
        <v>73</v>
      </c>
      <c r="S1469" s="5" t="n">
        <v>0</v>
      </c>
      <c r="T1469" s="5" t="n">
        <v>0</v>
      </c>
      <c r="U1469" s="5" t="n">
        <v>0</v>
      </c>
      <c r="V1469" s="5" t="n">
        <v>0</v>
      </c>
      <c r="W1469" s="5" t="n">
        <v>0</v>
      </c>
      <c r="X1469" s="5" t="n">
        <v>0</v>
      </c>
      <c r="Y1469" s="5" t="n">
        <v>0</v>
      </c>
      <c r="Z1469" s="0" t="n">
        <v>0</v>
      </c>
      <c r="AA1469" s="0" t="n">
        <v>0</v>
      </c>
      <c r="AB1469" s="0" t="n">
        <v>0</v>
      </c>
      <c r="AC1469" s="4" t="s">
        <v>158</v>
      </c>
      <c r="AD1469" s="4" t="s">
        <v>158</v>
      </c>
      <c r="AE1469" s="4" t="s">
        <v>5483</v>
      </c>
      <c r="AF1469" s="4" t="s">
        <v>5485</v>
      </c>
      <c r="AG1469" s="5" t="n">
        <v>0.225162037037037</v>
      </c>
      <c r="AH1469" s="5" t="n">
        <v>0.0857638888888889</v>
      </c>
      <c r="AI1469" s="5" t="n">
        <v>0</v>
      </c>
      <c r="AJ1469" s="5" t="n">
        <v>0</v>
      </c>
      <c r="AK1469" s="5" t="n">
        <v>0</v>
      </c>
      <c r="AL1469" s="5" t="n">
        <v>0</v>
      </c>
      <c r="AM1469" s="4" t="s">
        <v>78</v>
      </c>
      <c r="AN1469" s="0" t="n">
        <v>0</v>
      </c>
      <c r="AO1469" s="0" t="n">
        <v>0</v>
      </c>
      <c r="AP1469" s="0" t="n">
        <v>0</v>
      </c>
      <c r="AQ1469" s="0" t="n">
        <v>0</v>
      </c>
      <c r="AR1469" s="0" t="n">
        <v>1</v>
      </c>
      <c r="AS1469" s="0" t="n">
        <v>0</v>
      </c>
      <c r="AT1469" s="0" t="n">
        <v>0</v>
      </c>
      <c r="AU1469" s="0" t="n">
        <v>0</v>
      </c>
      <c r="AV1469" s="0" t="n">
        <v>0</v>
      </c>
      <c r="AW1469" s="0" t="n">
        <v>0</v>
      </c>
      <c r="AX1469" s="0" t="n">
        <v>0</v>
      </c>
      <c r="AY1469" s="0" t="n">
        <v>0</v>
      </c>
      <c r="AZ1469" s="0" t="n">
        <v>0</v>
      </c>
      <c r="BA1469" s="0" t="n">
        <v>0</v>
      </c>
      <c r="BB1469" s="0" t="n">
        <v>0</v>
      </c>
      <c r="BC1469" s="0" t="n">
        <v>0</v>
      </c>
      <c r="BD1469" s="0" t="n">
        <v>0</v>
      </c>
      <c r="BE1469" s="0" t="n">
        <v>0</v>
      </c>
      <c r="BF1469" s="0" t="n">
        <v>0</v>
      </c>
      <c r="BG1469" s="0" t="n">
        <v>0</v>
      </c>
      <c r="BH1469" s="0" t="n">
        <v>0</v>
      </c>
      <c r="BI1469" s="0" t="n">
        <v>0</v>
      </c>
      <c r="BJ1469" s="0" t="n">
        <v>0</v>
      </c>
      <c r="BK1469" s="0" t="n">
        <v>0</v>
      </c>
      <c r="BM1469" s="6" t="n">
        <f aca="false">IFERROR(VALUE(F1469),"")</f>
        <v>154.86</v>
      </c>
      <c r="BN1469" s="6" t="str">
        <f aca="false">IF(R1469="-","",IFERROR(VALUE(LEFT(Q1469,LEN(Q1469)-2)),""))</f>
        <v/>
      </c>
      <c r="BO1469" s="6" t="str">
        <f aca="false">IF(R1469="-","",IFERROR(VALUE(LEFT(R1469,LEN(R1469)-5)),""))</f>
        <v/>
      </c>
      <c r="BP1469" s="6" t="str">
        <f aca="false">IF(R1469="-","",IFERROR(VALUE(F1469),""))</f>
        <v/>
      </c>
      <c r="BQ1469" s="4" t="n">
        <f aca="false">IF(R1469="-",1,0)</f>
        <v>1</v>
      </c>
    </row>
    <row r="1470" customFormat="false" ht="15" hidden="false" customHeight="false" outlineLevel="0" collapsed="false">
      <c r="A1470" s="0" t="s">
        <v>5477</v>
      </c>
      <c r="B1470" s="0" t="s">
        <v>5478</v>
      </c>
      <c r="C1470" s="0" t="s">
        <v>70</v>
      </c>
      <c r="E1470" s="3" t="n">
        <v>46276</v>
      </c>
      <c r="F1470" s="4" t="s">
        <v>5486</v>
      </c>
      <c r="G1470" s="5" t="n">
        <v>0.265659722222222</v>
      </c>
      <c r="H1470" s="5" t="n">
        <v>0</v>
      </c>
      <c r="I1470" s="5" t="n">
        <v>0.0037037037037037</v>
      </c>
      <c r="J1470" s="0" t="n">
        <v>5</v>
      </c>
      <c r="K1470" s="0" t="n">
        <v>6</v>
      </c>
      <c r="L1470" s="0" t="n">
        <v>0</v>
      </c>
      <c r="M1470" s="0" t="n">
        <v>0</v>
      </c>
      <c r="N1470" s="0" t="n">
        <v>13</v>
      </c>
      <c r="O1470" s="5" t="n">
        <v>0</v>
      </c>
      <c r="P1470" s="5" t="n">
        <v>0</v>
      </c>
      <c r="Q1470" s="4" t="s">
        <v>73</v>
      </c>
      <c r="R1470" s="4" t="s">
        <v>73</v>
      </c>
      <c r="S1470" s="5" t="n">
        <v>0</v>
      </c>
      <c r="T1470" s="5" t="n">
        <v>0</v>
      </c>
      <c r="U1470" s="5" t="n">
        <v>0</v>
      </c>
      <c r="V1470" s="5" t="n">
        <v>0</v>
      </c>
      <c r="W1470" s="5" t="n">
        <v>0</v>
      </c>
      <c r="X1470" s="5" t="n">
        <v>0</v>
      </c>
      <c r="Y1470" s="5" t="n">
        <v>0</v>
      </c>
      <c r="Z1470" s="0" t="n">
        <v>0</v>
      </c>
      <c r="AA1470" s="0" t="n">
        <v>0</v>
      </c>
      <c r="AB1470" s="0" t="n">
        <v>0</v>
      </c>
      <c r="AC1470" s="4" t="s">
        <v>158</v>
      </c>
      <c r="AD1470" s="4" t="s">
        <v>158</v>
      </c>
      <c r="AE1470" s="4" t="s">
        <v>5485</v>
      </c>
      <c r="AF1470" s="4" t="s">
        <v>5487</v>
      </c>
      <c r="AG1470" s="5" t="n">
        <v>0.213275462962963</v>
      </c>
      <c r="AH1470" s="5" t="n">
        <v>0.135706018518519</v>
      </c>
      <c r="AI1470" s="5" t="n">
        <v>0</v>
      </c>
      <c r="AJ1470" s="5" t="n">
        <v>0</v>
      </c>
      <c r="AK1470" s="5" t="n">
        <v>0</v>
      </c>
      <c r="AL1470" s="5" t="n">
        <v>0</v>
      </c>
      <c r="AM1470" s="4" t="s">
        <v>78</v>
      </c>
      <c r="AN1470" s="0" t="n">
        <v>0</v>
      </c>
      <c r="AO1470" s="0" t="n">
        <v>0</v>
      </c>
      <c r="AP1470" s="0" t="n">
        <v>0</v>
      </c>
      <c r="AQ1470" s="0" t="n">
        <v>0</v>
      </c>
      <c r="AR1470" s="0" t="n">
        <v>3</v>
      </c>
      <c r="AS1470" s="0" t="n">
        <v>0</v>
      </c>
      <c r="AT1470" s="0" t="n">
        <v>0</v>
      </c>
      <c r="AU1470" s="0" t="n">
        <v>0</v>
      </c>
      <c r="AV1470" s="0" t="n">
        <v>0</v>
      </c>
      <c r="AW1470" s="0" t="n">
        <v>0</v>
      </c>
      <c r="AX1470" s="0" t="n">
        <v>0</v>
      </c>
      <c r="AY1470" s="0" t="n">
        <v>0</v>
      </c>
      <c r="AZ1470" s="0" t="n">
        <v>0</v>
      </c>
      <c r="BA1470" s="0" t="n">
        <v>0</v>
      </c>
      <c r="BB1470" s="0" t="n">
        <v>0</v>
      </c>
      <c r="BC1470" s="0" t="n">
        <v>0</v>
      </c>
      <c r="BD1470" s="0" t="n">
        <v>0</v>
      </c>
      <c r="BE1470" s="0" t="n">
        <v>0</v>
      </c>
      <c r="BF1470" s="0" t="n">
        <v>0</v>
      </c>
      <c r="BG1470" s="0" t="n">
        <v>0</v>
      </c>
      <c r="BH1470" s="0" t="n">
        <v>0</v>
      </c>
      <c r="BI1470" s="0" t="n">
        <v>0</v>
      </c>
      <c r="BJ1470" s="0" t="n">
        <v>0</v>
      </c>
      <c r="BK1470" s="0" t="n">
        <v>0</v>
      </c>
      <c r="BM1470" s="6" t="n">
        <f aca="false">IFERROR(VALUE(F1470),"")</f>
        <v>169.27</v>
      </c>
      <c r="BN1470" s="6" t="str">
        <f aca="false">IF(R1470="-","",IFERROR(VALUE(LEFT(Q1470,LEN(Q1470)-2)),""))</f>
        <v/>
      </c>
      <c r="BO1470" s="6" t="str">
        <f aca="false">IF(R1470="-","",IFERROR(VALUE(LEFT(R1470,LEN(R1470)-5)),""))</f>
        <v/>
      </c>
      <c r="BP1470" s="6" t="str">
        <f aca="false">IF(R1470="-","",IFERROR(VALUE(F1470),""))</f>
        <v/>
      </c>
      <c r="BQ1470" s="4" t="n">
        <f aca="false">IF(R1470="-",1,0)</f>
        <v>1</v>
      </c>
    </row>
    <row r="1471" customFormat="false" ht="15" hidden="false" customHeight="false" outlineLevel="0" collapsed="false">
      <c r="A1471" s="0" t="s">
        <v>5477</v>
      </c>
      <c r="B1471" s="0" t="s">
        <v>5478</v>
      </c>
      <c r="C1471" s="0" t="s">
        <v>70</v>
      </c>
      <c r="D1471" s="0" t="s">
        <v>5266</v>
      </c>
      <c r="E1471" s="3" t="n">
        <v>46277</v>
      </c>
      <c r="F1471" s="4" t="s">
        <v>5488</v>
      </c>
      <c r="G1471" s="5" t="n">
        <v>0.0438541666666667</v>
      </c>
      <c r="H1471" s="5" t="n">
        <v>0.00876157407407407</v>
      </c>
      <c r="I1471" s="5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5" t="n">
        <v>0</v>
      </c>
      <c r="P1471" s="5" t="n">
        <v>0</v>
      </c>
      <c r="Q1471" s="4" t="s">
        <v>73</v>
      </c>
      <c r="R1471" s="4" t="s">
        <v>73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0" t="n">
        <v>0</v>
      </c>
      <c r="AA1471" s="0" t="n">
        <v>0</v>
      </c>
      <c r="AB1471" s="0" t="n">
        <v>0</v>
      </c>
      <c r="AC1471" s="4" t="s">
        <v>158</v>
      </c>
      <c r="AD1471" s="4" t="s">
        <v>158</v>
      </c>
      <c r="AE1471" s="4" t="s">
        <v>5487</v>
      </c>
      <c r="AF1471" s="4" t="s">
        <v>5489</v>
      </c>
      <c r="AG1471" s="5" t="n">
        <v>0.0147453703703704</v>
      </c>
      <c r="AH1471" s="5" t="n">
        <v>0.0829861111111111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4" t="s">
        <v>78</v>
      </c>
      <c r="AN1471" s="0" t="n">
        <v>0</v>
      </c>
      <c r="AO1471" s="0" t="n">
        <v>0</v>
      </c>
      <c r="AP1471" s="0" t="n">
        <v>0</v>
      </c>
      <c r="AQ1471" s="0" t="n">
        <v>0</v>
      </c>
      <c r="AR1471" s="0" t="n">
        <v>0</v>
      </c>
      <c r="AS1471" s="0" t="n">
        <v>0</v>
      </c>
      <c r="AT1471" s="0" t="n">
        <v>0</v>
      </c>
      <c r="AU1471" s="0" t="n">
        <v>0</v>
      </c>
      <c r="AV1471" s="0" t="n">
        <v>0</v>
      </c>
      <c r="AW1471" s="0" t="n">
        <v>0</v>
      </c>
      <c r="AX1471" s="0" t="n">
        <v>0</v>
      </c>
      <c r="AY1471" s="0" t="n">
        <v>0</v>
      </c>
      <c r="AZ1471" s="0" t="n">
        <v>0</v>
      </c>
      <c r="BA1471" s="0" t="n">
        <v>0</v>
      </c>
      <c r="BB1471" s="0" t="n">
        <v>0</v>
      </c>
      <c r="BC1471" s="0" t="n">
        <v>0</v>
      </c>
      <c r="BD1471" s="0" t="n">
        <v>0</v>
      </c>
      <c r="BE1471" s="0" t="n">
        <v>0</v>
      </c>
      <c r="BF1471" s="0" t="n">
        <v>0</v>
      </c>
      <c r="BG1471" s="0" t="n">
        <v>0</v>
      </c>
      <c r="BH1471" s="0" t="n">
        <v>0</v>
      </c>
      <c r="BI1471" s="0" t="n">
        <v>0</v>
      </c>
      <c r="BJ1471" s="0" t="n">
        <v>0</v>
      </c>
      <c r="BK1471" s="0" t="n">
        <v>0</v>
      </c>
      <c r="BM1471" s="6" t="n">
        <f aca="false">IFERROR(VALUE(F1471),"")</f>
        <v>6.99</v>
      </c>
      <c r="BN1471" s="6" t="str">
        <f aca="false">IF(R1471="-","",IFERROR(VALUE(LEFT(Q1471,LEN(Q1471)-2)),""))</f>
        <v/>
      </c>
      <c r="BO1471" s="6" t="str">
        <f aca="false">IF(R1471="-","",IFERROR(VALUE(LEFT(R1471,LEN(R1471)-5)),""))</f>
        <v/>
      </c>
      <c r="BP1471" s="6" t="str">
        <f aca="false">IF(R1471="-","",IFERROR(VALUE(F1471),""))</f>
        <v/>
      </c>
      <c r="BQ1471" s="4" t="n">
        <f aca="false">IF(R1471="-",1,0)</f>
        <v>1</v>
      </c>
    </row>
    <row r="1472" customFormat="false" ht="15" hidden="false" customHeight="false" outlineLevel="0" collapsed="false">
      <c r="A1472" s="0" t="s">
        <v>5477</v>
      </c>
      <c r="B1472" s="0" t="s">
        <v>5478</v>
      </c>
      <c r="C1472" s="0" t="s">
        <v>70</v>
      </c>
      <c r="E1472" s="3" t="n">
        <v>46279</v>
      </c>
      <c r="F1472" s="4" t="s">
        <v>5490</v>
      </c>
      <c r="G1472" s="5" t="n">
        <v>0.314027777777778</v>
      </c>
      <c r="H1472" s="5" t="n">
        <v>0</v>
      </c>
      <c r="I1472" s="5" t="n">
        <v>0.00037037037037037</v>
      </c>
      <c r="J1472" s="0" t="n">
        <v>4</v>
      </c>
      <c r="K1472" s="0" t="n">
        <v>2</v>
      </c>
      <c r="L1472" s="0" t="n">
        <v>0</v>
      </c>
      <c r="M1472" s="0" t="n">
        <v>0</v>
      </c>
      <c r="N1472" s="0" t="n">
        <v>18</v>
      </c>
      <c r="O1472" s="5" t="n">
        <v>0</v>
      </c>
      <c r="P1472" s="5" t="n">
        <v>0</v>
      </c>
      <c r="Q1472" s="4" t="s">
        <v>73</v>
      </c>
      <c r="R1472" s="4" t="s">
        <v>73</v>
      </c>
      <c r="S1472" s="5" t="n">
        <v>0</v>
      </c>
      <c r="T1472" s="5" t="n">
        <v>0</v>
      </c>
      <c r="U1472" s="5" t="n">
        <v>0</v>
      </c>
      <c r="V1472" s="5" t="n">
        <v>0</v>
      </c>
      <c r="W1472" s="5" t="n">
        <v>0</v>
      </c>
      <c r="X1472" s="5" t="n">
        <v>0</v>
      </c>
      <c r="Y1472" s="5" t="n">
        <v>0</v>
      </c>
      <c r="Z1472" s="0" t="n">
        <v>0</v>
      </c>
      <c r="AA1472" s="0" t="n">
        <v>0</v>
      </c>
      <c r="AB1472" s="0" t="n">
        <v>0</v>
      </c>
      <c r="AC1472" s="4" t="s">
        <v>158</v>
      </c>
      <c r="AD1472" s="4" t="s">
        <v>864</v>
      </c>
      <c r="AE1472" s="4" t="s">
        <v>5489</v>
      </c>
      <c r="AF1472" s="4" t="s">
        <v>5491</v>
      </c>
      <c r="AG1472" s="5" t="n">
        <v>0.271064814814815</v>
      </c>
      <c r="AH1472" s="5" t="n">
        <v>0.137569444444444</v>
      </c>
      <c r="AI1472" s="5" t="n">
        <v>0</v>
      </c>
      <c r="AJ1472" s="5" t="n">
        <v>0</v>
      </c>
      <c r="AK1472" s="5" t="n">
        <v>0</v>
      </c>
      <c r="AL1472" s="5" t="n">
        <v>0</v>
      </c>
      <c r="AM1472" s="4" t="s">
        <v>78</v>
      </c>
      <c r="AN1472" s="0" t="n">
        <v>0</v>
      </c>
      <c r="AO1472" s="0" t="n">
        <v>0</v>
      </c>
      <c r="AP1472" s="0" t="n">
        <v>0</v>
      </c>
      <c r="AQ1472" s="0" t="n">
        <v>0</v>
      </c>
      <c r="AR1472" s="0" t="n">
        <v>4</v>
      </c>
      <c r="AS1472" s="0" t="n">
        <v>0</v>
      </c>
      <c r="AT1472" s="0" t="n">
        <v>0</v>
      </c>
      <c r="AU1472" s="0" t="n">
        <v>0</v>
      </c>
      <c r="AV1472" s="0" t="n">
        <v>0</v>
      </c>
      <c r="AW1472" s="0" t="n">
        <v>0</v>
      </c>
      <c r="AX1472" s="0" t="n">
        <v>0</v>
      </c>
      <c r="AY1472" s="0" t="n">
        <v>0</v>
      </c>
      <c r="AZ1472" s="0" t="n">
        <v>0</v>
      </c>
      <c r="BA1472" s="0" t="n">
        <v>0</v>
      </c>
      <c r="BB1472" s="0" t="n">
        <v>0</v>
      </c>
      <c r="BC1472" s="0" t="n">
        <v>0</v>
      </c>
      <c r="BD1472" s="0" t="n">
        <v>0</v>
      </c>
      <c r="BE1472" s="0" t="n">
        <v>0</v>
      </c>
      <c r="BF1472" s="0" t="n">
        <v>0</v>
      </c>
      <c r="BG1472" s="0" t="n">
        <v>0</v>
      </c>
      <c r="BH1472" s="0" t="n">
        <v>0</v>
      </c>
      <c r="BI1472" s="0" t="n">
        <v>0</v>
      </c>
      <c r="BJ1472" s="0" t="n">
        <v>0</v>
      </c>
      <c r="BK1472" s="0" t="n">
        <v>0</v>
      </c>
      <c r="BM1472" s="6" t="n">
        <f aca="false">IFERROR(VALUE(F1472),"")</f>
        <v>191.57</v>
      </c>
      <c r="BN1472" s="6" t="str">
        <f aca="false">IF(R1472="-","",IFERROR(VALUE(LEFT(Q1472,LEN(Q1472)-2)),""))</f>
        <v/>
      </c>
      <c r="BO1472" s="6" t="str">
        <f aca="false">IF(R1472="-","",IFERROR(VALUE(LEFT(R1472,LEN(R1472)-5)),""))</f>
        <v/>
      </c>
      <c r="BP1472" s="6" t="str">
        <f aca="false">IF(R1472="-","",IFERROR(VALUE(F1472),""))</f>
        <v/>
      </c>
      <c r="BQ1472" s="4" t="n">
        <f aca="false">IF(R1472="-",1,0)</f>
        <v>1</v>
      </c>
    </row>
    <row r="1473" customFormat="false" ht="15" hidden="false" customHeight="false" outlineLevel="0" collapsed="false">
      <c r="A1473" s="0" t="s">
        <v>5492</v>
      </c>
      <c r="B1473" s="0" t="s">
        <v>5493</v>
      </c>
      <c r="C1473" s="0" t="s">
        <v>70</v>
      </c>
      <c r="D1473" s="0" t="s">
        <v>5494</v>
      </c>
      <c r="E1473" s="3" t="n">
        <v>46273</v>
      </c>
      <c r="F1473" s="4" t="s">
        <v>5495</v>
      </c>
      <c r="G1473" s="5" t="n">
        <v>0.222303240740741</v>
      </c>
      <c r="H1473" s="5" t="n">
        <v>0.218518518518519</v>
      </c>
      <c r="I1473" s="5" t="n">
        <v>0.000243055555555556</v>
      </c>
      <c r="J1473" s="0" t="n">
        <v>0</v>
      </c>
      <c r="K1473" s="0" t="n">
        <v>1</v>
      </c>
      <c r="L1473" s="0" t="n">
        <v>0</v>
      </c>
      <c r="M1473" s="0" t="n">
        <v>0</v>
      </c>
      <c r="N1473" s="0" t="n">
        <v>6</v>
      </c>
      <c r="O1473" s="5" t="n">
        <v>0</v>
      </c>
      <c r="P1473" s="5" t="n">
        <v>0</v>
      </c>
      <c r="Q1473" s="4" t="s">
        <v>73</v>
      </c>
      <c r="R1473" s="4" t="s">
        <v>73</v>
      </c>
      <c r="S1473" s="5" t="n">
        <v>0</v>
      </c>
      <c r="T1473" s="5" t="n">
        <v>0</v>
      </c>
      <c r="U1473" s="5" t="n">
        <v>0</v>
      </c>
      <c r="V1473" s="5" t="n">
        <v>0</v>
      </c>
      <c r="W1473" s="5" t="n">
        <v>0</v>
      </c>
      <c r="X1473" s="5" t="n">
        <v>0</v>
      </c>
      <c r="Y1473" s="5" t="n">
        <v>0</v>
      </c>
      <c r="Z1473" s="0" t="n">
        <v>0</v>
      </c>
      <c r="AA1473" s="0" t="n">
        <v>0</v>
      </c>
      <c r="AB1473" s="0" t="n">
        <v>0</v>
      </c>
      <c r="AC1473" s="4" t="s">
        <v>158</v>
      </c>
      <c r="AD1473" s="4" t="s">
        <v>158</v>
      </c>
      <c r="AE1473" s="4" t="s">
        <v>5496</v>
      </c>
      <c r="AF1473" s="4" t="s">
        <v>5497</v>
      </c>
      <c r="AG1473" s="5" t="n">
        <v>0.202708333333333</v>
      </c>
      <c r="AH1473" s="5" t="n">
        <v>0.137523148148148</v>
      </c>
      <c r="AI1473" s="5" t="n">
        <v>0</v>
      </c>
      <c r="AJ1473" s="5" t="n">
        <v>0</v>
      </c>
      <c r="AK1473" s="5" t="n">
        <v>0</v>
      </c>
      <c r="AL1473" s="5" t="n">
        <v>0</v>
      </c>
      <c r="AM1473" s="4" t="s">
        <v>78</v>
      </c>
      <c r="AN1473" s="0" t="n">
        <v>0</v>
      </c>
      <c r="AO1473" s="0" t="n">
        <v>1</v>
      </c>
      <c r="AP1473" s="0" t="n">
        <v>0</v>
      </c>
      <c r="AQ1473" s="0" t="n">
        <v>1</v>
      </c>
      <c r="AR1473" s="0" t="n">
        <v>1</v>
      </c>
      <c r="AS1473" s="0" t="n">
        <v>0</v>
      </c>
      <c r="AT1473" s="0" t="n">
        <v>0</v>
      </c>
      <c r="AU1473" s="0" t="n">
        <v>0</v>
      </c>
      <c r="AV1473" s="0" t="n">
        <v>0</v>
      </c>
      <c r="AW1473" s="0" t="n">
        <v>0</v>
      </c>
      <c r="AX1473" s="0" t="n">
        <v>0</v>
      </c>
      <c r="AY1473" s="0" t="n">
        <v>0</v>
      </c>
      <c r="AZ1473" s="0" t="n">
        <v>0</v>
      </c>
      <c r="BA1473" s="0" t="n">
        <v>0</v>
      </c>
      <c r="BB1473" s="0" t="n">
        <v>0</v>
      </c>
      <c r="BC1473" s="0" t="n">
        <v>0</v>
      </c>
      <c r="BD1473" s="0" t="n">
        <v>0</v>
      </c>
      <c r="BE1473" s="0" t="n">
        <v>0</v>
      </c>
      <c r="BF1473" s="0" t="n">
        <v>0</v>
      </c>
      <c r="BG1473" s="0" t="n">
        <v>0</v>
      </c>
      <c r="BH1473" s="0" t="n">
        <v>0</v>
      </c>
      <c r="BI1473" s="0" t="n">
        <v>0</v>
      </c>
      <c r="BJ1473" s="0" t="n">
        <v>0</v>
      </c>
      <c r="BK1473" s="0" t="n">
        <v>0</v>
      </c>
      <c r="BM1473" s="6" t="n">
        <f aca="false">IFERROR(VALUE(F1473),"")</f>
        <v>122.49</v>
      </c>
      <c r="BN1473" s="6" t="str">
        <f aca="false">IF(R1473="-","",IFERROR(VALUE(LEFT(Q1473,LEN(Q1473)-2)),""))</f>
        <v/>
      </c>
      <c r="BO1473" s="6" t="str">
        <f aca="false">IF(R1473="-","",IFERROR(VALUE(LEFT(R1473,LEN(R1473)-5)),""))</f>
        <v/>
      </c>
      <c r="BP1473" s="6" t="str">
        <f aca="false">IF(R1473="-","",IFERROR(VALUE(F1473),""))</f>
        <v/>
      </c>
      <c r="BQ1473" s="4" t="n">
        <f aca="false">IF(R1473="-",1,0)</f>
        <v>1</v>
      </c>
    </row>
    <row r="1474" customFormat="false" ht="15" hidden="false" customHeight="false" outlineLevel="0" collapsed="false">
      <c r="A1474" s="0" t="s">
        <v>5492</v>
      </c>
      <c r="B1474" s="0" t="s">
        <v>5493</v>
      </c>
      <c r="C1474" s="0" t="s">
        <v>70</v>
      </c>
      <c r="D1474" s="0" t="s">
        <v>5494</v>
      </c>
      <c r="E1474" s="3" t="n">
        <v>46274</v>
      </c>
      <c r="F1474" s="4" t="s">
        <v>5498</v>
      </c>
      <c r="G1474" s="5" t="n">
        <v>0.2271875</v>
      </c>
      <c r="H1474" s="5" t="n">
        <v>0.222777777777778</v>
      </c>
      <c r="I1474" s="5" t="n">
        <v>0.000486111111111111</v>
      </c>
      <c r="J1474" s="0" t="n">
        <v>1</v>
      </c>
      <c r="K1474" s="0" t="n">
        <v>1</v>
      </c>
      <c r="L1474" s="0" t="n">
        <v>0</v>
      </c>
      <c r="M1474" s="0" t="n">
        <v>0</v>
      </c>
      <c r="N1474" s="0" t="n">
        <v>4</v>
      </c>
      <c r="O1474" s="5" t="n">
        <v>0</v>
      </c>
      <c r="P1474" s="5" t="n">
        <v>0</v>
      </c>
      <c r="Q1474" s="4" t="s">
        <v>73</v>
      </c>
      <c r="R1474" s="4" t="s">
        <v>73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0" t="n">
        <v>0</v>
      </c>
      <c r="AA1474" s="0" t="n">
        <v>0</v>
      </c>
      <c r="AB1474" s="0" t="n">
        <v>0</v>
      </c>
      <c r="AC1474" s="4" t="s">
        <v>158</v>
      </c>
      <c r="AD1474" s="4" t="s">
        <v>158</v>
      </c>
      <c r="AE1474" s="4" t="s">
        <v>5497</v>
      </c>
      <c r="AF1474" s="4" t="s">
        <v>5499</v>
      </c>
      <c r="AG1474" s="5" t="n">
        <v>0.202384259259259</v>
      </c>
      <c r="AH1474" s="5" t="n">
        <v>0.158518518518519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4" t="s">
        <v>78</v>
      </c>
      <c r="AN1474" s="0" t="n">
        <v>0</v>
      </c>
      <c r="AO1474" s="0" t="n">
        <v>0</v>
      </c>
      <c r="AP1474" s="0" t="n">
        <v>0</v>
      </c>
      <c r="AQ1474" s="0" t="n">
        <v>0</v>
      </c>
      <c r="AR1474" s="0" t="n">
        <v>1</v>
      </c>
      <c r="AS1474" s="0" t="n">
        <v>0</v>
      </c>
      <c r="AT1474" s="0" t="n">
        <v>0</v>
      </c>
      <c r="AU1474" s="0" t="n">
        <v>0</v>
      </c>
      <c r="AV1474" s="0" t="n">
        <v>0</v>
      </c>
      <c r="AW1474" s="0" t="n">
        <v>0</v>
      </c>
      <c r="AX1474" s="0" t="n">
        <v>0</v>
      </c>
      <c r="AY1474" s="0" t="n">
        <v>0</v>
      </c>
      <c r="AZ1474" s="0" t="n">
        <v>0</v>
      </c>
      <c r="BA1474" s="0" t="n">
        <v>0</v>
      </c>
      <c r="BB1474" s="0" t="n">
        <v>0</v>
      </c>
      <c r="BC1474" s="0" t="n">
        <v>0</v>
      </c>
      <c r="BD1474" s="0" t="n">
        <v>0</v>
      </c>
      <c r="BE1474" s="0" t="n">
        <v>0</v>
      </c>
      <c r="BF1474" s="0" t="n">
        <v>0</v>
      </c>
      <c r="BG1474" s="0" t="n">
        <v>0</v>
      </c>
      <c r="BH1474" s="0" t="n">
        <v>0</v>
      </c>
      <c r="BI1474" s="0" t="n">
        <v>0</v>
      </c>
      <c r="BJ1474" s="0" t="n">
        <v>0</v>
      </c>
      <c r="BK1474" s="0" t="n">
        <v>0</v>
      </c>
      <c r="BM1474" s="6" t="n">
        <f aca="false">IFERROR(VALUE(F1474),"")</f>
        <v>130.82</v>
      </c>
      <c r="BN1474" s="6" t="str">
        <f aca="false">IF(R1474="-","",IFERROR(VALUE(LEFT(Q1474,LEN(Q1474)-2)),""))</f>
        <v/>
      </c>
      <c r="BO1474" s="6" t="str">
        <f aca="false">IF(R1474="-","",IFERROR(VALUE(LEFT(R1474,LEN(R1474)-5)),""))</f>
        <v/>
      </c>
      <c r="BP1474" s="6" t="str">
        <f aca="false">IF(R1474="-","",IFERROR(VALUE(F1474),""))</f>
        <v/>
      </c>
      <c r="BQ1474" s="4" t="n">
        <f aca="false">IF(R1474="-",1,0)</f>
        <v>1</v>
      </c>
    </row>
    <row r="1475" customFormat="false" ht="15" hidden="false" customHeight="false" outlineLevel="0" collapsed="false">
      <c r="A1475" s="0" t="s">
        <v>5492</v>
      </c>
      <c r="B1475" s="0" t="s">
        <v>5493</v>
      </c>
      <c r="C1475" s="0" t="s">
        <v>70</v>
      </c>
      <c r="D1475" s="0" t="s">
        <v>5494</v>
      </c>
      <c r="E1475" s="3" t="n">
        <v>46275</v>
      </c>
      <c r="F1475" s="4" t="s">
        <v>5500</v>
      </c>
      <c r="G1475" s="5" t="n">
        <v>0.260902777777778</v>
      </c>
      <c r="H1475" s="5" t="n">
        <v>0.256527777777778</v>
      </c>
      <c r="I1475" s="5" t="n">
        <v>0.000405092592592593</v>
      </c>
      <c r="J1475" s="0" t="n">
        <v>0</v>
      </c>
      <c r="K1475" s="0" t="n">
        <v>1</v>
      </c>
      <c r="L1475" s="0" t="n">
        <v>0</v>
      </c>
      <c r="M1475" s="0" t="n">
        <v>0</v>
      </c>
      <c r="N1475" s="0" t="n">
        <v>2</v>
      </c>
      <c r="O1475" s="5" t="n">
        <v>0</v>
      </c>
      <c r="P1475" s="5" t="n">
        <v>0</v>
      </c>
      <c r="Q1475" s="4" t="s">
        <v>73</v>
      </c>
      <c r="R1475" s="4" t="s">
        <v>73</v>
      </c>
      <c r="S1475" s="5" t="n">
        <v>0</v>
      </c>
      <c r="T1475" s="5" t="n">
        <v>0</v>
      </c>
      <c r="U1475" s="5" t="n">
        <v>0</v>
      </c>
      <c r="V1475" s="5" t="n">
        <v>0</v>
      </c>
      <c r="W1475" s="5" t="n">
        <v>0</v>
      </c>
      <c r="X1475" s="5" t="n">
        <v>0</v>
      </c>
      <c r="Y1475" s="5" t="n">
        <v>0</v>
      </c>
      <c r="Z1475" s="0" t="n">
        <v>0</v>
      </c>
      <c r="AA1475" s="0" t="n">
        <v>0</v>
      </c>
      <c r="AB1475" s="0" t="n">
        <v>0</v>
      </c>
      <c r="AC1475" s="4" t="s">
        <v>158</v>
      </c>
      <c r="AD1475" s="4" t="s">
        <v>158</v>
      </c>
      <c r="AE1475" s="4" t="s">
        <v>5499</v>
      </c>
      <c r="AF1475" s="4" t="s">
        <v>5501</v>
      </c>
      <c r="AG1475" s="5" t="n">
        <v>0.230671296296296</v>
      </c>
      <c r="AH1475" s="5" t="n">
        <v>0.121828703703704</v>
      </c>
      <c r="AI1475" s="5" t="n">
        <v>0</v>
      </c>
      <c r="AJ1475" s="5" t="n">
        <v>0</v>
      </c>
      <c r="AK1475" s="5" t="n">
        <v>0</v>
      </c>
      <c r="AL1475" s="5" t="n">
        <v>0</v>
      </c>
      <c r="AM1475" s="4" t="s">
        <v>78</v>
      </c>
      <c r="AN1475" s="0" t="n">
        <v>0</v>
      </c>
      <c r="AO1475" s="0" t="n">
        <v>0</v>
      </c>
      <c r="AP1475" s="0" t="n">
        <v>0</v>
      </c>
      <c r="AQ1475" s="0" t="n">
        <v>0</v>
      </c>
      <c r="AR1475" s="0" t="n">
        <v>0</v>
      </c>
      <c r="AS1475" s="0" t="n">
        <v>0</v>
      </c>
      <c r="AT1475" s="0" t="n">
        <v>0</v>
      </c>
      <c r="AU1475" s="0" t="n">
        <v>0</v>
      </c>
      <c r="AV1475" s="0" t="n">
        <v>0</v>
      </c>
      <c r="AW1475" s="0" t="n">
        <v>0</v>
      </c>
      <c r="AX1475" s="0" t="n">
        <v>0</v>
      </c>
      <c r="AY1475" s="0" t="n">
        <v>0</v>
      </c>
      <c r="AZ1475" s="0" t="n">
        <v>0</v>
      </c>
      <c r="BA1475" s="0" t="n">
        <v>0</v>
      </c>
      <c r="BB1475" s="0" t="n">
        <v>0</v>
      </c>
      <c r="BC1475" s="0" t="n">
        <v>0</v>
      </c>
      <c r="BD1475" s="0" t="n">
        <v>0</v>
      </c>
      <c r="BE1475" s="0" t="n">
        <v>0</v>
      </c>
      <c r="BF1475" s="0" t="n">
        <v>0</v>
      </c>
      <c r="BG1475" s="0" t="n">
        <v>0</v>
      </c>
      <c r="BH1475" s="0" t="n">
        <v>0</v>
      </c>
      <c r="BI1475" s="0" t="n">
        <v>0</v>
      </c>
      <c r="BJ1475" s="0" t="n">
        <v>0</v>
      </c>
      <c r="BK1475" s="0" t="n">
        <v>0</v>
      </c>
      <c r="BM1475" s="6" t="n">
        <f aca="false">IFERROR(VALUE(F1475),"")</f>
        <v>150.05</v>
      </c>
      <c r="BN1475" s="6" t="str">
        <f aca="false">IF(R1475="-","",IFERROR(VALUE(LEFT(Q1475,LEN(Q1475)-2)),""))</f>
        <v/>
      </c>
      <c r="BO1475" s="6" t="str">
        <f aca="false">IF(R1475="-","",IFERROR(VALUE(LEFT(R1475,LEN(R1475)-5)),""))</f>
        <v/>
      </c>
      <c r="BP1475" s="6" t="str">
        <f aca="false">IF(R1475="-","",IFERROR(VALUE(F1475),""))</f>
        <v/>
      </c>
      <c r="BQ1475" s="4" t="n">
        <f aca="false">IF(R1475="-",1,0)</f>
        <v>1</v>
      </c>
    </row>
    <row r="1476" customFormat="false" ht="15" hidden="false" customHeight="false" outlineLevel="0" collapsed="false">
      <c r="A1476" s="0" t="s">
        <v>5492</v>
      </c>
      <c r="B1476" s="0" t="s">
        <v>5493</v>
      </c>
      <c r="C1476" s="0" t="s">
        <v>70</v>
      </c>
      <c r="D1476" s="0" t="s">
        <v>5502</v>
      </c>
      <c r="E1476" s="3" t="n">
        <v>46276</v>
      </c>
      <c r="F1476" s="4" t="s">
        <v>5503</v>
      </c>
      <c r="G1476" s="5" t="n">
        <v>0.24287037037037</v>
      </c>
      <c r="H1476" s="5" t="n">
        <v>0.0884953703703704</v>
      </c>
      <c r="I1476" s="5" t="n">
        <v>0.000289351851851852</v>
      </c>
      <c r="J1476" s="0" t="n">
        <v>0</v>
      </c>
      <c r="K1476" s="0" t="n">
        <v>3</v>
      </c>
      <c r="L1476" s="0" t="n">
        <v>0</v>
      </c>
      <c r="M1476" s="0" t="n">
        <v>0</v>
      </c>
      <c r="N1476" s="0" t="n">
        <v>1</v>
      </c>
      <c r="O1476" s="5" t="n">
        <v>0</v>
      </c>
      <c r="P1476" s="5" t="n">
        <v>0</v>
      </c>
      <c r="Q1476" s="4" t="s">
        <v>73</v>
      </c>
      <c r="R1476" s="4" t="s">
        <v>73</v>
      </c>
      <c r="S1476" s="5" t="n">
        <v>0</v>
      </c>
      <c r="T1476" s="5" t="n">
        <v>0</v>
      </c>
      <c r="U1476" s="5" t="n">
        <v>0</v>
      </c>
      <c r="V1476" s="5" t="n">
        <v>0</v>
      </c>
      <c r="W1476" s="5" t="n">
        <v>0</v>
      </c>
      <c r="X1476" s="5" t="n">
        <v>0</v>
      </c>
      <c r="Y1476" s="5" t="n">
        <v>0</v>
      </c>
      <c r="Z1476" s="0" t="n">
        <v>0</v>
      </c>
      <c r="AA1476" s="0" t="n">
        <v>0</v>
      </c>
      <c r="AB1476" s="0" t="n">
        <v>0</v>
      </c>
      <c r="AC1476" s="4" t="s">
        <v>158</v>
      </c>
      <c r="AD1476" s="4" t="s">
        <v>158</v>
      </c>
      <c r="AE1476" s="4" t="s">
        <v>5501</v>
      </c>
      <c r="AF1476" s="4" t="s">
        <v>5504</v>
      </c>
      <c r="AG1476" s="5" t="n">
        <v>0.219976851851852</v>
      </c>
      <c r="AH1476" s="5" t="n">
        <v>0.136875</v>
      </c>
      <c r="AI1476" s="5" t="n">
        <v>0</v>
      </c>
      <c r="AJ1476" s="5" t="n">
        <v>0</v>
      </c>
      <c r="AK1476" s="5" t="n">
        <v>0</v>
      </c>
      <c r="AL1476" s="5" t="n">
        <v>0</v>
      </c>
      <c r="AM1476" s="4" t="s">
        <v>78</v>
      </c>
      <c r="AN1476" s="0" t="n">
        <v>0</v>
      </c>
      <c r="AO1476" s="0" t="n">
        <v>0</v>
      </c>
      <c r="AP1476" s="0" t="n">
        <v>0</v>
      </c>
      <c r="AQ1476" s="0" t="n">
        <v>0</v>
      </c>
      <c r="AR1476" s="0" t="n">
        <v>0</v>
      </c>
      <c r="AS1476" s="0" t="n">
        <v>0</v>
      </c>
      <c r="AT1476" s="0" t="n">
        <v>0</v>
      </c>
      <c r="AU1476" s="0" t="n">
        <v>0</v>
      </c>
      <c r="AV1476" s="0" t="n">
        <v>0</v>
      </c>
      <c r="AW1476" s="0" t="n">
        <v>0</v>
      </c>
      <c r="AX1476" s="0" t="n">
        <v>0</v>
      </c>
      <c r="AY1476" s="0" t="n">
        <v>0</v>
      </c>
      <c r="AZ1476" s="0" t="n">
        <v>0</v>
      </c>
      <c r="BA1476" s="0" t="n">
        <v>0</v>
      </c>
      <c r="BB1476" s="0" t="n">
        <v>0</v>
      </c>
      <c r="BC1476" s="0" t="n">
        <v>0</v>
      </c>
      <c r="BD1476" s="0" t="n">
        <v>0</v>
      </c>
      <c r="BE1476" s="0" t="n">
        <v>0</v>
      </c>
      <c r="BF1476" s="0" t="n">
        <v>0</v>
      </c>
      <c r="BG1476" s="0" t="n">
        <v>0</v>
      </c>
      <c r="BH1476" s="0" t="n">
        <v>0</v>
      </c>
      <c r="BI1476" s="0" t="n">
        <v>0</v>
      </c>
      <c r="BJ1476" s="0" t="n">
        <v>0</v>
      </c>
      <c r="BK1476" s="0" t="n">
        <v>0</v>
      </c>
      <c r="BM1476" s="6" t="n">
        <f aca="false">IFERROR(VALUE(F1476),"")</f>
        <v>153.2</v>
      </c>
      <c r="BN1476" s="6" t="str">
        <f aca="false">IF(R1476="-","",IFERROR(VALUE(LEFT(Q1476,LEN(Q1476)-2)),""))</f>
        <v/>
      </c>
      <c r="BO1476" s="6" t="str">
        <f aca="false">IF(R1476="-","",IFERROR(VALUE(LEFT(R1476,LEN(R1476)-5)),""))</f>
        <v/>
      </c>
      <c r="BP1476" s="6" t="str">
        <f aca="false">IF(R1476="-","",IFERROR(VALUE(F1476),""))</f>
        <v/>
      </c>
      <c r="BQ1476" s="4" t="n">
        <f aca="false">IF(R1476="-",1,0)</f>
        <v>1</v>
      </c>
    </row>
    <row r="1477" customFormat="false" ht="15" hidden="false" customHeight="false" outlineLevel="0" collapsed="false">
      <c r="A1477" s="0" t="s">
        <v>5492</v>
      </c>
      <c r="B1477" s="0" t="s">
        <v>5493</v>
      </c>
      <c r="C1477" s="0" t="s">
        <v>70</v>
      </c>
      <c r="E1477" s="3" t="n">
        <v>46277</v>
      </c>
      <c r="F1477" s="4" t="s">
        <v>95</v>
      </c>
      <c r="G1477" s="5" t="n">
        <v>9.25925925925926E-005</v>
      </c>
      <c r="H1477" s="5" t="n">
        <v>0</v>
      </c>
      <c r="I1477" s="5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5" t="n">
        <v>0</v>
      </c>
      <c r="P1477" s="5" t="n">
        <v>0</v>
      </c>
      <c r="Q1477" s="4" t="s">
        <v>73</v>
      </c>
      <c r="R1477" s="4" t="s">
        <v>73</v>
      </c>
      <c r="S1477" s="5" t="n">
        <v>0</v>
      </c>
      <c r="T1477" s="5" t="n">
        <v>0</v>
      </c>
      <c r="U1477" s="5" t="n">
        <v>0</v>
      </c>
      <c r="V1477" s="5" t="n">
        <v>0</v>
      </c>
      <c r="W1477" s="5" t="n">
        <v>0</v>
      </c>
      <c r="X1477" s="5" t="n">
        <v>0</v>
      </c>
      <c r="Y1477" s="5" t="n">
        <v>0</v>
      </c>
      <c r="Z1477" s="0" t="n">
        <v>0</v>
      </c>
      <c r="AA1477" s="0" t="n">
        <v>0</v>
      </c>
      <c r="AB1477" s="0" t="n">
        <v>0</v>
      </c>
      <c r="AC1477" s="4" t="s">
        <v>158</v>
      </c>
      <c r="AD1477" s="4" t="s">
        <v>158</v>
      </c>
      <c r="AE1477" s="4" t="s">
        <v>5504</v>
      </c>
      <c r="AF1477" s="4" t="s">
        <v>5504</v>
      </c>
      <c r="AG1477" s="5" t="n">
        <v>0</v>
      </c>
      <c r="AH1477" s="5" t="n">
        <v>0.0129513888888889</v>
      </c>
      <c r="AI1477" s="5" t="n">
        <v>0</v>
      </c>
      <c r="AJ1477" s="5" t="n">
        <v>0</v>
      </c>
      <c r="AK1477" s="5" t="n">
        <v>0</v>
      </c>
      <c r="AL1477" s="5" t="n">
        <v>0</v>
      </c>
      <c r="AM1477" s="4" t="s">
        <v>78</v>
      </c>
      <c r="AN1477" s="0" t="n">
        <v>0</v>
      </c>
      <c r="AO1477" s="0" t="n">
        <v>0</v>
      </c>
      <c r="AP1477" s="0" t="n">
        <v>0</v>
      </c>
      <c r="AQ1477" s="0" t="n">
        <v>0</v>
      </c>
      <c r="AR1477" s="0" t="n">
        <v>0</v>
      </c>
      <c r="AS1477" s="0" t="n">
        <v>0</v>
      </c>
      <c r="AT1477" s="0" t="n">
        <v>0</v>
      </c>
      <c r="AU1477" s="0" t="n">
        <v>0</v>
      </c>
      <c r="AV1477" s="0" t="n">
        <v>0</v>
      </c>
      <c r="AW1477" s="0" t="n">
        <v>0</v>
      </c>
      <c r="AX1477" s="0" t="n">
        <v>0</v>
      </c>
      <c r="AY1477" s="0" t="n">
        <v>0</v>
      </c>
      <c r="AZ1477" s="0" t="n">
        <v>0</v>
      </c>
      <c r="BA1477" s="0" t="n">
        <v>0</v>
      </c>
      <c r="BB1477" s="0" t="n">
        <v>0</v>
      </c>
      <c r="BC1477" s="0" t="n">
        <v>0</v>
      </c>
      <c r="BD1477" s="0" t="n">
        <v>0</v>
      </c>
      <c r="BE1477" s="0" t="n">
        <v>0</v>
      </c>
      <c r="BF1477" s="0" t="n">
        <v>0</v>
      </c>
      <c r="BG1477" s="0" t="n">
        <v>0</v>
      </c>
      <c r="BH1477" s="0" t="n">
        <v>0</v>
      </c>
      <c r="BI1477" s="0" t="n">
        <v>0</v>
      </c>
      <c r="BJ1477" s="0" t="n">
        <v>0</v>
      </c>
      <c r="BK1477" s="0" t="n">
        <v>0</v>
      </c>
      <c r="BM1477" s="6" t="n">
        <f aca="false">IFERROR(VALUE(F1477),"")</f>
        <v>0</v>
      </c>
      <c r="BN1477" s="6" t="str">
        <f aca="false">IF(R1477="-","",IFERROR(VALUE(LEFT(Q1477,LEN(Q1477)-2)),""))</f>
        <v/>
      </c>
      <c r="BO1477" s="6" t="str">
        <f aca="false">IF(R1477="-","",IFERROR(VALUE(LEFT(R1477,LEN(R1477)-5)),""))</f>
        <v/>
      </c>
      <c r="BP1477" s="6" t="str">
        <f aca="false">IF(R1477="-","",IFERROR(VALUE(F1477),""))</f>
        <v/>
      </c>
      <c r="BQ1477" s="4" t="n">
        <f aca="false">IF(R1477="-",1,0)</f>
        <v>1</v>
      </c>
    </row>
    <row r="1478" customFormat="false" ht="15" hidden="false" customHeight="false" outlineLevel="0" collapsed="false">
      <c r="A1478" s="0" t="s">
        <v>5492</v>
      </c>
      <c r="B1478" s="0" t="s">
        <v>5493</v>
      </c>
      <c r="C1478" s="0" t="s">
        <v>70</v>
      </c>
      <c r="D1478" s="0" t="s">
        <v>5505</v>
      </c>
      <c r="E1478" s="3" t="n">
        <v>46279</v>
      </c>
      <c r="F1478" s="4" t="s">
        <v>5506</v>
      </c>
      <c r="G1478" s="5" t="n">
        <v>0.157453703703704</v>
      </c>
      <c r="H1478" s="5" t="n">
        <v>0.151226851851852</v>
      </c>
      <c r="I1478" s="5" t="n">
        <v>0.00144675925925926</v>
      </c>
      <c r="J1478" s="0" t="n">
        <v>1</v>
      </c>
      <c r="K1478" s="0" t="n">
        <v>1</v>
      </c>
      <c r="L1478" s="0" t="n">
        <v>0</v>
      </c>
      <c r="M1478" s="0" t="n">
        <v>0</v>
      </c>
      <c r="N1478" s="0" t="n">
        <v>7</v>
      </c>
      <c r="O1478" s="5" t="n">
        <v>0</v>
      </c>
      <c r="P1478" s="5" t="n">
        <v>0</v>
      </c>
      <c r="Q1478" s="4" t="s">
        <v>73</v>
      </c>
      <c r="R1478" s="4" t="s">
        <v>73</v>
      </c>
      <c r="S1478" s="5" t="n">
        <v>0</v>
      </c>
      <c r="T1478" s="5" t="n">
        <v>0</v>
      </c>
      <c r="U1478" s="5" t="n">
        <v>0</v>
      </c>
      <c r="V1478" s="5" t="n">
        <v>0</v>
      </c>
      <c r="W1478" s="5" t="n">
        <v>0</v>
      </c>
      <c r="X1478" s="5" t="n">
        <v>0</v>
      </c>
      <c r="Y1478" s="5" t="n">
        <v>0</v>
      </c>
      <c r="Z1478" s="0" t="n">
        <v>0</v>
      </c>
      <c r="AA1478" s="0" t="n">
        <v>0</v>
      </c>
      <c r="AB1478" s="0" t="n">
        <v>0</v>
      </c>
      <c r="AC1478" s="4" t="s">
        <v>158</v>
      </c>
      <c r="AD1478" s="4" t="s">
        <v>158</v>
      </c>
      <c r="AE1478" s="4" t="s">
        <v>5504</v>
      </c>
      <c r="AF1478" s="4" t="s">
        <v>5507</v>
      </c>
      <c r="AG1478" s="5" t="n">
        <v>0.134282407407407</v>
      </c>
      <c r="AH1478" s="5" t="n">
        <v>0.0830208333333333</v>
      </c>
      <c r="AI1478" s="5" t="n">
        <v>0</v>
      </c>
      <c r="AJ1478" s="5" t="n">
        <v>0</v>
      </c>
      <c r="AK1478" s="5" t="n">
        <v>0</v>
      </c>
      <c r="AL1478" s="5" t="n">
        <v>0</v>
      </c>
      <c r="AM1478" s="4" t="s">
        <v>78</v>
      </c>
      <c r="AN1478" s="0" t="n">
        <v>0</v>
      </c>
      <c r="AO1478" s="0" t="n">
        <v>0</v>
      </c>
      <c r="AP1478" s="0" t="n">
        <v>0</v>
      </c>
      <c r="AQ1478" s="0" t="n">
        <v>0</v>
      </c>
      <c r="AR1478" s="0" t="n">
        <v>1</v>
      </c>
      <c r="AS1478" s="0" t="n">
        <v>0</v>
      </c>
      <c r="AT1478" s="0" t="n">
        <v>0</v>
      </c>
      <c r="AU1478" s="0" t="n">
        <v>0</v>
      </c>
      <c r="AV1478" s="0" t="n">
        <v>0</v>
      </c>
      <c r="AW1478" s="0" t="n">
        <v>0</v>
      </c>
      <c r="AX1478" s="0" t="n">
        <v>0</v>
      </c>
      <c r="AY1478" s="0" t="n">
        <v>0</v>
      </c>
      <c r="AZ1478" s="0" t="n">
        <v>0</v>
      </c>
      <c r="BA1478" s="0" t="n">
        <v>0</v>
      </c>
      <c r="BB1478" s="0" t="n">
        <v>0</v>
      </c>
      <c r="BC1478" s="0" t="n">
        <v>0</v>
      </c>
      <c r="BD1478" s="0" t="n">
        <v>0</v>
      </c>
      <c r="BE1478" s="0" t="n">
        <v>0</v>
      </c>
      <c r="BF1478" s="0" t="n">
        <v>0</v>
      </c>
      <c r="BG1478" s="0" t="n">
        <v>0</v>
      </c>
      <c r="BH1478" s="0" t="n">
        <v>0</v>
      </c>
      <c r="BI1478" s="0" t="n">
        <v>0</v>
      </c>
      <c r="BJ1478" s="0" t="n">
        <v>0</v>
      </c>
      <c r="BK1478" s="0" t="n">
        <v>0</v>
      </c>
      <c r="BM1478" s="6" t="n">
        <f aca="false">IFERROR(VALUE(F1478),"")</f>
        <v>127.03</v>
      </c>
      <c r="BN1478" s="6" t="str">
        <f aca="false">IF(R1478="-","",IFERROR(VALUE(LEFT(Q1478,LEN(Q1478)-2)),""))</f>
        <v/>
      </c>
      <c r="BO1478" s="6" t="str">
        <f aca="false">IF(R1478="-","",IFERROR(VALUE(LEFT(R1478,LEN(R1478)-5)),""))</f>
        <v/>
      </c>
      <c r="BP1478" s="6" t="str">
        <f aca="false">IF(R1478="-","",IFERROR(VALUE(F1478),""))</f>
        <v/>
      </c>
      <c r="BQ1478" s="4" t="n">
        <f aca="false">IF(R1478="-",1,0)</f>
        <v>1</v>
      </c>
    </row>
    <row r="1479" customFormat="false" ht="15" hidden="false" customHeight="false" outlineLevel="0" collapsed="false">
      <c r="A1479" s="0" t="s">
        <v>5508</v>
      </c>
      <c r="B1479" s="0" t="s">
        <v>5509</v>
      </c>
      <c r="C1479" s="0" t="s">
        <v>70</v>
      </c>
      <c r="D1479" s="0" t="s">
        <v>5510</v>
      </c>
      <c r="E1479" s="3" t="n">
        <v>46273</v>
      </c>
      <c r="F1479" s="4" t="s">
        <v>5511</v>
      </c>
      <c r="G1479" s="5" t="n">
        <v>0.311539351851852</v>
      </c>
      <c r="H1479" s="5" t="n">
        <v>0.143449074074074</v>
      </c>
      <c r="I1479" s="5" t="n">
        <v>0.000729166666666667</v>
      </c>
      <c r="J1479" s="0" t="n">
        <v>0</v>
      </c>
      <c r="K1479" s="0" t="n">
        <v>4</v>
      </c>
      <c r="L1479" s="0" t="n">
        <v>0</v>
      </c>
      <c r="M1479" s="0" t="n">
        <v>0</v>
      </c>
      <c r="N1479" s="0" t="n">
        <v>13</v>
      </c>
      <c r="O1479" s="5" t="n">
        <v>0</v>
      </c>
      <c r="P1479" s="5" t="n">
        <v>0</v>
      </c>
      <c r="Q1479" s="4" t="s">
        <v>73</v>
      </c>
      <c r="R1479" s="4" t="s">
        <v>73</v>
      </c>
      <c r="S1479" s="5" t="n">
        <v>0</v>
      </c>
      <c r="T1479" s="5" t="n">
        <v>0</v>
      </c>
      <c r="U1479" s="5" t="n">
        <v>0</v>
      </c>
      <c r="V1479" s="5" t="n">
        <v>0</v>
      </c>
      <c r="W1479" s="5" t="n">
        <v>0</v>
      </c>
      <c r="X1479" s="5" t="n">
        <v>0</v>
      </c>
      <c r="Y1479" s="5" t="n">
        <v>0</v>
      </c>
      <c r="Z1479" s="0" t="n">
        <v>0</v>
      </c>
      <c r="AA1479" s="0" t="n">
        <v>0</v>
      </c>
      <c r="AB1479" s="0" t="n">
        <v>0</v>
      </c>
      <c r="AC1479" s="4" t="s">
        <v>158</v>
      </c>
      <c r="AD1479" s="4" t="s">
        <v>158</v>
      </c>
      <c r="AE1479" s="4" t="s">
        <v>5512</v>
      </c>
      <c r="AF1479" s="4" t="s">
        <v>5513</v>
      </c>
      <c r="AG1479" s="5" t="n">
        <v>0.278425925925926</v>
      </c>
      <c r="AH1479" s="5" t="n">
        <v>0.118032407407407</v>
      </c>
      <c r="AI1479" s="5" t="n">
        <v>0</v>
      </c>
      <c r="AJ1479" s="5" t="n">
        <v>0</v>
      </c>
      <c r="AK1479" s="5" t="n">
        <v>0</v>
      </c>
      <c r="AL1479" s="5" t="n">
        <v>0</v>
      </c>
      <c r="AM1479" s="4" t="s">
        <v>78</v>
      </c>
      <c r="AN1479" s="0" t="n">
        <v>0</v>
      </c>
      <c r="AO1479" s="0" t="n">
        <v>0</v>
      </c>
      <c r="AP1479" s="0" t="n">
        <v>0</v>
      </c>
      <c r="AQ1479" s="0" t="n">
        <v>0</v>
      </c>
      <c r="AR1479" s="0" t="n">
        <v>2</v>
      </c>
      <c r="AS1479" s="0" t="n">
        <v>0</v>
      </c>
      <c r="AT1479" s="0" t="n">
        <v>0</v>
      </c>
      <c r="AU1479" s="0" t="n">
        <v>0</v>
      </c>
      <c r="AV1479" s="0" t="n">
        <v>0</v>
      </c>
      <c r="AW1479" s="0" t="n">
        <v>0</v>
      </c>
      <c r="AX1479" s="0" t="n">
        <v>0</v>
      </c>
      <c r="AY1479" s="0" t="n">
        <v>0</v>
      </c>
      <c r="AZ1479" s="0" t="n">
        <v>0</v>
      </c>
      <c r="BA1479" s="0" t="n">
        <v>0</v>
      </c>
      <c r="BB1479" s="0" t="n">
        <v>0</v>
      </c>
      <c r="BC1479" s="0" t="n">
        <v>0</v>
      </c>
      <c r="BD1479" s="0" t="n">
        <v>0</v>
      </c>
      <c r="BE1479" s="0" t="n">
        <v>0</v>
      </c>
      <c r="BF1479" s="0" t="n">
        <v>0</v>
      </c>
      <c r="BG1479" s="0" t="n">
        <v>0</v>
      </c>
      <c r="BH1479" s="0" t="n">
        <v>0</v>
      </c>
      <c r="BI1479" s="0" t="n">
        <v>0</v>
      </c>
      <c r="BJ1479" s="0" t="n">
        <v>0</v>
      </c>
      <c r="BK1479" s="0" t="n">
        <v>0</v>
      </c>
      <c r="BM1479" s="6" t="n">
        <f aca="false">IFERROR(VALUE(F1479),"")</f>
        <v>231.6</v>
      </c>
      <c r="BN1479" s="6" t="str">
        <f aca="false">IF(R1479="-","",IFERROR(VALUE(LEFT(Q1479,LEN(Q1479)-2)),""))</f>
        <v/>
      </c>
      <c r="BO1479" s="6" t="str">
        <f aca="false">IF(R1479="-","",IFERROR(VALUE(LEFT(R1479,LEN(R1479)-5)),""))</f>
        <v/>
      </c>
      <c r="BP1479" s="6" t="str">
        <f aca="false">IF(R1479="-","",IFERROR(VALUE(F1479),""))</f>
        <v/>
      </c>
      <c r="BQ1479" s="4" t="n">
        <f aca="false">IF(R1479="-",1,0)</f>
        <v>1</v>
      </c>
    </row>
    <row r="1480" customFormat="false" ht="15" hidden="false" customHeight="false" outlineLevel="0" collapsed="false">
      <c r="A1480" s="0" t="s">
        <v>5508</v>
      </c>
      <c r="B1480" s="0" t="s">
        <v>5509</v>
      </c>
      <c r="C1480" s="0" t="s">
        <v>70</v>
      </c>
      <c r="D1480" s="0" t="s">
        <v>5510</v>
      </c>
      <c r="E1480" s="3" t="n">
        <v>46274</v>
      </c>
      <c r="F1480" s="4" t="s">
        <v>5514</v>
      </c>
      <c r="G1480" s="5" t="n">
        <v>0.304016203703704</v>
      </c>
      <c r="H1480" s="5" t="n">
        <v>0.142581018518519</v>
      </c>
      <c r="I1480" s="5" t="n">
        <v>0.000150462962962963</v>
      </c>
      <c r="J1480" s="0" t="n">
        <v>0</v>
      </c>
      <c r="K1480" s="0" t="n">
        <v>3</v>
      </c>
      <c r="L1480" s="0" t="n">
        <v>0</v>
      </c>
      <c r="M1480" s="0" t="n">
        <v>0</v>
      </c>
      <c r="N1480" s="0" t="n">
        <v>15</v>
      </c>
      <c r="O1480" s="5" t="n">
        <v>0</v>
      </c>
      <c r="P1480" s="5" t="n">
        <v>0</v>
      </c>
      <c r="Q1480" s="4" t="s">
        <v>73</v>
      </c>
      <c r="R1480" s="4" t="s">
        <v>73</v>
      </c>
      <c r="S1480" s="5" t="n">
        <v>0</v>
      </c>
      <c r="T1480" s="5" t="n">
        <v>0</v>
      </c>
      <c r="U1480" s="5" t="n">
        <v>0</v>
      </c>
      <c r="V1480" s="5" t="n">
        <v>0</v>
      </c>
      <c r="W1480" s="5" t="n">
        <v>0</v>
      </c>
      <c r="X1480" s="5" t="n">
        <v>0</v>
      </c>
      <c r="Y1480" s="5" t="n">
        <v>0</v>
      </c>
      <c r="Z1480" s="0" t="n">
        <v>0</v>
      </c>
      <c r="AA1480" s="0" t="n">
        <v>0</v>
      </c>
      <c r="AB1480" s="0" t="n">
        <v>0</v>
      </c>
      <c r="AC1480" s="4" t="s">
        <v>158</v>
      </c>
      <c r="AD1480" s="4" t="s">
        <v>158</v>
      </c>
      <c r="AE1480" s="4" t="s">
        <v>5513</v>
      </c>
      <c r="AF1480" s="4" t="s">
        <v>5515</v>
      </c>
      <c r="AG1480" s="5" t="n">
        <v>0.272256944444444</v>
      </c>
      <c r="AH1480" s="5" t="n">
        <v>0.175138888888889</v>
      </c>
      <c r="AI1480" s="5" t="n">
        <v>0</v>
      </c>
      <c r="AJ1480" s="5" t="n">
        <v>0</v>
      </c>
      <c r="AK1480" s="5" t="n">
        <v>0</v>
      </c>
      <c r="AL1480" s="5" t="n">
        <v>0</v>
      </c>
      <c r="AM1480" s="4" t="s">
        <v>78</v>
      </c>
      <c r="AN1480" s="0" t="n">
        <v>0</v>
      </c>
      <c r="AO1480" s="0" t="n">
        <v>0</v>
      </c>
      <c r="AP1480" s="0" t="n">
        <v>0</v>
      </c>
      <c r="AQ1480" s="0" t="n">
        <v>0</v>
      </c>
      <c r="AR1480" s="0" t="n">
        <v>1</v>
      </c>
      <c r="AS1480" s="0" t="n">
        <v>0</v>
      </c>
      <c r="AT1480" s="0" t="n">
        <v>0</v>
      </c>
      <c r="AU1480" s="0" t="n">
        <v>0</v>
      </c>
      <c r="AV1480" s="0" t="n">
        <v>0</v>
      </c>
      <c r="AW1480" s="0" t="n">
        <v>0</v>
      </c>
      <c r="AX1480" s="0" t="n">
        <v>0</v>
      </c>
      <c r="AY1480" s="0" t="n">
        <v>0</v>
      </c>
      <c r="AZ1480" s="0" t="n">
        <v>0</v>
      </c>
      <c r="BA1480" s="0" t="n">
        <v>0</v>
      </c>
      <c r="BB1480" s="0" t="n">
        <v>0</v>
      </c>
      <c r="BC1480" s="0" t="n">
        <v>0</v>
      </c>
      <c r="BD1480" s="0" t="n">
        <v>0</v>
      </c>
      <c r="BE1480" s="0" t="n">
        <v>0</v>
      </c>
      <c r="BF1480" s="0" t="n">
        <v>0</v>
      </c>
      <c r="BG1480" s="0" t="n">
        <v>0</v>
      </c>
      <c r="BH1480" s="0" t="n">
        <v>0</v>
      </c>
      <c r="BI1480" s="0" t="n">
        <v>0</v>
      </c>
      <c r="BJ1480" s="0" t="n">
        <v>0</v>
      </c>
      <c r="BK1480" s="0" t="n">
        <v>0</v>
      </c>
      <c r="BM1480" s="6" t="n">
        <f aca="false">IFERROR(VALUE(F1480),"")</f>
        <v>232.73</v>
      </c>
      <c r="BN1480" s="6" t="str">
        <f aca="false">IF(R1480="-","",IFERROR(VALUE(LEFT(Q1480,LEN(Q1480)-2)),""))</f>
        <v/>
      </c>
      <c r="BO1480" s="6" t="str">
        <f aca="false">IF(R1480="-","",IFERROR(VALUE(LEFT(R1480,LEN(R1480)-5)),""))</f>
        <v/>
      </c>
      <c r="BP1480" s="6" t="str">
        <f aca="false">IF(R1480="-","",IFERROR(VALUE(F1480),""))</f>
        <v/>
      </c>
      <c r="BQ1480" s="4" t="n">
        <f aca="false">IF(R1480="-",1,0)</f>
        <v>1</v>
      </c>
    </row>
    <row r="1481" customFormat="false" ht="15" hidden="false" customHeight="false" outlineLevel="0" collapsed="false">
      <c r="A1481" s="0" t="s">
        <v>5508</v>
      </c>
      <c r="B1481" s="0" t="s">
        <v>5509</v>
      </c>
      <c r="C1481" s="0" t="s">
        <v>70</v>
      </c>
      <c r="D1481" s="0" t="s">
        <v>5510</v>
      </c>
      <c r="E1481" s="3" t="n">
        <v>46275</v>
      </c>
      <c r="F1481" s="4" t="s">
        <v>5516</v>
      </c>
      <c r="G1481" s="5" t="n">
        <v>0.318090277777778</v>
      </c>
      <c r="H1481" s="5" t="n">
        <v>0.135648148148148</v>
      </c>
      <c r="I1481" s="5" t="n">
        <v>0.000381944444444445</v>
      </c>
      <c r="J1481" s="0" t="n">
        <v>1</v>
      </c>
      <c r="K1481" s="0" t="n">
        <v>1</v>
      </c>
      <c r="L1481" s="0" t="n">
        <v>0</v>
      </c>
      <c r="M1481" s="0" t="n">
        <v>0</v>
      </c>
      <c r="N1481" s="0" t="n">
        <v>15</v>
      </c>
      <c r="O1481" s="5" t="n">
        <v>0</v>
      </c>
      <c r="P1481" s="5" t="n">
        <v>0</v>
      </c>
      <c r="Q1481" s="4" t="s">
        <v>73</v>
      </c>
      <c r="R1481" s="4" t="s">
        <v>73</v>
      </c>
      <c r="S1481" s="5" t="n">
        <v>0</v>
      </c>
      <c r="T1481" s="5" t="n">
        <v>0</v>
      </c>
      <c r="U1481" s="5" t="n">
        <v>0</v>
      </c>
      <c r="V1481" s="5" t="n">
        <v>0</v>
      </c>
      <c r="W1481" s="5" t="n">
        <v>0</v>
      </c>
      <c r="X1481" s="5" t="n">
        <v>0</v>
      </c>
      <c r="Y1481" s="5" t="n">
        <v>0</v>
      </c>
      <c r="Z1481" s="0" t="n">
        <v>0</v>
      </c>
      <c r="AA1481" s="0" t="n">
        <v>0</v>
      </c>
      <c r="AB1481" s="0" t="n">
        <v>0</v>
      </c>
      <c r="AC1481" s="4" t="s">
        <v>158</v>
      </c>
      <c r="AD1481" s="4" t="s">
        <v>158</v>
      </c>
      <c r="AE1481" s="4" t="s">
        <v>5515</v>
      </c>
      <c r="AF1481" s="4" t="s">
        <v>5517</v>
      </c>
      <c r="AG1481" s="5" t="n">
        <v>0.275706018518519</v>
      </c>
      <c r="AH1481" s="5" t="n">
        <v>0.110381944444444</v>
      </c>
      <c r="AI1481" s="5" t="n">
        <v>0</v>
      </c>
      <c r="AJ1481" s="5" t="n">
        <v>0</v>
      </c>
      <c r="AK1481" s="5" t="n">
        <v>0</v>
      </c>
      <c r="AL1481" s="5" t="n">
        <v>0</v>
      </c>
      <c r="AM1481" s="4" t="s">
        <v>78</v>
      </c>
      <c r="AN1481" s="0" t="n">
        <v>0</v>
      </c>
      <c r="AO1481" s="0" t="n">
        <v>0</v>
      </c>
      <c r="AP1481" s="0" t="n">
        <v>0</v>
      </c>
      <c r="AQ1481" s="0" t="n">
        <v>0</v>
      </c>
      <c r="AR1481" s="0" t="n">
        <v>4</v>
      </c>
      <c r="AS1481" s="0" t="n">
        <v>0</v>
      </c>
      <c r="AT1481" s="0" t="n">
        <v>0</v>
      </c>
      <c r="AU1481" s="0" t="n">
        <v>0</v>
      </c>
      <c r="AV1481" s="0" t="n">
        <v>0</v>
      </c>
      <c r="AW1481" s="0" t="n">
        <v>0</v>
      </c>
      <c r="AX1481" s="0" t="n">
        <v>0</v>
      </c>
      <c r="AY1481" s="0" t="n">
        <v>0</v>
      </c>
      <c r="AZ1481" s="0" t="n">
        <v>0</v>
      </c>
      <c r="BA1481" s="0" t="n">
        <v>0</v>
      </c>
      <c r="BB1481" s="0" t="n">
        <v>0</v>
      </c>
      <c r="BC1481" s="0" t="n">
        <v>0</v>
      </c>
      <c r="BD1481" s="0" t="n">
        <v>0</v>
      </c>
      <c r="BE1481" s="0" t="n">
        <v>0</v>
      </c>
      <c r="BF1481" s="0" t="n">
        <v>0</v>
      </c>
      <c r="BG1481" s="0" t="n">
        <v>0</v>
      </c>
      <c r="BH1481" s="0" t="n">
        <v>0</v>
      </c>
      <c r="BI1481" s="0" t="n">
        <v>0</v>
      </c>
      <c r="BJ1481" s="0" t="n">
        <v>0</v>
      </c>
      <c r="BK1481" s="0" t="n">
        <v>0</v>
      </c>
      <c r="BM1481" s="6" t="n">
        <f aca="false">IFERROR(VALUE(F1481),"")</f>
        <v>231.55</v>
      </c>
      <c r="BN1481" s="6" t="str">
        <f aca="false">IF(R1481="-","",IFERROR(VALUE(LEFT(Q1481,LEN(Q1481)-2)),""))</f>
        <v/>
      </c>
      <c r="BO1481" s="6" t="str">
        <f aca="false">IF(R1481="-","",IFERROR(VALUE(LEFT(R1481,LEN(R1481)-5)),""))</f>
        <v/>
      </c>
      <c r="BP1481" s="6" t="str">
        <f aca="false">IF(R1481="-","",IFERROR(VALUE(F1481),""))</f>
        <v/>
      </c>
      <c r="BQ1481" s="4" t="n">
        <f aca="false">IF(R1481="-",1,0)</f>
        <v>1</v>
      </c>
    </row>
    <row r="1482" customFormat="false" ht="15" hidden="false" customHeight="false" outlineLevel="0" collapsed="false">
      <c r="A1482" s="0" t="s">
        <v>5508</v>
      </c>
      <c r="B1482" s="0" t="s">
        <v>5509</v>
      </c>
      <c r="C1482" s="0" t="s">
        <v>70</v>
      </c>
      <c r="D1482" s="0" t="s">
        <v>5518</v>
      </c>
      <c r="E1482" s="3" t="n">
        <v>46276</v>
      </c>
      <c r="F1482" s="4" t="s">
        <v>5519</v>
      </c>
      <c r="G1482" s="5" t="n">
        <v>0.319212962962963</v>
      </c>
      <c r="H1482" s="5" t="n">
        <v>0.153055555555556</v>
      </c>
      <c r="I1482" s="5" t="n">
        <v>0.000543981481481481</v>
      </c>
      <c r="J1482" s="0" t="n">
        <v>0</v>
      </c>
      <c r="K1482" s="0" t="n">
        <v>4</v>
      </c>
      <c r="L1482" s="0" t="n">
        <v>0</v>
      </c>
      <c r="M1482" s="0" t="n">
        <v>0</v>
      </c>
      <c r="N1482" s="0" t="n">
        <v>14</v>
      </c>
      <c r="O1482" s="5" t="n">
        <v>0</v>
      </c>
      <c r="P1482" s="5" t="n">
        <v>0</v>
      </c>
      <c r="Q1482" s="4" t="s">
        <v>73</v>
      </c>
      <c r="R1482" s="4" t="s">
        <v>73</v>
      </c>
      <c r="S1482" s="5" t="n">
        <v>0</v>
      </c>
      <c r="T1482" s="5" t="n">
        <v>0</v>
      </c>
      <c r="U1482" s="5" t="n">
        <v>0</v>
      </c>
      <c r="V1482" s="5" t="n">
        <v>0</v>
      </c>
      <c r="W1482" s="5" t="n">
        <v>0</v>
      </c>
      <c r="X1482" s="5" t="n">
        <v>0</v>
      </c>
      <c r="Y1482" s="5" t="n">
        <v>0</v>
      </c>
      <c r="Z1482" s="0" t="n">
        <v>0</v>
      </c>
      <c r="AA1482" s="0" t="n">
        <v>0</v>
      </c>
      <c r="AB1482" s="0" t="n">
        <v>0</v>
      </c>
      <c r="AC1482" s="4" t="s">
        <v>158</v>
      </c>
      <c r="AD1482" s="4" t="s">
        <v>158</v>
      </c>
      <c r="AE1482" s="4" t="s">
        <v>5517</v>
      </c>
      <c r="AF1482" s="4" t="s">
        <v>5520</v>
      </c>
      <c r="AG1482" s="5" t="n">
        <v>0.281782407407407</v>
      </c>
      <c r="AH1482" s="5" t="n">
        <v>0.116469907407407</v>
      </c>
      <c r="AI1482" s="5" t="n">
        <v>0</v>
      </c>
      <c r="AJ1482" s="5" t="n">
        <v>0</v>
      </c>
      <c r="AK1482" s="5" t="n">
        <v>0</v>
      </c>
      <c r="AL1482" s="5" t="n">
        <v>0</v>
      </c>
      <c r="AM1482" s="4" t="s">
        <v>78</v>
      </c>
      <c r="AN1482" s="0" t="n">
        <v>0</v>
      </c>
      <c r="AO1482" s="0" t="n">
        <v>0</v>
      </c>
      <c r="AP1482" s="0" t="n">
        <v>0</v>
      </c>
      <c r="AQ1482" s="0" t="n">
        <v>0</v>
      </c>
      <c r="AR1482" s="0" t="n">
        <v>3</v>
      </c>
      <c r="AS1482" s="0" t="n">
        <v>0</v>
      </c>
      <c r="AT1482" s="0" t="n">
        <v>0</v>
      </c>
      <c r="AU1482" s="0" t="n">
        <v>0</v>
      </c>
      <c r="AV1482" s="0" t="n">
        <v>0</v>
      </c>
      <c r="AW1482" s="0" t="n">
        <v>0</v>
      </c>
      <c r="AX1482" s="0" t="n">
        <v>0</v>
      </c>
      <c r="AY1482" s="0" t="n">
        <v>0</v>
      </c>
      <c r="AZ1482" s="0" t="n">
        <v>0</v>
      </c>
      <c r="BA1482" s="0" t="n">
        <v>0</v>
      </c>
      <c r="BB1482" s="0" t="n">
        <v>0</v>
      </c>
      <c r="BC1482" s="0" t="n">
        <v>0</v>
      </c>
      <c r="BD1482" s="0" t="n">
        <v>0</v>
      </c>
      <c r="BE1482" s="0" t="n">
        <v>0</v>
      </c>
      <c r="BF1482" s="0" t="n">
        <v>0</v>
      </c>
      <c r="BG1482" s="0" t="n">
        <v>0</v>
      </c>
      <c r="BH1482" s="0" t="n">
        <v>0</v>
      </c>
      <c r="BI1482" s="0" t="n">
        <v>0</v>
      </c>
      <c r="BJ1482" s="0" t="n">
        <v>0</v>
      </c>
      <c r="BK1482" s="0" t="n">
        <v>0</v>
      </c>
      <c r="BM1482" s="6" t="n">
        <f aca="false">IFERROR(VALUE(F1482),"")</f>
        <v>231.17</v>
      </c>
      <c r="BN1482" s="6" t="str">
        <f aca="false">IF(R1482="-","",IFERROR(VALUE(LEFT(Q1482,LEN(Q1482)-2)),""))</f>
        <v/>
      </c>
      <c r="BO1482" s="6" t="str">
        <f aca="false">IF(R1482="-","",IFERROR(VALUE(LEFT(R1482,LEN(R1482)-5)),""))</f>
        <v/>
      </c>
      <c r="BP1482" s="6" t="str">
        <f aca="false">IF(R1482="-","",IFERROR(VALUE(F1482),""))</f>
        <v/>
      </c>
      <c r="BQ1482" s="4" t="n">
        <f aca="false">IF(R1482="-",1,0)</f>
        <v>1</v>
      </c>
    </row>
    <row r="1483" customFormat="false" ht="15" hidden="false" customHeight="false" outlineLevel="0" collapsed="false">
      <c r="A1483" s="0" t="s">
        <v>5508</v>
      </c>
      <c r="B1483" s="0" t="s">
        <v>5509</v>
      </c>
      <c r="C1483" s="0" t="s">
        <v>70</v>
      </c>
      <c r="E1483" s="3" t="n">
        <v>46277</v>
      </c>
      <c r="F1483" s="4" t="s">
        <v>95</v>
      </c>
      <c r="G1483" s="5" t="n">
        <v>1.15740740740741E-005</v>
      </c>
      <c r="H1483" s="5" t="n">
        <v>0</v>
      </c>
      <c r="I1483" s="5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5" t="n">
        <v>0</v>
      </c>
      <c r="P1483" s="5" t="n">
        <v>0</v>
      </c>
      <c r="Q1483" s="4" t="s">
        <v>73</v>
      </c>
      <c r="R1483" s="4" t="s">
        <v>73</v>
      </c>
      <c r="S1483" s="5" t="n">
        <v>0</v>
      </c>
      <c r="T1483" s="5" t="n">
        <v>0</v>
      </c>
      <c r="U1483" s="5" t="n">
        <v>0</v>
      </c>
      <c r="V1483" s="5" t="n">
        <v>0</v>
      </c>
      <c r="W1483" s="5" t="n">
        <v>0</v>
      </c>
      <c r="X1483" s="5" t="n">
        <v>0</v>
      </c>
      <c r="Y1483" s="5" t="n">
        <v>0</v>
      </c>
      <c r="Z1483" s="0" t="n">
        <v>0</v>
      </c>
      <c r="AA1483" s="0" t="n">
        <v>0</v>
      </c>
      <c r="AB1483" s="0" t="n">
        <v>0</v>
      </c>
      <c r="AC1483" s="4" t="s">
        <v>158</v>
      </c>
      <c r="AD1483" s="4" t="s">
        <v>158</v>
      </c>
      <c r="AE1483" s="4" t="s">
        <v>5520</v>
      </c>
      <c r="AF1483" s="4" t="s">
        <v>5520</v>
      </c>
      <c r="AG1483" s="5" t="n">
        <v>0</v>
      </c>
      <c r="AH1483" s="5" t="n">
        <v>0.0109837962962963</v>
      </c>
      <c r="AI1483" s="5" t="n">
        <v>0</v>
      </c>
      <c r="AJ1483" s="5" t="n">
        <v>0</v>
      </c>
      <c r="AK1483" s="5" t="n">
        <v>0</v>
      </c>
      <c r="AL1483" s="5" t="n">
        <v>0</v>
      </c>
      <c r="AM1483" s="4" t="s">
        <v>78</v>
      </c>
      <c r="AN1483" s="0" t="n">
        <v>0</v>
      </c>
      <c r="AO1483" s="0" t="n">
        <v>0</v>
      </c>
      <c r="AP1483" s="0" t="n">
        <v>0</v>
      </c>
      <c r="AQ1483" s="0" t="n">
        <v>0</v>
      </c>
      <c r="AR1483" s="0" t="n">
        <v>0</v>
      </c>
      <c r="AS1483" s="0" t="n">
        <v>0</v>
      </c>
      <c r="AT1483" s="0" t="n">
        <v>0</v>
      </c>
      <c r="AU1483" s="0" t="n">
        <v>0</v>
      </c>
      <c r="AV1483" s="0" t="n">
        <v>0</v>
      </c>
      <c r="AW1483" s="0" t="n">
        <v>0</v>
      </c>
      <c r="AX1483" s="0" t="n">
        <v>0</v>
      </c>
      <c r="AY1483" s="0" t="n">
        <v>0</v>
      </c>
      <c r="AZ1483" s="0" t="n">
        <v>0</v>
      </c>
      <c r="BA1483" s="0" t="n">
        <v>0</v>
      </c>
      <c r="BB1483" s="0" t="n">
        <v>0</v>
      </c>
      <c r="BC1483" s="0" t="n">
        <v>0</v>
      </c>
      <c r="BD1483" s="0" t="n">
        <v>0</v>
      </c>
      <c r="BE1483" s="0" t="n">
        <v>0</v>
      </c>
      <c r="BF1483" s="0" t="n">
        <v>0</v>
      </c>
      <c r="BG1483" s="0" t="n">
        <v>0</v>
      </c>
      <c r="BH1483" s="0" t="n">
        <v>0</v>
      </c>
      <c r="BI1483" s="0" t="n">
        <v>0</v>
      </c>
      <c r="BJ1483" s="0" t="n">
        <v>0</v>
      </c>
      <c r="BK1483" s="0" t="n">
        <v>0</v>
      </c>
      <c r="BM1483" s="6" t="n">
        <f aca="false">IFERROR(VALUE(F1483),"")</f>
        <v>0</v>
      </c>
      <c r="BN1483" s="6" t="str">
        <f aca="false">IF(R1483="-","",IFERROR(VALUE(LEFT(Q1483,LEN(Q1483)-2)),""))</f>
        <v/>
      </c>
      <c r="BO1483" s="6" t="str">
        <f aca="false">IF(R1483="-","",IFERROR(VALUE(LEFT(R1483,LEN(R1483)-5)),""))</f>
        <v/>
      </c>
      <c r="BP1483" s="6" t="str">
        <f aca="false">IF(R1483="-","",IFERROR(VALUE(F1483),""))</f>
        <v/>
      </c>
      <c r="BQ1483" s="4" t="n">
        <f aca="false">IF(R1483="-",1,0)</f>
        <v>1</v>
      </c>
    </row>
    <row r="1484" customFormat="false" ht="15" hidden="false" customHeight="false" outlineLevel="0" collapsed="false">
      <c r="A1484" s="0" t="s">
        <v>5508</v>
      </c>
      <c r="B1484" s="0" t="s">
        <v>5509</v>
      </c>
      <c r="C1484" s="0" t="s">
        <v>70</v>
      </c>
      <c r="D1484" s="0" t="s">
        <v>5510</v>
      </c>
      <c r="E1484" s="3" t="n">
        <v>46279</v>
      </c>
      <c r="F1484" s="4" t="s">
        <v>5521</v>
      </c>
      <c r="G1484" s="5" t="n">
        <v>0.282291666666667</v>
      </c>
      <c r="H1484" s="5" t="n">
        <v>0.11306712962963</v>
      </c>
      <c r="I1484" s="5" t="n">
        <v>0.000266203703703704</v>
      </c>
      <c r="J1484" s="0" t="n">
        <v>4</v>
      </c>
      <c r="K1484" s="0" t="n">
        <v>2</v>
      </c>
      <c r="L1484" s="0" t="n">
        <v>0</v>
      </c>
      <c r="M1484" s="0" t="n">
        <v>0</v>
      </c>
      <c r="N1484" s="0" t="n">
        <v>13</v>
      </c>
      <c r="O1484" s="5" t="n">
        <v>0</v>
      </c>
      <c r="P1484" s="5" t="n">
        <v>0</v>
      </c>
      <c r="Q1484" s="4" t="s">
        <v>73</v>
      </c>
      <c r="R1484" s="4" t="s">
        <v>73</v>
      </c>
      <c r="S1484" s="5" t="n">
        <v>0</v>
      </c>
      <c r="T1484" s="5" t="n">
        <v>0</v>
      </c>
      <c r="U1484" s="5" t="n">
        <v>0</v>
      </c>
      <c r="V1484" s="5" t="n">
        <v>0</v>
      </c>
      <c r="W1484" s="5" t="n">
        <v>0</v>
      </c>
      <c r="X1484" s="5" t="n">
        <v>0</v>
      </c>
      <c r="Y1484" s="5" t="n">
        <v>0</v>
      </c>
      <c r="Z1484" s="0" t="n">
        <v>0</v>
      </c>
      <c r="AA1484" s="0" t="n">
        <v>0</v>
      </c>
      <c r="AB1484" s="0" t="n">
        <v>0</v>
      </c>
      <c r="AC1484" s="4" t="s">
        <v>158</v>
      </c>
      <c r="AD1484" s="4" t="s">
        <v>158</v>
      </c>
      <c r="AE1484" s="4" t="s">
        <v>5520</v>
      </c>
      <c r="AF1484" s="4" t="s">
        <v>5522</v>
      </c>
      <c r="AG1484" s="5" t="n">
        <v>0.239768518518519</v>
      </c>
      <c r="AH1484" s="5" t="n">
        <v>0.120231481481482</v>
      </c>
      <c r="AI1484" s="5" t="n">
        <v>0</v>
      </c>
      <c r="AJ1484" s="5" t="n">
        <v>0</v>
      </c>
      <c r="AK1484" s="5" t="n">
        <v>0</v>
      </c>
      <c r="AL1484" s="5" t="n">
        <v>0</v>
      </c>
      <c r="AM1484" s="4" t="s">
        <v>78</v>
      </c>
      <c r="AN1484" s="0" t="n">
        <v>0</v>
      </c>
      <c r="AO1484" s="0" t="n">
        <v>0</v>
      </c>
      <c r="AP1484" s="0" t="n">
        <v>0</v>
      </c>
      <c r="AQ1484" s="0" t="n">
        <v>0</v>
      </c>
      <c r="AR1484" s="0" t="n">
        <v>1</v>
      </c>
      <c r="AS1484" s="0" t="n">
        <v>0</v>
      </c>
      <c r="AT1484" s="0" t="n">
        <v>0</v>
      </c>
      <c r="AU1484" s="0" t="n">
        <v>0</v>
      </c>
      <c r="AV1484" s="0" t="n">
        <v>0</v>
      </c>
      <c r="AW1484" s="0" t="n">
        <v>0</v>
      </c>
      <c r="AX1484" s="0" t="n">
        <v>0</v>
      </c>
      <c r="AY1484" s="0" t="n">
        <v>0</v>
      </c>
      <c r="AZ1484" s="0" t="n">
        <v>0</v>
      </c>
      <c r="BA1484" s="0" t="n">
        <v>0</v>
      </c>
      <c r="BB1484" s="0" t="n">
        <v>0</v>
      </c>
      <c r="BC1484" s="0" t="n">
        <v>0</v>
      </c>
      <c r="BD1484" s="0" t="n">
        <v>0</v>
      </c>
      <c r="BE1484" s="0" t="n">
        <v>0</v>
      </c>
      <c r="BF1484" s="0" t="n">
        <v>0</v>
      </c>
      <c r="BG1484" s="0" t="n">
        <v>0</v>
      </c>
      <c r="BH1484" s="0" t="n">
        <v>0</v>
      </c>
      <c r="BI1484" s="0" t="n">
        <v>0</v>
      </c>
      <c r="BJ1484" s="0" t="n">
        <v>0</v>
      </c>
      <c r="BK1484" s="0" t="n">
        <v>0</v>
      </c>
      <c r="BM1484" s="6" t="n">
        <f aca="false">IFERROR(VALUE(F1484),"")</f>
        <v>211.78</v>
      </c>
      <c r="BN1484" s="6" t="str">
        <f aca="false">IF(R1484="-","",IFERROR(VALUE(LEFT(Q1484,LEN(Q1484)-2)),""))</f>
        <v/>
      </c>
      <c r="BO1484" s="6" t="str">
        <f aca="false">IF(R1484="-","",IFERROR(VALUE(LEFT(R1484,LEN(R1484)-5)),""))</f>
        <v/>
      </c>
      <c r="BP1484" s="6" t="str">
        <f aca="false">IF(R1484="-","",IFERROR(VALUE(F1484),""))</f>
        <v/>
      </c>
      <c r="BQ1484" s="4" t="n">
        <f aca="false">IF(R1484="-",1,0)</f>
        <v>1</v>
      </c>
    </row>
    <row r="1485" customFormat="false" ht="15" hidden="false" customHeight="false" outlineLevel="0" collapsed="false">
      <c r="A1485" s="0" t="s">
        <v>5523</v>
      </c>
      <c r="B1485" s="0" t="s">
        <v>5524</v>
      </c>
      <c r="C1485" s="0" t="s">
        <v>70</v>
      </c>
      <c r="D1485" s="0" t="s">
        <v>5525</v>
      </c>
      <c r="E1485" s="3" t="n">
        <v>46273</v>
      </c>
      <c r="F1485" s="4" t="s">
        <v>5526</v>
      </c>
      <c r="G1485" s="5" t="n">
        <v>0.157199074074074</v>
      </c>
      <c r="H1485" s="5" t="n">
        <v>0.151655092592593</v>
      </c>
      <c r="I1485" s="5" t="n">
        <v>9.25925925925926E-005</v>
      </c>
      <c r="J1485" s="0" t="n">
        <v>0</v>
      </c>
      <c r="K1485" s="0" t="n">
        <v>1</v>
      </c>
      <c r="L1485" s="0" t="n">
        <v>0</v>
      </c>
      <c r="M1485" s="0" t="n">
        <v>0</v>
      </c>
      <c r="N1485" s="0" t="n">
        <v>0</v>
      </c>
      <c r="O1485" s="5" t="n">
        <v>0</v>
      </c>
      <c r="P1485" s="5" t="n">
        <v>0</v>
      </c>
      <c r="Q1485" s="4" t="s">
        <v>73</v>
      </c>
      <c r="R1485" s="4" t="s">
        <v>73</v>
      </c>
      <c r="S1485" s="5" t="n">
        <v>0</v>
      </c>
      <c r="T1485" s="5" t="n">
        <v>0</v>
      </c>
      <c r="U1485" s="5" t="n">
        <v>0</v>
      </c>
      <c r="V1485" s="5" t="n">
        <v>0</v>
      </c>
      <c r="W1485" s="5" t="n">
        <v>0</v>
      </c>
      <c r="X1485" s="5" t="n">
        <v>0</v>
      </c>
      <c r="Y1485" s="5" t="n">
        <v>0</v>
      </c>
      <c r="Z1485" s="0" t="n">
        <v>0</v>
      </c>
      <c r="AA1485" s="0" t="n">
        <v>0</v>
      </c>
      <c r="AB1485" s="0" t="n">
        <v>0</v>
      </c>
      <c r="AC1485" s="4" t="s">
        <v>158</v>
      </c>
      <c r="AD1485" s="4" t="s">
        <v>158</v>
      </c>
      <c r="AE1485" s="4" t="s">
        <v>5527</v>
      </c>
      <c r="AF1485" s="4" t="s">
        <v>5528</v>
      </c>
      <c r="AG1485" s="5" t="n">
        <v>0.146111111111111</v>
      </c>
      <c r="AH1485" s="5" t="n">
        <v>0.0635648148148148</v>
      </c>
      <c r="AI1485" s="5" t="n">
        <v>0</v>
      </c>
      <c r="AJ1485" s="5" t="n">
        <v>0</v>
      </c>
      <c r="AK1485" s="5" t="n">
        <v>0</v>
      </c>
      <c r="AL1485" s="5" t="n">
        <v>0</v>
      </c>
      <c r="AM1485" s="4" t="s">
        <v>78</v>
      </c>
      <c r="AN1485" s="0" t="n">
        <v>0</v>
      </c>
      <c r="AO1485" s="0" t="n">
        <v>0</v>
      </c>
      <c r="AP1485" s="0" t="n">
        <v>0</v>
      </c>
      <c r="AQ1485" s="0" t="n">
        <v>0</v>
      </c>
      <c r="AR1485" s="0" t="n">
        <v>1</v>
      </c>
      <c r="AS1485" s="0" t="n">
        <v>0</v>
      </c>
      <c r="AT1485" s="0" t="n">
        <v>0</v>
      </c>
      <c r="AU1485" s="0" t="n">
        <v>0</v>
      </c>
      <c r="AV1485" s="0" t="n">
        <v>0</v>
      </c>
      <c r="AW1485" s="0" t="n">
        <v>0</v>
      </c>
      <c r="AX1485" s="0" t="n">
        <v>0</v>
      </c>
      <c r="AY1485" s="0" t="n">
        <v>0</v>
      </c>
      <c r="AZ1485" s="0" t="n">
        <v>0</v>
      </c>
      <c r="BA1485" s="0" t="n">
        <v>0</v>
      </c>
      <c r="BB1485" s="0" t="n">
        <v>0</v>
      </c>
      <c r="BC1485" s="0" t="n">
        <v>0</v>
      </c>
      <c r="BD1485" s="0" t="n">
        <v>0</v>
      </c>
      <c r="BE1485" s="0" t="n">
        <v>0</v>
      </c>
      <c r="BF1485" s="0" t="n">
        <v>0</v>
      </c>
      <c r="BG1485" s="0" t="n">
        <v>0</v>
      </c>
      <c r="BH1485" s="0" t="n">
        <v>0</v>
      </c>
      <c r="BI1485" s="0" t="n">
        <v>0</v>
      </c>
      <c r="BJ1485" s="0" t="n">
        <v>0</v>
      </c>
      <c r="BK1485" s="0" t="n">
        <v>0</v>
      </c>
      <c r="BM1485" s="6" t="n">
        <f aca="false">IFERROR(VALUE(F1485),"")</f>
        <v>111.44</v>
      </c>
      <c r="BN1485" s="6" t="str">
        <f aca="false">IF(R1485="-","",IFERROR(VALUE(LEFT(Q1485,LEN(Q1485)-2)),""))</f>
        <v/>
      </c>
      <c r="BO1485" s="6" t="str">
        <f aca="false">IF(R1485="-","",IFERROR(VALUE(LEFT(R1485,LEN(R1485)-5)),""))</f>
        <v/>
      </c>
      <c r="BP1485" s="6" t="str">
        <f aca="false">IF(R1485="-","",IFERROR(VALUE(F1485),""))</f>
        <v/>
      </c>
      <c r="BQ1485" s="4" t="n">
        <f aca="false">IF(R1485="-",1,0)</f>
        <v>1</v>
      </c>
    </row>
    <row r="1486" customFormat="false" ht="15" hidden="false" customHeight="false" outlineLevel="0" collapsed="false">
      <c r="A1486" s="0" t="s">
        <v>5523</v>
      </c>
      <c r="B1486" s="0" t="s">
        <v>5524</v>
      </c>
      <c r="C1486" s="0" t="s">
        <v>70</v>
      </c>
      <c r="D1486" s="0" t="s">
        <v>5525</v>
      </c>
      <c r="E1486" s="3" t="n">
        <v>46274</v>
      </c>
      <c r="F1486" s="4" t="s">
        <v>5529</v>
      </c>
      <c r="G1486" s="5" t="n">
        <v>0.18869212962963</v>
      </c>
      <c r="H1486" s="5" t="n">
        <v>0.184768518518519</v>
      </c>
      <c r="I1486" s="5" t="n">
        <v>0.000231481481481482</v>
      </c>
      <c r="J1486" s="0" t="n">
        <v>0</v>
      </c>
      <c r="K1486" s="0" t="n">
        <v>2</v>
      </c>
      <c r="L1486" s="0" t="n">
        <v>0</v>
      </c>
      <c r="M1486" s="0" t="n">
        <v>0</v>
      </c>
      <c r="N1486" s="0" t="n">
        <v>0</v>
      </c>
      <c r="O1486" s="5" t="n">
        <v>0</v>
      </c>
      <c r="P1486" s="5" t="n">
        <v>0</v>
      </c>
      <c r="Q1486" s="4" t="s">
        <v>73</v>
      </c>
      <c r="R1486" s="4" t="s">
        <v>73</v>
      </c>
      <c r="S1486" s="5" t="n">
        <v>0</v>
      </c>
      <c r="T1486" s="5" t="n">
        <v>0</v>
      </c>
      <c r="U1486" s="5" t="n">
        <v>0</v>
      </c>
      <c r="V1486" s="5" t="n">
        <v>0</v>
      </c>
      <c r="W1486" s="5" t="n">
        <v>0</v>
      </c>
      <c r="X1486" s="5" t="n">
        <v>0</v>
      </c>
      <c r="Y1486" s="5" t="n">
        <v>0</v>
      </c>
      <c r="Z1486" s="0" t="n">
        <v>0</v>
      </c>
      <c r="AA1486" s="0" t="n">
        <v>0</v>
      </c>
      <c r="AB1486" s="0" t="n">
        <v>0</v>
      </c>
      <c r="AC1486" s="4" t="s">
        <v>158</v>
      </c>
      <c r="AD1486" s="4" t="s">
        <v>158</v>
      </c>
      <c r="AE1486" s="4" t="s">
        <v>5528</v>
      </c>
      <c r="AF1486" s="4" t="s">
        <v>5530</v>
      </c>
      <c r="AG1486" s="5" t="n">
        <v>0.174398148148148</v>
      </c>
      <c r="AH1486" s="5" t="n">
        <v>0.0799305555555556</v>
      </c>
      <c r="AI1486" s="5" t="n">
        <v>0</v>
      </c>
      <c r="AJ1486" s="5" t="n">
        <v>0</v>
      </c>
      <c r="AK1486" s="5" t="n">
        <v>0</v>
      </c>
      <c r="AL1486" s="5" t="n">
        <v>0</v>
      </c>
      <c r="AM1486" s="4" t="s">
        <v>78</v>
      </c>
      <c r="AN1486" s="0" t="n">
        <v>0</v>
      </c>
      <c r="AO1486" s="0" t="n">
        <v>0</v>
      </c>
      <c r="AP1486" s="0" t="n">
        <v>0</v>
      </c>
      <c r="AQ1486" s="0" t="n">
        <v>0</v>
      </c>
      <c r="AR1486" s="0" t="n">
        <v>0</v>
      </c>
      <c r="AS1486" s="0" t="n">
        <v>0</v>
      </c>
      <c r="AT1486" s="0" t="n">
        <v>0</v>
      </c>
      <c r="AU1486" s="0" t="n">
        <v>0</v>
      </c>
      <c r="AV1486" s="0" t="n">
        <v>0</v>
      </c>
      <c r="AW1486" s="0" t="n">
        <v>0</v>
      </c>
      <c r="AX1486" s="0" t="n">
        <v>0</v>
      </c>
      <c r="AY1486" s="0" t="n">
        <v>0</v>
      </c>
      <c r="AZ1486" s="0" t="n">
        <v>0</v>
      </c>
      <c r="BA1486" s="0" t="n">
        <v>0</v>
      </c>
      <c r="BB1486" s="0" t="n">
        <v>0</v>
      </c>
      <c r="BC1486" s="0" t="n">
        <v>0</v>
      </c>
      <c r="BD1486" s="0" t="n">
        <v>0</v>
      </c>
      <c r="BE1486" s="0" t="n">
        <v>0</v>
      </c>
      <c r="BF1486" s="0" t="n">
        <v>0</v>
      </c>
      <c r="BG1486" s="0" t="n">
        <v>0</v>
      </c>
      <c r="BH1486" s="0" t="n">
        <v>0</v>
      </c>
      <c r="BI1486" s="0" t="n">
        <v>0</v>
      </c>
      <c r="BJ1486" s="0" t="n">
        <v>0</v>
      </c>
      <c r="BK1486" s="0" t="n">
        <v>0</v>
      </c>
      <c r="BM1486" s="6" t="n">
        <f aca="false">IFERROR(VALUE(F1486),"")</f>
        <v>124.73</v>
      </c>
      <c r="BN1486" s="6" t="str">
        <f aca="false">IF(R1486="-","",IFERROR(VALUE(LEFT(Q1486,LEN(Q1486)-2)),""))</f>
        <v/>
      </c>
      <c r="BO1486" s="6" t="str">
        <f aca="false">IF(R1486="-","",IFERROR(VALUE(LEFT(R1486,LEN(R1486)-5)),""))</f>
        <v/>
      </c>
      <c r="BP1486" s="6" t="str">
        <f aca="false">IF(R1486="-","",IFERROR(VALUE(F1486),""))</f>
        <v/>
      </c>
      <c r="BQ1486" s="4" t="n">
        <f aca="false">IF(R1486="-",1,0)</f>
        <v>1</v>
      </c>
    </row>
    <row r="1487" customFormat="false" ht="15" hidden="false" customHeight="false" outlineLevel="0" collapsed="false">
      <c r="A1487" s="0" t="s">
        <v>5523</v>
      </c>
      <c r="B1487" s="0" t="s">
        <v>5524</v>
      </c>
      <c r="C1487" s="0" t="s">
        <v>70</v>
      </c>
      <c r="D1487" s="0" t="s">
        <v>5525</v>
      </c>
      <c r="E1487" s="3" t="n">
        <v>46275</v>
      </c>
      <c r="F1487" s="4" t="s">
        <v>5531</v>
      </c>
      <c r="G1487" s="5" t="n">
        <v>0.206226851851852</v>
      </c>
      <c r="H1487" s="5" t="n">
        <v>0.187523148148148</v>
      </c>
      <c r="I1487" s="5" t="n">
        <v>0.000231481481481482</v>
      </c>
      <c r="J1487" s="0" t="n">
        <v>1</v>
      </c>
      <c r="K1487" s="0" t="n">
        <v>0</v>
      </c>
      <c r="L1487" s="0" t="n">
        <v>0</v>
      </c>
      <c r="M1487" s="0" t="n">
        <v>0</v>
      </c>
      <c r="N1487" s="0" t="n">
        <v>1</v>
      </c>
      <c r="O1487" s="5" t="n">
        <v>0</v>
      </c>
      <c r="P1487" s="5" t="n">
        <v>0</v>
      </c>
      <c r="Q1487" s="4" t="s">
        <v>73</v>
      </c>
      <c r="R1487" s="4" t="s">
        <v>73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0" t="n">
        <v>0</v>
      </c>
      <c r="AA1487" s="0" t="n">
        <v>0</v>
      </c>
      <c r="AB1487" s="0" t="n">
        <v>0</v>
      </c>
      <c r="AC1487" s="4" t="s">
        <v>158</v>
      </c>
      <c r="AD1487" s="4" t="s">
        <v>158</v>
      </c>
      <c r="AE1487" s="4" t="s">
        <v>5530</v>
      </c>
      <c r="AF1487" s="4" t="s">
        <v>5532</v>
      </c>
      <c r="AG1487" s="5" t="n">
        <v>0.178391203703704</v>
      </c>
      <c r="AH1487" s="5" t="n">
        <v>0.0842476851851852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4" t="s">
        <v>78</v>
      </c>
      <c r="AN1487" s="0" t="n">
        <v>0</v>
      </c>
      <c r="AO1487" s="0" t="n">
        <v>0</v>
      </c>
      <c r="AP1487" s="0" t="n">
        <v>0</v>
      </c>
      <c r="AQ1487" s="0" t="n">
        <v>0</v>
      </c>
      <c r="AR1487" s="0" t="n">
        <v>2</v>
      </c>
      <c r="AS1487" s="0" t="n">
        <v>0</v>
      </c>
      <c r="AT1487" s="0" t="n">
        <v>0</v>
      </c>
      <c r="AU1487" s="0" t="n">
        <v>0</v>
      </c>
      <c r="AV1487" s="0" t="n">
        <v>0</v>
      </c>
      <c r="AW1487" s="0" t="n">
        <v>0</v>
      </c>
      <c r="AX1487" s="0" t="n">
        <v>0</v>
      </c>
      <c r="AY1487" s="0" t="n">
        <v>0</v>
      </c>
      <c r="AZ1487" s="0" t="n">
        <v>0</v>
      </c>
      <c r="BA1487" s="0" t="n">
        <v>0</v>
      </c>
      <c r="BB1487" s="0" t="n">
        <v>0</v>
      </c>
      <c r="BC1487" s="0" t="n">
        <v>0</v>
      </c>
      <c r="BD1487" s="0" t="n">
        <v>0</v>
      </c>
      <c r="BE1487" s="0" t="n">
        <v>0</v>
      </c>
      <c r="BF1487" s="0" t="n">
        <v>0</v>
      </c>
      <c r="BG1487" s="0" t="n">
        <v>0</v>
      </c>
      <c r="BH1487" s="0" t="n">
        <v>0</v>
      </c>
      <c r="BI1487" s="0" t="n">
        <v>0</v>
      </c>
      <c r="BJ1487" s="0" t="n">
        <v>0</v>
      </c>
      <c r="BK1487" s="0" t="n">
        <v>0</v>
      </c>
      <c r="BM1487" s="6" t="n">
        <f aca="false">IFERROR(VALUE(F1487),"")</f>
        <v>139.06</v>
      </c>
      <c r="BN1487" s="6" t="str">
        <f aca="false">IF(R1487="-","",IFERROR(VALUE(LEFT(Q1487,LEN(Q1487)-2)),""))</f>
        <v/>
      </c>
      <c r="BO1487" s="6" t="str">
        <f aca="false">IF(R1487="-","",IFERROR(VALUE(LEFT(R1487,LEN(R1487)-5)),""))</f>
        <v/>
      </c>
      <c r="BP1487" s="6" t="str">
        <f aca="false">IF(R1487="-","",IFERROR(VALUE(F1487),""))</f>
        <v/>
      </c>
      <c r="BQ1487" s="4" t="n">
        <f aca="false">IF(R1487="-",1,0)</f>
        <v>1</v>
      </c>
    </row>
    <row r="1488" customFormat="false" ht="15" hidden="false" customHeight="false" outlineLevel="0" collapsed="false">
      <c r="A1488" s="0" t="s">
        <v>5523</v>
      </c>
      <c r="B1488" s="0" t="s">
        <v>5524</v>
      </c>
      <c r="C1488" s="0" t="s">
        <v>70</v>
      </c>
      <c r="E1488" s="3" t="n">
        <v>46276</v>
      </c>
      <c r="F1488" s="4" t="s">
        <v>5533</v>
      </c>
      <c r="G1488" s="5" t="n">
        <v>0.202453703703704</v>
      </c>
      <c r="H1488" s="5" t="n">
        <v>0</v>
      </c>
      <c r="I1488" s="5" t="n">
        <v>0.000347222222222222</v>
      </c>
      <c r="J1488" s="0" t="n">
        <v>2</v>
      </c>
      <c r="K1488" s="0" t="n">
        <v>1</v>
      </c>
      <c r="L1488" s="0" t="n">
        <v>0</v>
      </c>
      <c r="M1488" s="0" t="n">
        <v>0</v>
      </c>
      <c r="N1488" s="0" t="n">
        <v>3</v>
      </c>
      <c r="O1488" s="5" t="n">
        <v>0</v>
      </c>
      <c r="P1488" s="5" t="n">
        <v>0</v>
      </c>
      <c r="Q1488" s="4" t="s">
        <v>73</v>
      </c>
      <c r="R1488" s="4" t="s">
        <v>73</v>
      </c>
      <c r="S1488" s="5" t="n">
        <v>0</v>
      </c>
      <c r="T1488" s="5" t="n">
        <v>0</v>
      </c>
      <c r="U1488" s="5" t="n">
        <v>0</v>
      </c>
      <c r="V1488" s="5" t="n">
        <v>0</v>
      </c>
      <c r="W1488" s="5" t="n">
        <v>0</v>
      </c>
      <c r="X1488" s="5" t="n">
        <v>0</v>
      </c>
      <c r="Y1488" s="5" t="n">
        <v>0</v>
      </c>
      <c r="Z1488" s="0" t="n">
        <v>0</v>
      </c>
      <c r="AA1488" s="0" t="n">
        <v>0</v>
      </c>
      <c r="AB1488" s="0" t="n">
        <v>0</v>
      </c>
      <c r="AC1488" s="4" t="s">
        <v>159</v>
      </c>
      <c r="AD1488" s="4" t="s">
        <v>158</v>
      </c>
      <c r="AE1488" s="4" t="s">
        <v>5532</v>
      </c>
      <c r="AF1488" s="4" t="s">
        <v>5534</v>
      </c>
      <c r="AG1488" s="5" t="n">
        <v>0.162835648148148</v>
      </c>
      <c r="AH1488" s="5" t="n">
        <v>0.103506944444444</v>
      </c>
      <c r="AI1488" s="5" t="n">
        <v>0</v>
      </c>
      <c r="AJ1488" s="5" t="n">
        <v>0</v>
      </c>
      <c r="AK1488" s="5" t="n">
        <v>0</v>
      </c>
      <c r="AL1488" s="5" t="n">
        <v>0</v>
      </c>
      <c r="AM1488" s="4" t="s">
        <v>78</v>
      </c>
      <c r="AN1488" s="0" t="n">
        <v>0</v>
      </c>
      <c r="AO1488" s="0" t="n">
        <v>0</v>
      </c>
      <c r="AP1488" s="0" t="n">
        <v>0</v>
      </c>
      <c r="AQ1488" s="0" t="n">
        <v>0</v>
      </c>
      <c r="AR1488" s="0" t="n">
        <v>0</v>
      </c>
      <c r="AS1488" s="0" t="n">
        <v>0</v>
      </c>
      <c r="AT1488" s="0" t="n">
        <v>0</v>
      </c>
      <c r="AU1488" s="0" t="n">
        <v>0</v>
      </c>
      <c r="AV1488" s="0" t="n">
        <v>0</v>
      </c>
      <c r="AW1488" s="0" t="n">
        <v>0</v>
      </c>
      <c r="AX1488" s="0" t="n">
        <v>0</v>
      </c>
      <c r="AY1488" s="0" t="n">
        <v>0</v>
      </c>
      <c r="AZ1488" s="0" t="n">
        <v>0</v>
      </c>
      <c r="BA1488" s="0" t="n">
        <v>0</v>
      </c>
      <c r="BB1488" s="0" t="n">
        <v>0</v>
      </c>
      <c r="BC1488" s="0" t="n">
        <v>0</v>
      </c>
      <c r="BD1488" s="0" t="n">
        <v>0</v>
      </c>
      <c r="BE1488" s="0" t="n">
        <v>0</v>
      </c>
      <c r="BF1488" s="0" t="n">
        <v>0</v>
      </c>
      <c r="BG1488" s="0" t="n">
        <v>0</v>
      </c>
      <c r="BH1488" s="0" t="n">
        <v>0</v>
      </c>
      <c r="BI1488" s="0" t="n">
        <v>0</v>
      </c>
      <c r="BJ1488" s="0" t="n">
        <v>0</v>
      </c>
      <c r="BK1488" s="0" t="n">
        <v>0</v>
      </c>
      <c r="BM1488" s="6" t="n">
        <f aca="false">IFERROR(VALUE(F1488),"")</f>
        <v>114.02</v>
      </c>
      <c r="BN1488" s="6" t="str">
        <f aca="false">IF(R1488="-","",IFERROR(VALUE(LEFT(Q1488,LEN(Q1488)-2)),""))</f>
        <v/>
      </c>
      <c r="BO1488" s="6" t="str">
        <f aca="false">IF(R1488="-","",IFERROR(VALUE(LEFT(R1488,LEN(R1488)-5)),""))</f>
        <v/>
      </c>
      <c r="BP1488" s="6" t="str">
        <f aca="false">IF(R1488="-","",IFERROR(VALUE(F1488),""))</f>
        <v/>
      </c>
      <c r="BQ1488" s="4" t="n">
        <f aca="false">IF(R1488="-",1,0)</f>
        <v>1</v>
      </c>
    </row>
    <row r="1489" customFormat="false" ht="15" hidden="false" customHeight="false" outlineLevel="0" collapsed="false">
      <c r="A1489" s="0" t="s">
        <v>5523</v>
      </c>
      <c r="B1489" s="0" t="s">
        <v>5524</v>
      </c>
      <c r="C1489" s="0" t="s">
        <v>70</v>
      </c>
      <c r="E1489" s="3" t="n">
        <v>46277</v>
      </c>
      <c r="F1489" s="4" t="s">
        <v>5535</v>
      </c>
      <c r="G1489" s="5" t="n">
        <v>0.0649652777777778</v>
      </c>
      <c r="H1489" s="5" t="n">
        <v>0</v>
      </c>
      <c r="I1489" s="5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5" t="n">
        <v>0</v>
      </c>
      <c r="P1489" s="5" t="n">
        <v>0</v>
      </c>
      <c r="Q1489" s="4" t="s">
        <v>73</v>
      </c>
      <c r="R1489" s="4" t="s">
        <v>73</v>
      </c>
      <c r="S1489" s="5" t="n">
        <v>0</v>
      </c>
      <c r="T1489" s="5" t="n">
        <v>0</v>
      </c>
      <c r="U1489" s="5" t="n">
        <v>0</v>
      </c>
      <c r="V1489" s="5" t="n">
        <v>0</v>
      </c>
      <c r="W1489" s="5" t="n">
        <v>0</v>
      </c>
      <c r="X1489" s="5" t="n">
        <v>0</v>
      </c>
      <c r="Y1489" s="5" t="n">
        <v>0</v>
      </c>
      <c r="Z1489" s="0" t="n">
        <v>0</v>
      </c>
      <c r="AA1489" s="0" t="n">
        <v>0</v>
      </c>
      <c r="AB1489" s="0" t="n">
        <v>0</v>
      </c>
      <c r="AC1489" s="4" t="s">
        <v>158</v>
      </c>
      <c r="AD1489" s="4" t="s">
        <v>158</v>
      </c>
      <c r="AE1489" s="4" t="s">
        <v>5534</v>
      </c>
      <c r="AF1489" s="4" t="s">
        <v>5536</v>
      </c>
      <c r="AG1489" s="5" t="n">
        <v>0.0138657407407407</v>
      </c>
      <c r="AH1489" s="5" t="n">
        <v>0.0959837962962963</v>
      </c>
      <c r="AI1489" s="5" t="n">
        <v>0</v>
      </c>
      <c r="AJ1489" s="5" t="n">
        <v>0</v>
      </c>
      <c r="AK1489" s="5" t="n">
        <v>0</v>
      </c>
      <c r="AL1489" s="5" t="n">
        <v>0</v>
      </c>
      <c r="AM1489" s="4" t="s">
        <v>78</v>
      </c>
      <c r="AN1489" s="0" t="n">
        <v>0</v>
      </c>
      <c r="AO1489" s="0" t="n">
        <v>0</v>
      </c>
      <c r="AP1489" s="0" t="n">
        <v>0</v>
      </c>
      <c r="AQ1489" s="0" t="n">
        <v>0</v>
      </c>
      <c r="AR1489" s="0" t="n">
        <v>0</v>
      </c>
      <c r="AS1489" s="0" t="n">
        <v>0</v>
      </c>
      <c r="AT1489" s="0" t="n">
        <v>0</v>
      </c>
      <c r="AU1489" s="0" t="n">
        <v>0</v>
      </c>
      <c r="AV1489" s="0" t="n">
        <v>0</v>
      </c>
      <c r="AW1489" s="0" t="n">
        <v>0</v>
      </c>
      <c r="AX1489" s="0" t="n">
        <v>0</v>
      </c>
      <c r="AY1489" s="0" t="n">
        <v>0</v>
      </c>
      <c r="AZ1489" s="0" t="n">
        <v>0</v>
      </c>
      <c r="BA1489" s="0" t="n">
        <v>0</v>
      </c>
      <c r="BB1489" s="0" t="n">
        <v>0</v>
      </c>
      <c r="BC1489" s="0" t="n">
        <v>0</v>
      </c>
      <c r="BD1489" s="0" t="n">
        <v>0</v>
      </c>
      <c r="BE1489" s="0" t="n">
        <v>0</v>
      </c>
      <c r="BF1489" s="0" t="n">
        <v>0</v>
      </c>
      <c r="BG1489" s="0" t="n">
        <v>0</v>
      </c>
      <c r="BH1489" s="0" t="n">
        <v>0</v>
      </c>
      <c r="BI1489" s="0" t="n">
        <v>0</v>
      </c>
      <c r="BJ1489" s="0" t="n">
        <v>0</v>
      </c>
      <c r="BK1489" s="0" t="n">
        <v>0</v>
      </c>
      <c r="BM1489" s="6" t="n">
        <f aca="false">IFERROR(VALUE(F1489),"")</f>
        <v>7.22</v>
      </c>
      <c r="BN1489" s="6" t="str">
        <f aca="false">IF(R1489="-","",IFERROR(VALUE(LEFT(Q1489,LEN(Q1489)-2)),""))</f>
        <v/>
      </c>
      <c r="BO1489" s="6" t="str">
        <f aca="false">IF(R1489="-","",IFERROR(VALUE(LEFT(R1489,LEN(R1489)-5)),""))</f>
        <v/>
      </c>
      <c r="BP1489" s="6" t="str">
        <f aca="false">IF(R1489="-","",IFERROR(VALUE(F1489),""))</f>
        <v/>
      </c>
      <c r="BQ1489" s="4" t="n">
        <f aca="false">IF(R1489="-",1,0)</f>
        <v>1</v>
      </c>
    </row>
    <row r="1490" customFormat="false" ht="15" hidden="false" customHeight="false" outlineLevel="0" collapsed="false">
      <c r="A1490" s="0" t="s">
        <v>5523</v>
      </c>
      <c r="B1490" s="0" t="s">
        <v>5524</v>
      </c>
      <c r="C1490" s="0" t="s">
        <v>70</v>
      </c>
      <c r="D1490" s="0" t="s">
        <v>5525</v>
      </c>
      <c r="E1490" s="3" t="n">
        <v>46279</v>
      </c>
      <c r="F1490" s="4" t="s">
        <v>5537</v>
      </c>
      <c r="G1490" s="5" t="n">
        <v>0.200185185185185</v>
      </c>
      <c r="H1490" s="5" t="n">
        <v>0.191921296296296</v>
      </c>
      <c r="I1490" s="5" t="n">
        <v>0.000138888888888889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5" t="n">
        <v>0</v>
      </c>
      <c r="P1490" s="5" t="n">
        <v>0</v>
      </c>
      <c r="Q1490" s="4" t="s">
        <v>73</v>
      </c>
      <c r="R1490" s="4" t="s">
        <v>73</v>
      </c>
      <c r="S1490" s="5" t="n">
        <v>0</v>
      </c>
      <c r="T1490" s="5" t="n">
        <v>0</v>
      </c>
      <c r="U1490" s="5" t="n">
        <v>0</v>
      </c>
      <c r="V1490" s="5" t="n">
        <v>0</v>
      </c>
      <c r="W1490" s="5" t="n">
        <v>0</v>
      </c>
      <c r="X1490" s="5" t="n">
        <v>0</v>
      </c>
      <c r="Y1490" s="5" t="n">
        <v>0</v>
      </c>
      <c r="Z1490" s="0" t="n">
        <v>0</v>
      </c>
      <c r="AA1490" s="0" t="n">
        <v>0</v>
      </c>
      <c r="AB1490" s="0" t="n">
        <v>0</v>
      </c>
      <c r="AC1490" s="4" t="s">
        <v>158</v>
      </c>
      <c r="AD1490" s="4" t="s">
        <v>158</v>
      </c>
      <c r="AE1490" s="4" t="s">
        <v>5536</v>
      </c>
      <c r="AF1490" s="4" t="s">
        <v>5538</v>
      </c>
      <c r="AG1490" s="5" t="n">
        <v>0.185416666666667</v>
      </c>
      <c r="AH1490" s="5" t="n">
        <v>0.100266203703704</v>
      </c>
      <c r="AI1490" s="5" t="n">
        <v>0</v>
      </c>
      <c r="AJ1490" s="5" t="n">
        <v>0</v>
      </c>
      <c r="AK1490" s="5" t="n">
        <v>0</v>
      </c>
      <c r="AL1490" s="5" t="n">
        <v>0</v>
      </c>
      <c r="AM1490" s="4" t="s">
        <v>78</v>
      </c>
      <c r="AN1490" s="0" t="n">
        <v>0</v>
      </c>
      <c r="AO1490" s="0" t="n">
        <v>0</v>
      </c>
      <c r="AP1490" s="0" t="n">
        <v>0</v>
      </c>
      <c r="AQ1490" s="0" t="n">
        <v>0</v>
      </c>
      <c r="AR1490" s="0" t="n">
        <v>2</v>
      </c>
      <c r="AS1490" s="0" t="n">
        <v>0</v>
      </c>
      <c r="AT1490" s="0" t="n">
        <v>0</v>
      </c>
      <c r="AU1490" s="0" t="n">
        <v>0</v>
      </c>
      <c r="AV1490" s="0" t="n">
        <v>0</v>
      </c>
      <c r="AW1490" s="0" t="n">
        <v>0</v>
      </c>
      <c r="AX1490" s="0" t="n">
        <v>0</v>
      </c>
      <c r="AY1490" s="0" t="n">
        <v>0</v>
      </c>
      <c r="AZ1490" s="0" t="n">
        <v>0</v>
      </c>
      <c r="BA1490" s="0" t="n">
        <v>0</v>
      </c>
      <c r="BB1490" s="0" t="n">
        <v>0</v>
      </c>
      <c r="BC1490" s="0" t="n">
        <v>0</v>
      </c>
      <c r="BD1490" s="0" t="n">
        <v>0</v>
      </c>
      <c r="BE1490" s="0" t="n">
        <v>0</v>
      </c>
      <c r="BF1490" s="0" t="n">
        <v>0</v>
      </c>
      <c r="BG1490" s="0" t="n">
        <v>0</v>
      </c>
      <c r="BH1490" s="0" t="n">
        <v>0</v>
      </c>
      <c r="BI1490" s="0" t="n">
        <v>0</v>
      </c>
      <c r="BJ1490" s="0" t="n">
        <v>0</v>
      </c>
      <c r="BK1490" s="0" t="n">
        <v>0</v>
      </c>
      <c r="BM1490" s="6" t="n">
        <f aca="false">IFERROR(VALUE(F1490),"")</f>
        <v>135.7</v>
      </c>
      <c r="BN1490" s="6" t="str">
        <f aca="false">IF(R1490="-","",IFERROR(VALUE(LEFT(Q1490,LEN(Q1490)-2)),""))</f>
        <v/>
      </c>
      <c r="BO1490" s="6" t="str">
        <f aca="false">IF(R1490="-","",IFERROR(VALUE(LEFT(R1490,LEN(R1490)-5)),""))</f>
        <v/>
      </c>
      <c r="BP1490" s="6" t="str">
        <f aca="false">IF(R1490="-","",IFERROR(VALUE(F1490),""))</f>
        <v/>
      </c>
      <c r="BQ1490" s="4" t="n">
        <f aca="false">IF(R1490="-",1,0)</f>
        <v>1</v>
      </c>
    </row>
    <row r="1491" customFormat="false" ht="15" hidden="false" customHeight="false" outlineLevel="0" collapsed="false">
      <c r="A1491" s="0" t="s">
        <v>5539</v>
      </c>
      <c r="B1491" s="0" t="s">
        <v>5540</v>
      </c>
      <c r="C1491" s="0" t="s">
        <v>70</v>
      </c>
      <c r="D1491" s="0" t="s">
        <v>5541</v>
      </c>
      <c r="E1491" s="3" t="n">
        <v>46273</v>
      </c>
      <c r="F1491" s="4" t="s">
        <v>5542</v>
      </c>
      <c r="G1491" s="5" t="n">
        <v>0.549884259259259</v>
      </c>
      <c r="H1491" s="5" t="n">
        <v>0.492395833333333</v>
      </c>
      <c r="I1491" s="5" t="n">
        <v>0.00164351851851852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5" t="n">
        <v>0</v>
      </c>
      <c r="P1491" s="5" t="n">
        <v>0.0311921296296296</v>
      </c>
      <c r="Q1491" s="4" t="s">
        <v>5543</v>
      </c>
      <c r="R1491" s="4" t="s">
        <v>385</v>
      </c>
      <c r="S1491" s="5" t="n">
        <v>0.000115740740740741</v>
      </c>
      <c r="T1491" s="5" t="n">
        <v>0.135648148148148</v>
      </c>
      <c r="U1491" s="5" t="n">
        <v>0.259259259259259</v>
      </c>
      <c r="V1491" s="5" t="n">
        <v>0.0625</v>
      </c>
      <c r="W1491" s="5" t="n">
        <v>0</v>
      </c>
      <c r="X1491" s="5" t="n">
        <v>0</v>
      </c>
      <c r="Y1491" s="5" t="n">
        <v>0</v>
      </c>
      <c r="Z1491" s="0" t="n">
        <v>0</v>
      </c>
      <c r="AA1491" s="0" t="n">
        <v>0</v>
      </c>
      <c r="AB1491" s="0" t="n">
        <v>0</v>
      </c>
      <c r="AC1491" s="4" t="s">
        <v>208</v>
      </c>
      <c r="AD1491" s="4" t="s">
        <v>994</v>
      </c>
      <c r="AE1491" s="4" t="s">
        <v>5544</v>
      </c>
      <c r="AF1491" s="4" t="s">
        <v>5545</v>
      </c>
      <c r="AG1491" s="5" t="n">
        <v>0.383206018518519</v>
      </c>
      <c r="AH1491" s="5" t="n">
        <v>0.259548611111111</v>
      </c>
      <c r="AI1491" s="5" t="n">
        <v>0</v>
      </c>
      <c r="AJ1491" s="5" t="n">
        <v>0</v>
      </c>
      <c r="AK1491" s="5" t="n">
        <v>0</v>
      </c>
      <c r="AL1491" s="5" t="n">
        <v>0</v>
      </c>
      <c r="AM1491" s="4" t="s">
        <v>78</v>
      </c>
      <c r="AN1491" s="0" t="n">
        <v>0</v>
      </c>
      <c r="AO1491" s="0" t="n">
        <v>0</v>
      </c>
      <c r="AP1491" s="0" t="n">
        <v>0</v>
      </c>
      <c r="AQ1491" s="0" t="n">
        <v>0</v>
      </c>
      <c r="AR1491" s="0" t="n">
        <v>1</v>
      </c>
      <c r="AS1491" s="0" t="n">
        <v>0</v>
      </c>
      <c r="AT1491" s="0" t="n">
        <v>0</v>
      </c>
      <c r="AU1491" s="0" t="n">
        <v>1</v>
      </c>
      <c r="AV1491" s="0" t="n">
        <v>0</v>
      </c>
      <c r="AW1491" s="0" t="n">
        <v>0</v>
      </c>
      <c r="AX1491" s="0" t="n">
        <v>0</v>
      </c>
      <c r="AY1491" s="0" t="n">
        <v>0</v>
      </c>
      <c r="AZ1491" s="0" t="n">
        <v>0</v>
      </c>
      <c r="BA1491" s="0" t="n">
        <v>0</v>
      </c>
      <c r="BB1491" s="0" t="n">
        <v>0</v>
      </c>
      <c r="BC1491" s="0" t="n">
        <v>0</v>
      </c>
      <c r="BD1491" s="0" t="n">
        <v>0</v>
      </c>
      <c r="BE1491" s="0" t="n">
        <v>0</v>
      </c>
      <c r="BF1491" s="0" t="n">
        <v>0</v>
      </c>
      <c r="BG1491" s="0" t="n">
        <v>0</v>
      </c>
      <c r="BH1491" s="0" t="n">
        <v>0</v>
      </c>
      <c r="BI1491" s="0" t="n">
        <v>0</v>
      </c>
      <c r="BJ1491" s="0" t="n">
        <v>0</v>
      </c>
      <c r="BK1491" s="0" t="n">
        <v>0</v>
      </c>
      <c r="BM1491" s="6" t="n">
        <f aca="false">IFERROR(VALUE(F1491),"")</f>
        <v>507.73</v>
      </c>
      <c r="BN1491" s="6" t="n">
        <f aca="false">IF(R1491="-","",IFERROR(VALUE(LEFT(Q1491,LEN(Q1491)-2)),""))</f>
        <v>174.21</v>
      </c>
      <c r="BO1491" s="6" t="n">
        <f aca="false">IF(R1491="-","",IFERROR(VALUE(LEFT(R1491,LEN(R1491)-5)),""))</f>
        <v>2.91</v>
      </c>
      <c r="BP1491" s="6" t="n">
        <f aca="false">IF(R1491="-","",IFERROR(VALUE(F1491),""))</f>
        <v>507.73</v>
      </c>
      <c r="BQ1491" s="4" t="n">
        <f aca="false">IF(R1491="-",1,0)</f>
        <v>0</v>
      </c>
    </row>
    <row r="1492" customFormat="false" ht="15" hidden="false" customHeight="false" outlineLevel="0" collapsed="false">
      <c r="A1492" s="0" t="s">
        <v>5539</v>
      </c>
      <c r="B1492" s="0" t="s">
        <v>5540</v>
      </c>
      <c r="C1492" s="0" t="s">
        <v>70</v>
      </c>
      <c r="D1492" s="0" t="s">
        <v>5546</v>
      </c>
      <c r="E1492" s="3" t="n">
        <v>46274</v>
      </c>
      <c r="F1492" s="4" t="s">
        <v>5547</v>
      </c>
      <c r="G1492" s="5" t="n">
        <v>0.695821759259259</v>
      </c>
      <c r="H1492" s="5" t="n">
        <v>0.671331018518519</v>
      </c>
      <c r="I1492" s="5" t="n">
        <v>0.00364583333333333</v>
      </c>
      <c r="J1492" s="0" t="n">
        <v>0</v>
      </c>
      <c r="K1492" s="0" t="n">
        <v>1</v>
      </c>
      <c r="L1492" s="0" t="n">
        <v>0</v>
      </c>
      <c r="M1492" s="0" t="n">
        <v>0</v>
      </c>
      <c r="N1492" s="0" t="n">
        <v>0</v>
      </c>
      <c r="O1492" s="5" t="n">
        <v>0</v>
      </c>
      <c r="P1492" s="5" t="n">
        <v>0.0273726851851852</v>
      </c>
      <c r="Q1492" s="4" t="s">
        <v>5548</v>
      </c>
      <c r="R1492" s="4" t="s">
        <v>5549</v>
      </c>
      <c r="S1492" s="5" t="n">
        <v>0.000347222222222222</v>
      </c>
      <c r="T1492" s="5" t="n">
        <v>0.146990740740741</v>
      </c>
      <c r="U1492" s="5" t="n">
        <v>0.466666666666667</v>
      </c>
      <c r="V1492" s="5" t="n">
        <v>0.0577546296296296</v>
      </c>
      <c r="W1492" s="5" t="n">
        <v>0</v>
      </c>
      <c r="X1492" s="5" t="n">
        <v>0</v>
      </c>
      <c r="Y1492" s="5" t="n">
        <v>0</v>
      </c>
      <c r="Z1492" s="0" t="n">
        <v>0</v>
      </c>
      <c r="AA1492" s="0" t="n">
        <v>0</v>
      </c>
      <c r="AB1492" s="0" t="n">
        <v>0</v>
      </c>
      <c r="AC1492" s="4" t="s">
        <v>994</v>
      </c>
      <c r="AD1492" s="4" t="s">
        <v>5055</v>
      </c>
      <c r="AE1492" s="4" t="s">
        <v>5550</v>
      </c>
      <c r="AF1492" s="4" t="s">
        <v>5551</v>
      </c>
      <c r="AG1492" s="5" t="n">
        <v>0.595659722222222</v>
      </c>
      <c r="AH1492" s="5" t="n">
        <v>0.183287037037037</v>
      </c>
      <c r="AI1492" s="5" t="n">
        <v>0</v>
      </c>
      <c r="AJ1492" s="5" t="n">
        <v>0</v>
      </c>
      <c r="AK1492" s="5" t="n">
        <v>0</v>
      </c>
      <c r="AL1492" s="5" t="n">
        <v>0</v>
      </c>
      <c r="AM1492" s="4" t="s">
        <v>78</v>
      </c>
      <c r="AN1492" s="0" t="n">
        <v>0</v>
      </c>
      <c r="AO1492" s="0" t="n">
        <v>1</v>
      </c>
      <c r="AP1492" s="0" t="n">
        <v>0</v>
      </c>
      <c r="AQ1492" s="0" t="n">
        <v>0</v>
      </c>
      <c r="AR1492" s="0" t="n">
        <v>5</v>
      </c>
      <c r="AS1492" s="0" t="n">
        <v>0</v>
      </c>
      <c r="AT1492" s="0" t="n">
        <v>0</v>
      </c>
      <c r="AU1492" s="0" t="n">
        <v>2</v>
      </c>
      <c r="AV1492" s="0" t="n">
        <v>0</v>
      </c>
      <c r="AW1492" s="0" t="n">
        <v>0</v>
      </c>
      <c r="AX1492" s="0" t="n">
        <v>0</v>
      </c>
      <c r="AY1492" s="0" t="n">
        <v>0</v>
      </c>
      <c r="AZ1492" s="0" t="n">
        <v>0</v>
      </c>
      <c r="BA1492" s="0" t="n">
        <v>0</v>
      </c>
      <c r="BB1492" s="0" t="n">
        <v>0</v>
      </c>
      <c r="BC1492" s="0" t="n">
        <v>0</v>
      </c>
      <c r="BD1492" s="0" t="n">
        <v>0</v>
      </c>
      <c r="BE1492" s="0" t="n">
        <v>0</v>
      </c>
      <c r="BF1492" s="0" t="n">
        <v>0</v>
      </c>
      <c r="BG1492" s="0" t="n">
        <v>0</v>
      </c>
      <c r="BH1492" s="0" t="n">
        <v>0</v>
      </c>
      <c r="BI1492" s="0" t="n">
        <v>0</v>
      </c>
      <c r="BJ1492" s="0" t="n">
        <v>0</v>
      </c>
      <c r="BK1492" s="0" t="n">
        <v>0</v>
      </c>
      <c r="BM1492" s="6" t="n">
        <f aca="false">IFERROR(VALUE(F1492),"")</f>
        <v>811.43</v>
      </c>
      <c r="BN1492" s="6" t="n">
        <f aca="false">IF(R1492="-","",IFERROR(VALUE(LEFT(Q1492,LEN(Q1492)-2)),""))</f>
        <v>246.39</v>
      </c>
      <c r="BO1492" s="6" t="n">
        <f aca="false">IF(R1492="-","",IFERROR(VALUE(LEFT(R1492,LEN(R1492)-5)),""))</f>
        <v>3.29</v>
      </c>
      <c r="BP1492" s="6" t="n">
        <f aca="false">IF(R1492="-","",IFERROR(VALUE(F1492),""))</f>
        <v>811.43</v>
      </c>
      <c r="BQ1492" s="4" t="n">
        <f aca="false">IF(R1492="-",1,0)</f>
        <v>0</v>
      </c>
    </row>
    <row r="1493" customFormat="false" ht="15" hidden="false" customHeight="false" outlineLevel="0" collapsed="false">
      <c r="A1493" s="0" t="s">
        <v>5539</v>
      </c>
      <c r="B1493" s="0" t="s">
        <v>5540</v>
      </c>
      <c r="C1493" s="0" t="s">
        <v>70</v>
      </c>
      <c r="D1493" s="0" t="s">
        <v>5552</v>
      </c>
      <c r="E1493" s="3" t="n">
        <v>46275</v>
      </c>
      <c r="F1493" s="4" t="s">
        <v>5553</v>
      </c>
      <c r="G1493" s="5" t="n">
        <v>0.550659722222222</v>
      </c>
      <c r="H1493" s="5" t="n">
        <v>0.484837962962963</v>
      </c>
      <c r="I1493" s="5" t="n">
        <v>0.000590277777777778</v>
      </c>
      <c r="J1493" s="0" t="n">
        <v>0</v>
      </c>
      <c r="K1493" s="0" t="n">
        <v>1</v>
      </c>
      <c r="L1493" s="0" t="n">
        <v>0</v>
      </c>
      <c r="M1493" s="0" t="n">
        <v>0</v>
      </c>
      <c r="N1493" s="0" t="n">
        <v>0</v>
      </c>
      <c r="O1493" s="5" t="n">
        <v>0</v>
      </c>
      <c r="P1493" s="5" t="n">
        <v>0.012337962962963</v>
      </c>
      <c r="Q1493" s="4" t="s">
        <v>5554</v>
      </c>
      <c r="R1493" s="4" t="s">
        <v>385</v>
      </c>
      <c r="S1493" s="5" t="n">
        <v>0.000694444444444445</v>
      </c>
      <c r="T1493" s="5" t="n">
        <v>0.112384259259259</v>
      </c>
      <c r="U1493" s="5" t="n">
        <v>0.296527777777778</v>
      </c>
      <c r="V1493" s="5" t="n">
        <v>0.0586805555555556</v>
      </c>
      <c r="W1493" s="5" t="n">
        <v>0.000231481481481482</v>
      </c>
      <c r="X1493" s="5" t="n">
        <v>0</v>
      </c>
      <c r="Y1493" s="5" t="n">
        <v>0</v>
      </c>
      <c r="Z1493" s="0" t="n">
        <v>0</v>
      </c>
      <c r="AA1493" s="0" t="n">
        <v>0</v>
      </c>
      <c r="AB1493" s="0" t="n">
        <v>0</v>
      </c>
      <c r="AC1493" s="4" t="s">
        <v>5055</v>
      </c>
      <c r="AD1493" s="4" t="s">
        <v>994</v>
      </c>
      <c r="AE1493" s="4" t="s">
        <v>5551</v>
      </c>
      <c r="AF1493" s="4" t="s">
        <v>5555</v>
      </c>
      <c r="AG1493" s="5" t="n">
        <v>0.417708333333333</v>
      </c>
      <c r="AH1493" s="5" t="n">
        <v>0.258159722222222</v>
      </c>
      <c r="AI1493" s="5" t="n">
        <v>0</v>
      </c>
      <c r="AJ1493" s="5" t="n">
        <v>0</v>
      </c>
      <c r="AK1493" s="5" t="n">
        <v>0</v>
      </c>
      <c r="AL1493" s="5" t="n">
        <v>0</v>
      </c>
      <c r="AM1493" s="4" t="s">
        <v>78</v>
      </c>
      <c r="AN1493" s="0" t="n">
        <v>0</v>
      </c>
      <c r="AO1493" s="0" t="n">
        <v>0</v>
      </c>
      <c r="AP1493" s="0" t="n">
        <v>0</v>
      </c>
      <c r="AQ1493" s="0" t="n">
        <v>0</v>
      </c>
      <c r="AR1493" s="0" t="n">
        <v>0</v>
      </c>
      <c r="AS1493" s="0" t="n">
        <v>0</v>
      </c>
      <c r="AT1493" s="0" t="n">
        <v>0</v>
      </c>
      <c r="AU1493" s="0" t="n">
        <v>1</v>
      </c>
      <c r="AV1493" s="0" t="n">
        <v>0</v>
      </c>
      <c r="AW1493" s="0" t="n">
        <v>0</v>
      </c>
      <c r="AX1493" s="0" t="n">
        <v>0</v>
      </c>
      <c r="AY1493" s="0" t="n">
        <v>0</v>
      </c>
      <c r="AZ1493" s="0" t="n">
        <v>0</v>
      </c>
      <c r="BA1493" s="0" t="n">
        <v>0</v>
      </c>
      <c r="BB1493" s="0" t="n">
        <v>0</v>
      </c>
      <c r="BC1493" s="0" t="n">
        <v>0</v>
      </c>
      <c r="BD1493" s="0" t="n">
        <v>0</v>
      </c>
      <c r="BE1493" s="0" t="n">
        <v>0</v>
      </c>
      <c r="BF1493" s="0" t="n">
        <v>0</v>
      </c>
      <c r="BG1493" s="0" t="n">
        <v>0</v>
      </c>
      <c r="BH1493" s="0" t="n">
        <v>0</v>
      </c>
      <c r="BI1493" s="0" t="n">
        <v>0</v>
      </c>
      <c r="BJ1493" s="0" t="n">
        <v>0</v>
      </c>
      <c r="BK1493" s="0" t="n">
        <v>0</v>
      </c>
      <c r="BM1493" s="6" t="n">
        <f aca="false">IFERROR(VALUE(F1493),"")</f>
        <v>530.29</v>
      </c>
      <c r="BN1493" s="6" t="n">
        <f aca="false">IF(R1493="-","",IFERROR(VALUE(LEFT(Q1493,LEN(Q1493)-2)),""))</f>
        <v>181.97</v>
      </c>
      <c r="BO1493" s="6" t="n">
        <f aca="false">IF(R1493="-","",IFERROR(VALUE(LEFT(R1493,LEN(R1493)-5)),""))</f>
        <v>2.91</v>
      </c>
      <c r="BP1493" s="6" t="n">
        <f aca="false">IF(R1493="-","",IFERROR(VALUE(F1493),""))</f>
        <v>530.29</v>
      </c>
      <c r="BQ1493" s="4" t="n">
        <f aca="false">IF(R1493="-",1,0)</f>
        <v>0</v>
      </c>
    </row>
    <row r="1494" customFormat="false" ht="15" hidden="false" customHeight="false" outlineLevel="0" collapsed="false">
      <c r="A1494" s="0" t="s">
        <v>5539</v>
      </c>
      <c r="B1494" s="0" t="s">
        <v>5540</v>
      </c>
      <c r="C1494" s="0" t="s">
        <v>70</v>
      </c>
      <c r="D1494" s="0" t="s">
        <v>5556</v>
      </c>
      <c r="E1494" s="3" t="n">
        <v>46276</v>
      </c>
      <c r="F1494" s="4" t="s">
        <v>5557</v>
      </c>
      <c r="G1494" s="5" t="n">
        <v>0.678356481481482</v>
      </c>
      <c r="H1494" s="5" t="n">
        <v>0.646909722222222</v>
      </c>
      <c r="I1494" s="5" t="n">
        <v>0.00369212962962963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5" t="n">
        <v>0</v>
      </c>
      <c r="P1494" s="5" t="n">
        <v>0.0223726851851852</v>
      </c>
      <c r="Q1494" s="4" t="s">
        <v>5558</v>
      </c>
      <c r="R1494" s="4" t="s">
        <v>757</v>
      </c>
      <c r="S1494" s="5" t="n">
        <v>0.000694444444444445</v>
      </c>
      <c r="T1494" s="5" t="n">
        <v>0.155902777777778</v>
      </c>
      <c r="U1494" s="5" t="n">
        <v>0.433229166666667</v>
      </c>
      <c r="V1494" s="5" t="n">
        <v>0.0606481481481482</v>
      </c>
      <c r="W1494" s="5" t="n">
        <v>0.000231481481481482</v>
      </c>
      <c r="X1494" s="5" t="n">
        <v>0</v>
      </c>
      <c r="Y1494" s="5" t="n">
        <v>0</v>
      </c>
      <c r="Z1494" s="0" t="n">
        <v>0</v>
      </c>
      <c r="AA1494" s="0" t="n">
        <v>0</v>
      </c>
      <c r="AB1494" s="0" t="n">
        <v>0</v>
      </c>
      <c r="AC1494" s="4" t="s">
        <v>994</v>
      </c>
      <c r="AD1494" s="4" t="s">
        <v>208</v>
      </c>
      <c r="AE1494" s="4" t="s">
        <v>5559</v>
      </c>
      <c r="AF1494" s="4" t="s">
        <v>5560</v>
      </c>
      <c r="AG1494" s="5" t="n">
        <v>0.577337962962963</v>
      </c>
      <c r="AH1494" s="5" t="n">
        <v>0.203634259259259</v>
      </c>
      <c r="AI1494" s="5" t="n">
        <v>0</v>
      </c>
      <c r="AJ1494" s="5" t="n">
        <v>0</v>
      </c>
      <c r="AK1494" s="5" t="n">
        <v>0</v>
      </c>
      <c r="AL1494" s="5" t="n">
        <v>0</v>
      </c>
      <c r="AM1494" s="4" t="s">
        <v>78</v>
      </c>
      <c r="AN1494" s="0" t="n">
        <v>0</v>
      </c>
      <c r="AO1494" s="0" t="n">
        <v>0</v>
      </c>
      <c r="AP1494" s="0" t="n">
        <v>0</v>
      </c>
      <c r="AQ1494" s="0" t="n">
        <v>0</v>
      </c>
      <c r="AR1494" s="0" t="n">
        <v>6</v>
      </c>
      <c r="AS1494" s="0" t="n">
        <v>0</v>
      </c>
      <c r="AT1494" s="0" t="n">
        <v>0</v>
      </c>
      <c r="AU1494" s="0" t="n">
        <v>6</v>
      </c>
      <c r="AV1494" s="0" t="n">
        <v>0</v>
      </c>
      <c r="AW1494" s="0" t="n">
        <v>0</v>
      </c>
      <c r="AX1494" s="0" t="n">
        <v>0</v>
      </c>
      <c r="AY1494" s="0" t="n">
        <v>0</v>
      </c>
      <c r="AZ1494" s="0" t="n">
        <v>0</v>
      </c>
      <c r="BA1494" s="0" t="n">
        <v>0</v>
      </c>
      <c r="BB1494" s="0" t="n">
        <v>0</v>
      </c>
      <c r="BC1494" s="0" t="n">
        <v>0</v>
      </c>
      <c r="BD1494" s="0" t="n">
        <v>0</v>
      </c>
      <c r="BE1494" s="0" t="n">
        <v>0</v>
      </c>
      <c r="BF1494" s="0" t="n">
        <v>0</v>
      </c>
      <c r="BG1494" s="0" t="n">
        <v>0</v>
      </c>
      <c r="BH1494" s="0" t="n">
        <v>0</v>
      </c>
      <c r="BI1494" s="0" t="n">
        <v>0</v>
      </c>
      <c r="BJ1494" s="0" t="n">
        <v>0</v>
      </c>
      <c r="BK1494" s="0" t="n">
        <v>0</v>
      </c>
      <c r="BM1494" s="6" t="n">
        <f aca="false">IFERROR(VALUE(F1494),"")</f>
        <v>790.02</v>
      </c>
      <c r="BN1494" s="6" t="n">
        <f aca="false">IF(R1494="-","",IFERROR(VALUE(LEFT(Q1494,LEN(Q1494)-2)),""))</f>
        <v>235.91</v>
      </c>
      <c r="BO1494" s="6" t="n">
        <f aca="false">IF(R1494="-","",IFERROR(VALUE(LEFT(R1494,LEN(R1494)-5)),""))</f>
        <v>3.35</v>
      </c>
      <c r="BP1494" s="6" t="n">
        <f aca="false">IF(R1494="-","",IFERROR(VALUE(F1494),""))</f>
        <v>790.02</v>
      </c>
      <c r="BQ1494" s="4" t="n">
        <f aca="false">IF(R1494="-",1,0)</f>
        <v>0</v>
      </c>
    </row>
    <row r="1495" customFormat="false" ht="15" hidden="false" customHeight="false" outlineLevel="0" collapsed="false">
      <c r="A1495" s="0" t="s">
        <v>5539</v>
      </c>
      <c r="B1495" s="0" t="s">
        <v>5540</v>
      </c>
      <c r="C1495" s="0" t="s">
        <v>70</v>
      </c>
      <c r="D1495" s="0" t="s">
        <v>5561</v>
      </c>
      <c r="E1495" s="3" t="n">
        <v>46277</v>
      </c>
      <c r="F1495" s="4" t="s">
        <v>5562</v>
      </c>
      <c r="G1495" s="5" t="n">
        <v>0.40443287037037</v>
      </c>
      <c r="H1495" s="5" t="n">
        <v>0.374837962962963</v>
      </c>
      <c r="I1495" s="5" t="n">
        <v>0.00087962962962963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5" t="n">
        <v>0</v>
      </c>
      <c r="P1495" s="5" t="n">
        <v>0.00783564814814815</v>
      </c>
      <c r="Q1495" s="4" t="s">
        <v>5563</v>
      </c>
      <c r="R1495" s="4" t="s">
        <v>943</v>
      </c>
      <c r="S1495" s="5" t="n">
        <v>0.000231481481481482</v>
      </c>
      <c r="T1495" s="5" t="n">
        <v>0.0939814814814815</v>
      </c>
      <c r="U1495" s="5" t="n">
        <v>0.261921296296296</v>
      </c>
      <c r="V1495" s="5" t="n">
        <v>0.01875</v>
      </c>
      <c r="W1495" s="5" t="n">
        <v>0</v>
      </c>
      <c r="X1495" s="5" t="n">
        <v>0</v>
      </c>
      <c r="Y1495" s="5" t="n">
        <v>0</v>
      </c>
      <c r="Z1495" s="0" t="n">
        <v>0</v>
      </c>
      <c r="AA1495" s="0" t="n">
        <v>0</v>
      </c>
      <c r="AB1495" s="0" t="n">
        <v>0</v>
      </c>
      <c r="AC1495" s="4" t="s">
        <v>208</v>
      </c>
      <c r="AD1495" s="4" t="s">
        <v>5055</v>
      </c>
      <c r="AE1495" s="4" t="s">
        <v>5560</v>
      </c>
      <c r="AF1495" s="4" t="s">
        <v>5564</v>
      </c>
      <c r="AG1495" s="5" t="n">
        <v>0.337673611111111</v>
      </c>
      <c r="AH1495" s="5" t="n">
        <v>0.10599537037037</v>
      </c>
      <c r="AI1495" s="5" t="n">
        <v>0</v>
      </c>
      <c r="AJ1495" s="5" t="n">
        <v>0</v>
      </c>
      <c r="AK1495" s="5" t="n">
        <v>0</v>
      </c>
      <c r="AL1495" s="5" t="n">
        <v>0</v>
      </c>
      <c r="AM1495" s="4" t="s">
        <v>78</v>
      </c>
      <c r="AN1495" s="0" t="n">
        <v>0</v>
      </c>
      <c r="AO1495" s="0" t="n">
        <v>0</v>
      </c>
      <c r="AP1495" s="0" t="n">
        <v>0</v>
      </c>
      <c r="AQ1495" s="0" t="n">
        <v>0</v>
      </c>
      <c r="AR1495" s="0" t="n">
        <v>0</v>
      </c>
      <c r="AS1495" s="0" t="n">
        <v>0</v>
      </c>
      <c r="AT1495" s="0" t="n">
        <v>0</v>
      </c>
      <c r="AU1495" s="0" t="n">
        <v>2</v>
      </c>
      <c r="AV1495" s="0" t="n">
        <v>0</v>
      </c>
      <c r="AW1495" s="0" t="n">
        <v>0</v>
      </c>
      <c r="AX1495" s="0" t="n">
        <v>0</v>
      </c>
      <c r="AY1495" s="0" t="n">
        <v>0</v>
      </c>
      <c r="AZ1495" s="0" t="n">
        <v>0</v>
      </c>
      <c r="BA1495" s="0" t="n">
        <v>0</v>
      </c>
      <c r="BB1495" s="0" t="n">
        <v>0</v>
      </c>
      <c r="BC1495" s="0" t="n">
        <v>0</v>
      </c>
      <c r="BD1495" s="0" t="n">
        <v>0</v>
      </c>
      <c r="BE1495" s="0" t="n">
        <v>0</v>
      </c>
      <c r="BF1495" s="0" t="n">
        <v>0</v>
      </c>
      <c r="BG1495" s="0" t="n">
        <v>0</v>
      </c>
      <c r="BH1495" s="0" t="n">
        <v>0</v>
      </c>
      <c r="BI1495" s="0" t="n">
        <v>0</v>
      </c>
      <c r="BJ1495" s="0" t="n">
        <v>0</v>
      </c>
      <c r="BK1495" s="0" t="n">
        <v>0</v>
      </c>
      <c r="BM1495" s="6" t="n">
        <f aca="false">IFERROR(VALUE(F1495),"")</f>
        <v>446.84</v>
      </c>
      <c r="BN1495" s="6" t="n">
        <f aca="false">IF(R1495="-","",IFERROR(VALUE(LEFT(Q1495,LEN(Q1495)-2)),""))</f>
        <v>138.4</v>
      </c>
      <c r="BO1495" s="6" t="n">
        <f aca="false">IF(R1495="-","",IFERROR(VALUE(LEFT(R1495,LEN(R1495)-5)),""))</f>
        <v>3.23</v>
      </c>
      <c r="BP1495" s="6" t="n">
        <f aca="false">IF(R1495="-","",IFERROR(VALUE(F1495),""))</f>
        <v>446.84</v>
      </c>
      <c r="BQ1495" s="4" t="n">
        <f aca="false">IF(R1495="-",1,0)</f>
        <v>0</v>
      </c>
    </row>
    <row r="1496" customFormat="false" ht="15" hidden="false" customHeight="false" outlineLevel="0" collapsed="false">
      <c r="A1496" s="0" t="s">
        <v>5539</v>
      </c>
      <c r="B1496" s="0" t="s">
        <v>5540</v>
      </c>
      <c r="C1496" s="0" t="s">
        <v>70</v>
      </c>
      <c r="D1496" s="0" t="s">
        <v>5565</v>
      </c>
      <c r="E1496" s="3" t="n">
        <v>46278</v>
      </c>
      <c r="F1496" s="4" t="s">
        <v>5566</v>
      </c>
      <c r="G1496" s="5" t="n">
        <v>0.523680555555556</v>
      </c>
      <c r="H1496" s="5" t="n">
        <v>0.497222222222222</v>
      </c>
      <c r="I1496" s="5" t="n">
        <v>0.000555555555555556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5" t="n">
        <v>0</v>
      </c>
      <c r="P1496" s="5" t="n">
        <v>0.0120601851851852</v>
      </c>
      <c r="Q1496" s="4" t="s">
        <v>5567</v>
      </c>
      <c r="R1496" s="4" t="s">
        <v>967</v>
      </c>
      <c r="S1496" s="5" t="n">
        <v>0.000115740740740741</v>
      </c>
      <c r="T1496" s="5" t="n">
        <v>0.117361111111111</v>
      </c>
      <c r="U1496" s="5" t="n">
        <v>0.312731481481482</v>
      </c>
      <c r="V1496" s="5" t="n">
        <v>0.0444444444444445</v>
      </c>
      <c r="W1496" s="5" t="n">
        <v>0</v>
      </c>
      <c r="X1496" s="5" t="n">
        <v>0</v>
      </c>
      <c r="Y1496" s="5" t="n">
        <v>0</v>
      </c>
      <c r="Z1496" s="0" t="n">
        <v>0</v>
      </c>
      <c r="AA1496" s="0" t="n">
        <v>0</v>
      </c>
      <c r="AB1496" s="0" t="n">
        <v>0</v>
      </c>
      <c r="AC1496" s="4" t="s">
        <v>5045</v>
      </c>
      <c r="AD1496" s="4" t="s">
        <v>994</v>
      </c>
      <c r="AE1496" s="4" t="s">
        <v>5564</v>
      </c>
      <c r="AF1496" s="4" t="s">
        <v>5568</v>
      </c>
      <c r="AG1496" s="5" t="n">
        <v>0.417141203703704</v>
      </c>
      <c r="AH1496" s="5" t="n">
        <v>0.180381944444444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4" t="s">
        <v>78</v>
      </c>
      <c r="AN1496" s="0" t="n">
        <v>0</v>
      </c>
      <c r="AO1496" s="0" t="n">
        <v>0</v>
      </c>
      <c r="AP1496" s="0" t="n">
        <v>0</v>
      </c>
      <c r="AQ1496" s="0" t="n">
        <v>0</v>
      </c>
      <c r="AR1496" s="0" t="n">
        <v>8</v>
      </c>
      <c r="AS1496" s="0" t="n">
        <v>0</v>
      </c>
      <c r="AT1496" s="0" t="n">
        <v>0</v>
      </c>
      <c r="AU1496" s="0" t="n">
        <v>1</v>
      </c>
      <c r="AV1496" s="0" t="n">
        <v>0</v>
      </c>
      <c r="AW1496" s="0" t="n">
        <v>0</v>
      </c>
      <c r="AX1496" s="0" t="n">
        <v>0</v>
      </c>
      <c r="AY1496" s="0" t="n">
        <v>0</v>
      </c>
      <c r="AZ1496" s="0" t="n">
        <v>0</v>
      </c>
      <c r="BA1496" s="0" t="n">
        <v>0</v>
      </c>
      <c r="BB1496" s="0" t="n">
        <v>0</v>
      </c>
      <c r="BC1496" s="0" t="n">
        <v>0</v>
      </c>
      <c r="BD1496" s="0" t="n">
        <v>0</v>
      </c>
      <c r="BE1496" s="0" t="n">
        <v>0</v>
      </c>
      <c r="BF1496" s="0" t="n">
        <v>0</v>
      </c>
      <c r="BG1496" s="0" t="n">
        <v>0</v>
      </c>
      <c r="BH1496" s="0" t="n">
        <v>0</v>
      </c>
      <c r="BI1496" s="0" t="n">
        <v>0</v>
      </c>
      <c r="BJ1496" s="0" t="n">
        <v>0</v>
      </c>
      <c r="BK1496" s="0" t="n">
        <v>0</v>
      </c>
      <c r="BM1496" s="6" t="n">
        <f aca="false">IFERROR(VALUE(F1496),"")</f>
        <v>535.3</v>
      </c>
      <c r="BN1496" s="6" t="n">
        <f aca="false">IF(R1496="-","",IFERROR(VALUE(LEFT(Q1496,LEN(Q1496)-2)),""))</f>
        <v>171.12</v>
      </c>
      <c r="BO1496" s="6" t="n">
        <f aca="false">IF(R1496="-","",IFERROR(VALUE(LEFT(R1496,LEN(R1496)-5)),""))</f>
        <v>3.13</v>
      </c>
      <c r="BP1496" s="6" t="n">
        <f aca="false">IF(R1496="-","",IFERROR(VALUE(F1496),""))</f>
        <v>535.3</v>
      </c>
      <c r="BQ1496" s="4" t="n">
        <f aca="false">IF(R1496="-",1,0)</f>
        <v>0</v>
      </c>
    </row>
    <row r="1497" customFormat="false" ht="15" hidden="false" customHeight="false" outlineLevel="0" collapsed="false">
      <c r="A1497" s="0" t="s">
        <v>5539</v>
      </c>
      <c r="B1497" s="0" t="s">
        <v>5540</v>
      </c>
      <c r="C1497" s="0" t="s">
        <v>70</v>
      </c>
      <c r="D1497" s="0" t="s">
        <v>5569</v>
      </c>
      <c r="E1497" s="3" t="n">
        <v>46279</v>
      </c>
      <c r="F1497" s="4" t="s">
        <v>5570</v>
      </c>
      <c r="G1497" s="5" t="n">
        <v>0.716574074074074</v>
      </c>
      <c r="H1497" s="5" t="n">
        <v>0.703414351851852</v>
      </c>
      <c r="I1497" s="5" t="n">
        <v>0.00130787037037037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5" t="n">
        <v>0</v>
      </c>
      <c r="P1497" s="5" t="n">
        <v>0.0619791666666667</v>
      </c>
      <c r="Q1497" s="4" t="s">
        <v>5571</v>
      </c>
      <c r="R1497" s="4" t="s">
        <v>2964</v>
      </c>
      <c r="S1497" s="5" t="n">
        <v>0</v>
      </c>
      <c r="T1497" s="5" t="n">
        <v>0.167592592592593</v>
      </c>
      <c r="U1497" s="5" t="n">
        <v>0.458680555555556</v>
      </c>
      <c r="V1497" s="5" t="n">
        <v>0.0652777777777778</v>
      </c>
      <c r="W1497" s="5" t="n">
        <v>0</v>
      </c>
      <c r="X1497" s="5" t="n">
        <v>0</v>
      </c>
      <c r="Y1497" s="5" t="n">
        <v>0</v>
      </c>
      <c r="Z1497" s="0" t="n">
        <v>0</v>
      </c>
      <c r="AA1497" s="0" t="n">
        <v>0</v>
      </c>
      <c r="AB1497" s="0" t="n">
        <v>0</v>
      </c>
      <c r="AC1497" s="4" t="s">
        <v>994</v>
      </c>
      <c r="AD1497" s="4" t="s">
        <v>208</v>
      </c>
      <c r="AE1497" s="4" t="s">
        <v>5572</v>
      </c>
      <c r="AF1497" s="4" t="s">
        <v>5573</v>
      </c>
      <c r="AG1497" s="5" t="n">
        <v>0.58943287037037</v>
      </c>
      <c r="AH1497" s="5" t="n">
        <v>0.15462962962963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4" t="s">
        <v>78</v>
      </c>
      <c r="AN1497" s="0" t="n">
        <v>0</v>
      </c>
      <c r="AO1497" s="0" t="n">
        <v>0</v>
      </c>
      <c r="AP1497" s="0" t="n">
        <v>0</v>
      </c>
      <c r="AQ1497" s="0" t="n">
        <v>0</v>
      </c>
      <c r="AR1497" s="0" t="n">
        <v>1</v>
      </c>
      <c r="AS1497" s="0" t="n">
        <v>0</v>
      </c>
      <c r="AT1497" s="0" t="n">
        <v>0</v>
      </c>
      <c r="AU1497" s="0" t="n">
        <v>4</v>
      </c>
      <c r="AV1497" s="0" t="n">
        <v>0</v>
      </c>
      <c r="AW1497" s="0" t="n">
        <v>2</v>
      </c>
      <c r="AX1497" s="0" t="n">
        <v>0</v>
      </c>
      <c r="AY1497" s="0" t="n">
        <v>0</v>
      </c>
      <c r="AZ1497" s="0" t="n">
        <v>0</v>
      </c>
      <c r="BA1497" s="0" t="n">
        <v>0</v>
      </c>
      <c r="BB1497" s="0" t="n">
        <v>0</v>
      </c>
      <c r="BC1497" s="0" t="n">
        <v>0</v>
      </c>
      <c r="BD1497" s="0" t="n">
        <v>0</v>
      </c>
      <c r="BE1497" s="0" t="n">
        <v>0</v>
      </c>
      <c r="BF1497" s="0" t="n">
        <v>0</v>
      </c>
      <c r="BG1497" s="0" t="n">
        <v>0</v>
      </c>
      <c r="BH1497" s="0" t="n">
        <v>0</v>
      </c>
      <c r="BI1497" s="0" t="n">
        <v>0</v>
      </c>
      <c r="BJ1497" s="0" t="n">
        <v>0</v>
      </c>
      <c r="BK1497" s="0" t="n">
        <v>0</v>
      </c>
      <c r="BM1497" s="6" t="n">
        <f aca="false">IFERROR(VALUE(F1497),"")</f>
        <v>785.22</v>
      </c>
      <c r="BN1497" s="6" t="n">
        <f aca="false">IF(R1497="-","",IFERROR(VALUE(LEFT(Q1497,LEN(Q1497)-2)),""))</f>
        <v>244.06</v>
      </c>
      <c r="BO1497" s="6" t="n">
        <f aca="false">IF(R1497="-","",IFERROR(VALUE(LEFT(R1497,LEN(R1497)-5)),""))</f>
        <v>3.22</v>
      </c>
      <c r="BP1497" s="6" t="n">
        <f aca="false">IF(R1497="-","",IFERROR(VALUE(F1497),""))</f>
        <v>785.22</v>
      </c>
      <c r="BQ1497" s="4" t="n">
        <f aca="false">IF(R1497="-",1,0)</f>
        <v>0</v>
      </c>
    </row>
    <row r="1498" customFormat="false" ht="15" hidden="false" customHeight="false" outlineLevel="0" collapsed="false">
      <c r="A1498" s="0" t="s">
        <v>5574</v>
      </c>
      <c r="B1498" s="0" t="s">
        <v>5575</v>
      </c>
      <c r="C1498" s="0" t="s">
        <v>70</v>
      </c>
      <c r="D1498" s="0" t="s">
        <v>5576</v>
      </c>
      <c r="E1498" s="3" t="n">
        <v>46273</v>
      </c>
      <c r="F1498" s="4" t="s">
        <v>5577</v>
      </c>
      <c r="G1498" s="5" t="n">
        <v>0.151122685185185</v>
      </c>
      <c r="H1498" s="5" t="n">
        <v>0.0682060185185185</v>
      </c>
      <c r="I1498" s="5" t="n">
        <v>5.78703703703704E-005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9</v>
      </c>
      <c r="O1498" s="5" t="n">
        <v>0</v>
      </c>
      <c r="P1498" s="5" t="n">
        <v>0</v>
      </c>
      <c r="Q1498" s="4" t="s">
        <v>5578</v>
      </c>
      <c r="R1498" s="4" t="s">
        <v>592</v>
      </c>
      <c r="S1498" s="5" t="n">
        <v>0</v>
      </c>
      <c r="T1498" s="5" t="n">
        <v>0.0591435185185185</v>
      </c>
      <c r="U1498" s="5" t="n">
        <v>0.0527777777777778</v>
      </c>
      <c r="V1498" s="5" t="n">
        <v>0.0256944444444444</v>
      </c>
      <c r="W1498" s="5" t="n">
        <v>0.000115740740740741</v>
      </c>
      <c r="X1498" s="5" t="n">
        <v>0</v>
      </c>
      <c r="Y1498" s="5" t="n">
        <v>0</v>
      </c>
      <c r="Z1498" s="0" t="n">
        <v>0</v>
      </c>
      <c r="AA1498" s="0" t="n">
        <v>0</v>
      </c>
      <c r="AB1498" s="0" t="n">
        <v>0</v>
      </c>
      <c r="AC1498" s="4" t="s">
        <v>159</v>
      </c>
      <c r="AD1498" s="4" t="s">
        <v>159</v>
      </c>
      <c r="AE1498" s="4" t="s">
        <v>5579</v>
      </c>
      <c r="AF1498" s="4" t="s">
        <v>5580</v>
      </c>
      <c r="AG1498" s="5" t="n">
        <v>0.11787037037037</v>
      </c>
      <c r="AH1498" s="5" t="n">
        <v>0.0494328703703704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4" t="s">
        <v>78</v>
      </c>
      <c r="AN1498" s="0" t="n">
        <v>0</v>
      </c>
      <c r="AO1498" s="0" t="n">
        <v>0</v>
      </c>
      <c r="AP1498" s="0" t="n">
        <v>0</v>
      </c>
      <c r="AQ1498" s="0" t="n">
        <v>0</v>
      </c>
      <c r="AR1498" s="0" t="n">
        <v>2</v>
      </c>
      <c r="AS1498" s="0" t="n">
        <v>0</v>
      </c>
      <c r="AT1498" s="0" t="n">
        <v>0</v>
      </c>
      <c r="AU1498" s="0" t="n">
        <v>3</v>
      </c>
      <c r="AV1498" s="0" t="n">
        <v>0</v>
      </c>
      <c r="AW1498" s="0" t="n">
        <v>0</v>
      </c>
      <c r="AX1498" s="0" t="n">
        <v>0</v>
      </c>
      <c r="AY1498" s="0" t="n">
        <v>0</v>
      </c>
      <c r="AZ1498" s="0" t="n">
        <v>0</v>
      </c>
      <c r="BA1498" s="0" t="n">
        <v>0</v>
      </c>
      <c r="BB1498" s="0" t="n">
        <v>0</v>
      </c>
      <c r="BC1498" s="0" t="n">
        <v>0</v>
      </c>
      <c r="BD1498" s="0" t="n">
        <v>0</v>
      </c>
      <c r="BE1498" s="0" t="n">
        <v>0</v>
      </c>
      <c r="BF1498" s="0" t="n">
        <v>0</v>
      </c>
      <c r="BG1498" s="0" t="n">
        <v>0</v>
      </c>
      <c r="BH1498" s="0" t="n">
        <v>0</v>
      </c>
      <c r="BI1498" s="0" t="n">
        <v>0</v>
      </c>
      <c r="BJ1498" s="0" t="n">
        <v>0</v>
      </c>
      <c r="BK1498" s="0" t="n">
        <v>0</v>
      </c>
      <c r="BM1498" s="6" t="n">
        <f aca="false">IFERROR(VALUE(F1498),"")</f>
        <v>65.12</v>
      </c>
      <c r="BN1498" s="6" t="n">
        <f aca="false">IF(R1498="-","",IFERROR(VALUE(LEFT(Q1498,LEN(Q1498)-2)),""))</f>
        <v>17.06</v>
      </c>
      <c r="BO1498" s="6" t="n">
        <f aca="false">IF(R1498="-","",IFERROR(VALUE(LEFT(R1498,LEN(R1498)-5)),""))</f>
        <v>3.82</v>
      </c>
      <c r="BP1498" s="6" t="n">
        <f aca="false">IF(R1498="-","",IFERROR(VALUE(F1498),""))</f>
        <v>65.12</v>
      </c>
      <c r="BQ1498" s="4" t="n">
        <f aca="false">IF(R1498="-",1,0)</f>
        <v>0</v>
      </c>
    </row>
    <row r="1499" customFormat="false" ht="15" hidden="false" customHeight="false" outlineLevel="0" collapsed="false">
      <c r="A1499" s="0" t="s">
        <v>5574</v>
      </c>
      <c r="B1499" s="0" t="s">
        <v>5575</v>
      </c>
      <c r="C1499" s="0" t="s">
        <v>70</v>
      </c>
      <c r="D1499" s="0" t="s">
        <v>5576</v>
      </c>
      <c r="E1499" s="3" t="n">
        <v>46274</v>
      </c>
      <c r="F1499" s="4" t="s">
        <v>5581</v>
      </c>
      <c r="G1499" s="5" t="n">
        <v>0.168831018518519</v>
      </c>
      <c r="H1499" s="5" t="n">
        <v>0.127337962962963</v>
      </c>
      <c r="I1499" s="5" t="n">
        <v>0.000543981481481481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6</v>
      </c>
      <c r="O1499" s="5" t="n">
        <v>0</v>
      </c>
      <c r="P1499" s="5" t="n">
        <v>0.0445833333333333</v>
      </c>
      <c r="Q1499" s="4" t="s">
        <v>5582</v>
      </c>
      <c r="R1499" s="4" t="s">
        <v>1944</v>
      </c>
      <c r="S1499" s="5" t="n">
        <v>0</v>
      </c>
      <c r="T1499" s="5" t="n">
        <v>0.0547453703703704</v>
      </c>
      <c r="U1499" s="5" t="n">
        <v>0.0771990740740741</v>
      </c>
      <c r="V1499" s="5" t="n">
        <v>0.0329861111111111</v>
      </c>
      <c r="W1499" s="5" t="n">
        <v>0</v>
      </c>
      <c r="X1499" s="5" t="n">
        <v>0</v>
      </c>
      <c r="Y1499" s="5" t="n">
        <v>0</v>
      </c>
      <c r="Z1499" s="0" t="n">
        <v>0</v>
      </c>
      <c r="AA1499" s="0" t="n">
        <v>0</v>
      </c>
      <c r="AB1499" s="0" t="n">
        <v>0</v>
      </c>
      <c r="AC1499" s="4" t="s">
        <v>159</v>
      </c>
      <c r="AD1499" s="4" t="s">
        <v>159</v>
      </c>
      <c r="AE1499" s="4" t="s">
        <v>5580</v>
      </c>
      <c r="AF1499" s="4" t="s">
        <v>5583</v>
      </c>
      <c r="AG1499" s="5" t="n">
        <v>0.112349537037037</v>
      </c>
      <c r="AH1499" s="5" t="n">
        <v>0.0636342592592593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4" t="s">
        <v>78</v>
      </c>
      <c r="AN1499" s="0" t="n">
        <v>0</v>
      </c>
      <c r="AO1499" s="0" t="n">
        <v>0</v>
      </c>
      <c r="AP1499" s="0" t="n">
        <v>0</v>
      </c>
      <c r="AQ1499" s="0" t="n">
        <v>0</v>
      </c>
      <c r="AR1499" s="0" t="n">
        <v>0</v>
      </c>
      <c r="AS1499" s="0" t="n">
        <v>0</v>
      </c>
      <c r="AT1499" s="0" t="n">
        <v>0</v>
      </c>
      <c r="AU1499" s="0" t="n">
        <v>3</v>
      </c>
      <c r="AV1499" s="0" t="n">
        <v>0</v>
      </c>
      <c r="AW1499" s="0" t="n">
        <v>0</v>
      </c>
      <c r="AX1499" s="0" t="n">
        <v>0</v>
      </c>
      <c r="AY1499" s="0" t="n">
        <v>0</v>
      </c>
      <c r="AZ1499" s="0" t="n">
        <v>0</v>
      </c>
      <c r="BA1499" s="0" t="n">
        <v>0</v>
      </c>
      <c r="BB1499" s="0" t="n">
        <v>0</v>
      </c>
      <c r="BC1499" s="0" t="n">
        <v>0</v>
      </c>
      <c r="BD1499" s="0" t="n">
        <v>0</v>
      </c>
      <c r="BE1499" s="0" t="n">
        <v>0</v>
      </c>
      <c r="BF1499" s="0" t="n">
        <v>0</v>
      </c>
      <c r="BG1499" s="0" t="n">
        <v>0</v>
      </c>
      <c r="BH1499" s="0" t="n">
        <v>0</v>
      </c>
      <c r="BI1499" s="0" t="n">
        <v>0</v>
      </c>
      <c r="BJ1499" s="0" t="n">
        <v>0</v>
      </c>
      <c r="BK1499" s="0" t="n">
        <v>0</v>
      </c>
      <c r="BM1499" s="6" t="n">
        <f aca="false">IFERROR(VALUE(F1499),"")</f>
        <v>66.9</v>
      </c>
      <c r="BN1499" s="6" t="n">
        <f aca="false">IF(R1499="-","",IFERROR(VALUE(LEFT(Q1499,LEN(Q1499)-2)),""))</f>
        <v>24.44</v>
      </c>
      <c r="BO1499" s="6" t="n">
        <f aca="false">IF(R1499="-","",IFERROR(VALUE(LEFT(R1499,LEN(R1499)-5)),""))</f>
        <v>2.74</v>
      </c>
      <c r="BP1499" s="6" t="n">
        <f aca="false">IF(R1499="-","",IFERROR(VALUE(F1499),""))</f>
        <v>66.9</v>
      </c>
      <c r="BQ1499" s="4" t="n">
        <f aca="false">IF(R1499="-",1,0)</f>
        <v>0</v>
      </c>
    </row>
    <row r="1500" customFormat="false" ht="15" hidden="false" customHeight="false" outlineLevel="0" collapsed="false">
      <c r="A1500" s="0" t="s">
        <v>5574</v>
      </c>
      <c r="B1500" s="0" t="s">
        <v>5575</v>
      </c>
      <c r="C1500" s="0" t="s">
        <v>70</v>
      </c>
      <c r="D1500" s="0" t="s">
        <v>5576</v>
      </c>
      <c r="E1500" s="3" t="n">
        <v>46275</v>
      </c>
      <c r="F1500" s="4" t="s">
        <v>5584</v>
      </c>
      <c r="G1500" s="5" t="n">
        <v>0.12619212962963</v>
      </c>
      <c r="H1500" s="5" t="n">
        <v>0.124479166666667</v>
      </c>
      <c r="I1500" s="5" t="n">
        <v>0.000231481481481482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5" t="n">
        <v>0</v>
      </c>
      <c r="P1500" s="5" t="n">
        <v>0</v>
      </c>
      <c r="Q1500" s="4" t="s">
        <v>5585</v>
      </c>
      <c r="R1500" s="4" t="s">
        <v>5586</v>
      </c>
      <c r="S1500" s="5" t="n">
        <v>0</v>
      </c>
      <c r="T1500" s="5" t="n">
        <v>0.037962962962963</v>
      </c>
      <c r="U1500" s="5" t="n">
        <v>0.0597222222222222</v>
      </c>
      <c r="V1500" s="5" t="n">
        <v>0.0266203703703704</v>
      </c>
      <c r="W1500" s="5" t="n">
        <v>0</v>
      </c>
      <c r="X1500" s="5" t="n">
        <v>0</v>
      </c>
      <c r="Y1500" s="5" t="n">
        <v>0</v>
      </c>
      <c r="Z1500" s="0" t="n">
        <v>0</v>
      </c>
      <c r="AA1500" s="0" t="n">
        <v>0</v>
      </c>
      <c r="AB1500" s="0" t="n">
        <v>0</v>
      </c>
      <c r="AC1500" s="4" t="s">
        <v>159</v>
      </c>
      <c r="AD1500" s="4" t="s">
        <v>159</v>
      </c>
      <c r="AE1500" s="4" t="s">
        <v>5583</v>
      </c>
      <c r="AF1500" s="4" t="s">
        <v>5587</v>
      </c>
      <c r="AG1500" s="5" t="n">
        <v>0.113877314814815</v>
      </c>
      <c r="AH1500" s="5" t="n">
        <v>0.0177546296296296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4" t="s">
        <v>78</v>
      </c>
      <c r="AN1500" s="0" t="n">
        <v>0</v>
      </c>
      <c r="AO1500" s="0" t="n">
        <v>0</v>
      </c>
      <c r="AP1500" s="0" t="n">
        <v>0</v>
      </c>
      <c r="AQ1500" s="0" t="n">
        <v>0</v>
      </c>
      <c r="AR1500" s="0" t="n">
        <v>5</v>
      </c>
      <c r="AS1500" s="0" t="n">
        <v>0</v>
      </c>
      <c r="AT1500" s="0" t="n">
        <v>0</v>
      </c>
      <c r="AU1500" s="0" t="n">
        <v>2</v>
      </c>
      <c r="AV1500" s="0" t="n">
        <v>0</v>
      </c>
      <c r="AW1500" s="0" t="n">
        <v>0</v>
      </c>
      <c r="AX1500" s="0" t="n">
        <v>0</v>
      </c>
      <c r="AY1500" s="0" t="n">
        <v>0</v>
      </c>
      <c r="AZ1500" s="0" t="n">
        <v>0</v>
      </c>
      <c r="BA1500" s="0" t="n">
        <v>0</v>
      </c>
      <c r="BB1500" s="0" t="n">
        <v>0</v>
      </c>
      <c r="BC1500" s="0" t="n">
        <v>0</v>
      </c>
      <c r="BD1500" s="0" t="n">
        <v>0</v>
      </c>
      <c r="BE1500" s="0" t="n">
        <v>0</v>
      </c>
      <c r="BF1500" s="0" t="n">
        <v>0</v>
      </c>
      <c r="BG1500" s="0" t="n">
        <v>0</v>
      </c>
      <c r="BH1500" s="0" t="n">
        <v>0</v>
      </c>
      <c r="BI1500" s="0" t="n">
        <v>0</v>
      </c>
      <c r="BJ1500" s="0" t="n">
        <v>0</v>
      </c>
      <c r="BK1500" s="0" t="n">
        <v>0</v>
      </c>
      <c r="BM1500" s="6" t="n">
        <f aca="false">IFERROR(VALUE(F1500),"")</f>
        <v>69.12</v>
      </c>
      <c r="BN1500" s="6" t="n">
        <f aca="false">IF(R1500="-","",IFERROR(VALUE(LEFT(Q1500,LEN(Q1500)-2)),""))</f>
        <v>17.2</v>
      </c>
      <c r="BO1500" s="6" t="n">
        <f aca="false">IF(R1500="-","",IFERROR(VALUE(LEFT(R1500,LEN(R1500)-5)),""))</f>
        <v>4.02</v>
      </c>
      <c r="BP1500" s="6" t="n">
        <f aca="false">IF(R1500="-","",IFERROR(VALUE(F1500),""))</f>
        <v>69.12</v>
      </c>
      <c r="BQ1500" s="4" t="n">
        <f aca="false">IF(R1500="-",1,0)</f>
        <v>0</v>
      </c>
    </row>
    <row r="1501" customFormat="false" ht="15" hidden="false" customHeight="false" outlineLevel="0" collapsed="false">
      <c r="A1501" s="0" t="s">
        <v>5574</v>
      </c>
      <c r="B1501" s="0" t="s">
        <v>5575</v>
      </c>
      <c r="C1501" s="0" t="s">
        <v>70</v>
      </c>
      <c r="D1501" s="0" t="s">
        <v>5576</v>
      </c>
      <c r="E1501" s="3" t="n">
        <v>46276</v>
      </c>
      <c r="F1501" s="4" t="s">
        <v>5588</v>
      </c>
      <c r="G1501" s="5" t="n">
        <v>0.147893518518519</v>
      </c>
      <c r="H1501" s="5" t="n">
        <v>0.13755787037037</v>
      </c>
      <c r="I1501" s="5" t="n">
        <v>0.000219907407407407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5" t="n">
        <v>0</v>
      </c>
      <c r="P1501" s="5" t="n">
        <v>0.00731481481481482</v>
      </c>
      <c r="Q1501" s="4" t="s">
        <v>5589</v>
      </c>
      <c r="R1501" s="4" t="s">
        <v>5590</v>
      </c>
      <c r="S1501" s="5" t="n">
        <v>0</v>
      </c>
      <c r="T1501" s="5" t="n">
        <v>0.0606481481481482</v>
      </c>
      <c r="U1501" s="5" t="n">
        <v>0.0599537037037037</v>
      </c>
      <c r="V1501" s="5" t="n">
        <v>0.0207175925925926</v>
      </c>
      <c r="W1501" s="5" t="n">
        <v>0</v>
      </c>
      <c r="X1501" s="5" t="n">
        <v>0</v>
      </c>
      <c r="Y1501" s="5" t="n">
        <v>0</v>
      </c>
      <c r="Z1501" s="0" t="n">
        <v>0</v>
      </c>
      <c r="AA1501" s="0" t="n">
        <v>0</v>
      </c>
      <c r="AB1501" s="0" t="n">
        <v>0</v>
      </c>
      <c r="AC1501" s="4" t="s">
        <v>159</v>
      </c>
      <c r="AD1501" s="4" t="s">
        <v>159</v>
      </c>
      <c r="AE1501" s="4" t="s">
        <v>5587</v>
      </c>
      <c r="AF1501" s="4" t="s">
        <v>5591</v>
      </c>
      <c r="AG1501" s="5" t="n">
        <v>0.111493055555556</v>
      </c>
      <c r="AH1501" s="5" t="n">
        <v>0.042962962962963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4" t="s">
        <v>78</v>
      </c>
      <c r="AN1501" s="0" t="n">
        <v>0</v>
      </c>
      <c r="AO1501" s="0" t="n">
        <v>0</v>
      </c>
      <c r="AP1501" s="0" t="n">
        <v>0</v>
      </c>
      <c r="AQ1501" s="0" t="n">
        <v>0</v>
      </c>
      <c r="AR1501" s="0" t="n">
        <v>2</v>
      </c>
      <c r="AS1501" s="0" t="n">
        <v>0</v>
      </c>
      <c r="AT1501" s="0" t="n">
        <v>0</v>
      </c>
      <c r="AU1501" s="0" t="n">
        <v>2</v>
      </c>
      <c r="AV1501" s="0" t="n">
        <v>0</v>
      </c>
      <c r="AW1501" s="0" t="n">
        <v>0</v>
      </c>
      <c r="AX1501" s="0" t="n">
        <v>0</v>
      </c>
      <c r="AY1501" s="0" t="n">
        <v>0</v>
      </c>
      <c r="AZ1501" s="0" t="n">
        <v>0</v>
      </c>
      <c r="BA1501" s="0" t="n">
        <v>0</v>
      </c>
      <c r="BB1501" s="0" t="n">
        <v>0</v>
      </c>
      <c r="BC1501" s="0" t="n">
        <v>0</v>
      </c>
      <c r="BD1501" s="0" t="n">
        <v>0</v>
      </c>
      <c r="BE1501" s="0" t="n">
        <v>0</v>
      </c>
      <c r="BF1501" s="0" t="n">
        <v>0</v>
      </c>
      <c r="BG1501" s="0" t="n">
        <v>0</v>
      </c>
      <c r="BH1501" s="0" t="n">
        <v>0</v>
      </c>
      <c r="BI1501" s="0" t="n">
        <v>0</v>
      </c>
      <c r="BJ1501" s="0" t="n">
        <v>0</v>
      </c>
      <c r="BK1501" s="0" t="n">
        <v>0</v>
      </c>
      <c r="BM1501" s="6" t="n">
        <f aca="false">IFERROR(VALUE(F1501),"")</f>
        <v>65.27</v>
      </c>
      <c r="BN1501" s="6" t="n">
        <f aca="false">IF(R1501="-","",IFERROR(VALUE(LEFT(Q1501,LEN(Q1501)-2)),""))</f>
        <v>17.77</v>
      </c>
      <c r="BO1501" s="6" t="n">
        <f aca="false">IF(R1501="-","",IFERROR(VALUE(LEFT(R1501,LEN(R1501)-5)),""))</f>
        <v>3.67</v>
      </c>
      <c r="BP1501" s="6" t="n">
        <f aca="false">IF(R1501="-","",IFERROR(VALUE(F1501),""))</f>
        <v>65.27</v>
      </c>
      <c r="BQ1501" s="4" t="n">
        <f aca="false">IF(R1501="-",1,0)</f>
        <v>0</v>
      </c>
    </row>
    <row r="1502" customFormat="false" ht="15" hidden="false" customHeight="false" outlineLevel="0" collapsed="false">
      <c r="A1502" s="0" t="s">
        <v>5574</v>
      </c>
      <c r="B1502" s="0" t="s">
        <v>5575</v>
      </c>
      <c r="C1502" s="0" t="s">
        <v>70</v>
      </c>
      <c r="E1502" s="3" t="n">
        <v>46277</v>
      </c>
      <c r="F1502" s="4" t="s">
        <v>5592</v>
      </c>
      <c r="G1502" s="5" t="n">
        <v>0.0105324074074074</v>
      </c>
      <c r="H1502" s="5" t="n">
        <v>0</v>
      </c>
      <c r="I1502" s="5" t="n">
        <v>0.000219907407407407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5" t="n">
        <v>0</v>
      </c>
      <c r="P1502" s="5" t="n">
        <v>0</v>
      </c>
      <c r="Q1502" s="4" t="s">
        <v>5593</v>
      </c>
      <c r="R1502" s="4" t="s">
        <v>309</v>
      </c>
      <c r="S1502" s="5" t="n">
        <v>0</v>
      </c>
      <c r="T1502" s="5" t="n">
        <v>0.00543981481481482</v>
      </c>
      <c r="U1502" s="5" t="n">
        <v>0.00393518518518519</v>
      </c>
      <c r="V1502" s="5" t="n">
        <v>0.000694444444444445</v>
      </c>
      <c r="W1502" s="5" t="n">
        <v>0</v>
      </c>
      <c r="X1502" s="5" t="n">
        <v>0</v>
      </c>
      <c r="Y1502" s="5" t="n">
        <v>0</v>
      </c>
      <c r="Z1502" s="0" t="n">
        <v>0</v>
      </c>
      <c r="AA1502" s="0" t="n">
        <v>0</v>
      </c>
      <c r="AB1502" s="0" t="n">
        <v>0</v>
      </c>
      <c r="AC1502" s="4" t="s">
        <v>159</v>
      </c>
      <c r="AD1502" s="4" t="s">
        <v>159</v>
      </c>
      <c r="AE1502" s="4" t="s">
        <v>5591</v>
      </c>
      <c r="AF1502" s="4" t="s">
        <v>5594</v>
      </c>
      <c r="AG1502" s="5" t="n">
        <v>0.00773148148148148</v>
      </c>
      <c r="AH1502" s="5" t="n">
        <v>0.00547453703703704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4" t="s">
        <v>78</v>
      </c>
      <c r="AN1502" s="0" t="n">
        <v>0</v>
      </c>
      <c r="AO1502" s="0" t="n">
        <v>0</v>
      </c>
      <c r="AP1502" s="0" t="n">
        <v>0</v>
      </c>
      <c r="AQ1502" s="0" t="n">
        <v>0</v>
      </c>
      <c r="AR1502" s="0" t="n">
        <v>0</v>
      </c>
      <c r="AS1502" s="0" t="n">
        <v>0</v>
      </c>
      <c r="AT1502" s="0" t="n">
        <v>0</v>
      </c>
      <c r="AU1502" s="0" t="n">
        <v>0</v>
      </c>
      <c r="AV1502" s="0" t="n">
        <v>0</v>
      </c>
      <c r="AW1502" s="0" t="n">
        <v>0</v>
      </c>
      <c r="AX1502" s="0" t="n">
        <v>0</v>
      </c>
      <c r="AY1502" s="0" t="n">
        <v>0</v>
      </c>
      <c r="AZ1502" s="0" t="n">
        <v>0</v>
      </c>
      <c r="BA1502" s="0" t="n">
        <v>0</v>
      </c>
      <c r="BB1502" s="0" t="n">
        <v>0</v>
      </c>
      <c r="BC1502" s="0" t="n">
        <v>0</v>
      </c>
      <c r="BD1502" s="0" t="n">
        <v>0</v>
      </c>
      <c r="BE1502" s="0" t="n">
        <v>0</v>
      </c>
      <c r="BF1502" s="0" t="n">
        <v>0</v>
      </c>
      <c r="BG1502" s="0" t="n">
        <v>0</v>
      </c>
      <c r="BH1502" s="0" t="n">
        <v>0</v>
      </c>
      <c r="BI1502" s="0" t="n">
        <v>0</v>
      </c>
      <c r="BJ1502" s="0" t="n">
        <v>0</v>
      </c>
      <c r="BK1502" s="0" t="n">
        <v>0</v>
      </c>
      <c r="BM1502" s="6" t="n">
        <f aca="false">IFERROR(VALUE(F1502),"")</f>
        <v>2.05</v>
      </c>
      <c r="BN1502" s="6" t="n">
        <f aca="false">IF(R1502="-","",IFERROR(VALUE(LEFT(Q1502,LEN(Q1502)-2)),""))</f>
        <v>0.83</v>
      </c>
      <c r="BO1502" s="6" t="n">
        <f aca="false">IF(R1502="-","",IFERROR(VALUE(LEFT(R1502,LEN(R1502)-5)),""))</f>
        <v>2.48</v>
      </c>
      <c r="BP1502" s="6" t="n">
        <f aca="false">IF(R1502="-","",IFERROR(VALUE(F1502),""))</f>
        <v>2.05</v>
      </c>
      <c r="BQ1502" s="4" t="n">
        <f aca="false">IF(R1502="-",1,0)</f>
        <v>0</v>
      </c>
    </row>
    <row r="1503" customFormat="false" ht="15" hidden="false" customHeight="false" outlineLevel="0" collapsed="false">
      <c r="A1503" s="0" t="s">
        <v>5574</v>
      </c>
      <c r="B1503" s="0" t="s">
        <v>5575</v>
      </c>
      <c r="C1503" s="0" t="s">
        <v>70</v>
      </c>
      <c r="D1503" s="0" t="s">
        <v>5502</v>
      </c>
      <c r="E1503" s="3" t="n">
        <v>46279</v>
      </c>
      <c r="F1503" s="4" t="s">
        <v>5595</v>
      </c>
      <c r="G1503" s="5" t="n">
        <v>0.129375</v>
      </c>
      <c r="H1503" s="5" t="n">
        <v>0.121863425925926</v>
      </c>
      <c r="I1503" s="5" t="n">
        <v>0.000196759259259259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5" t="n">
        <v>0</v>
      </c>
      <c r="P1503" s="5" t="n">
        <v>0</v>
      </c>
      <c r="Q1503" s="4" t="s">
        <v>5596</v>
      </c>
      <c r="R1503" s="4" t="s">
        <v>3922</v>
      </c>
      <c r="S1503" s="5" t="n">
        <v>0</v>
      </c>
      <c r="T1503" s="5" t="n">
        <v>0.0583333333333333</v>
      </c>
      <c r="U1503" s="5" t="n">
        <v>0.0524305555555556</v>
      </c>
      <c r="V1503" s="5" t="n">
        <v>0.0159722222222222</v>
      </c>
      <c r="W1503" s="5" t="n">
        <v>0</v>
      </c>
      <c r="X1503" s="5" t="n">
        <v>0</v>
      </c>
      <c r="Y1503" s="5" t="n">
        <v>0</v>
      </c>
      <c r="Z1503" s="0" t="n">
        <v>0</v>
      </c>
      <c r="AA1503" s="0" t="n">
        <v>0</v>
      </c>
      <c r="AB1503" s="0" t="n">
        <v>0</v>
      </c>
      <c r="AC1503" s="4" t="s">
        <v>159</v>
      </c>
      <c r="AD1503" s="4" t="s">
        <v>159</v>
      </c>
      <c r="AE1503" s="4" t="s">
        <v>5594</v>
      </c>
      <c r="AF1503" s="4" t="s">
        <v>5597</v>
      </c>
      <c r="AG1503" s="5" t="n">
        <v>0.111377314814815</v>
      </c>
      <c r="AH1503" s="5" t="n">
        <v>0.0220949074074074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4" t="s">
        <v>78</v>
      </c>
      <c r="AN1503" s="0" t="n">
        <v>0</v>
      </c>
      <c r="AO1503" s="0" t="n">
        <v>0</v>
      </c>
      <c r="AP1503" s="0" t="n">
        <v>0</v>
      </c>
      <c r="AQ1503" s="0" t="n">
        <v>0</v>
      </c>
      <c r="AR1503" s="0" t="n">
        <v>0</v>
      </c>
      <c r="AS1503" s="0" t="n">
        <v>0</v>
      </c>
      <c r="AT1503" s="0" t="n">
        <v>0</v>
      </c>
      <c r="AU1503" s="0" t="n">
        <v>1</v>
      </c>
      <c r="AV1503" s="0" t="n">
        <v>0</v>
      </c>
      <c r="AW1503" s="0" t="n">
        <v>0</v>
      </c>
      <c r="AX1503" s="0" t="n">
        <v>0</v>
      </c>
      <c r="AY1503" s="0" t="n">
        <v>0</v>
      </c>
      <c r="AZ1503" s="0" t="n">
        <v>0</v>
      </c>
      <c r="BA1503" s="0" t="n">
        <v>0</v>
      </c>
      <c r="BB1503" s="0" t="n">
        <v>0</v>
      </c>
      <c r="BC1503" s="0" t="n">
        <v>0</v>
      </c>
      <c r="BD1503" s="0" t="n">
        <v>0</v>
      </c>
      <c r="BE1503" s="0" t="n">
        <v>0</v>
      </c>
      <c r="BF1503" s="0" t="n">
        <v>0</v>
      </c>
      <c r="BG1503" s="0" t="n">
        <v>0</v>
      </c>
      <c r="BH1503" s="0" t="n">
        <v>0</v>
      </c>
      <c r="BI1503" s="0" t="n">
        <v>0</v>
      </c>
      <c r="BJ1503" s="0" t="n">
        <v>0</v>
      </c>
      <c r="BK1503" s="0" t="n">
        <v>0</v>
      </c>
      <c r="BM1503" s="6" t="n">
        <f aca="false">IFERROR(VALUE(F1503),"")</f>
        <v>63.96</v>
      </c>
      <c r="BN1503" s="6" t="n">
        <f aca="false">IF(R1503="-","",IFERROR(VALUE(LEFT(Q1503,LEN(Q1503)-2)),""))</f>
        <v>16.09</v>
      </c>
      <c r="BO1503" s="6" t="n">
        <f aca="false">IF(R1503="-","",IFERROR(VALUE(LEFT(R1503,LEN(R1503)-5)),""))</f>
        <v>3.98</v>
      </c>
      <c r="BP1503" s="6" t="n">
        <f aca="false">IF(R1503="-","",IFERROR(VALUE(F1503),""))</f>
        <v>63.96</v>
      </c>
      <c r="BQ1503" s="4" t="n">
        <f aca="false">IF(R1503="-",1,0)</f>
        <v>0</v>
      </c>
    </row>
    <row r="1504" customFormat="false" ht="15" hidden="false" customHeight="false" outlineLevel="0" collapsed="false">
      <c r="A1504" s="0" t="s">
        <v>5598</v>
      </c>
      <c r="B1504" s="0" t="s">
        <v>5599</v>
      </c>
      <c r="C1504" s="0" t="s">
        <v>70</v>
      </c>
      <c r="E1504" s="3" t="n">
        <v>46273</v>
      </c>
      <c r="F1504" s="4" t="s">
        <v>5600</v>
      </c>
      <c r="G1504" s="5" t="n">
        <v>0.21130787037037</v>
      </c>
      <c r="H1504" s="5" t="n">
        <v>0</v>
      </c>
      <c r="I1504" s="5" t="n">
        <v>0.0003125</v>
      </c>
      <c r="J1504" s="0" t="n">
        <v>0</v>
      </c>
      <c r="K1504" s="0" t="n">
        <v>2</v>
      </c>
      <c r="L1504" s="0" t="n">
        <v>0</v>
      </c>
      <c r="M1504" s="0" t="n">
        <v>0</v>
      </c>
      <c r="N1504" s="0" t="n">
        <v>0</v>
      </c>
      <c r="O1504" s="5" t="n">
        <v>0</v>
      </c>
      <c r="P1504" s="5" t="n">
        <v>0</v>
      </c>
      <c r="Q1504" s="4" t="s">
        <v>5601</v>
      </c>
      <c r="R1504" s="4" t="s">
        <v>5021</v>
      </c>
      <c r="S1504" s="5" t="n">
        <v>0.000231481481481482</v>
      </c>
      <c r="T1504" s="5" t="n">
        <v>0.0726851851851852</v>
      </c>
      <c r="U1504" s="5" t="n">
        <v>0.0762731481481482</v>
      </c>
      <c r="V1504" s="5" t="n">
        <v>0.0530092592592593</v>
      </c>
      <c r="W1504" s="5" t="n">
        <v>0.000115740740740741</v>
      </c>
      <c r="X1504" s="5" t="n">
        <v>0</v>
      </c>
      <c r="Y1504" s="5" t="n">
        <v>0</v>
      </c>
      <c r="Z1504" s="0" t="n">
        <v>0</v>
      </c>
      <c r="AA1504" s="0" t="n">
        <v>0</v>
      </c>
      <c r="AB1504" s="0" t="n">
        <v>0</v>
      </c>
      <c r="AC1504" s="4" t="s">
        <v>159</v>
      </c>
      <c r="AD1504" s="4" t="s">
        <v>159</v>
      </c>
      <c r="AE1504" s="4" t="s">
        <v>5602</v>
      </c>
      <c r="AF1504" s="4" t="s">
        <v>5603</v>
      </c>
      <c r="AG1504" s="5" t="n">
        <v>0.182766203703704</v>
      </c>
      <c r="AH1504" s="5" t="n">
        <v>0.0359953703703704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4" t="s">
        <v>78</v>
      </c>
      <c r="AN1504" s="0" t="n">
        <v>0</v>
      </c>
      <c r="AO1504" s="0" t="n">
        <v>0</v>
      </c>
      <c r="AP1504" s="0" t="n">
        <v>0</v>
      </c>
      <c r="AQ1504" s="0" t="n">
        <v>0</v>
      </c>
      <c r="AR1504" s="0" t="n">
        <v>3</v>
      </c>
      <c r="AS1504" s="0" t="n">
        <v>0</v>
      </c>
      <c r="AT1504" s="0" t="n">
        <v>0</v>
      </c>
      <c r="AU1504" s="0" t="n">
        <v>3</v>
      </c>
      <c r="AV1504" s="0" t="n">
        <v>0</v>
      </c>
      <c r="AW1504" s="0" t="n">
        <v>0</v>
      </c>
      <c r="AX1504" s="0" t="n">
        <v>0</v>
      </c>
      <c r="AY1504" s="0" t="n">
        <v>0</v>
      </c>
      <c r="AZ1504" s="0" t="n">
        <v>0</v>
      </c>
      <c r="BA1504" s="0" t="n">
        <v>0</v>
      </c>
      <c r="BB1504" s="0" t="n">
        <v>0</v>
      </c>
      <c r="BC1504" s="0" t="n">
        <v>0</v>
      </c>
      <c r="BD1504" s="0" t="n">
        <v>0</v>
      </c>
      <c r="BE1504" s="0" t="n">
        <v>0</v>
      </c>
      <c r="BF1504" s="0" t="n">
        <v>0</v>
      </c>
      <c r="BG1504" s="0" t="n">
        <v>0</v>
      </c>
      <c r="BH1504" s="0" t="n">
        <v>0</v>
      </c>
      <c r="BI1504" s="0" t="n">
        <v>0</v>
      </c>
      <c r="BJ1504" s="0" t="n">
        <v>0</v>
      </c>
      <c r="BK1504" s="0" t="n">
        <v>0</v>
      </c>
      <c r="BM1504" s="6" t="n">
        <f aca="false">IFERROR(VALUE(F1504),"")</f>
        <v>103.74</v>
      </c>
      <c r="BN1504" s="6" t="n">
        <f aca="false">IF(R1504="-","",IFERROR(VALUE(LEFT(Q1504,LEN(Q1504)-2)),""))</f>
        <v>25.09</v>
      </c>
      <c r="BO1504" s="6" t="n">
        <f aca="false">IF(R1504="-","",IFERROR(VALUE(LEFT(R1504,LEN(R1504)-5)),""))</f>
        <v>4.13</v>
      </c>
      <c r="BP1504" s="6" t="n">
        <f aca="false">IF(R1504="-","",IFERROR(VALUE(F1504),""))</f>
        <v>103.74</v>
      </c>
      <c r="BQ1504" s="4" t="n">
        <f aca="false">IF(R1504="-",1,0)</f>
        <v>0</v>
      </c>
    </row>
    <row r="1505" customFormat="false" ht="15" hidden="false" customHeight="false" outlineLevel="0" collapsed="false">
      <c r="A1505" s="0" t="s">
        <v>5598</v>
      </c>
      <c r="B1505" s="0" t="s">
        <v>5599</v>
      </c>
      <c r="C1505" s="0" t="s">
        <v>70</v>
      </c>
      <c r="E1505" s="3" t="n">
        <v>46274</v>
      </c>
      <c r="F1505" s="4" t="s">
        <v>5604</v>
      </c>
      <c r="G1505" s="5" t="n">
        <v>0.214884259259259</v>
      </c>
      <c r="H1505" s="5" t="n">
        <v>0</v>
      </c>
      <c r="I1505" s="5" t="n">
        <v>0.000335648148148148</v>
      </c>
      <c r="J1505" s="0" t="n">
        <v>0</v>
      </c>
      <c r="K1505" s="0" t="n">
        <v>1</v>
      </c>
      <c r="L1505" s="0" t="n">
        <v>0</v>
      </c>
      <c r="M1505" s="0" t="n">
        <v>0</v>
      </c>
      <c r="N1505" s="0" t="n">
        <v>0</v>
      </c>
      <c r="O1505" s="5" t="n">
        <v>0</v>
      </c>
      <c r="P1505" s="5" t="n">
        <v>0</v>
      </c>
      <c r="Q1505" s="4" t="s">
        <v>5605</v>
      </c>
      <c r="R1505" s="4" t="s">
        <v>3494</v>
      </c>
      <c r="S1505" s="5" t="n">
        <v>0</v>
      </c>
      <c r="T1505" s="5" t="n">
        <v>0.0873842592592593</v>
      </c>
      <c r="U1505" s="5" t="n">
        <v>0.0741898148148148</v>
      </c>
      <c r="V1505" s="5" t="n">
        <v>0.0449074074074074</v>
      </c>
      <c r="W1505" s="5" t="n">
        <v>0</v>
      </c>
      <c r="X1505" s="5" t="n">
        <v>0</v>
      </c>
      <c r="Y1505" s="5" t="n">
        <v>0</v>
      </c>
      <c r="Z1505" s="0" t="n">
        <v>0</v>
      </c>
      <c r="AA1505" s="0" t="n">
        <v>0</v>
      </c>
      <c r="AB1505" s="0" t="n">
        <v>0</v>
      </c>
      <c r="AC1505" s="4" t="s">
        <v>159</v>
      </c>
      <c r="AD1505" s="4" t="s">
        <v>159</v>
      </c>
      <c r="AE1505" s="4" t="s">
        <v>5603</v>
      </c>
      <c r="AF1505" s="4" t="s">
        <v>5606</v>
      </c>
      <c r="AG1505" s="5" t="n">
        <v>0.177962962962963</v>
      </c>
      <c r="AH1505" s="5" t="n">
        <v>0.0495833333333333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4" t="s">
        <v>78</v>
      </c>
      <c r="AN1505" s="0" t="n">
        <v>0</v>
      </c>
      <c r="AO1505" s="0" t="n">
        <v>0</v>
      </c>
      <c r="AP1505" s="0" t="n">
        <v>0</v>
      </c>
      <c r="AQ1505" s="0" t="n">
        <v>0</v>
      </c>
      <c r="AR1505" s="0" t="n">
        <v>4</v>
      </c>
      <c r="AS1505" s="0" t="n">
        <v>0</v>
      </c>
      <c r="AT1505" s="0" t="n">
        <v>0</v>
      </c>
      <c r="AU1505" s="0" t="n">
        <v>7</v>
      </c>
      <c r="AV1505" s="0" t="n">
        <v>0</v>
      </c>
      <c r="AW1505" s="0" t="n">
        <v>0</v>
      </c>
      <c r="AX1505" s="0" t="n">
        <v>0</v>
      </c>
      <c r="AY1505" s="0" t="n">
        <v>0</v>
      </c>
      <c r="AZ1505" s="0" t="n">
        <v>0</v>
      </c>
      <c r="BA1505" s="0" t="n">
        <v>0</v>
      </c>
      <c r="BB1505" s="0" t="n">
        <v>0</v>
      </c>
      <c r="BC1505" s="0" t="n">
        <v>0</v>
      </c>
      <c r="BD1505" s="0" t="n">
        <v>0</v>
      </c>
      <c r="BE1505" s="0" t="n">
        <v>0</v>
      </c>
      <c r="BF1505" s="0" t="n">
        <v>0</v>
      </c>
      <c r="BG1505" s="0" t="n">
        <v>0</v>
      </c>
      <c r="BH1505" s="0" t="n">
        <v>0</v>
      </c>
      <c r="BI1505" s="0" t="n">
        <v>0</v>
      </c>
      <c r="BJ1505" s="0" t="n">
        <v>0</v>
      </c>
      <c r="BK1505" s="0" t="n">
        <v>0</v>
      </c>
      <c r="BM1505" s="6" t="n">
        <f aca="false">IFERROR(VALUE(F1505),"")</f>
        <v>97.29</v>
      </c>
      <c r="BN1505" s="6" t="n">
        <f aca="false">IF(R1505="-","",IFERROR(VALUE(LEFT(Q1505,LEN(Q1505)-2)),""))</f>
        <v>23.9</v>
      </c>
      <c r="BO1505" s="6" t="n">
        <f aca="false">IF(R1505="-","",IFERROR(VALUE(LEFT(R1505,LEN(R1505)-5)),""))</f>
        <v>4.07</v>
      </c>
      <c r="BP1505" s="6" t="n">
        <f aca="false">IF(R1505="-","",IFERROR(VALUE(F1505),""))</f>
        <v>97.29</v>
      </c>
      <c r="BQ1505" s="4" t="n">
        <f aca="false">IF(R1505="-",1,0)</f>
        <v>0</v>
      </c>
    </row>
    <row r="1506" customFormat="false" ht="15" hidden="false" customHeight="false" outlineLevel="0" collapsed="false">
      <c r="A1506" s="0" t="s">
        <v>5598</v>
      </c>
      <c r="B1506" s="0" t="s">
        <v>5599</v>
      </c>
      <c r="C1506" s="0" t="s">
        <v>70</v>
      </c>
      <c r="E1506" s="3" t="n">
        <v>46275</v>
      </c>
      <c r="F1506" s="4" t="s">
        <v>5607</v>
      </c>
      <c r="G1506" s="5" t="n">
        <v>0.118761574074074</v>
      </c>
      <c r="H1506" s="5" t="n">
        <v>0</v>
      </c>
      <c r="I1506" s="5" t="n">
        <v>0.000428240740740741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5" t="n">
        <v>0</v>
      </c>
      <c r="P1506" s="5" t="n">
        <v>0</v>
      </c>
      <c r="Q1506" s="4" t="s">
        <v>5608</v>
      </c>
      <c r="R1506" s="4" t="s">
        <v>5609</v>
      </c>
      <c r="S1506" s="5" t="n">
        <v>0</v>
      </c>
      <c r="T1506" s="5" t="n">
        <v>0.0324074074074074</v>
      </c>
      <c r="U1506" s="5" t="n">
        <v>0.0493055555555556</v>
      </c>
      <c r="V1506" s="5" t="n">
        <v>0.0331018518518519</v>
      </c>
      <c r="W1506" s="5" t="n">
        <v>0</v>
      </c>
      <c r="X1506" s="5" t="n">
        <v>0</v>
      </c>
      <c r="Y1506" s="5" t="n">
        <v>0</v>
      </c>
      <c r="Z1506" s="0" t="n">
        <v>0</v>
      </c>
      <c r="AA1506" s="0" t="n">
        <v>0</v>
      </c>
      <c r="AB1506" s="0" t="n">
        <v>0</v>
      </c>
      <c r="AC1506" s="4" t="s">
        <v>159</v>
      </c>
      <c r="AD1506" s="4" t="s">
        <v>158</v>
      </c>
      <c r="AE1506" s="4" t="s">
        <v>5606</v>
      </c>
      <c r="AF1506" s="4" t="s">
        <v>5610</v>
      </c>
      <c r="AG1506" s="5" t="n">
        <v>0.106145833333333</v>
      </c>
      <c r="AH1506" s="5" t="n">
        <v>0.0219907407407407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4" t="s">
        <v>78</v>
      </c>
      <c r="AN1506" s="0" t="n">
        <v>0</v>
      </c>
      <c r="AO1506" s="0" t="n">
        <v>0</v>
      </c>
      <c r="AP1506" s="0" t="n">
        <v>0</v>
      </c>
      <c r="AQ1506" s="0" t="n">
        <v>0</v>
      </c>
      <c r="AR1506" s="0" t="n">
        <v>0</v>
      </c>
      <c r="AS1506" s="0" t="n">
        <v>0</v>
      </c>
      <c r="AT1506" s="0" t="n">
        <v>0</v>
      </c>
      <c r="AU1506" s="0" t="n">
        <v>0</v>
      </c>
      <c r="AV1506" s="0" t="n">
        <v>0</v>
      </c>
      <c r="AW1506" s="0" t="n">
        <v>0</v>
      </c>
      <c r="AX1506" s="0" t="n">
        <v>0</v>
      </c>
      <c r="AY1506" s="0" t="n">
        <v>0</v>
      </c>
      <c r="AZ1506" s="0" t="n">
        <v>0</v>
      </c>
      <c r="BA1506" s="0" t="n">
        <v>0</v>
      </c>
      <c r="BB1506" s="0" t="n">
        <v>0</v>
      </c>
      <c r="BC1506" s="0" t="n">
        <v>0</v>
      </c>
      <c r="BD1506" s="0" t="n">
        <v>0</v>
      </c>
      <c r="BE1506" s="0" t="n">
        <v>0</v>
      </c>
      <c r="BF1506" s="0" t="n">
        <v>0</v>
      </c>
      <c r="BG1506" s="0" t="n">
        <v>0</v>
      </c>
      <c r="BH1506" s="0" t="n">
        <v>0</v>
      </c>
      <c r="BI1506" s="0" t="n">
        <v>0</v>
      </c>
      <c r="BJ1506" s="0" t="n">
        <v>0</v>
      </c>
      <c r="BK1506" s="0" t="n">
        <v>0</v>
      </c>
      <c r="BM1506" s="6" t="n">
        <f aca="false">IFERROR(VALUE(F1506),"")</f>
        <v>86.01</v>
      </c>
      <c r="BN1506" s="6" t="n">
        <f aca="false">IF(R1506="-","",IFERROR(VALUE(LEFT(Q1506,LEN(Q1506)-2)),""))</f>
        <v>18.12</v>
      </c>
      <c r="BO1506" s="6" t="n">
        <f aca="false">IF(R1506="-","",IFERROR(VALUE(LEFT(R1506,LEN(R1506)-5)),""))</f>
        <v>4.75</v>
      </c>
      <c r="BP1506" s="6" t="n">
        <f aca="false">IF(R1506="-","",IFERROR(VALUE(F1506),""))</f>
        <v>86.01</v>
      </c>
      <c r="BQ1506" s="4" t="n">
        <f aca="false">IF(R1506="-",1,0)</f>
        <v>0</v>
      </c>
    </row>
    <row r="1507" customFormat="false" ht="15" hidden="false" customHeight="false" outlineLevel="0" collapsed="false">
      <c r="A1507" s="0" t="s">
        <v>5598</v>
      </c>
      <c r="B1507" s="0" t="s">
        <v>5599</v>
      </c>
      <c r="C1507" s="0" t="s">
        <v>70</v>
      </c>
      <c r="E1507" s="3" t="n">
        <v>46276</v>
      </c>
      <c r="F1507" s="4" t="s">
        <v>5611</v>
      </c>
      <c r="G1507" s="5" t="n">
        <v>0.116446759259259</v>
      </c>
      <c r="H1507" s="5" t="n">
        <v>0</v>
      </c>
      <c r="I1507" s="5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5" t="n">
        <v>0</v>
      </c>
      <c r="P1507" s="5" t="n">
        <v>0</v>
      </c>
      <c r="Q1507" s="4" t="s">
        <v>5612</v>
      </c>
      <c r="R1507" s="4" t="s">
        <v>5613</v>
      </c>
      <c r="S1507" s="5" t="n">
        <v>0.000115740740740741</v>
      </c>
      <c r="T1507" s="5" t="n">
        <v>0.0332175925925926</v>
      </c>
      <c r="U1507" s="5" t="n">
        <v>0.0358796296296296</v>
      </c>
      <c r="V1507" s="5" t="n">
        <v>0.0423611111111111</v>
      </c>
      <c r="W1507" s="5" t="n">
        <v>0</v>
      </c>
      <c r="X1507" s="5" t="n">
        <v>0</v>
      </c>
      <c r="Y1507" s="5" t="n">
        <v>0</v>
      </c>
      <c r="Z1507" s="0" t="n">
        <v>0</v>
      </c>
      <c r="AA1507" s="0" t="n">
        <v>0</v>
      </c>
      <c r="AB1507" s="0" t="n">
        <v>0</v>
      </c>
      <c r="AC1507" s="4" t="s">
        <v>158</v>
      </c>
      <c r="AD1507" s="4" t="s">
        <v>159</v>
      </c>
      <c r="AE1507" s="4" t="s">
        <v>5610</v>
      </c>
      <c r="AF1507" s="4" t="s">
        <v>5614</v>
      </c>
      <c r="AG1507" s="5" t="n">
        <v>0.0995023148148148</v>
      </c>
      <c r="AH1507" s="5" t="n">
        <v>0.0288541666666667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4" t="s">
        <v>78</v>
      </c>
      <c r="AN1507" s="0" t="n">
        <v>0</v>
      </c>
      <c r="AO1507" s="0" t="n">
        <v>0</v>
      </c>
      <c r="AP1507" s="0" t="n">
        <v>0</v>
      </c>
      <c r="AQ1507" s="0" t="n">
        <v>0</v>
      </c>
      <c r="AR1507" s="0" t="n">
        <v>1</v>
      </c>
      <c r="AS1507" s="0" t="n">
        <v>0</v>
      </c>
      <c r="AT1507" s="0" t="n">
        <v>0</v>
      </c>
      <c r="AU1507" s="0" t="n">
        <v>1</v>
      </c>
      <c r="AV1507" s="0" t="n">
        <v>0</v>
      </c>
      <c r="AW1507" s="0" t="n">
        <v>0</v>
      </c>
      <c r="AX1507" s="0" t="n">
        <v>0</v>
      </c>
      <c r="AY1507" s="0" t="n">
        <v>0</v>
      </c>
      <c r="AZ1507" s="0" t="n">
        <v>0</v>
      </c>
      <c r="BA1507" s="0" t="n">
        <v>0</v>
      </c>
      <c r="BB1507" s="0" t="n">
        <v>0</v>
      </c>
      <c r="BC1507" s="0" t="n">
        <v>0</v>
      </c>
      <c r="BD1507" s="0" t="n">
        <v>0</v>
      </c>
      <c r="BE1507" s="0" t="n">
        <v>0</v>
      </c>
      <c r="BF1507" s="0" t="n">
        <v>0</v>
      </c>
      <c r="BG1507" s="0" t="n">
        <v>0</v>
      </c>
      <c r="BH1507" s="0" t="n">
        <v>0</v>
      </c>
      <c r="BI1507" s="0" t="n">
        <v>0</v>
      </c>
      <c r="BJ1507" s="0" t="n">
        <v>0</v>
      </c>
      <c r="BK1507" s="0" t="n">
        <v>0</v>
      </c>
      <c r="BM1507" s="6" t="n">
        <f aca="false">IFERROR(VALUE(F1507),"")</f>
        <v>96.66</v>
      </c>
      <c r="BN1507" s="6" t="n">
        <f aca="false">IF(R1507="-","",IFERROR(VALUE(LEFT(Q1507,LEN(Q1507)-2)),""))</f>
        <v>18.38</v>
      </c>
      <c r="BO1507" s="6" t="n">
        <f aca="false">IF(R1507="-","",IFERROR(VALUE(LEFT(R1507,LEN(R1507)-5)),""))</f>
        <v>5.26</v>
      </c>
      <c r="BP1507" s="6" t="n">
        <f aca="false">IF(R1507="-","",IFERROR(VALUE(F1507),""))</f>
        <v>96.66</v>
      </c>
      <c r="BQ1507" s="4" t="n">
        <f aca="false">IF(R1507="-",1,0)</f>
        <v>0</v>
      </c>
    </row>
    <row r="1508" customFormat="false" ht="15" hidden="false" customHeight="false" outlineLevel="0" collapsed="false">
      <c r="A1508" s="0" t="s">
        <v>5598</v>
      </c>
      <c r="B1508" s="0" t="s">
        <v>5599</v>
      </c>
      <c r="C1508" s="0" t="s">
        <v>70</v>
      </c>
      <c r="D1508" s="0" t="s">
        <v>5615</v>
      </c>
      <c r="E1508" s="3" t="n">
        <v>46277</v>
      </c>
      <c r="F1508" s="4" t="s">
        <v>5616</v>
      </c>
      <c r="G1508" s="5" t="n">
        <v>0.00991898148148148</v>
      </c>
      <c r="H1508" s="5" t="n">
        <v>0.00940972222222222</v>
      </c>
      <c r="I1508" s="5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5" t="n">
        <v>0</v>
      </c>
      <c r="P1508" s="5" t="n">
        <v>0</v>
      </c>
      <c r="Q1508" s="4" t="s">
        <v>4061</v>
      </c>
      <c r="R1508" s="4" t="s">
        <v>1183</v>
      </c>
      <c r="S1508" s="5" t="n">
        <v>0</v>
      </c>
      <c r="T1508" s="5" t="n">
        <v>0.00555555555555556</v>
      </c>
      <c r="U1508" s="5" t="n">
        <v>0.00289351851851852</v>
      </c>
      <c r="V1508" s="5" t="n">
        <v>0.00115740740740741</v>
      </c>
      <c r="W1508" s="5" t="n">
        <v>0</v>
      </c>
      <c r="X1508" s="5" t="n">
        <v>0</v>
      </c>
      <c r="Y1508" s="5" t="n">
        <v>0</v>
      </c>
      <c r="Z1508" s="0" t="n">
        <v>0</v>
      </c>
      <c r="AA1508" s="0" t="n">
        <v>0</v>
      </c>
      <c r="AB1508" s="0" t="n">
        <v>0</v>
      </c>
      <c r="AC1508" s="4" t="s">
        <v>159</v>
      </c>
      <c r="AD1508" s="4" t="s">
        <v>159</v>
      </c>
      <c r="AE1508" s="4" t="s">
        <v>5614</v>
      </c>
      <c r="AF1508" s="4" t="s">
        <v>5617</v>
      </c>
      <c r="AG1508" s="5" t="n">
        <v>0.00685185185185185</v>
      </c>
      <c r="AH1508" s="5" t="n">
        <v>0.00439814814814815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4" t="s">
        <v>78</v>
      </c>
      <c r="AN1508" s="0" t="n">
        <v>0</v>
      </c>
      <c r="AO1508" s="0" t="n">
        <v>0</v>
      </c>
      <c r="AP1508" s="0" t="n">
        <v>0</v>
      </c>
      <c r="AQ1508" s="0" t="n">
        <v>0</v>
      </c>
      <c r="AR1508" s="0" t="n">
        <v>0</v>
      </c>
      <c r="AS1508" s="0" t="n">
        <v>0</v>
      </c>
      <c r="AT1508" s="0" t="n">
        <v>0</v>
      </c>
      <c r="AU1508" s="0" t="n">
        <v>0</v>
      </c>
      <c r="AV1508" s="0" t="n">
        <v>0</v>
      </c>
      <c r="AW1508" s="0" t="n">
        <v>0</v>
      </c>
      <c r="AX1508" s="0" t="n">
        <v>0</v>
      </c>
      <c r="AY1508" s="0" t="n">
        <v>0</v>
      </c>
      <c r="AZ1508" s="0" t="n">
        <v>0</v>
      </c>
      <c r="BA1508" s="0" t="n">
        <v>0</v>
      </c>
      <c r="BB1508" s="0" t="n">
        <v>0</v>
      </c>
      <c r="BC1508" s="0" t="n">
        <v>0</v>
      </c>
      <c r="BD1508" s="0" t="n">
        <v>0</v>
      </c>
      <c r="BE1508" s="0" t="n">
        <v>0</v>
      </c>
      <c r="BF1508" s="0" t="n">
        <v>0</v>
      </c>
      <c r="BG1508" s="0" t="n">
        <v>0</v>
      </c>
      <c r="BH1508" s="0" t="n">
        <v>0</v>
      </c>
      <c r="BI1508" s="0" t="n">
        <v>0</v>
      </c>
      <c r="BJ1508" s="0" t="n">
        <v>0</v>
      </c>
      <c r="BK1508" s="0" t="n">
        <v>0</v>
      </c>
      <c r="BM1508" s="6" t="n">
        <f aca="false">IFERROR(VALUE(F1508),"")</f>
        <v>1.92</v>
      </c>
      <c r="BN1508" s="6" t="n">
        <f aca="false">IF(R1508="-","",IFERROR(VALUE(LEFT(Q1508,LEN(Q1508)-2)),""))</f>
        <v>0.73</v>
      </c>
      <c r="BO1508" s="6" t="n">
        <f aca="false">IF(R1508="-","",IFERROR(VALUE(LEFT(R1508,LEN(R1508)-5)),""))</f>
        <v>2.64</v>
      </c>
      <c r="BP1508" s="6" t="n">
        <f aca="false">IF(R1508="-","",IFERROR(VALUE(F1508),""))</f>
        <v>1.92</v>
      </c>
      <c r="BQ1508" s="4" t="n">
        <f aca="false">IF(R1508="-",1,0)</f>
        <v>0</v>
      </c>
    </row>
    <row r="1509" customFormat="false" ht="15" hidden="false" customHeight="false" outlineLevel="0" collapsed="false">
      <c r="A1509" s="0" t="s">
        <v>5598</v>
      </c>
      <c r="B1509" s="0" t="s">
        <v>5599</v>
      </c>
      <c r="C1509" s="0" t="s">
        <v>70</v>
      </c>
      <c r="E1509" s="3" t="n">
        <v>46279</v>
      </c>
      <c r="F1509" s="4" t="s">
        <v>5618</v>
      </c>
      <c r="G1509" s="5" t="n">
        <v>0.191990740740741</v>
      </c>
      <c r="H1509" s="5" t="n">
        <v>0</v>
      </c>
      <c r="I1509" s="5" t="n">
        <v>0.000347222222222222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5" t="n">
        <v>0</v>
      </c>
      <c r="P1509" s="5" t="n">
        <v>0</v>
      </c>
      <c r="Q1509" s="4" t="s">
        <v>5619</v>
      </c>
      <c r="R1509" s="4" t="s">
        <v>5620</v>
      </c>
      <c r="S1509" s="5" t="n">
        <v>0.000115740740740741</v>
      </c>
      <c r="T1509" s="5" t="n">
        <v>0.0722222222222222</v>
      </c>
      <c r="U1509" s="5" t="n">
        <v>0.0663194444444444</v>
      </c>
      <c r="V1509" s="5" t="n">
        <v>0.0469907407407407</v>
      </c>
      <c r="W1509" s="5" t="n">
        <v>0</v>
      </c>
      <c r="X1509" s="5" t="n">
        <v>0</v>
      </c>
      <c r="Y1509" s="5" t="n">
        <v>0</v>
      </c>
      <c r="Z1509" s="0" t="n">
        <v>0</v>
      </c>
      <c r="AA1509" s="0" t="n">
        <v>0</v>
      </c>
      <c r="AB1509" s="0" t="n">
        <v>0</v>
      </c>
      <c r="AC1509" s="4" t="s">
        <v>158</v>
      </c>
      <c r="AD1509" s="4" t="s">
        <v>159</v>
      </c>
      <c r="AE1509" s="4" t="s">
        <v>5617</v>
      </c>
      <c r="AF1509" s="4" t="s">
        <v>5621</v>
      </c>
      <c r="AG1509" s="5" t="n">
        <v>0.162048611111111</v>
      </c>
      <c r="AH1509" s="5" t="n">
        <v>0.0399537037037037</v>
      </c>
      <c r="AI1509" s="5" t="n">
        <v>0</v>
      </c>
      <c r="AJ1509" s="5" t="n">
        <v>0</v>
      </c>
      <c r="AK1509" s="5" t="n">
        <v>0</v>
      </c>
      <c r="AL1509" s="5" t="n">
        <v>0</v>
      </c>
      <c r="AM1509" s="4" t="s">
        <v>78</v>
      </c>
      <c r="AN1509" s="0" t="n">
        <v>0</v>
      </c>
      <c r="AO1509" s="0" t="n">
        <v>0</v>
      </c>
      <c r="AP1509" s="0" t="n">
        <v>0</v>
      </c>
      <c r="AQ1509" s="0" t="n">
        <v>0</v>
      </c>
      <c r="AR1509" s="0" t="n">
        <v>0</v>
      </c>
      <c r="AS1509" s="0" t="n">
        <v>0</v>
      </c>
      <c r="AT1509" s="0" t="n">
        <v>0</v>
      </c>
      <c r="AU1509" s="0" t="n">
        <v>1</v>
      </c>
      <c r="AV1509" s="0" t="n">
        <v>0</v>
      </c>
      <c r="AW1509" s="0" t="n">
        <v>0</v>
      </c>
      <c r="AX1509" s="0" t="n">
        <v>0</v>
      </c>
      <c r="AY1509" s="0" t="n">
        <v>0</v>
      </c>
      <c r="AZ1509" s="0" t="n">
        <v>0</v>
      </c>
      <c r="BA1509" s="0" t="n">
        <v>0</v>
      </c>
      <c r="BB1509" s="0" t="n">
        <v>0</v>
      </c>
      <c r="BC1509" s="0" t="n">
        <v>0</v>
      </c>
      <c r="BD1509" s="0" t="n">
        <v>0</v>
      </c>
      <c r="BE1509" s="0" t="n">
        <v>0</v>
      </c>
      <c r="BF1509" s="0" t="n">
        <v>0</v>
      </c>
      <c r="BG1509" s="0" t="n">
        <v>0</v>
      </c>
      <c r="BH1509" s="0" t="n">
        <v>0</v>
      </c>
      <c r="BI1509" s="0" t="n">
        <v>0</v>
      </c>
      <c r="BJ1509" s="0" t="n">
        <v>0</v>
      </c>
      <c r="BK1509" s="0" t="n">
        <v>0</v>
      </c>
      <c r="BM1509" s="6" t="n">
        <f aca="false">IFERROR(VALUE(F1509),"")</f>
        <v>93.93</v>
      </c>
      <c r="BN1509" s="6" t="n">
        <f aca="false">IF(R1509="-","",IFERROR(VALUE(LEFT(Q1509,LEN(Q1509)-2)),""))</f>
        <v>23.91</v>
      </c>
      <c r="BO1509" s="6" t="n">
        <f aca="false">IF(R1509="-","",IFERROR(VALUE(LEFT(R1509,LEN(R1509)-5)),""))</f>
        <v>3.93</v>
      </c>
      <c r="BP1509" s="6" t="n">
        <f aca="false">IF(R1509="-","",IFERROR(VALUE(F1509),""))</f>
        <v>93.93</v>
      </c>
      <c r="BQ1509" s="4" t="n">
        <f aca="false">IF(R1509="-",1,0)</f>
        <v>0</v>
      </c>
    </row>
    <row r="1510" customFormat="false" ht="15" hidden="false" customHeight="false" outlineLevel="0" collapsed="false">
      <c r="A1510" s="0" t="s">
        <v>5622</v>
      </c>
      <c r="B1510" s="0" t="s">
        <v>5623</v>
      </c>
      <c r="C1510" s="0" t="s">
        <v>70</v>
      </c>
      <c r="D1510" s="0" t="s">
        <v>5624</v>
      </c>
      <c r="E1510" s="3" t="n">
        <v>46273</v>
      </c>
      <c r="F1510" s="4" t="s">
        <v>95</v>
      </c>
      <c r="G1510" s="5" t="n">
        <v>0.52162037037037</v>
      </c>
      <c r="H1510" s="5" t="n">
        <v>0.476412037037037</v>
      </c>
      <c r="I1510" s="5" t="n">
        <v>0.000659722222222222</v>
      </c>
      <c r="J1510" s="0" t="n">
        <v>0</v>
      </c>
      <c r="K1510" s="0" t="n">
        <v>1</v>
      </c>
      <c r="L1510" s="0" t="n">
        <v>0</v>
      </c>
      <c r="M1510" s="0" t="n">
        <v>0</v>
      </c>
      <c r="N1510" s="0" t="n">
        <v>0</v>
      </c>
      <c r="O1510" s="5" t="n">
        <v>0</v>
      </c>
      <c r="P1510" s="5" t="n">
        <v>0.0291319444444444</v>
      </c>
      <c r="Q1510" s="4" t="s">
        <v>5625</v>
      </c>
      <c r="R1510" s="4" t="s">
        <v>454</v>
      </c>
      <c r="S1510" s="5" t="n">
        <v>0.000231481481481482</v>
      </c>
      <c r="T1510" s="5" t="n">
        <v>0.128009259259259</v>
      </c>
      <c r="U1510" s="5" t="n">
        <v>0.317476851851852</v>
      </c>
      <c r="V1510" s="5" t="n">
        <v>0.0133101851851852</v>
      </c>
      <c r="W1510" s="5" t="n">
        <v>0</v>
      </c>
      <c r="X1510" s="5" t="n">
        <v>0</v>
      </c>
      <c r="Y1510" s="5" t="n">
        <v>0</v>
      </c>
      <c r="Z1510" s="0" t="n">
        <v>0</v>
      </c>
      <c r="AA1510" s="0" t="n">
        <v>0</v>
      </c>
      <c r="AB1510" s="0" t="n">
        <v>0</v>
      </c>
      <c r="AC1510" s="4" t="s">
        <v>1998</v>
      </c>
      <c r="AD1510" s="4" t="s">
        <v>5626</v>
      </c>
      <c r="AE1510" s="4" t="s">
        <v>5627</v>
      </c>
      <c r="AF1510" s="4" t="s">
        <v>5627</v>
      </c>
      <c r="AG1510" s="5" t="n">
        <v>0.395543981481482</v>
      </c>
      <c r="AH1510" s="5" t="n">
        <v>0.171979166666667</v>
      </c>
      <c r="AI1510" s="5" t="n">
        <v>0</v>
      </c>
      <c r="AJ1510" s="5" t="n">
        <v>0</v>
      </c>
      <c r="AK1510" s="5" t="n">
        <v>0</v>
      </c>
      <c r="AL1510" s="5" t="n">
        <v>0</v>
      </c>
      <c r="AM1510" s="4" t="s">
        <v>78</v>
      </c>
      <c r="AN1510" s="0" t="n">
        <v>0</v>
      </c>
      <c r="AO1510" s="0" t="n">
        <v>0</v>
      </c>
      <c r="AP1510" s="0" t="n">
        <v>0</v>
      </c>
      <c r="AQ1510" s="0" t="n">
        <v>0</v>
      </c>
      <c r="AR1510" s="0" t="n">
        <v>4</v>
      </c>
      <c r="AS1510" s="0" t="n">
        <v>0</v>
      </c>
      <c r="AT1510" s="0" t="n">
        <v>0</v>
      </c>
      <c r="AU1510" s="0" t="n">
        <v>1</v>
      </c>
      <c r="AV1510" s="0" t="n">
        <v>0</v>
      </c>
      <c r="AW1510" s="0" t="n">
        <v>0</v>
      </c>
      <c r="AX1510" s="0" t="n">
        <v>0</v>
      </c>
      <c r="AY1510" s="0" t="n">
        <v>0</v>
      </c>
      <c r="AZ1510" s="0" t="n">
        <v>0</v>
      </c>
      <c r="BA1510" s="0" t="n">
        <v>0</v>
      </c>
      <c r="BB1510" s="0" t="n">
        <v>0</v>
      </c>
      <c r="BC1510" s="0" t="n">
        <v>0</v>
      </c>
      <c r="BD1510" s="0" t="n">
        <v>0</v>
      </c>
      <c r="BE1510" s="0" t="n">
        <v>0</v>
      </c>
      <c r="BF1510" s="0" t="n">
        <v>0</v>
      </c>
      <c r="BG1510" s="0" t="n">
        <v>0</v>
      </c>
      <c r="BH1510" s="0" t="n">
        <v>0</v>
      </c>
      <c r="BI1510" s="0" t="n">
        <v>0</v>
      </c>
      <c r="BJ1510" s="0" t="n">
        <v>0</v>
      </c>
      <c r="BK1510" s="0" t="n">
        <v>0</v>
      </c>
      <c r="BM1510" s="6" t="n">
        <f aca="false">IFERROR(VALUE(F1510),"")</f>
        <v>0</v>
      </c>
      <c r="BN1510" s="6" t="n">
        <f aca="false">IF(R1510="-","",IFERROR(VALUE(LEFT(Q1510,LEN(Q1510)-2)),""))</f>
        <v>150.14</v>
      </c>
      <c r="BO1510" s="6" t="n">
        <f aca="false">IF(R1510="-","",IFERROR(VALUE(LEFT(R1510,LEN(R1510)-5)),""))</f>
        <v>0</v>
      </c>
      <c r="BP1510" s="6" t="n">
        <f aca="false">IF(R1510="-","",IFERROR(VALUE(F1510),""))</f>
        <v>0</v>
      </c>
      <c r="BQ1510" s="4" t="n">
        <f aca="false">IF(R1510="-",1,0)</f>
        <v>0</v>
      </c>
    </row>
    <row r="1511" customFormat="false" ht="15" hidden="false" customHeight="false" outlineLevel="0" collapsed="false">
      <c r="A1511" s="0" t="s">
        <v>5622</v>
      </c>
      <c r="B1511" s="0" t="s">
        <v>5623</v>
      </c>
      <c r="C1511" s="0" t="s">
        <v>70</v>
      </c>
      <c r="D1511" s="0" t="s">
        <v>5628</v>
      </c>
      <c r="E1511" s="3" t="n">
        <v>46274</v>
      </c>
      <c r="F1511" s="4" t="s">
        <v>95</v>
      </c>
      <c r="G1511" s="5" t="n">
        <v>0.45443287037037</v>
      </c>
      <c r="H1511" s="5" t="n">
        <v>0.435300925925926</v>
      </c>
      <c r="I1511" s="5" t="n">
        <v>0.00115740740740741</v>
      </c>
      <c r="J1511" s="0" t="n">
        <v>0</v>
      </c>
      <c r="K1511" s="0" t="n">
        <v>1</v>
      </c>
      <c r="L1511" s="0" t="n">
        <v>0</v>
      </c>
      <c r="M1511" s="0" t="n">
        <v>0</v>
      </c>
      <c r="N1511" s="0" t="n">
        <v>0</v>
      </c>
      <c r="O1511" s="5" t="n">
        <v>0</v>
      </c>
      <c r="P1511" s="5" t="n">
        <v>0</v>
      </c>
      <c r="Q1511" s="4" t="s">
        <v>5629</v>
      </c>
      <c r="R1511" s="4" t="s">
        <v>454</v>
      </c>
      <c r="S1511" s="5" t="n">
        <v>0.000347222222222222</v>
      </c>
      <c r="T1511" s="5" t="n">
        <v>0.0819444444444444</v>
      </c>
      <c r="U1511" s="5" t="n">
        <v>0.310185185185185</v>
      </c>
      <c r="V1511" s="5" t="n">
        <v>0.00763888888888889</v>
      </c>
      <c r="W1511" s="5" t="n">
        <v>0.000115740740740741</v>
      </c>
      <c r="X1511" s="5" t="n">
        <v>0</v>
      </c>
      <c r="Y1511" s="5" t="n">
        <v>0</v>
      </c>
      <c r="Z1511" s="0" t="n">
        <v>0</v>
      </c>
      <c r="AA1511" s="0" t="n">
        <v>0</v>
      </c>
      <c r="AB1511" s="0" t="n">
        <v>0</v>
      </c>
      <c r="AC1511" s="4" t="s">
        <v>5626</v>
      </c>
      <c r="AD1511" s="4" t="s">
        <v>1998</v>
      </c>
      <c r="AE1511" s="4" t="s">
        <v>5627</v>
      </c>
      <c r="AF1511" s="4" t="s">
        <v>5627</v>
      </c>
      <c r="AG1511" s="5" t="n">
        <v>0.365960648148148</v>
      </c>
      <c r="AH1511" s="5" t="n">
        <v>0.167094907407407</v>
      </c>
      <c r="AI1511" s="5" t="n">
        <v>0</v>
      </c>
      <c r="AJ1511" s="5" t="n">
        <v>0</v>
      </c>
      <c r="AK1511" s="5" t="n">
        <v>0</v>
      </c>
      <c r="AL1511" s="5" t="n">
        <v>0</v>
      </c>
      <c r="AM1511" s="4" t="s">
        <v>78</v>
      </c>
      <c r="AN1511" s="0" t="n">
        <v>0</v>
      </c>
      <c r="AO1511" s="0" t="n">
        <v>0</v>
      </c>
      <c r="AP1511" s="0" t="n">
        <v>0</v>
      </c>
      <c r="AQ1511" s="0" t="n">
        <v>0</v>
      </c>
      <c r="AR1511" s="0" t="n">
        <v>4</v>
      </c>
      <c r="AS1511" s="0" t="n">
        <v>0</v>
      </c>
      <c r="AT1511" s="0" t="n">
        <v>0</v>
      </c>
      <c r="AU1511" s="0" t="n">
        <v>1</v>
      </c>
      <c r="AV1511" s="0" t="n">
        <v>0</v>
      </c>
      <c r="AW1511" s="0" t="n">
        <v>0</v>
      </c>
      <c r="AX1511" s="0" t="n">
        <v>0</v>
      </c>
      <c r="AY1511" s="0" t="n">
        <v>0</v>
      </c>
      <c r="AZ1511" s="0" t="n">
        <v>0</v>
      </c>
      <c r="BA1511" s="0" t="n">
        <v>0</v>
      </c>
      <c r="BB1511" s="0" t="n">
        <v>0</v>
      </c>
      <c r="BC1511" s="0" t="n">
        <v>0</v>
      </c>
      <c r="BD1511" s="0" t="n">
        <v>0</v>
      </c>
      <c r="BE1511" s="0" t="n">
        <v>0</v>
      </c>
      <c r="BF1511" s="0" t="n">
        <v>0</v>
      </c>
      <c r="BG1511" s="0" t="n">
        <v>0</v>
      </c>
      <c r="BH1511" s="0" t="n">
        <v>0</v>
      </c>
      <c r="BI1511" s="0" t="n">
        <v>0</v>
      </c>
      <c r="BJ1511" s="0" t="n">
        <v>0</v>
      </c>
      <c r="BK1511" s="0" t="n">
        <v>0</v>
      </c>
      <c r="BM1511" s="6" t="n">
        <f aca="false">IFERROR(VALUE(F1511),"")</f>
        <v>0</v>
      </c>
      <c r="BN1511" s="6" t="n">
        <f aca="false">IF(R1511="-","",IFERROR(VALUE(LEFT(Q1511,LEN(Q1511)-2)),""))</f>
        <v>128.71</v>
      </c>
      <c r="BO1511" s="6" t="n">
        <f aca="false">IF(R1511="-","",IFERROR(VALUE(LEFT(R1511,LEN(R1511)-5)),""))</f>
        <v>0</v>
      </c>
      <c r="BP1511" s="6" t="n">
        <f aca="false">IF(R1511="-","",IFERROR(VALUE(F1511),""))</f>
        <v>0</v>
      </c>
      <c r="BQ1511" s="4" t="n">
        <f aca="false">IF(R1511="-",1,0)</f>
        <v>0</v>
      </c>
    </row>
    <row r="1512" customFormat="false" ht="15" hidden="false" customHeight="false" outlineLevel="0" collapsed="false">
      <c r="A1512" s="0" t="s">
        <v>5622</v>
      </c>
      <c r="B1512" s="0" t="s">
        <v>5623</v>
      </c>
      <c r="C1512" s="0" t="s">
        <v>70</v>
      </c>
      <c r="D1512" s="0" t="s">
        <v>5630</v>
      </c>
      <c r="E1512" s="3" t="n">
        <v>46275</v>
      </c>
      <c r="F1512" s="4" t="s">
        <v>95</v>
      </c>
      <c r="G1512" s="5" t="n">
        <v>0.282094907407407</v>
      </c>
      <c r="H1512" s="5" t="n">
        <v>0.218576388888889</v>
      </c>
      <c r="I1512" s="5" t="n">
        <v>0.00256944444444445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5" t="n">
        <v>0</v>
      </c>
      <c r="P1512" s="5" t="n">
        <v>0.0274537037037037</v>
      </c>
      <c r="Q1512" s="4" t="s">
        <v>5631</v>
      </c>
      <c r="R1512" s="4" t="s">
        <v>454</v>
      </c>
      <c r="S1512" s="5" t="n">
        <v>0.000462962962962963</v>
      </c>
      <c r="T1512" s="5" t="n">
        <v>0.0967592592592593</v>
      </c>
      <c r="U1512" s="5" t="n">
        <v>0.124652777777778</v>
      </c>
      <c r="V1512" s="5" t="n">
        <v>0.00335648148148148</v>
      </c>
      <c r="W1512" s="5" t="n">
        <v>0</v>
      </c>
      <c r="X1512" s="5" t="n">
        <v>0</v>
      </c>
      <c r="Y1512" s="5" t="n">
        <v>0</v>
      </c>
      <c r="Z1512" s="0" t="n">
        <v>0</v>
      </c>
      <c r="AA1512" s="0" t="n">
        <v>0</v>
      </c>
      <c r="AB1512" s="0" t="n">
        <v>0</v>
      </c>
      <c r="AC1512" s="4" t="s">
        <v>1998</v>
      </c>
      <c r="AD1512" s="4" t="s">
        <v>1998</v>
      </c>
      <c r="AE1512" s="4" t="s">
        <v>5627</v>
      </c>
      <c r="AF1512" s="4" t="s">
        <v>5627</v>
      </c>
      <c r="AG1512" s="5" t="n">
        <v>0.172592592592593</v>
      </c>
      <c r="AH1512" s="5" t="n">
        <v>0.213032407407407</v>
      </c>
      <c r="AI1512" s="5" t="n">
        <v>0</v>
      </c>
      <c r="AJ1512" s="5" t="n">
        <v>0</v>
      </c>
      <c r="AK1512" s="5" t="n">
        <v>0</v>
      </c>
      <c r="AL1512" s="5" t="n">
        <v>0</v>
      </c>
      <c r="AM1512" s="4" t="s">
        <v>78</v>
      </c>
      <c r="AN1512" s="0" t="n">
        <v>0</v>
      </c>
      <c r="AO1512" s="0" t="n">
        <v>0</v>
      </c>
      <c r="AP1512" s="0" t="n">
        <v>0</v>
      </c>
      <c r="AQ1512" s="0" t="n">
        <v>0</v>
      </c>
      <c r="AR1512" s="0" t="n">
        <v>0</v>
      </c>
      <c r="AS1512" s="0" t="n">
        <v>0</v>
      </c>
      <c r="AT1512" s="0" t="n">
        <v>1</v>
      </c>
      <c r="AU1512" s="0" t="n">
        <v>2</v>
      </c>
      <c r="AV1512" s="0" t="n">
        <v>0</v>
      </c>
      <c r="AW1512" s="0" t="n">
        <v>0</v>
      </c>
      <c r="AX1512" s="0" t="n">
        <v>0</v>
      </c>
      <c r="AY1512" s="0" t="n">
        <v>0</v>
      </c>
      <c r="AZ1512" s="0" t="n">
        <v>0</v>
      </c>
      <c r="BA1512" s="0" t="n">
        <v>0</v>
      </c>
      <c r="BB1512" s="0" t="n">
        <v>0</v>
      </c>
      <c r="BC1512" s="0" t="n">
        <v>0</v>
      </c>
      <c r="BD1512" s="0" t="n">
        <v>0</v>
      </c>
      <c r="BE1512" s="0" t="n">
        <v>0</v>
      </c>
      <c r="BF1512" s="0" t="n">
        <v>0</v>
      </c>
      <c r="BG1512" s="0" t="n">
        <v>0</v>
      </c>
      <c r="BH1512" s="0" t="n">
        <v>0</v>
      </c>
      <c r="BI1512" s="0" t="n">
        <v>0</v>
      </c>
      <c r="BJ1512" s="0" t="n">
        <v>0</v>
      </c>
      <c r="BK1512" s="0" t="n">
        <v>0</v>
      </c>
      <c r="BM1512" s="6" t="n">
        <f aca="false">IFERROR(VALUE(F1512),"")</f>
        <v>0</v>
      </c>
      <c r="BN1512" s="6" t="n">
        <f aca="false">IF(R1512="-","",IFERROR(VALUE(LEFT(Q1512,LEN(Q1512)-2)),""))</f>
        <v>48.07</v>
      </c>
      <c r="BO1512" s="6" t="n">
        <f aca="false">IF(R1512="-","",IFERROR(VALUE(LEFT(R1512,LEN(R1512)-5)),""))</f>
        <v>0</v>
      </c>
      <c r="BP1512" s="6" t="n">
        <f aca="false">IF(R1512="-","",IFERROR(VALUE(F1512),""))</f>
        <v>0</v>
      </c>
      <c r="BQ1512" s="4" t="n">
        <f aca="false">IF(R1512="-",1,0)</f>
        <v>0</v>
      </c>
    </row>
    <row r="1513" customFormat="false" ht="15" hidden="false" customHeight="false" outlineLevel="0" collapsed="false">
      <c r="A1513" s="0" t="s">
        <v>5622</v>
      </c>
      <c r="B1513" s="0" t="s">
        <v>5623</v>
      </c>
      <c r="C1513" s="0" t="s">
        <v>70</v>
      </c>
      <c r="D1513" s="0" t="s">
        <v>5632</v>
      </c>
      <c r="E1513" s="3" t="n">
        <v>46276</v>
      </c>
      <c r="F1513" s="4" t="s">
        <v>95</v>
      </c>
      <c r="G1513" s="5" t="n">
        <v>0.276886574074074</v>
      </c>
      <c r="H1513" s="5" t="n">
        <v>0.241736111111111</v>
      </c>
      <c r="I1513" s="5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5" t="n">
        <v>0</v>
      </c>
      <c r="P1513" s="5" t="n">
        <v>0.0519097222222222</v>
      </c>
      <c r="Q1513" s="4" t="s">
        <v>5633</v>
      </c>
      <c r="R1513" s="4" t="s">
        <v>454</v>
      </c>
      <c r="S1513" s="5" t="n">
        <v>0.000115740740740741</v>
      </c>
      <c r="T1513" s="5" t="n">
        <v>0.151157407407407</v>
      </c>
      <c r="U1513" s="5" t="n">
        <v>0.107291666666667</v>
      </c>
      <c r="V1513" s="5" t="n">
        <v>0.00416666666666667</v>
      </c>
      <c r="W1513" s="5" t="n">
        <v>0</v>
      </c>
      <c r="X1513" s="5" t="n">
        <v>0</v>
      </c>
      <c r="Y1513" s="5" t="n">
        <v>0</v>
      </c>
      <c r="Z1513" s="0" t="n">
        <v>0</v>
      </c>
      <c r="AA1513" s="0" t="n">
        <v>0</v>
      </c>
      <c r="AB1513" s="0" t="n">
        <v>0</v>
      </c>
      <c r="AC1513" s="4" t="s">
        <v>1998</v>
      </c>
      <c r="AD1513" s="4" t="s">
        <v>1998</v>
      </c>
      <c r="AE1513" s="4" t="s">
        <v>5627</v>
      </c>
      <c r="AF1513" s="4" t="s">
        <v>5627</v>
      </c>
      <c r="AG1513" s="5" t="n">
        <v>0.182337962962963</v>
      </c>
      <c r="AH1513" s="5" t="n">
        <v>0.154282407407407</v>
      </c>
      <c r="AI1513" s="5" t="n">
        <v>0</v>
      </c>
      <c r="AJ1513" s="5" t="n">
        <v>0</v>
      </c>
      <c r="AK1513" s="5" t="n">
        <v>0</v>
      </c>
      <c r="AL1513" s="5" t="n">
        <v>0</v>
      </c>
      <c r="AM1513" s="4" t="s">
        <v>78</v>
      </c>
      <c r="AN1513" s="0" t="n">
        <v>0</v>
      </c>
      <c r="AO1513" s="0" t="n">
        <v>0</v>
      </c>
      <c r="AP1513" s="0" t="n">
        <v>0</v>
      </c>
      <c r="AQ1513" s="0" t="n">
        <v>0</v>
      </c>
      <c r="AR1513" s="0" t="n">
        <v>0</v>
      </c>
      <c r="AS1513" s="0" t="n">
        <v>0</v>
      </c>
      <c r="AT1513" s="0" t="n">
        <v>0</v>
      </c>
      <c r="AU1513" s="0" t="n">
        <v>0</v>
      </c>
      <c r="AV1513" s="0" t="n">
        <v>0</v>
      </c>
      <c r="AW1513" s="0" t="n">
        <v>0</v>
      </c>
      <c r="AX1513" s="0" t="n">
        <v>0</v>
      </c>
      <c r="AY1513" s="0" t="n">
        <v>0</v>
      </c>
      <c r="AZ1513" s="0" t="n">
        <v>0</v>
      </c>
      <c r="BA1513" s="0" t="n">
        <v>0</v>
      </c>
      <c r="BB1513" s="0" t="n">
        <v>0</v>
      </c>
      <c r="BC1513" s="0" t="n">
        <v>0</v>
      </c>
      <c r="BD1513" s="0" t="n">
        <v>0</v>
      </c>
      <c r="BE1513" s="0" t="n">
        <v>0</v>
      </c>
      <c r="BF1513" s="0" t="n">
        <v>0</v>
      </c>
      <c r="BG1513" s="0" t="n">
        <v>0</v>
      </c>
      <c r="BH1513" s="0" t="n">
        <v>0</v>
      </c>
      <c r="BI1513" s="0" t="n">
        <v>0</v>
      </c>
      <c r="BJ1513" s="0" t="n">
        <v>0</v>
      </c>
      <c r="BK1513" s="0" t="n">
        <v>0</v>
      </c>
      <c r="BM1513" s="6" t="n">
        <f aca="false">IFERROR(VALUE(F1513),"")</f>
        <v>0</v>
      </c>
      <c r="BN1513" s="6" t="n">
        <f aca="false">IF(R1513="-","",IFERROR(VALUE(LEFT(Q1513,LEN(Q1513)-2)),""))</f>
        <v>40.79</v>
      </c>
      <c r="BO1513" s="6" t="n">
        <f aca="false">IF(R1513="-","",IFERROR(VALUE(LEFT(R1513,LEN(R1513)-5)),""))</f>
        <v>0</v>
      </c>
      <c r="BP1513" s="6" t="n">
        <f aca="false">IF(R1513="-","",IFERROR(VALUE(F1513),""))</f>
        <v>0</v>
      </c>
      <c r="BQ1513" s="4" t="n">
        <f aca="false">IF(R1513="-",1,0)</f>
        <v>0</v>
      </c>
    </row>
    <row r="1514" customFormat="false" ht="15" hidden="false" customHeight="false" outlineLevel="0" collapsed="false">
      <c r="A1514" s="0" t="s">
        <v>5622</v>
      </c>
      <c r="B1514" s="0" t="s">
        <v>5623</v>
      </c>
      <c r="C1514" s="0" t="s">
        <v>70</v>
      </c>
      <c r="D1514" s="0" t="s">
        <v>5634</v>
      </c>
      <c r="E1514" s="3" t="n">
        <v>46277</v>
      </c>
      <c r="F1514" s="4" t="s">
        <v>95</v>
      </c>
      <c r="G1514" s="5" t="n">
        <v>0.530173611111111</v>
      </c>
      <c r="H1514" s="5" t="n">
        <v>0.556967592592593</v>
      </c>
      <c r="I1514" s="5" t="n">
        <v>0.00177083333333333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5" t="n">
        <v>0</v>
      </c>
      <c r="P1514" s="5" t="n">
        <v>0.0090625</v>
      </c>
      <c r="Q1514" s="4" t="s">
        <v>5635</v>
      </c>
      <c r="R1514" s="4" t="s">
        <v>454</v>
      </c>
      <c r="S1514" s="5" t="n">
        <v>0.000347222222222222</v>
      </c>
      <c r="T1514" s="5" t="n">
        <v>0.116782407407407</v>
      </c>
      <c r="U1514" s="5" t="n">
        <v>0.351388888888889</v>
      </c>
      <c r="V1514" s="5" t="n">
        <v>0.016875</v>
      </c>
      <c r="W1514" s="5" t="n">
        <v>0.000486111111111111</v>
      </c>
      <c r="X1514" s="5" t="n">
        <v>0</v>
      </c>
      <c r="Y1514" s="5" t="n">
        <v>6.94444444444444E-005</v>
      </c>
      <c r="Z1514" s="0" t="n">
        <v>0</v>
      </c>
      <c r="AA1514" s="0" t="n">
        <v>0</v>
      </c>
      <c r="AB1514" s="0" t="n">
        <v>0</v>
      </c>
      <c r="AC1514" s="4" t="s">
        <v>1276</v>
      </c>
      <c r="AD1514" s="4" t="s">
        <v>5636</v>
      </c>
      <c r="AE1514" s="4" t="s">
        <v>5627</v>
      </c>
      <c r="AF1514" s="4" t="s">
        <v>5627</v>
      </c>
      <c r="AG1514" s="5" t="n">
        <v>0.439039351851852</v>
      </c>
      <c r="AH1514" s="5" t="n">
        <v>0.152430555555556</v>
      </c>
      <c r="AI1514" s="5" t="n">
        <v>0</v>
      </c>
      <c r="AJ1514" s="5" t="n">
        <v>0</v>
      </c>
      <c r="AK1514" s="5" t="n">
        <v>0</v>
      </c>
      <c r="AL1514" s="5" t="n">
        <v>0</v>
      </c>
      <c r="AM1514" s="4" t="s">
        <v>78</v>
      </c>
      <c r="AN1514" s="0" t="n">
        <v>0</v>
      </c>
      <c r="AO1514" s="0" t="n">
        <v>1</v>
      </c>
      <c r="AP1514" s="0" t="n">
        <v>0</v>
      </c>
      <c r="AQ1514" s="0" t="n">
        <v>0</v>
      </c>
      <c r="AR1514" s="0" t="n">
        <v>7</v>
      </c>
      <c r="AS1514" s="0" t="n">
        <v>0</v>
      </c>
      <c r="AT1514" s="0" t="n">
        <v>0</v>
      </c>
      <c r="AU1514" s="0" t="n">
        <v>3</v>
      </c>
      <c r="AV1514" s="0" t="n">
        <v>0</v>
      </c>
      <c r="AW1514" s="0" t="n">
        <v>1</v>
      </c>
      <c r="AX1514" s="0" t="n">
        <v>0</v>
      </c>
      <c r="AY1514" s="0" t="n">
        <v>0</v>
      </c>
      <c r="AZ1514" s="0" t="n">
        <v>0</v>
      </c>
      <c r="BA1514" s="0" t="n">
        <v>0</v>
      </c>
      <c r="BB1514" s="0" t="n">
        <v>0</v>
      </c>
      <c r="BC1514" s="0" t="n">
        <v>0</v>
      </c>
      <c r="BD1514" s="0" t="n">
        <v>0</v>
      </c>
      <c r="BE1514" s="0" t="n">
        <v>0</v>
      </c>
      <c r="BF1514" s="0" t="n">
        <v>0</v>
      </c>
      <c r="BG1514" s="0" t="n">
        <v>0</v>
      </c>
      <c r="BH1514" s="0" t="n">
        <v>0</v>
      </c>
      <c r="BI1514" s="0" t="n">
        <v>0</v>
      </c>
      <c r="BJ1514" s="0" t="n">
        <v>0</v>
      </c>
      <c r="BK1514" s="0" t="n">
        <v>0</v>
      </c>
      <c r="BM1514" s="6" t="n">
        <f aca="false">IFERROR(VALUE(F1514),"")</f>
        <v>0</v>
      </c>
      <c r="BN1514" s="6" t="n">
        <f aca="false">IF(R1514="-","",IFERROR(VALUE(LEFT(Q1514,LEN(Q1514)-2)),""))</f>
        <v>167.85</v>
      </c>
      <c r="BO1514" s="6" t="n">
        <f aca="false">IF(R1514="-","",IFERROR(VALUE(LEFT(R1514,LEN(R1514)-5)),""))</f>
        <v>0</v>
      </c>
      <c r="BP1514" s="6" t="n">
        <f aca="false">IF(R1514="-","",IFERROR(VALUE(F1514),""))</f>
        <v>0</v>
      </c>
      <c r="BQ1514" s="4" t="n">
        <f aca="false">IF(R1514="-",1,0)</f>
        <v>0</v>
      </c>
    </row>
    <row r="1515" customFormat="false" ht="15" hidden="false" customHeight="false" outlineLevel="0" collapsed="false">
      <c r="A1515" s="0" t="s">
        <v>5622</v>
      </c>
      <c r="B1515" s="0" t="s">
        <v>5623</v>
      </c>
      <c r="C1515" s="0" t="s">
        <v>70</v>
      </c>
      <c r="D1515" s="0" t="s">
        <v>5637</v>
      </c>
      <c r="E1515" s="3" t="n">
        <v>46278</v>
      </c>
      <c r="F1515" s="4" t="s">
        <v>95</v>
      </c>
      <c r="G1515" s="5" t="n">
        <v>0.547025462962963</v>
      </c>
      <c r="H1515" s="5" t="n">
        <v>0.52244212962963</v>
      </c>
      <c r="I1515" s="5" t="n">
        <v>0.000532407407407407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5" t="n">
        <v>0</v>
      </c>
      <c r="P1515" s="5" t="n">
        <v>0.0168518518518519</v>
      </c>
      <c r="Q1515" s="4" t="s">
        <v>5638</v>
      </c>
      <c r="R1515" s="4" t="s">
        <v>454</v>
      </c>
      <c r="S1515" s="5" t="n">
        <v>0.000231481481481482</v>
      </c>
      <c r="T1515" s="5" t="n">
        <v>0.120833333333333</v>
      </c>
      <c r="U1515" s="5" t="n">
        <v>0.345949074074074</v>
      </c>
      <c r="V1515" s="5" t="n">
        <v>0.0318287037037037</v>
      </c>
      <c r="W1515" s="5" t="n">
        <v>0</v>
      </c>
      <c r="X1515" s="5" t="n">
        <v>0</v>
      </c>
      <c r="Y1515" s="5" t="n">
        <v>0</v>
      </c>
      <c r="Z1515" s="0" t="n">
        <v>0</v>
      </c>
      <c r="AA1515" s="0" t="n">
        <v>0</v>
      </c>
      <c r="AB1515" s="0" t="n">
        <v>0</v>
      </c>
      <c r="AC1515" s="4" t="s">
        <v>5626</v>
      </c>
      <c r="AD1515" s="4" t="s">
        <v>1998</v>
      </c>
      <c r="AE1515" s="4" t="s">
        <v>5627</v>
      </c>
      <c r="AF1515" s="4" t="s">
        <v>5627</v>
      </c>
      <c r="AG1515" s="5" t="n">
        <v>0.43880787037037</v>
      </c>
      <c r="AH1515" s="5" t="n">
        <v>0.195011574074074</v>
      </c>
      <c r="AI1515" s="5" t="n">
        <v>0</v>
      </c>
      <c r="AJ1515" s="5" t="n">
        <v>0</v>
      </c>
      <c r="AK1515" s="5" t="n">
        <v>0</v>
      </c>
      <c r="AL1515" s="5" t="n">
        <v>0</v>
      </c>
      <c r="AM1515" s="4" t="s">
        <v>78</v>
      </c>
      <c r="AN1515" s="0" t="n">
        <v>0</v>
      </c>
      <c r="AO1515" s="0" t="n">
        <v>0</v>
      </c>
      <c r="AP1515" s="0" t="n">
        <v>0</v>
      </c>
      <c r="AQ1515" s="0" t="n">
        <v>0</v>
      </c>
      <c r="AR1515" s="0" t="n">
        <v>0</v>
      </c>
      <c r="AS1515" s="0" t="n">
        <v>0</v>
      </c>
      <c r="AT1515" s="0" t="n">
        <v>0</v>
      </c>
      <c r="AU1515" s="0" t="n">
        <v>4</v>
      </c>
      <c r="AV1515" s="0" t="n">
        <v>0</v>
      </c>
      <c r="AW1515" s="0" t="n">
        <v>0</v>
      </c>
      <c r="AX1515" s="0" t="n">
        <v>0</v>
      </c>
      <c r="AY1515" s="0" t="n">
        <v>0</v>
      </c>
      <c r="AZ1515" s="0" t="n">
        <v>0</v>
      </c>
      <c r="BA1515" s="0" t="n">
        <v>0</v>
      </c>
      <c r="BB1515" s="0" t="n">
        <v>0</v>
      </c>
      <c r="BC1515" s="0" t="n">
        <v>0</v>
      </c>
      <c r="BD1515" s="0" t="n">
        <v>0</v>
      </c>
      <c r="BE1515" s="0" t="n">
        <v>0</v>
      </c>
      <c r="BF1515" s="0" t="n">
        <v>0</v>
      </c>
      <c r="BG1515" s="0" t="n">
        <v>0</v>
      </c>
      <c r="BH1515" s="0" t="n">
        <v>0</v>
      </c>
      <c r="BI1515" s="0" t="n">
        <v>0</v>
      </c>
      <c r="BJ1515" s="0" t="n">
        <v>0</v>
      </c>
      <c r="BK1515" s="0" t="n">
        <v>0</v>
      </c>
      <c r="BM1515" s="6" t="n">
        <f aca="false">IFERROR(VALUE(F1515),"")</f>
        <v>0</v>
      </c>
      <c r="BN1515" s="6" t="n">
        <f aca="false">IF(R1515="-","",IFERROR(VALUE(LEFT(Q1515,LEN(Q1515)-2)),""))</f>
        <v>161.23</v>
      </c>
      <c r="BO1515" s="6" t="n">
        <f aca="false">IF(R1515="-","",IFERROR(VALUE(LEFT(R1515,LEN(R1515)-5)),""))</f>
        <v>0</v>
      </c>
      <c r="BP1515" s="6" t="n">
        <f aca="false">IF(R1515="-","",IFERROR(VALUE(F1515),""))</f>
        <v>0</v>
      </c>
      <c r="BQ1515" s="4" t="n">
        <f aca="false">IF(R1515="-",1,0)</f>
        <v>0</v>
      </c>
    </row>
    <row r="1516" customFormat="false" ht="15" hidden="false" customHeight="false" outlineLevel="0" collapsed="false">
      <c r="A1516" s="0" t="s">
        <v>5639</v>
      </c>
      <c r="B1516" s="0" t="s">
        <v>5640</v>
      </c>
      <c r="C1516" s="0" t="s">
        <v>70</v>
      </c>
      <c r="D1516" s="0" t="s">
        <v>5641</v>
      </c>
      <c r="E1516" s="3" t="n">
        <v>46273</v>
      </c>
      <c r="F1516" s="4" t="s">
        <v>5642</v>
      </c>
      <c r="G1516" s="5" t="n">
        <v>0.515960648148148</v>
      </c>
      <c r="H1516" s="5" t="n">
        <v>0.441886574074074</v>
      </c>
      <c r="I1516" s="5" t="n">
        <v>0.00758101851851852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5" t="n">
        <v>0</v>
      </c>
      <c r="P1516" s="5" t="n">
        <v>0.0148148148148148</v>
      </c>
      <c r="Q1516" s="4" t="s">
        <v>5643</v>
      </c>
      <c r="R1516" s="4" t="s">
        <v>863</v>
      </c>
      <c r="S1516" s="5" t="n">
        <v>0.000231481481481482</v>
      </c>
      <c r="T1516" s="5" t="n">
        <v>0.108217592592593</v>
      </c>
      <c r="U1516" s="5" t="n">
        <v>0.290046296296296</v>
      </c>
      <c r="V1516" s="5" t="n">
        <v>0.0451388888888889</v>
      </c>
      <c r="W1516" s="5" t="n">
        <v>0</v>
      </c>
      <c r="X1516" s="5" t="n">
        <v>0</v>
      </c>
      <c r="Y1516" s="5" t="n">
        <v>0</v>
      </c>
      <c r="Z1516" s="0" t="n">
        <v>0</v>
      </c>
      <c r="AA1516" s="0" t="n">
        <v>0</v>
      </c>
      <c r="AB1516" s="0" t="n">
        <v>0</v>
      </c>
      <c r="AC1516" s="4" t="s">
        <v>1276</v>
      </c>
      <c r="AD1516" s="4" t="s">
        <v>152</v>
      </c>
      <c r="AE1516" s="4" t="s">
        <v>5644</v>
      </c>
      <c r="AF1516" s="4" t="s">
        <v>5645</v>
      </c>
      <c r="AG1516" s="5" t="n">
        <v>0.395300925925926</v>
      </c>
      <c r="AH1516" s="5" t="n">
        <v>0.148252314814815</v>
      </c>
      <c r="AI1516" s="5" t="n">
        <v>0</v>
      </c>
      <c r="AJ1516" s="5" t="n">
        <v>0</v>
      </c>
      <c r="AK1516" s="5" t="n">
        <v>0</v>
      </c>
      <c r="AL1516" s="5" t="n">
        <v>0</v>
      </c>
      <c r="AM1516" s="4" t="s">
        <v>78</v>
      </c>
      <c r="AN1516" s="0" t="n">
        <v>0</v>
      </c>
      <c r="AO1516" s="0" t="n">
        <v>0</v>
      </c>
      <c r="AP1516" s="0" t="n">
        <v>0</v>
      </c>
      <c r="AQ1516" s="0" t="n">
        <v>0</v>
      </c>
      <c r="AR1516" s="0" t="n">
        <v>2</v>
      </c>
      <c r="AS1516" s="0" t="n">
        <v>0</v>
      </c>
      <c r="AT1516" s="0" t="n">
        <v>0</v>
      </c>
      <c r="AU1516" s="0" t="n">
        <v>4</v>
      </c>
      <c r="AV1516" s="0" t="n">
        <v>0</v>
      </c>
      <c r="AW1516" s="0" t="n">
        <v>0</v>
      </c>
      <c r="AX1516" s="0" t="n">
        <v>0</v>
      </c>
      <c r="AY1516" s="0" t="n">
        <v>0</v>
      </c>
      <c r="AZ1516" s="0" t="n">
        <v>0</v>
      </c>
      <c r="BA1516" s="0" t="n">
        <v>0</v>
      </c>
      <c r="BB1516" s="0" t="n">
        <v>0</v>
      </c>
      <c r="BC1516" s="0" t="n">
        <v>0</v>
      </c>
      <c r="BD1516" s="0" t="n">
        <v>0</v>
      </c>
      <c r="BE1516" s="0" t="n">
        <v>0</v>
      </c>
      <c r="BF1516" s="0" t="n">
        <v>0</v>
      </c>
      <c r="BG1516" s="0" t="n">
        <v>0</v>
      </c>
      <c r="BH1516" s="0" t="n">
        <v>0</v>
      </c>
      <c r="BI1516" s="0" t="n">
        <v>0</v>
      </c>
      <c r="BJ1516" s="0" t="n">
        <v>0</v>
      </c>
      <c r="BK1516" s="0" t="n">
        <v>0</v>
      </c>
      <c r="BM1516" s="6" t="n">
        <f aca="false">IFERROR(VALUE(F1516),"")</f>
        <v>533.53</v>
      </c>
      <c r="BN1516" s="6" t="n">
        <f aca="false">IF(R1516="-","",IFERROR(VALUE(LEFT(Q1516,LEN(Q1516)-2)),""))</f>
        <v>163.02</v>
      </c>
      <c r="BO1516" s="6" t="n">
        <f aca="false">IF(R1516="-","",IFERROR(VALUE(LEFT(R1516,LEN(R1516)-5)),""))</f>
        <v>3.27</v>
      </c>
      <c r="BP1516" s="6" t="n">
        <f aca="false">IF(R1516="-","",IFERROR(VALUE(F1516),""))</f>
        <v>533.53</v>
      </c>
      <c r="BQ1516" s="4" t="n">
        <f aca="false">IF(R1516="-",1,0)</f>
        <v>0</v>
      </c>
    </row>
    <row r="1517" customFormat="false" ht="15" hidden="false" customHeight="false" outlineLevel="0" collapsed="false">
      <c r="A1517" s="0" t="s">
        <v>5639</v>
      </c>
      <c r="B1517" s="0" t="s">
        <v>5640</v>
      </c>
      <c r="C1517" s="0" t="s">
        <v>70</v>
      </c>
      <c r="D1517" s="0" t="s">
        <v>5646</v>
      </c>
      <c r="E1517" s="3" t="n">
        <v>46274</v>
      </c>
      <c r="F1517" s="4" t="s">
        <v>5647</v>
      </c>
      <c r="G1517" s="5" t="n">
        <v>0.559976851851852</v>
      </c>
      <c r="H1517" s="5" t="n">
        <v>0.52130787037037</v>
      </c>
      <c r="I1517" s="5" t="n">
        <v>0.0078587962962963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5" t="n">
        <v>0</v>
      </c>
      <c r="P1517" s="5" t="n">
        <v>0.00878472222222222</v>
      </c>
      <c r="Q1517" s="4" t="s">
        <v>5648</v>
      </c>
      <c r="R1517" s="4" t="s">
        <v>5649</v>
      </c>
      <c r="S1517" s="5" t="n">
        <v>0.000115740740740741</v>
      </c>
      <c r="T1517" s="5" t="n">
        <v>0.147800925925926</v>
      </c>
      <c r="U1517" s="5" t="n">
        <v>0.286342592592593</v>
      </c>
      <c r="V1517" s="5" t="n">
        <v>0.0413773148148148</v>
      </c>
      <c r="W1517" s="5" t="n">
        <v>0.00037037037037037</v>
      </c>
      <c r="X1517" s="5" t="n">
        <v>0</v>
      </c>
      <c r="Y1517" s="5" t="n">
        <v>0</v>
      </c>
      <c r="Z1517" s="0" t="n">
        <v>0</v>
      </c>
      <c r="AA1517" s="0" t="n">
        <v>0</v>
      </c>
      <c r="AB1517" s="0" t="n">
        <v>0</v>
      </c>
      <c r="AC1517" s="4" t="s">
        <v>152</v>
      </c>
      <c r="AD1517" s="4" t="s">
        <v>1998</v>
      </c>
      <c r="AE1517" s="4" t="s">
        <v>5645</v>
      </c>
      <c r="AF1517" s="4" t="s">
        <v>5650</v>
      </c>
      <c r="AG1517" s="5" t="n">
        <v>0.41162037037037</v>
      </c>
      <c r="AH1517" s="5" t="n">
        <v>0.213032407407407</v>
      </c>
      <c r="AI1517" s="5" t="n">
        <v>0</v>
      </c>
      <c r="AJ1517" s="5" t="n">
        <v>0</v>
      </c>
      <c r="AK1517" s="5" t="n">
        <v>0</v>
      </c>
      <c r="AL1517" s="5" t="n">
        <v>0</v>
      </c>
      <c r="AM1517" s="4" t="s">
        <v>78</v>
      </c>
      <c r="AN1517" s="0" t="n">
        <v>0</v>
      </c>
      <c r="AO1517" s="0" t="n">
        <v>0</v>
      </c>
      <c r="AP1517" s="0" t="n">
        <v>0</v>
      </c>
      <c r="AQ1517" s="0" t="n">
        <v>0</v>
      </c>
      <c r="AR1517" s="0" t="n">
        <v>0</v>
      </c>
      <c r="AS1517" s="0" t="n">
        <v>0</v>
      </c>
      <c r="AT1517" s="0" t="n">
        <v>0</v>
      </c>
      <c r="AU1517" s="0" t="n">
        <v>1</v>
      </c>
      <c r="AV1517" s="0" t="n">
        <v>0</v>
      </c>
      <c r="AW1517" s="0" t="n">
        <v>0</v>
      </c>
      <c r="AX1517" s="0" t="n">
        <v>0</v>
      </c>
      <c r="AY1517" s="0" t="n">
        <v>0</v>
      </c>
      <c r="AZ1517" s="0" t="n">
        <v>0</v>
      </c>
      <c r="BA1517" s="0" t="n">
        <v>0</v>
      </c>
      <c r="BB1517" s="0" t="n">
        <v>0</v>
      </c>
      <c r="BC1517" s="0" t="n">
        <v>0</v>
      </c>
      <c r="BD1517" s="0" t="n">
        <v>0</v>
      </c>
      <c r="BE1517" s="0" t="n">
        <v>0</v>
      </c>
      <c r="BF1517" s="0" t="n">
        <v>0</v>
      </c>
      <c r="BG1517" s="0" t="n">
        <v>0</v>
      </c>
      <c r="BH1517" s="0" t="n">
        <v>0</v>
      </c>
      <c r="BI1517" s="0" t="n">
        <v>0</v>
      </c>
      <c r="BJ1517" s="0" t="n">
        <v>0</v>
      </c>
      <c r="BK1517" s="0" t="n">
        <v>0</v>
      </c>
      <c r="BM1517" s="6" t="n">
        <f aca="false">IFERROR(VALUE(F1517),"")</f>
        <v>539.19</v>
      </c>
      <c r="BN1517" s="6" t="n">
        <f aca="false">IF(R1517="-","",IFERROR(VALUE(LEFT(Q1517,LEN(Q1517)-2)),""))</f>
        <v>151.18</v>
      </c>
      <c r="BO1517" s="6" t="n">
        <f aca="false">IF(R1517="-","",IFERROR(VALUE(LEFT(R1517,LEN(R1517)-5)),""))</f>
        <v>3.57</v>
      </c>
      <c r="BP1517" s="6" t="n">
        <f aca="false">IF(R1517="-","",IFERROR(VALUE(F1517),""))</f>
        <v>539.19</v>
      </c>
      <c r="BQ1517" s="4" t="n">
        <f aca="false">IF(R1517="-",1,0)</f>
        <v>0</v>
      </c>
    </row>
    <row r="1518" customFormat="false" ht="15" hidden="false" customHeight="false" outlineLevel="0" collapsed="false">
      <c r="A1518" s="0" t="s">
        <v>5639</v>
      </c>
      <c r="B1518" s="0" t="s">
        <v>5640</v>
      </c>
      <c r="C1518" s="0" t="s">
        <v>70</v>
      </c>
      <c r="D1518" s="0" t="s">
        <v>5651</v>
      </c>
      <c r="E1518" s="3" t="n">
        <v>46275</v>
      </c>
      <c r="F1518" s="4" t="s">
        <v>5652</v>
      </c>
      <c r="G1518" s="5" t="n">
        <v>0.510069444444445</v>
      </c>
      <c r="H1518" s="5" t="n">
        <v>0.506435185185185</v>
      </c>
      <c r="I1518" s="5" t="n">
        <v>0.000335648148148148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5" t="n">
        <v>0</v>
      </c>
      <c r="P1518" s="5" t="n">
        <v>0</v>
      </c>
      <c r="Q1518" s="4" t="s">
        <v>5653</v>
      </c>
      <c r="R1518" s="4" t="s">
        <v>937</v>
      </c>
      <c r="S1518" s="5" t="n">
        <v>0.000231481481481482</v>
      </c>
      <c r="T1518" s="5" t="n">
        <v>0.0829861111111111</v>
      </c>
      <c r="U1518" s="5" t="n">
        <v>0.284027777777778</v>
      </c>
      <c r="V1518" s="5" t="n">
        <v>0.0399305555555556</v>
      </c>
      <c r="W1518" s="5" t="n">
        <v>0</v>
      </c>
      <c r="X1518" s="5" t="n">
        <v>0</v>
      </c>
      <c r="Y1518" s="5" t="n">
        <v>0</v>
      </c>
      <c r="Z1518" s="0" t="n">
        <v>0</v>
      </c>
      <c r="AA1518" s="0" t="n">
        <v>0</v>
      </c>
      <c r="AB1518" s="0" t="n">
        <v>0</v>
      </c>
      <c r="AC1518" s="4" t="s">
        <v>1998</v>
      </c>
      <c r="AD1518" s="4" t="s">
        <v>152</v>
      </c>
      <c r="AE1518" s="4" t="s">
        <v>5650</v>
      </c>
      <c r="AF1518" s="4" t="s">
        <v>5654</v>
      </c>
      <c r="AG1518" s="5" t="n">
        <v>0.384814814814815</v>
      </c>
      <c r="AH1518" s="5" t="n">
        <v>0.206145833333333</v>
      </c>
      <c r="AI1518" s="5" t="n">
        <v>0</v>
      </c>
      <c r="AJ1518" s="5" t="n">
        <v>0</v>
      </c>
      <c r="AK1518" s="5" t="n">
        <v>0</v>
      </c>
      <c r="AL1518" s="5" t="n">
        <v>0</v>
      </c>
      <c r="AM1518" s="4" t="s">
        <v>78</v>
      </c>
      <c r="AN1518" s="0" t="n">
        <v>0</v>
      </c>
      <c r="AO1518" s="0" t="n">
        <v>0</v>
      </c>
      <c r="AP1518" s="0" t="n">
        <v>0</v>
      </c>
      <c r="AQ1518" s="0" t="n">
        <v>0</v>
      </c>
      <c r="AR1518" s="0" t="n">
        <v>2</v>
      </c>
      <c r="AS1518" s="0" t="n">
        <v>0</v>
      </c>
      <c r="AT1518" s="0" t="n">
        <v>0</v>
      </c>
      <c r="AU1518" s="0" t="n">
        <v>2</v>
      </c>
      <c r="AV1518" s="0" t="n">
        <v>0</v>
      </c>
      <c r="AW1518" s="0" t="n">
        <v>0</v>
      </c>
      <c r="AX1518" s="0" t="n">
        <v>0</v>
      </c>
      <c r="AY1518" s="0" t="n">
        <v>0</v>
      </c>
      <c r="AZ1518" s="0" t="n">
        <v>0</v>
      </c>
      <c r="BA1518" s="0" t="n">
        <v>0</v>
      </c>
      <c r="BB1518" s="0" t="n">
        <v>0</v>
      </c>
      <c r="BC1518" s="0" t="n">
        <v>0</v>
      </c>
      <c r="BD1518" s="0" t="n">
        <v>0</v>
      </c>
      <c r="BE1518" s="0" t="n">
        <v>0</v>
      </c>
      <c r="BF1518" s="0" t="n">
        <v>0</v>
      </c>
      <c r="BG1518" s="0" t="n">
        <v>0</v>
      </c>
      <c r="BH1518" s="0" t="n">
        <v>0</v>
      </c>
      <c r="BI1518" s="0" t="n">
        <v>0</v>
      </c>
      <c r="BJ1518" s="0" t="n">
        <v>0</v>
      </c>
      <c r="BK1518" s="0" t="n">
        <v>0</v>
      </c>
      <c r="BM1518" s="6" t="n">
        <f aca="false">IFERROR(VALUE(F1518),"")</f>
        <v>533.61</v>
      </c>
      <c r="BN1518" s="6" t="n">
        <f aca="false">IF(R1518="-","",IFERROR(VALUE(LEFT(Q1518,LEN(Q1518)-2)),""))</f>
        <v>160.33</v>
      </c>
      <c r="BO1518" s="6" t="n">
        <f aca="false">IF(R1518="-","",IFERROR(VALUE(LEFT(R1518,LEN(R1518)-5)),""))</f>
        <v>3.33</v>
      </c>
      <c r="BP1518" s="6" t="n">
        <f aca="false">IF(R1518="-","",IFERROR(VALUE(F1518),""))</f>
        <v>533.61</v>
      </c>
      <c r="BQ1518" s="4" t="n">
        <f aca="false">IF(R1518="-",1,0)</f>
        <v>0</v>
      </c>
    </row>
    <row r="1519" customFormat="false" ht="15" hidden="false" customHeight="false" outlineLevel="0" collapsed="false">
      <c r="A1519" s="0" t="s">
        <v>5639</v>
      </c>
      <c r="B1519" s="0" t="s">
        <v>5640</v>
      </c>
      <c r="C1519" s="0" t="s">
        <v>70</v>
      </c>
      <c r="D1519" s="0" t="s">
        <v>5655</v>
      </c>
      <c r="E1519" s="3" t="n">
        <v>46276</v>
      </c>
      <c r="F1519" s="4" t="s">
        <v>5656</v>
      </c>
      <c r="G1519" s="5" t="n">
        <v>0.528576388888889</v>
      </c>
      <c r="H1519" s="5" t="n">
        <v>0.493252314814815</v>
      </c>
      <c r="I1519" s="5" t="n">
        <v>0.000138888888888889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5" t="n">
        <v>0</v>
      </c>
      <c r="P1519" s="5" t="n">
        <v>0.0236111111111111</v>
      </c>
      <c r="Q1519" s="4" t="s">
        <v>5657</v>
      </c>
      <c r="R1519" s="4" t="s">
        <v>2412</v>
      </c>
      <c r="S1519" s="5" t="n">
        <v>0.000694444444444445</v>
      </c>
      <c r="T1519" s="5" t="n">
        <v>0.13125</v>
      </c>
      <c r="U1519" s="5" t="n">
        <v>0.301273148148148</v>
      </c>
      <c r="V1519" s="5" t="n">
        <v>0.0392361111111111</v>
      </c>
      <c r="W1519" s="5" t="n">
        <v>0</v>
      </c>
      <c r="X1519" s="5" t="n">
        <v>0</v>
      </c>
      <c r="Y1519" s="5" t="n">
        <v>0</v>
      </c>
      <c r="Z1519" s="0" t="n">
        <v>0</v>
      </c>
      <c r="AA1519" s="0" t="n">
        <v>0</v>
      </c>
      <c r="AB1519" s="0" t="n">
        <v>0</v>
      </c>
      <c r="AC1519" s="4" t="s">
        <v>152</v>
      </c>
      <c r="AD1519" s="4" t="s">
        <v>1998</v>
      </c>
      <c r="AE1519" s="4" t="s">
        <v>5654</v>
      </c>
      <c r="AF1519" s="4" t="s">
        <v>5658</v>
      </c>
      <c r="AG1519" s="5" t="n">
        <v>0.407465277777778</v>
      </c>
      <c r="AH1519" s="5" t="n">
        <v>0.18744212962963</v>
      </c>
      <c r="AI1519" s="5" t="n">
        <v>0</v>
      </c>
      <c r="AJ1519" s="5" t="n">
        <v>0</v>
      </c>
      <c r="AK1519" s="5" t="n">
        <v>0</v>
      </c>
      <c r="AL1519" s="5" t="n">
        <v>0</v>
      </c>
      <c r="AM1519" s="4" t="s">
        <v>78</v>
      </c>
      <c r="AN1519" s="0" t="n">
        <v>0</v>
      </c>
      <c r="AO1519" s="0" t="n">
        <v>0</v>
      </c>
      <c r="AP1519" s="0" t="n">
        <v>0</v>
      </c>
      <c r="AQ1519" s="0" t="n">
        <v>0</v>
      </c>
      <c r="AR1519" s="0" t="n">
        <v>1</v>
      </c>
      <c r="AS1519" s="0" t="n">
        <v>0</v>
      </c>
      <c r="AT1519" s="0" t="n">
        <v>0</v>
      </c>
      <c r="AU1519" s="0" t="n">
        <v>5</v>
      </c>
      <c r="AV1519" s="0" t="n">
        <v>0</v>
      </c>
      <c r="AW1519" s="0" t="n">
        <v>0</v>
      </c>
      <c r="AX1519" s="0" t="n">
        <v>0</v>
      </c>
      <c r="AY1519" s="0" t="n">
        <v>0</v>
      </c>
      <c r="AZ1519" s="0" t="n">
        <v>0</v>
      </c>
      <c r="BA1519" s="0" t="n">
        <v>0</v>
      </c>
      <c r="BB1519" s="0" t="n">
        <v>0</v>
      </c>
      <c r="BC1519" s="0" t="n">
        <v>0</v>
      </c>
      <c r="BD1519" s="0" t="n">
        <v>0</v>
      </c>
      <c r="BE1519" s="0" t="n">
        <v>0</v>
      </c>
      <c r="BF1519" s="0" t="n">
        <v>0</v>
      </c>
      <c r="BG1519" s="0" t="n">
        <v>0</v>
      </c>
      <c r="BH1519" s="0" t="n">
        <v>0</v>
      </c>
      <c r="BI1519" s="0" t="n">
        <v>0</v>
      </c>
      <c r="BJ1519" s="0" t="n">
        <v>0</v>
      </c>
      <c r="BK1519" s="0" t="n">
        <v>0</v>
      </c>
      <c r="BM1519" s="6" t="n">
        <f aca="false">IFERROR(VALUE(F1519),"")</f>
        <v>539.6</v>
      </c>
      <c r="BN1519" s="6" t="n">
        <f aca="false">IF(R1519="-","",IFERROR(VALUE(LEFT(Q1519,LEN(Q1519)-2)),""))</f>
        <v>156.06</v>
      </c>
      <c r="BO1519" s="6" t="n">
        <f aca="false">IF(R1519="-","",IFERROR(VALUE(LEFT(R1519,LEN(R1519)-5)),""))</f>
        <v>3.46</v>
      </c>
      <c r="BP1519" s="6" t="n">
        <f aca="false">IF(R1519="-","",IFERROR(VALUE(F1519),""))</f>
        <v>539.6</v>
      </c>
      <c r="BQ1519" s="4" t="n">
        <f aca="false">IF(R1519="-",1,0)</f>
        <v>0</v>
      </c>
    </row>
    <row r="1520" customFormat="false" ht="15" hidden="false" customHeight="false" outlineLevel="0" collapsed="false">
      <c r="A1520" s="0" t="s">
        <v>5639</v>
      </c>
      <c r="B1520" s="0" t="s">
        <v>5640</v>
      </c>
      <c r="C1520" s="0" t="s">
        <v>70</v>
      </c>
      <c r="D1520" s="0" t="s">
        <v>5659</v>
      </c>
      <c r="E1520" s="3" t="n">
        <v>46277</v>
      </c>
      <c r="F1520" s="4" t="s">
        <v>5660</v>
      </c>
      <c r="G1520" s="5" t="n">
        <v>0.501284722222222</v>
      </c>
      <c r="H1520" s="5" t="n">
        <v>0.320428240740741</v>
      </c>
      <c r="I1520" s="5" t="n">
        <v>0.0012037037037037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5" t="n">
        <v>0</v>
      </c>
      <c r="P1520" s="5" t="n">
        <v>0.0191898148148148</v>
      </c>
      <c r="Q1520" s="4" t="s">
        <v>5661</v>
      </c>
      <c r="R1520" s="4" t="s">
        <v>1396</v>
      </c>
      <c r="S1520" s="5" t="n">
        <v>0.000347222222222222</v>
      </c>
      <c r="T1520" s="5" t="n">
        <v>0.132407407407407</v>
      </c>
      <c r="U1520" s="5" t="n">
        <v>0.297337962962963</v>
      </c>
      <c r="V1520" s="5" t="n">
        <v>0.0453703703703704</v>
      </c>
      <c r="W1520" s="5" t="n">
        <v>0</v>
      </c>
      <c r="X1520" s="5" t="n">
        <v>0</v>
      </c>
      <c r="Y1520" s="5" t="n">
        <v>0</v>
      </c>
      <c r="Z1520" s="0" t="n">
        <v>0</v>
      </c>
      <c r="AA1520" s="0" t="n">
        <v>0</v>
      </c>
      <c r="AB1520" s="0" t="n">
        <v>0</v>
      </c>
      <c r="AC1520" s="4" t="s">
        <v>1276</v>
      </c>
      <c r="AD1520" s="4" t="s">
        <v>152</v>
      </c>
      <c r="AE1520" s="4" t="s">
        <v>5658</v>
      </c>
      <c r="AF1520" s="4" t="s">
        <v>5662</v>
      </c>
      <c r="AG1520" s="5" t="n">
        <v>0.424027777777778</v>
      </c>
      <c r="AH1520" s="5" t="n">
        <v>0.169398148148148</v>
      </c>
      <c r="AI1520" s="5" t="n">
        <v>0</v>
      </c>
      <c r="AJ1520" s="5" t="n">
        <v>0</v>
      </c>
      <c r="AK1520" s="5" t="n">
        <v>0</v>
      </c>
      <c r="AL1520" s="5" t="n">
        <v>0</v>
      </c>
      <c r="AM1520" s="4" t="s">
        <v>78</v>
      </c>
      <c r="AN1520" s="0" t="n">
        <v>0</v>
      </c>
      <c r="AO1520" s="0" t="n">
        <v>0</v>
      </c>
      <c r="AP1520" s="0" t="n">
        <v>0</v>
      </c>
      <c r="AQ1520" s="0" t="n">
        <v>0</v>
      </c>
      <c r="AR1520" s="0" t="n">
        <v>3</v>
      </c>
      <c r="AS1520" s="0" t="n">
        <v>0</v>
      </c>
      <c r="AT1520" s="0" t="n">
        <v>0</v>
      </c>
      <c r="AU1520" s="0" t="n">
        <v>1</v>
      </c>
      <c r="AV1520" s="0" t="n">
        <v>0</v>
      </c>
      <c r="AW1520" s="0" t="n">
        <v>1</v>
      </c>
      <c r="AX1520" s="0" t="n">
        <v>0</v>
      </c>
      <c r="AY1520" s="0" t="n">
        <v>0</v>
      </c>
      <c r="AZ1520" s="0" t="n">
        <v>0</v>
      </c>
      <c r="BA1520" s="0" t="n">
        <v>0</v>
      </c>
      <c r="BB1520" s="0" t="n">
        <v>0</v>
      </c>
      <c r="BC1520" s="0" t="n">
        <v>0</v>
      </c>
      <c r="BD1520" s="0" t="n">
        <v>0</v>
      </c>
      <c r="BE1520" s="0" t="n">
        <v>0</v>
      </c>
      <c r="BF1520" s="0" t="n">
        <v>0</v>
      </c>
      <c r="BG1520" s="0" t="n">
        <v>0</v>
      </c>
      <c r="BH1520" s="0" t="n">
        <v>0</v>
      </c>
      <c r="BI1520" s="0" t="n">
        <v>0</v>
      </c>
      <c r="BJ1520" s="0" t="n">
        <v>0</v>
      </c>
      <c r="BK1520" s="0" t="n">
        <v>0</v>
      </c>
      <c r="BM1520" s="6" t="n">
        <f aca="false">IFERROR(VALUE(F1520),"")</f>
        <v>533.8</v>
      </c>
      <c r="BN1520" s="6" t="n">
        <f aca="false">IF(R1520="-","",IFERROR(VALUE(LEFT(Q1520,LEN(Q1520)-2)),""))</f>
        <v>167.93</v>
      </c>
      <c r="BO1520" s="6" t="n">
        <f aca="false">IF(R1520="-","",IFERROR(VALUE(LEFT(R1520,LEN(R1520)-5)),""))</f>
        <v>3.18</v>
      </c>
      <c r="BP1520" s="6" t="n">
        <f aca="false">IF(R1520="-","",IFERROR(VALUE(F1520),""))</f>
        <v>533.8</v>
      </c>
      <c r="BQ1520" s="4" t="n">
        <f aca="false">IF(R1520="-",1,0)</f>
        <v>0</v>
      </c>
    </row>
    <row r="1521" customFormat="false" ht="15" hidden="false" customHeight="false" outlineLevel="0" collapsed="false">
      <c r="A1521" s="0" t="s">
        <v>5639</v>
      </c>
      <c r="B1521" s="0" t="s">
        <v>5640</v>
      </c>
      <c r="C1521" s="0" t="s">
        <v>70</v>
      </c>
      <c r="D1521" s="0" t="s">
        <v>5659</v>
      </c>
      <c r="E1521" s="3" t="n">
        <v>46278</v>
      </c>
      <c r="F1521" s="4" t="s">
        <v>5663</v>
      </c>
      <c r="G1521" s="5" t="n">
        <v>0.586608796296296</v>
      </c>
      <c r="H1521" s="5" t="n">
        <v>0.16056712962963</v>
      </c>
      <c r="I1521" s="5" t="n">
        <v>0.000243055555555556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5" t="n">
        <v>0</v>
      </c>
      <c r="P1521" s="5" t="n">
        <v>0.229039351851852</v>
      </c>
      <c r="Q1521" s="4" t="s">
        <v>5664</v>
      </c>
      <c r="R1521" s="4" t="s">
        <v>340</v>
      </c>
      <c r="S1521" s="5" t="n">
        <v>0.29849537037037</v>
      </c>
      <c r="T1521" s="5" t="n">
        <v>0.0914351851851852</v>
      </c>
      <c r="U1521" s="5" t="n">
        <v>0.13275462962963</v>
      </c>
      <c r="V1521" s="5" t="n">
        <v>0.0432291666666667</v>
      </c>
      <c r="W1521" s="5" t="n">
        <v>0.000115740740740741</v>
      </c>
      <c r="X1521" s="5" t="n">
        <v>0</v>
      </c>
      <c r="Y1521" s="5" t="n">
        <v>0</v>
      </c>
      <c r="Z1521" s="0" t="n">
        <v>0</v>
      </c>
      <c r="AA1521" s="0" t="n">
        <v>0</v>
      </c>
      <c r="AB1521" s="0" t="n">
        <v>0</v>
      </c>
      <c r="AC1521" s="4" t="s">
        <v>152</v>
      </c>
      <c r="AD1521" s="4" t="s">
        <v>852</v>
      </c>
      <c r="AE1521" s="4" t="s">
        <v>5662</v>
      </c>
      <c r="AF1521" s="4" t="s">
        <v>5665</v>
      </c>
      <c r="AG1521" s="5" t="n">
        <v>0.29693287037037</v>
      </c>
      <c r="AH1521" s="5" t="n">
        <v>0.326284722222222</v>
      </c>
      <c r="AI1521" s="5" t="n">
        <v>0</v>
      </c>
      <c r="AJ1521" s="5" t="n">
        <v>0</v>
      </c>
      <c r="AK1521" s="5" t="n">
        <v>0</v>
      </c>
      <c r="AL1521" s="5" t="n">
        <v>0</v>
      </c>
      <c r="AM1521" s="4" t="s">
        <v>78</v>
      </c>
      <c r="AN1521" s="0" t="n">
        <v>0</v>
      </c>
      <c r="AO1521" s="0" t="n">
        <v>0</v>
      </c>
      <c r="AP1521" s="0" t="n">
        <v>0</v>
      </c>
      <c r="AQ1521" s="0" t="n">
        <v>0</v>
      </c>
      <c r="AR1521" s="0" t="n">
        <v>0</v>
      </c>
      <c r="AS1521" s="0" t="n">
        <v>0</v>
      </c>
      <c r="AT1521" s="0" t="n">
        <v>0</v>
      </c>
      <c r="AU1521" s="0" t="n">
        <v>6</v>
      </c>
      <c r="AV1521" s="0" t="n">
        <v>0</v>
      </c>
      <c r="AW1521" s="0" t="n">
        <v>3</v>
      </c>
      <c r="AX1521" s="0" t="n">
        <v>0</v>
      </c>
      <c r="AY1521" s="0" t="n">
        <v>0</v>
      </c>
      <c r="AZ1521" s="0" t="n">
        <v>0</v>
      </c>
      <c r="BA1521" s="0" t="n">
        <v>0</v>
      </c>
      <c r="BB1521" s="0" t="n">
        <v>0</v>
      </c>
      <c r="BC1521" s="0" t="n">
        <v>0</v>
      </c>
      <c r="BD1521" s="0" t="n">
        <v>0</v>
      </c>
      <c r="BE1521" s="0" t="n">
        <v>0</v>
      </c>
      <c r="BF1521" s="0" t="n">
        <v>0</v>
      </c>
      <c r="BG1521" s="0" t="n">
        <v>0</v>
      </c>
      <c r="BH1521" s="0" t="n">
        <v>0</v>
      </c>
      <c r="BI1521" s="0" t="n">
        <v>0</v>
      </c>
      <c r="BJ1521" s="0" t="n">
        <v>0</v>
      </c>
      <c r="BK1521" s="0" t="n">
        <v>0</v>
      </c>
      <c r="BM1521" s="6" t="n">
        <f aca="false">IFERROR(VALUE(F1521),"")</f>
        <v>352.86</v>
      </c>
      <c r="BN1521" s="6" t="n">
        <f aca="false">IF(R1521="-","",IFERROR(VALUE(LEFT(Q1521,LEN(Q1521)-2)),""))</f>
        <v>122.47</v>
      </c>
      <c r="BO1521" s="6" t="n">
        <f aca="false">IF(R1521="-","",IFERROR(VALUE(LEFT(R1521,LEN(R1521)-5)),""))</f>
        <v>2.88</v>
      </c>
      <c r="BP1521" s="6" t="n">
        <f aca="false">IF(R1521="-","",IFERROR(VALUE(F1521),""))</f>
        <v>352.86</v>
      </c>
      <c r="BQ1521" s="4" t="n">
        <f aca="false">IF(R1521="-",1,0)</f>
        <v>0</v>
      </c>
    </row>
    <row r="1522" customFormat="false" ht="15" hidden="false" customHeight="false" outlineLevel="0" collapsed="false">
      <c r="A1522" s="0" t="s">
        <v>5666</v>
      </c>
      <c r="B1522" s="0" t="s">
        <v>5667</v>
      </c>
      <c r="C1522" s="0" t="s">
        <v>70</v>
      </c>
      <c r="E1522" s="3" t="n">
        <v>46273</v>
      </c>
      <c r="F1522" s="4" t="s">
        <v>5668</v>
      </c>
      <c r="G1522" s="5" t="n">
        <v>0.161203703703704</v>
      </c>
      <c r="H1522" s="5" t="n">
        <v>0</v>
      </c>
      <c r="I1522" s="5" t="n">
        <v>0.000335648148148148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5" t="n">
        <v>0</v>
      </c>
      <c r="P1522" s="5" t="n">
        <v>0</v>
      </c>
      <c r="Q1522" s="4" t="s">
        <v>5669</v>
      </c>
      <c r="R1522" s="4" t="s">
        <v>5670</v>
      </c>
      <c r="S1522" s="5" t="n">
        <v>0.000115740740740741</v>
      </c>
      <c r="T1522" s="5" t="n">
        <v>0.0684027777777778</v>
      </c>
      <c r="U1522" s="5" t="n">
        <v>0.0550925925925926</v>
      </c>
      <c r="V1522" s="5" t="n">
        <v>0.0275462962962963</v>
      </c>
      <c r="W1522" s="5" t="n">
        <v>0</v>
      </c>
      <c r="X1522" s="5" t="n">
        <v>0</v>
      </c>
      <c r="Y1522" s="5" t="n">
        <v>0</v>
      </c>
      <c r="Z1522" s="0" t="n">
        <v>0</v>
      </c>
      <c r="AA1522" s="0" t="n">
        <v>0</v>
      </c>
      <c r="AB1522" s="0" t="n">
        <v>0</v>
      </c>
      <c r="AC1522" s="4" t="s">
        <v>159</v>
      </c>
      <c r="AD1522" s="4" t="s">
        <v>159</v>
      </c>
      <c r="AE1522" s="4" t="s">
        <v>5671</v>
      </c>
      <c r="AF1522" s="4" t="s">
        <v>5672</v>
      </c>
      <c r="AG1522" s="5" t="n">
        <v>0.137488425925926</v>
      </c>
      <c r="AH1522" s="5" t="n">
        <v>0.0650810185185185</v>
      </c>
      <c r="AI1522" s="5" t="n">
        <v>0</v>
      </c>
      <c r="AJ1522" s="5" t="n">
        <v>0</v>
      </c>
      <c r="AK1522" s="5" t="n">
        <v>0</v>
      </c>
      <c r="AL1522" s="5" t="n">
        <v>0</v>
      </c>
      <c r="AM1522" s="4" t="s">
        <v>78</v>
      </c>
      <c r="AN1522" s="0" t="n">
        <v>0</v>
      </c>
      <c r="AO1522" s="0" t="n">
        <v>0</v>
      </c>
      <c r="AP1522" s="0" t="n">
        <v>0</v>
      </c>
      <c r="AQ1522" s="0" t="n">
        <v>0</v>
      </c>
      <c r="AR1522" s="0" t="n">
        <v>0</v>
      </c>
      <c r="AS1522" s="0" t="n">
        <v>0</v>
      </c>
      <c r="AT1522" s="0" t="n">
        <v>0</v>
      </c>
      <c r="AU1522" s="0" t="n">
        <v>3</v>
      </c>
      <c r="AV1522" s="0" t="n">
        <v>0</v>
      </c>
      <c r="AW1522" s="0" t="n">
        <v>0</v>
      </c>
      <c r="AX1522" s="0" t="n">
        <v>0</v>
      </c>
      <c r="AY1522" s="0" t="n">
        <v>0</v>
      </c>
      <c r="AZ1522" s="0" t="n">
        <v>0</v>
      </c>
      <c r="BA1522" s="0" t="n">
        <v>0</v>
      </c>
      <c r="BB1522" s="0" t="n">
        <v>0</v>
      </c>
      <c r="BC1522" s="0" t="n">
        <v>0</v>
      </c>
      <c r="BD1522" s="0" t="n">
        <v>0</v>
      </c>
      <c r="BE1522" s="0" t="n">
        <v>0</v>
      </c>
      <c r="BF1522" s="0" t="n">
        <v>0</v>
      </c>
      <c r="BG1522" s="0" t="n">
        <v>0</v>
      </c>
      <c r="BH1522" s="0" t="n">
        <v>0</v>
      </c>
      <c r="BI1522" s="0" t="n">
        <v>0</v>
      </c>
      <c r="BJ1522" s="0" t="n">
        <v>0</v>
      </c>
      <c r="BK1522" s="0" t="n">
        <v>0</v>
      </c>
      <c r="BM1522" s="6" t="n">
        <f aca="false">IFERROR(VALUE(F1522),"")</f>
        <v>74.59</v>
      </c>
      <c r="BN1522" s="6" t="n">
        <f aca="false">IF(R1522="-","",IFERROR(VALUE(LEFT(Q1522,LEN(Q1522)-2)),""))</f>
        <v>18.44</v>
      </c>
      <c r="BO1522" s="6" t="n">
        <f aca="false">IF(R1522="-","",IFERROR(VALUE(LEFT(R1522,LEN(R1522)-5)),""))</f>
        <v>4.05</v>
      </c>
      <c r="BP1522" s="6" t="n">
        <f aca="false">IF(R1522="-","",IFERROR(VALUE(F1522),""))</f>
        <v>74.59</v>
      </c>
      <c r="BQ1522" s="4" t="n">
        <f aca="false">IF(R1522="-",1,0)</f>
        <v>0</v>
      </c>
    </row>
    <row r="1523" customFormat="false" ht="15" hidden="false" customHeight="false" outlineLevel="0" collapsed="false">
      <c r="A1523" s="0" t="s">
        <v>5666</v>
      </c>
      <c r="B1523" s="0" t="s">
        <v>5667</v>
      </c>
      <c r="C1523" s="0" t="s">
        <v>70</v>
      </c>
      <c r="D1523" s="0" t="s">
        <v>4086</v>
      </c>
      <c r="E1523" s="3" t="n">
        <v>46274</v>
      </c>
      <c r="F1523" s="4" t="s">
        <v>5673</v>
      </c>
      <c r="G1523" s="5" t="n">
        <v>0.183043981481482</v>
      </c>
      <c r="H1523" s="5" t="n">
        <v>0.00540509259259259</v>
      </c>
      <c r="I1523" s="5" t="n">
        <v>0.000462962962962963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1</v>
      </c>
      <c r="O1523" s="5" t="n">
        <v>0</v>
      </c>
      <c r="P1523" s="5" t="n">
        <v>0</v>
      </c>
      <c r="Q1523" s="4" t="s">
        <v>5674</v>
      </c>
      <c r="R1523" s="4" t="s">
        <v>5675</v>
      </c>
      <c r="S1523" s="5" t="n">
        <v>0.000115740740740741</v>
      </c>
      <c r="T1523" s="5" t="n">
        <v>0.0819444444444444</v>
      </c>
      <c r="U1523" s="5" t="n">
        <v>0.0596064814814815</v>
      </c>
      <c r="V1523" s="5" t="n">
        <v>0.0353009259259259</v>
      </c>
      <c r="W1523" s="5" t="n">
        <v>0.000115740740740741</v>
      </c>
      <c r="X1523" s="5" t="n">
        <v>0</v>
      </c>
      <c r="Y1523" s="5" t="n">
        <v>0</v>
      </c>
      <c r="Z1523" s="0" t="n">
        <v>0</v>
      </c>
      <c r="AA1523" s="0" t="n">
        <v>0</v>
      </c>
      <c r="AB1523" s="0" t="n">
        <v>0</v>
      </c>
      <c r="AC1523" s="4" t="s">
        <v>159</v>
      </c>
      <c r="AD1523" s="4" t="s">
        <v>159</v>
      </c>
      <c r="AE1523" s="4" t="s">
        <v>5672</v>
      </c>
      <c r="AF1523" s="4" t="s">
        <v>5676</v>
      </c>
      <c r="AG1523" s="5" t="n">
        <v>0.155115740740741</v>
      </c>
      <c r="AH1523" s="5" t="n">
        <v>0.0818865740740741</v>
      </c>
      <c r="AI1523" s="5" t="n">
        <v>0</v>
      </c>
      <c r="AJ1523" s="5" t="n">
        <v>0</v>
      </c>
      <c r="AK1523" s="5" t="n">
        <v>0</v>
      </c>
      <c r="AL1523" s="5" t="n">
        <v>0</v>
      </c>
      <c r="AM1523" s="4" t="s">
        <v>78</v>
      </c>
      <c r="AN1523" s="0" t="n">
        <v>0</v>
      </c>
      <c r="AO1523" s="0" t="n">
        <v>0</v>
      </c>
      <c r="AP1523" s="0" t="n">
        <v>0</v>
      </c>
      <c r="AQ1523" s="0" t="n">
        <v>0</v>
      </c>
      <c r="AR1523" s="0" t="n">
        <v>0</v>
      </c>
      <c r="AS1523" s="0" t="n">
        <v>0</v>
      </c>
      <c r="AT1523" s="0" t="n">
        <v>0</v>
      </c>
      <c r="AU1523" s="0" t="n">
        <v>9</v>
      </c>
      <c r="AV1523" s="0" t="n">
        <v>0</v>
      </c>
      <c r="AW1523" s="0" t="n">
        <v>0</v>
      </c>
      <c r="AX1523" s="0" t="n">
        <v>0</v>
      </c>
      <c r="AY1523" s="0" t="n">
        <v>0</v>
      </c>
      <c r="AZ1523" s="0" t="n">
        <v>0</v>
      </c>
      <c r="BA1523" s="0" t="n">
        <v>0</v>
      </c>
      <c r="BB1523" s="0" t="n">
        <v>0</v>
      </c>
      <c r="BC1523" s="0" t="n">
        <v>0</v>
      </c>
      <c r="BD1523" s="0" t="n">
        <v>0</v>
      </c>
      <c r="BE1523" s="0" t="n">
        <v>0</v>
      </c>
      <c r="BF1523" s="0" t="n">
        <v>0</v>
      </c>
      <c r="BG1523" s="0" t="n">
        <v>0</v>
      </c>
      <c r="BH1523" s="0" t="n">
        <v>0</v>
      </c>
      <c r="BI1523" s="0" t="n">
        <v>0</v>
      </c>
      <c r="BJ1523" s="0" t="n">
        <v>0</v>
      </c>
      <c r="BK1523" s="0" t="n">
        <v>0</v>
      </c>
      <c r="BM1523" s="6" t="n">
        <f aca="false">IFERROR(VALUE(F1523),"")</f>
        <v>84.07</v>
      </c>
      <c r="BN1523" s="6" t="n">
        <f aca="false">IF(R1523="-","",IFERROR(VALUE(LEFT(Q1523,LEN(Q1523)-2)),""))</f>
        <v>21.49</v>
      </c>
      <c r="BO1523" s="6" t="n">
        <f aca="false">IF(R1523="-","",IFERROR(VALUE(LEFT(R1523,LEN(R1523)-5)),""))</f>
        <v>3.91</v>
      </c>
      <c r="BP1523" s="6" t="n">
        <f aca="false">IF(R1523="-","",IFERROR(VALUE(F1523),""))</f>
        <v>84.07</v>
      </c>
      <c r="BQ1523" s="4" t="n">
        <f aca="false">IF(R1523="-",1,0)</f>
        <v>0</v>
      </c>
    </row>
    <row r="1524" customFormat="false" ht="15" hidden="false" customHeight="false" outlineLevel="0" collapsed="false">
      <c r="A1524" s="0" t="s">
        <v>5666</v>
      </c>
      <c r="B1524" s="0" t="s">
        <v>5667</v>
      </c>
      <c r="C1524" s="0" t="s">
        <v>70</v>
      </c>
      <c r="D1524" s="0" t="s">
        <v>4086</v>
      </c>
      <c r="E1524" s="3" t="n">
        <v>46275</v>
      </c>
      <c r="F1524" s="4" t="s">
        <v>5677</v>
      </c>
      <c r="G1524" s="5" t="n">
        <v>0.155706018518519</v>
      </c>
      <c r="H1524" s="5" t="n">
        <v>0.00113425925925926</v>
      </c>
      <c r="I1524" s="5" t="n">
        <v>0.000358796296296296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5" t="n">
        <v>0</v>
      </c>
      <c r="P1524" s="5" t="n">
        <v>0</v>
      </c>
      <c r="Q1524" s="4" t="s">
        <v>5678</v>
      </c>
      <c r="R1524" s="4" t="s">
        <v>5679</v>
      </c>
      <c r="S1524" s="5" t="n">
        <v>0</v>
      </c>
      <c r="T1524" s="5" t="n">
        <v>0.0572916666666667</v>
      </c>
      <c r="U1524" s="5" t="n">
        <v>0.0616898148148148</v>
      </c>
      <c r="V1524" s="5" t="n">
        <v>0.0284722222222222</v>
      </c>
      <c r="W1524" s="5" t="n">
        <v>0</v>
      </c>
      <c r="X1524" s="5" t="n">
        <v>0</v>
      </c>
      <c r="Y1524" s="5" t="n">
        <v>0</v>
      </c>
      <c r="Z1524" s="0" t="n">
        <v>0</v>
      </c>
      <c r="AA1524" s="0" t="n">
        <v>0</v>
      </c>
      <c r="AB1524" s="0" t="n">
        <v>0</v>
      </c>
      <c r="AC1524" s="4" t="s">
        <v>159</v>
      </c>
      <c r="AD1524" s="4" t="s">
        <v>159</v>
      </c>
      <c r="AE1524" s="4" t="s">
        <v>5676</v>
      </c>
      <c r="AF1524" s="4" t="s">
        <v>5680</v>
      </c>
      <c r="AG1524" s="5" t="n">
        <v>0.138310185185185</v>
      </c>
      <c r="AH1524" s="5" t="n">
        <v>0.0780092592592593</v>
      </c>
      <c r="AI1524" s="5" t="n">
        <v>0</v>
      </c>
      <c r="AJ1524" s="5" t="n">
        <v>0</v>
      </c>
      <c r="AK1524" s="5" t="n">
        <v>0</v>
      </c>
      <c r="AL1524" s="5" t="n">
        <v>0</v>
      </c>
      <c r="AM1524" s="4" t="s">
        <v>78</v>
      </c>
      <c r="AN1524" s="0" t="n">
        <v>0</v>
      </c>
      <c r="AO1524" s="0" t="n">
        <v>0</v>
      </c>
      <c r="AP1524" s="0" t="n">
        <v>0</v>
      </c>
      <c r="AQ1524" s="0" t="n">
        <v>0</v>
      </c>
      <c r="AR1524" s="0" t="n">
        <v>0</v>
      </c>
      <c r="AS1524" s="0" t="n">
        <v>0</v>
      </c>
      <c r="AT1524" s="0" t="n">
        <v>0</v>
      </c>
      <c r="AU1524" s="0" t="n">
        <v>2</v>
      </c>
      <c r="AV1524" s="0" t="n">
        <v>0</v>
      </c>
      <c r="AW1524" s="0" t="n">
        <v>0</v>
      </c>
      <c r="AX1524" s="0" t="n">
        <v>0</v>
      </c>
      <c r="AY1524" s="0" t="n">
        <v>0</v>
      </c>
      <c r="AZ1524" s="0" t="n">
        <v>0</v>
      </c>
      <c r="BA1524" s="0" t="n">
        <v>0</v>
      </c>
      <c r="BB1524" s="0" t="n">
        <v>0</v>
      </c>
      <c r="BC1524" s="0" t="n">
        <v>0</v>
      </c>
      <c r="BD1524" s="0" t="n">
        <v>0</v>
      </c>
      <c r="BE1524" s="0" t="n">
        <v>0</v>
      </c>
      <c r="BF1524" s="0" t="n">
        <v>0</v>
      </c>
      <c r="BG1524" s="0" t="n">
        <v>0</v>
      </c>
      <c r="BH1524" s="0" t="n">
        <v>0</v>
      </c>
      <c r="BI1524" s="0" t="n">
        <v>0</v>
      </c>
      <c r="BJ1524" s="0" t="n">
        <v>0</v>
      </c>
      <c r="BK1524" s="0" t="n">
        <v>0</v>
      </c>
      <c r="BM1524" s="6" t="n">
        <f aca="false">IFERROR(VALUE(F1524),"")</f>
        <v>82.47</v>
      </c>
      <c r="BN1524" s="6" t="n">
        <f aca="false">IF(R1524="-","",IFERROR(VALUE(LEFT(Q1524,LEN(Q1524)-2)),""))</f>
        <v>19.38</v>
      </c>
      <c r="BO1524" s="6" t="n">
        <f aca="false">IF(R1524="-","",IFERROR(VALUE(LEFT(R1524,LEN(R1524)-5)),""))</f>
        <v>4.26</v>
      </c>
      <c r="BP1524" s="6" t="n">
        <f aca="false">IF(R1524="-","",IFERROR(VALUE(F1524),""))</f>
        <v>82.47</v>
      </c>
      <c r="BQ1524" s="4" t="n">
        <f aca="false">IF(R1524="-",1,0)</f>
        <v>0</v>
      </c>
    </row>
    <row r="1525" customFormat="false" ht="15" hidden="false" customHeight="false" outlineLevel="0" collapsed="false">
      <c r="A1525" s="0" t="s">
        <v>5666</v>
      </c>
      <c r="B1525" s="0" t="s">
        <v>5667</v>
      </c>
      <c r="C1525" s="0" t="s">
        <v>70</v>
      </c>
      <c r="D1525" s="0" t="s">
        <v>4086</v>
      </c>
      <c r="E1525" s="3" t="n">
        <v>46276</v>
      </c>
      <c r="F1525" s="4" t="s">
        <v>5681</v>
      </c>
      <c r="G1525" s="5" t="n">
        <v>0.167002314814815</v>
      </c>
      <c r="H1525" s="5" t="n">
        <v>0.00993055555555556</v>
      </c>
      <c r="I1525" s="5" t="n">
        <v>0.000393518518518519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5" t="n">
        <v>0</v>
      </c>
      <c r="P1525" s="5" t="n">
        <v>0</v>
      </c>
      <c r="Q1525" s="4" t="s">
        <v>5682</v>
      </c>
      <c r="R1525" s="4" t="s">
        <v>4363</v>
      </c>
      <c r="S1525" s="5" t="n">
        <v>0.000231481481481482</v>
      </c>
      <c r="T1525" s="5" t="n">
        <v>0.0702546296296296</v>
      </c>
      <c r="U1525" s="5" t="n">
        <v>0.0594907407407407</v>
      </c>
      <c r="V1525" s="5" t="n">
        <v>0.0304398148148148</v>
      </c>
      <c r="W1525" s="5" t="n">
        <v>0.000115740740740741</v>
      </c>
      <c r="X1525" s="5" t="n">
        <v>0</v>
      </c>
      <c r="Y1525" s="5" t="n">
        <v>0</v>
      </c>
      <c r="Z1525" s="0" t="n">
        <v>0</v>
      </c>
      <c r="AA1525" s="0" t="n">
        <v>0</v>
      </c>
      <c r="AB1525" s="0" t="n">
        <v>0</v>
      </c>
      <c r="AC1525" s="4" t="s">
        <v>159</v>
      </c>
      <c r="AD1525" s="4" t="s">
        <v>159</v>
      </c>
      <c r="AE1525" s="4" t="s">
        <v>5680</v>
      </c>
      <c r="AF1525" s="4" t="s">
        <v>5683</v>
      </c>
      <c r="AG1525" s="5" t="n">
        <v>0.138703703703704</v>
      </c>
      <c r="AH1525" s="5" t="n">
        <v>0.0692708333333333</v>
      </c>
      <c r="AI1525" s="5" t="n">
        <v>0</v>
      </c>
      <c r="AJ1525" s="5" t="n">
        <v>0</v>
      </c>
      <c r="AK1525" s="5" t="n">
        <v>0</v>
      </c>
      <c r="AL1525" s="5" t="n">
        <v>0</v>
      </c>
      <c r="AM1525" s="4" t="s">
        <v>78</v>
      </c>
      <c r="AN1525" s="0" t="n">
        <v>0</v>
      </c>
      <c r="AO1525" s="0" t="n">
        <v>0</v>
      </c>
      <c r="AP1525" s="0" t="n">
        <v>0</v>
      </c>
      <c r="AQ1525" s="0" t="n">
        <v>0</v>
      </c>
      <c r="AR1525" s="0" t="n">
        <v>0</v>
      </c>
      <c r="AS1525" s="0" t="n">
        <v>0</v>
      </c>
      <c r="AT1525" s="0" t="n">
        <v>0</v>
      </c>
      <c r="AU1525" s="0" t="n">
        <v>3</v>
      </c>
      <c r="AV1525" s="0" t="n">
        <v>0</v>
      </c>
      <c r="AW1525" s="0" t="n">
        <v>0</v>
      </c>
      <c r="AX1525" s="0" t="n">
        <v>0</v>
      </c>
      <c r="AY1525" s="0" t="n">
        <v>0</v>
      </c>
      <c r="AZ1525" s="0" t="n">
        <v>0</v>
      </c>
      <c r="BA1525" s="0" t="n">
        <v>0</v>
      </c>
      <c r="BB1525" s="0" t="n">
        <v>0</v>
      </c>
      <c r="BC1525" s="0" t="n">
        <v>0</v>
      </c>
      <c r="BD1525" s="0" t="n">
        <v>0</v>
      </c>
      <c r="BE1525" s="0" t="n">
        <v>0</v>
      </c>
      <c r="BF1525" s="0" t="n">
        <v>0</v>
      </c>
      <c r="BG1525" s="0" t="n">
        <v>0</v>
      </c>
      <c r="BH1525" s="0" t="n">
        <v>0</v>
      </c>
      <c r="BI1525" s="0" t="n">
        <v>0</v>
      </c>
      <c r="BJ1525" s="0" t="n">
        <v>0</v>
      </c>
      <c r="BK1525" s="0" t="n">
        <v>0</v>
      </c>
      <c r="BM1525" s="6" t="n">
        <f aca="false">IFERROR(VALUE(F1525),"")</f>
        <v>83.09</v>
      </c>
      <c r="BN1525" s="6" t="n">
        <f aca="false">IF(R1525="-","",IFERROR(VALUE(LEFT(Q1525,LEN(Q1525)-2)),""))</f>
        <v>23.42</v>
      </c>
      <c r="BO1525" s="6" t="n">
        <f aca="false">IF(R1525="-","",IFERROR(VALUE(LEFT(R1525,LEN(R1525)-5)),""))</f>
        <v>3.55</v>
      </c>
      <c r="BP1525" s="6" t="n">
        <f aca="false">IF(R1525="-","",IFERROR(VALUE(F1525),""))</f>
        <v>83.09</v>
      </c>
      <c r="BQ1525" s="4" t="n">
        <f aca="false">IF(R1525="-",1,0)</f>
        <v>0</v>
      </c>
    </row>
    <row r="1526" customFormat="false" ht="15" hidden="false" customHeight="false" outlineLevel="0" collapsed="false">
      <c r="A1526" s="0" t="s">
        <v>5666</v>
      </c>
      <c r="B1526" s="0" t="s">
        <v>5667</v>
      </c>
      <c r="C1526" s="0" t="s">
        <v>70</v>
      </c>
      <c r="D1526" s="0" t="s">
        <v>5266</v>
      </c>
      <c r="E1526" s="3" t="n">
        <v>46277</v>
      </c>
      <c r="F1526" s="4" t="s">
        <v>5684</v>
      </c>
      <c r="G1526" s="5" t="n">
        <v>0.0173958333333333</v>
      </c>
      <c r="H1526" s="5" t="n">
        <v>0.00328703703703704</v>
      </c>
      <c r="I1526" s="5" t="n">
        <v>0.00293981481481482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5" t="n">
        <v>0</v>
      </c>
      <c r="P1526" s="5" t="n">
        <v>0</v>
      </c>
      <c r="Q1526" s="4" t="s">
        <v>5685</v>
      </c>
      <c r="R1526" s="4" t="s">
        <v>2058</v>
      </c>
      <c r="S1526" s="5" t="n">
        <v>0.000347222222222222</v>
      </c>
      <c r="T1526" s="5" t="n">
        <v>0.0100694444444445</v>
      </c>
      <c r="U1526" s="5" t="n">
        <v>0.00462962962962963</v>
      </c>
      <c r="V1526" s="5" t="n">
        <v>0.00150462962962963</v>
      </c>
      <c r="W1526" s="5" t="n">
        <v>0</v>
      </c>
      <c r="X1526" s="5" t="n">
        <v>0</v>
      </c>
      <c r="Y1526" s="5" t="n">
        <v>0</v>
      </c>
      <c r="Z1526" s="0" t="n">
        <v>0</v>
      </c>
      <c r="AA1526" s="0" t="n">
        <v>0</v>
      </c>
      <c r="AB1526" s="0" t="n">
        <v>0</v>
      </c>
      <c r="AC1526" s="4" t="s">
        <v>159</v>
      </c>
      <c r="AD1526" s="4" t="s">
        <v>158</v>
      </c>
      <c r="AE1526" s="4" t="s">
        <v>5683</v>
      </c>
      <c r="AF1526" s="4" t="s">
        <v>5686</v>
      </c>
      <c r="AG1526" s="5" t="n">
        <v>0.0130208333333333</v>
      </c>
      <c r="AH1526" s="5" t="n">
        <v>0.0351736111111111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4" t="s">
        <v>78</v>
      </c>
      <c r="AN1526" s="0" t="n">
        <v>0</v>
      </c>
      <c r="AO1526" s="0" t="n">
        <v>0</v>
      </c>
      <c r="AP1526" s="0" t="n">
        <v>0</v>
      </c>
      <c r="AQ1526" s="0" t="n">
        <v>0</v>
      </c>
      <c r="AR1526" s="0" t="n">
        <v>0</v>
      </c>
      <c r="AS1526" s="0" t="n">
        <v>0</v>
      </c>
      <c r="AT1526" s="0" t="n">
        <v>0</v>
      </c>
      <c r="AU1526" s="0" t="n">
        <v>0</v>
      </c>
      <c r="AV1526" s="0" t="n">
        <v>0</v>
      </c>
      <c r="AW1526" s="0" t="n">
        <v>0</v>
      </c>
      <c r="AX1526" s="0" t="n">
        <v>0</v>
      </c>
      <c r="AY1526" s="0" t="n">
        <v>0</v>
      </c>
      <c r="AZ1526" s="0" t="n">
        <v>0</v>
      </c>
      <c r="BA1526" s="0" t="n">
        <v>0</v>
      </c>
      <c r="BB1526" s="0" t="n">
        <v>0</v>
      </c>
      <c r="BC1526" s="0" t="n">
        <v>0</v>
      </c>
      <c r="BD1526" s="0" t="n">
        <v>0</v>
      </c>
      <c r="BE1526" s="0" t="n">
        <v>0</v>
      </c>
      <c r="BF1526" s="0" t="n">
        <v>0</v>
      </c>
      <c r="BG1526" s="0" t="n">
        <v>0</v>
      </c>
      <c r="BH1526" s="0" t="n">
        <v>0</v>
      </c>
      <c r="BI1526" s="0" t="n">
        <v>0</v>
      </c>
      <c r="BJ1526" s="0" t="n">
        <v>0</v>
      </c>
      <c r="BK1526" s="0" t="n">
        <v>0</v>
      </c>
      <c r="BM1526" s="6" t="n">
        <f aca="false">IFERROR(VALUE(F1526),"")</f>
        <v>3.74</v>
      </c>
      <c r="BN1526" s="6" t="n">
        <f aca="false">IF(R1526="-","",IFERROR(VALUE(LEFT(Q1526,LEN(Q1526)-2)),""))</f>
        <v>1.28</v>
      </c>
      <c r="BO1526" s="6" t="n">
        <f aca="false">IF(R1526="-","",IFERROR(VALUE(LEFT(R1526,LEN(R1526)-5)),""))</f>
        <v>2.93</v>
      </c>
      <c r="BP1526" s="6" t="n">
        <f aca="false">IF(R1526="-","",IFERROR(VALUE(F1526),""))</f>
        <v>3.74</v>
      </c>
      <c r="BQ1526" s="4" t="n">
        <f aca="false">IF(R1526="-",1,0)</f>
        <v>0</v>
      </c>
    </row>
    <row r="1527" customFormat="false" ht="15" hidden="false" customHeight="false" outlineLevel="0" collapsed="false">
      <c r="A1527" s="0" t="s">
        <v>5666</v>
      </c>
      <c r="B1527" s="0" t="s">
        <v>5667</v>
      </c>
      <c r="C1527" s="0" t="s">
        <v>70</v>
      </c>
      <c r="D1527" s="0" t="s">
        <v>4086</v>
      </c>
      <c r="E1527" s="3" t="n">
        <v>46279</v>
      </c>
      <c r="F1527" s="4" t="s">
        <v>5687</v>
      </c>
      <c r="G1527" s="5" t="n">
        <v>0.160208333333333</v>
      </c>
      <c r="H1527" s="5" t="n">
        <v>0.00681712962962963</v>
      </c>
      <c r="I1527" s="5" t="n">
        <v>0.000347222222222222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5" t="n">
        <v>0</v>
      </c>
      <c r="P1527" s="5" t="n">
        <v>0</v>
      </c>
      <c r="Q1527" s="4" t="s">
        <v>5688</v>
      </c>
      <c r="R1527" s="4" t="s">
        <v>5586</v>
      </c>
      <c r="S1527" s="5" t="n">
        <v>0.000115740740740741</v>
      </c>
      <c r="T1527" s="5" t="n">
        <v>0.0584490740740741</v>
      </c>
      <c r="U1527" s="5" t="n">
        <v>0.0592592592592593</v>
      </c>
      <c r="V1527" s="5" t="n">
        <v>0.0295138888888889</v>
      </c>
      <c r="W1527" s="5" t="n">
        <v>0</v>
      </c>
      <c r="X1527" s="5" t="n">
        <v>0</v>
      </c>
      <c r="Y1527" s="5" t="n">
        <v>0</v>
      </c>
      <c r="Z1527" s="0" t="n">
        <v>0</v>
      </c>
      <c r="AA1527" s="0" t="n">
        <v>0</v>
      </c>
      <c r="AB1527" s="0" t="n">
        <v>0</v>
      </c>
      <c r="AC1527" s="4" t="s">
        <v>158</v>
      </c>
      <c r="AD1527" s="4" t="s">
        <v>159</v>
      </c>
      <c r="AE1527" s="4" t="s">
        <v>5686</v>
      </c>
      <c r="AF1527" s="4" t="s">
        <v>5689</v>
      </c>
      <c r="AG1527" s="5" t="n">
        <v>0.13375</v>
      </c>
      <c r="AH1527" s="5" t="n">
        <v>0.0784490740740741</v>
      </c>
      <c r="AI1527" s="5" t="n">
        <v>0</v>
      </c>
      <c r="AJ1527" s="5" t="n">
        <v>0</v>
      </c>
      <c r="AK1527" s="5" t="n">
        <v>0</v>
      </c>
      <c r="AL1527" s="5" t="n">
        <v>0</v>
      </c>
      <c r="AM1527" s="4" t="s">
        <v>78</v>
      </c>
      <c r="AN1527" s="0" t="n">
        <v>0</v>
      </c>
      <c r="AO1527" s="0" t="n">
        <v>0</v>
      </c>
      <c r="AP1527" s="0" t="n">
        <v>0</v>
      </c>
      <c r="AQ1527" s="0" t="n">
        <v>0</v>
      </c>
      <c r="AR1527" s="0" t="n">
        <v>0</v>
      </c>
      <c r="AS1527" s="0" t="n">
        <v>0</v>
      </c>
      <c r="AT1527" s="0" t="n">
        <v>0</v>
      </c>
      <c r="AU1527" s="0" t="n">
        <v>8</v>
      </c>
      <c r="AV1527" s="0" t="n">
        <v>0</v>
      </c>
      <c r="AW1527" s="0" t="n">
        <v>0</v>
      </c>
      <c r="AX1527" s="0" t="n">
        <v>0</v>
      </c>
      <c r="AY1527" s="0" t="n">
        <v>0</v>
      </c>
      <c r="AZ1527" s="0" t="n">
        <v>0</v>
      </c>
      <c r="BA1527" s="0" t="n">
        <v>0</v>
      </c>
      <c r="BB1527" s="0" t="n">
        <v>0</v>
      </c>
      <c r="BC1527" s="0" t="n">
        <v>0</v>
      </c>
      <c r="BD1527" s="0" t="n">
        <v>0</v>
      </c>
      <c r="BE1527" s="0" t="n">
        <v>0</v>
      </c>
      <c r="BF1527" s="0" t="n">
        <v>0</v>
      </c>
      <c r="BG1527" s="0" t="n">
        <v>0</v>
      </c>
      <c r="BH1527" s="0" t="n">
        <v>0</v>
      </c>
      <c r="BI1527" s="0" t="n">
        <v>0</v>
      </c>
      <c r="BJ1527" s="0" t="n">
        <v>0</v>
      </c>
      <c r="BK1527" s="0" t="n">
        <v>0</v>
      </c>
      <c r="BM1527" s="6" t="n">
        <f aca="false">IFERROR(VALUE(F1527),"")</f>
        <v>79.45</v>
      </c>
      <c r="BN1527" s="6" t="n">
        <f aca="false">IF(R1527="-","",IFERROR(VALUE(LEFT(Q1527,LEN(Q1527)-2)),""))</f>
        <v>19.78</v>
      </c>
      <c r="BO1527" s="6" t="n">
        <f aca="false">IF(R1527="-","",IFERROR(VALUE(LEFT(R1527,LEN(R1527)-5)),""))</f>
        <v>4.02</v>
      </c>
      <c r="BP1527" s="6" t="n">
        <f aca="false">IF(R1527="-","",IFERROR(VALUE(F1527),""))</f>
        <v>79.45</v>
      </c>
      <c r="BQ1527" s="4" t="n">
        <f aca="false">IF(R1527="-",1,0)</f>
        <v>0</v>
      </c>
    </row>
    <row r="1528" customFormat="false" ht="15" hidden="false" customHeight="false" outlineLevel="0" collapsed="false">
      <c r="A1528" s="0" t="s">
        <v>5690</v>
      </c>
      <c r="B1528" s="0" t="s">
        <v>5691</v>
      </c>
      <c r="C1528" s="0" t="s">
        <v>70</v>
      </c>
      <c r="E1528" s="3" t="n">
        <v>46273</v>
      </c>
      <c r="F1528" s="4" t="s">
        <v>5692</v>
      </c>
      <c r="G1528" s="5" t="n">
        <v>0.161215277777778</v>
      </c>
      <c r="H1528" s="5" t="n">
        <v>0</v>
      </c>
      <c r="I1528" s="5" t="n">
        <v>0.000289351851851852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5" t="n">
        <v>0</v>
      </c>
      <c r="P1528" s="5" t="n">
        <v>0.0152199074074074</v>
      </c>
      <c r="Q1528" s="4" t="s">
        <v>5693</v>
      </c>
      <c r="R1528" s="4" t="s">
        <v>3509</v>
      </c>
      <c r="S1528" s="5" t="n">
        <v>0</v>
      </c>
      <c r="T1528" s="5" t="n">
        <v>0.0732638888888889</v>
      </c>
      <c r="U1528" s="5" t="n">
        <v>0.0490740740740741</v>
      </c>
      <c r="V1528" s="5" t="n">
        <v>0.033912037037037</v>
      </c>
      <c r="W1528" s="5" t="n">
        <v>0</v>
      </c>
      <c r="X1528" s="5" t="n">
        <v>0</v>
      </c>
      <c r="Y1528" s="5" t="n">
        <v>0</v>
      </c>
      <c r="Z1528" s="0" t="n">
        <v>0</v>
      </c>
      <c r="AA1528" s="0" t="n">
        <v>0</v>
      </c>
      <c r="AB1528" s="0" t="n">
        <v>0</v>
      </c>
      <c r="AC1528" s="4" t="s">
        <v>158</v>
      </c>
      <c r="AD1528" s="4" t="s">
        <v>159</v>
      </c>
      <c r="AE1528" s="4" t="s">
        <v>5694</v>
      </c>
      <c r="AF1528" s="4" t="s">
        <v>5695</v>
      </c>
      <c r="AG1528" s="5" t="n">
        <v>0.128032407407407</v>
      </c>
      <c r="AH1528" s="5" t="n">
        <v>0.0995717592592593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4" t="s">
        <v>78</v>
      </c>
      <c r="AN1528" s="0" t="n">
        <v>0</v>
      </c>
      <c r="AO1528" s="0" t="n">
        <v>0</v>
      </c>
      <c r="AP1528" s="0" t="n">
        <v>0</v>
      </c>
      <c r="AQ1528" s="0" t="n">
        <v>0</v>
      </c>
      <c r="AR1528" s="0" t="n">
        <v>0</v>
      </c>
      <c r="AS1528" s="0" t="n">
        <v>0</v>
      </c>
      <c r="AT1528" s="0" t="n">
        <v>0</v>
      </c>
      <c r="AU1528" s="0" t="n">
        <v>0</v>
      </c>
      <c r="AV1528" s="0" t="n">
        <v>0</v>
      </c>
      <c r="AW1528" s="0" t="n">
        <v>0</v>
      </c>
      <c r="AX1528" s="0" t="n">
        <v>0</v>
      </c>
      <c r="AY1528" s="0" t="n">
        <v>0</v>
      </c>
      <c r="AZ1528" s="0" t="n">
        <v>0</v>
      </c>
      <c r="BA1528" s="0" t="n">
        <v>0</v>
      </c>
      <c r="BB1528" s="0" t="n">
        <v>0</v>
      </c>
      <c r="BC1528" s="0" t="n">
        <v>0</v>
      </c>
      <c r="BD1528" s="0" t="n">
        <v>0</v>
      </c>
      <c r="BE1528" s="0" t="n">
        <v>0</v>
      </c>
      <c r="BF1528" s="0" t="n">
        <v>0</v>
      </c>
      <c r="BG1528" s="0" t="n">
        <v>0</v>
      </c>
      <c r="BH1528" s="0" t="n">
        <v>0</v>
      </c>
      <c r="BI1528" s="0" t="n">
        <v>0</v>
      </c>
      <c r="BJ1528" s="0" t="n">
        <v>0</v>
      </c>
      <c r="BK1528" s="0" t="n">
        <v>0</v>
      </c>
      <c r="BM1528" s="6" t="n">
        <f aca="false">IFERROR(VALUE(F1528),"")</f>
        <v>63.35</v>
      </c>
      <c r="BN1528" s="6" t="n">
        <f aca="false">IF(R1528="-","",IFERROR(VALUE(LEFT(Q1528,LEN(Q1528)-2)),""))</f>
        <v>17.92</v>
      </c>
      <c r="BO1528" s="6" t="n">
        <f aca="false">IF(R1528="-","",IFERROR(VALUE(LEFT(R1528,LEN(R1528)-5)),""))</f>
        <v>3.53</v>
      </c>
      <c r="BP1528" s="6" t="n">
        <f aca="false">IF(R1528="-","",IFERROR(VALUE(F1528),""))</f>
        <v>63.35</v>
      </c>
      <c r="BQ1528" s="4" t="n">
        <f aca="false">IF(R1528="-",1,0)</f>
        <v>0</v>
      </c>
    </row>
    <row r="1529" customFormat="false" ht="15" hidden="false" customHeight="false" outlineLevel="0" collapsed="false">
      <c r="A1529" s="0" t="s">
        <v>5690</v>
      </c>
      <c r="B1529" s="0" t="s">
        <v>5691</v>
      </c>
      <c r="C1529" s="0" t="s">
        <v>70</v>
      </c>
      <c r="E1529" s="3" t="n">
        <v>46274</v>
      </c>
      <c r="F1529" s="4" t="s">
        <v>5696</v>
      </c>
      <c r="G1529" s="5" t="n">
        <v>0.116111111111111</v>
      </c>
      <c r="H1529" s="5" t="n">
        <v>0</v>
      </c>
      <c r="I1529" s="5" t="n">
        <v>0.000439814814814815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5" t="n">
        <v>0</v>
      </c>
      <c r="P1529" s="5" t="n">
        <v>0</v>
      </c>
      <c r="Q1529" s="4" t="s">
        <v>5697</v>
      </c>
      <c r="R1529" s="4" t="s">
        <v>5698</v>
      </c>
      <c r="S1529" s="5" t="n">
        <v>0</v>
      </c>
      <c r="T1529" s="5" t="n">
        <v>0.0351851851851852</v>
      </c>
      <c r="U1529" s="5" t="n">
        <v>0.0314814814814815</v>
      </c>
      <c r="V1529" s="5" t="n">
        <v>0.0451388888888889</v>
      </c>
      <c r="W1529" s="5" t="n">
        <v>0</v>
      </c>
      <c r="X1529" s="5" t="n">
        <v>0</v>
      </c>
      <c r="Y1529" s="5" t="n">
        <v>0</v>
      </c>
      <c r="Z1529" s="0" t="n">
        <v>0</v>
      </c>
      <c r="AA1529" s="0" t="n">
        <v>0</v>
      </c>
      <c r="AB1529" s="0" t="n">
        <v>0</v>
      </c>
      <c r="AC1529" s="4" t="s">
        <v>159</v>
      </c>
      <c r="AD1529" s="4" t="s">
        <v>159</v>
      </c>
      <c r="AE1529" s="4" t="s">
        <v>5695</v>
      </c>
      <c r="AF1529" s="4" t="s">
        <v>5699</v>
      </c>
      <c r="AG1529" s="5" t="n">
        <v>0.0970717592592593</v>
      </c>
      <c r="AH1529" s="5" t="n">
        <v>0.0458333333333333</v>
      </c>
      <c r="AI1529" s="5" t="n">
        <v>0</v>
      </c>
      <c r="AJ1529" s="5" t="n">
        <v>0</v>
      </c>
      <c r="AK1529" s="5" t="n">
        <v>0</v>
      </c>
      <c r="AL1529" s="5" t="n">
        <v>0</v>
      </c>
      <c r="AM1529" s="4" t="s">
        <v>78</v>
      </c>
      <c r="AN1529" s="0" t="n">
        <v>0</v>
      </c>
      <c r="AO1529" s="0" t="n">
        <v>0</v>
      </c>
      <c r="AP1529" s="0" t="n">
        <v>0</v>
      </c>
      <c r="AQ1529" s="0" t="n">
        <v>0</v>
      </c>
      <c r="AR1529" s="0" t="n">
        <v>0</v>
      </c>
      <c r="AS1529" s="0" t="n">
        <v>0</v>
      </c>
      <c r="AT1529" s="0" t="n">
        <v>0</v>
      </c>
      <c r="AU1529" s="0" t="n">
        <v>0</v>
      </c>
      <c r="AV1529" s="0" t="n">
        <v>0</v>
      </c>
      <c r="AW1529" s="0" t="n">
        <v>0</v>
      </c>
      <c r="AX1529" s="0" t="n">
        <v>0</v>
      </c>
      <c r="AY1529" s="0" t="n">
        <v>0</v>
      </c>
      <c r="AZ1529" s="0" t="n">
        <v>0</v>
      </c>
      <c r="BA1529" s="0" t="n">
        <v>0</v>
      </c>
      <c r="BB1529" s="0" t="n">
        <v>0</v>
      </c>
      <c r="BC1529" s="0" t="n">
        <v>0</v>
      </c>
      <c r="BD1529" s="0" t="n">
        <v>0</v>
      </c>
      <c r="BE1529" s="0" t="n">
        <v>0</v>
      </c>
      <c r="BF1529" s="0" t="n">
        <v>0</v>
      </c>
      <c r="BG1529" s="0" t="n">
        <v>0</v>
      </c>
      <c r="BH1529" s="0" t="n">
        <v>0</v>
      </c>
      <c r="BI1529" s="0" t="n">
        <v>0</v>
      </c>
      <c r="BJ1529" s="0" t="n">
        <v>0</v>
      </c>
      <c r="BK1529" s="0" t="n">
        <v>0</v>
      </c>
      <c r="BM1529" s="6" t="n">
        <f aca="false">IFERROR(VALUE(F1529),"")</f>
        <v>97.26</v>
      </c>
      <c r="BN1529" s="6" t="n">
        <f aca="false">IF(R1529="-","",IFERROR(VALUE(LEFT(Q1529,LEN(Q1529)-2)),""))</f>
        <v>20.59</v>
      </c>
      <c r="BO1529" s="6" t="n">
        <f aca="false">IF(R1529="-","",IFERROR(VALUE(LEFT(R1529,LEN(R1529)-5)),""))</f>
        <v>4.72</v>
      </c>
      <c r="BP1529" s="6" t="n">
        <f aca="false">IF(R1529="-","",IFERROR(VALUE(F1529),""))</f>
        <v>97.26</v>
      </c>
      <c r="BQ1529" s="4" t="n">
        <f aca="false">IF(R1529="-",1,0)</f>
        <v>0</v>
      </c>
    </row>
    <row r="1530" customFormat="false" ht="15" hidden="false" customHeight="false" outlineLevel="0" collapsed="false">
      <c r="A1530" s="0" t="s">
        <v>5690</v>
      </c>
      <c r="B1530" s="0" t="s">
        <v>5691</v>
      </c>
      <c r="C1530" s="0" t="s">
        <v>70</v>
      </c>
      <c r="E1530" s="3" t="n">
        <v>46275</v>
      </c>
      <c r="F1530" s="4" t="s">
        <v>5700</v>
      </c>
      <c r="G1530" s="5" t="n">
        <v>0.133611111111111</v>
      </c>
      <c r="H1530" s="5" t="n">
        <v>0</v>
      </c>
      <c r="I1530" s="5" t="n">
        <v>0.000416666666666667</v>
      </c>
      <c r="J1530" s="0" t="n">
        <v>0</v>
      </c>
      <c r="K1530" s="0" t="n">
        <v>1</v>
      </c>
      <c r="L1530" s="0" t="n">
        <v>0</v>
      </c>
      <c r="M1530" s="0" t="n">
        <v>0</v>
      </c>
      <c r="N1530" s="0" t="n">
        <v>0</v>
      </c>
      <c r="O1530" s="5" t="n">
        <v>0</v>
      </c>
      <c r="P1530" s="5" t="n">
        <v>0</v>
      </c>
      <c r="Q1530" s="4" t="s">
        <v>5701</v>
      </c>
      <c r="R1530" s="4" t="s">
        <v>5702</v>
      </c>
      <c r="S1530" s="5" t="n">
        <v>0</v>
      </c>
      <c r="T1530" s="5" t="n">
        <v>0.033912037037037</v>
      </c>
      <c r="U1530" s="5" t="n">
        <v>0.0383101851851852</v>
      </c>
      <c r="V1530" s="5" t="n">
        <v>0.0244212962962963</v>
      </c>
      <c r="W1530" s="5" t="n">
        <v>0</v>
      </c>
      <c r="X1530" s="5" t="n">
        <v>0</v>
      </c>
      <c r="Y1530" s="5" t="n">
        <v>0</v>
      </c>
      <c r="Z1530" s="0" t="n">
        <v>0</v>
      </c>
      <c r="AA1530" s="0" t="n">
        <v>0</v>
      </c>
      <c r="AB1530" s="0" t="n">
        <v>0</v>
      </c>
      <c r="AC1530" s="4" t="s">
        <v>158</v>
      </c>
      <c r="AD1530" s="4" t="s">
        <v>864</v>
      </c>
      <c r="AE1530" s="4" t="s">
        <v>5699</v>
      </c>
      <c r="AF1530" s="4" t="s">
        <v>5703</v>
      </c>
      <c r="AG1530" s="5" t="n">
        <v>0.0911921296296296</v>
      </c>
      <c r="AH1530" s="5" t="n">
        <v>0.05625</v>
      </c>
      <c r="AI1530" s="5" t="n">
        <v>0</v>
      </c>
      <c r="AJ1530" s="5" t="n">
        <v>0</v>
      </c>
      <c r="AK1530" s="5" t="n">
        <v>0</v>
      </c>
      <c r="AL1530" s="5" t="n">
        <v>0</v>
      </c>
      <c r="AM1530" s="4" t="s">
        <v>78</v>
      </c>
      <c r="AN1530" s="0" t="n">
        <v>0</v>
      </c>
      <c r="AO1530" s="0" t="n">
        <v>0</v>
      </c>
      <c r="AP1530" s="0" t="n">
        <v>0</v>
      </c>
      <c r="AQ1530" s="0" t="n">
        <v>0</v>
      </c>
      <c r="AR1530" s="0" t="n">
        <v>0</v>
      </c>
      <c r="AS1530" s="0" t="n">
        <v>0</v>
      </c>
      <c r="AT1530" s="0" t="n">
        <v>0</v>
      </c>
      <c r="AU1530" s="0" t="n">
        <v>4</v>
      </c>
      <c r="AV1530" s="0" t="n">
        <v>0</v>
      </c>
      <c r="AW1530" s="0" t="n">
        <v>0</v>
      </c>
      <c r="AX1530" s="0" t="n">
        <v>0</v>
      </c>
      <c r="AY1530" s="0" t="n">
        <v>0</v>
      </c>
      <c r="AZ1530" s="0" t="n">
        <v>0</v>
      </c>
      <c r="BA1530" s="0" t="n">
        <v>0</v>
      </c>
      <c r="BB1530" s="0" t="n">
        <v>0</v>
      </c>
      <c r="BC1530" s="0" t="n">
        <v>0</v>
      </c>
      <c r="BD1530" s="0" t="n">
        <v>0</v>
      </c>
      <c r="BE1530" s="0" t="n">
        <v>0</v>
      </c>
      <c r="BF1530" s="0" t="n">
        <v>0</v>
      </c>
      <c r="BG1530" s="0" t="n">
        <v>0</v>
      </c>
      <c r="BH1530" s="0" t="n">
        <v>0</v>
      </c>
      <c r="BI1530" s="0" t="n">
        <v>0</v>
      </c>
      <c r="BJ1530" s="0" t="n">
        <v>0</v>
      </c>
      <c r="BK1530" s="0" t="n">
        <v>0</v>
      </c>
      <c r="BM1530" s="6" t="n">
        <f aca="false">IFERROR(VALUE(F1530),"")</f>
        <v>51.94</v>
      </c>
      <c r="BN1530" s="6" t="n">
        <f aca="false">IF(R1530="-","",IFERROR(VALUE(LEFT(Q1530,LEN(Q1530)-2)),""))</f>
        <v>13.34</v>
      </c>
      <c r="BO1530" s="6" t="n">
        <f aca="false">IF(R1530="-","",IFERROR(VALUE(LEFT(R1530,LEN(R1530)-5)),""))</f>
        <v>3.89</v>
      </c>
      <c r="BP1530" s="6" t="n">
        <f aca="false">IF(R1530="-","",IFERROR(VALUE(F1530),""))</f>
        <v>51.94</v>
      </c>
      <c r="BQ1530" s="4" t="n">
        <f aca="false">IF(R1530="-",1,0)</f>
        <v>0</v>
      </c>
    </row>
    <row r="1531" customFormat="false" ht="15" hidden="false" customHeight="false" outlineLevel="0" collapsed="false">
      <c r="A1531" s="0" t="s">
        <v>5690</v>
      </c>
      <c r="B1531" s="0" t="s">
        <v>5691</v>
      </c>
      <c r="C1531" s="0" t="s">
        <v>70</v>
      </c>
      <c r="D1531" s="0" t="s">
        <v>141</v>
      </c>
      <c r="E1531" s="3" t="n">
        <v>46276</v>
      </c>
      <c r="F1531" s="4" t="s">
        <v>5704</v>
      </c>
      <c r="G1531" s="5" t="n">
        <v>0.346956018518519</v>
      </c>
      <c r="H1531" s="5" t="n">
        <v>0.341724537037037</v>
      </c>
      <c r="I1531" s="5" t="n">
        <v>0.000925925925925926</v>
      </c>
      <c r="J1531" s="0" t="n">
        <v>0</v>
      </c>
      <c r="K1531" s="0" t="n">
        <v>2</v>
      </c>
      <c r="L1531" s="0" t="n">
        <v>0</v>
      </c>
      <c r="M1531" s="0" t="n">
        <v>0</v>
      </c>
      <c r="N1531" s="0" t="n">
        <v>3</v>
      </c>
      <c r="O1531" s="5" t="n">
        <v>0</v>
      </c>
      <c r="P1531" s="5" t="n">
        <v>0.00788194444444445</v>
      </c>
      <c r="Q1531" s="4" t="s">
        <v>5705</v>
      </c>
      <c r="R1531" s="4" t="s">
        <v>5706</v>
      </c>
      <c r="S1531" s="5" t="n">
        <v>0.000115740740740741</v>
      </c>
      <c r="T1531" s="5" t="n">
        <v>0.119328703703704</v>
      </c>
      <c r="U1531" s="5" t="n">
        <v>0.111689814814815</v>
      </c>
      <c r="V1531" s="5" t="n">
        <v>0.10625</v>
      </c>
      <c r="W1531" s="5" t="n">
        <v>0.000115740740740741</v>
      </c>
      <c r="X1531" s="5" t="n">
        <v>0</v>
      </c>
      <c r="Y1531" s="5" t="n">
        <v>0</v>
      </c>
      <c r="Z1531" s="0" t="n">
        <v>0</v>
      </c>
      <c r="AA1531" s="0" t="n">
        <v>0</v>
      </c>
      <c r="AB1531" s="0" t="n">
        <v>0</v>
      </c>
      <c r="AC1531" s="4" t="s">
        <v>159</v>
      </c>
      <c r="AD1531" s="4" t="s">
        <v>159</v>
      </c>
      <c r="AE1531" s="4" t="s">
        <v>5707</v>
      </c>
      <c r="AF1531" s="4" t="s">
        <v>5708</v>
      </c>
      <c r="AG1531" s="5" t="n">
        <v>0.293483796296296</v>
      </c>
      <c r="AH1531" s="5" t="n">
        <v>0.093599537037037</v>
      </c>
      <c r="AI1531" s="5" t="n">
        <v>0</v>
      </c>
      <c r="AJ1531" s="5" t="n">
        <v>0</v>
      </c>
      <c r="AK1531" s="5" t="n">
        <v>0</v>
      </c>
      <c r="AL1531" s="5" t="n">
        <v>0</v>
      </c>
      <c r="AM1531" s="4" t="s">
        <v>78</v>
      </c>
      <c r="AN1531" s="0" t="n">
        <v>0</v>
      </c>
      <c r="AO1531" s="0" t="n">
        <v>0</v>
      </c>
      <c r="AP1531" s="0" t="n">
        <v>0</v>
      </c>
      <c r="AQ1531" s="0" t="n">
        <v>0</v>
      </c>
      <c r="AR1531" s="0" t="n">
        <v>0</v>
      </c>
      <c r="AS1531" s="0" t="n">
        <v>0</v>
      </c>
      <c r="AT1531" s="0" t="n">
        <v>0</v>
      </c>
      <c r="AU1531" s="0" t="n">
        <v>6</v>
      </c>
      <c r="AV1531" s="0" t="n">
        <v>0</v>
      </c>
      <c r="AW1531" s="0" t="n">
        <v>0</v>
      </c>
      <c r="AX1531" s="0" t="n">
        <v>0</v>
      </c>
      <c r="AY1531" s="0" t="n">
        <v>0</v>
      </c>
      <c r="AZ1531" s="0" t="n">
        <v>0</v>
      </c>
      <c r="BA1531" s="0" t="n">
        <v>0</v>
      </c>
      <c r="BB1531" s="0" t="n">
        <v>0</v>
      </c>
      <c r="BC1531" s="0" t="n">
        <v>0</v>
      </c>
      <c r="BD1531" s="0" t="n">
        <v>0</v>
      </c>
      <c r="BE1531" s="0" t="n">
        <v>0</v>
      </c>
      <c r="BF1531" s="0" t="n">
        <v>0</v>
      </c>
      <c r="BG1531" s="0" t="n">
        <v>0</v>
      </c>
      <c r="BH1531" s="0" t="n">
        <v>0</v>
      </c>
      <c r="BI1531" s="0" t="n">
        <v>0</v>
      </c>
      <c r="BJ1531" s="0" t="n">
        <v>0</v>
      </c>
      <c r="BK1531" s="0" t="n">
        <v>0</v>
      </c>
      <c r="BM1531" s="6" t="n">
        <f aca="false">IFERROR(VALUE(F1531),"")</f>
        <v>233.52</v>
      </c>
      <c r="BN1531" s="6" t="n">
        <f aca="false">IF(R1531="-","",IFERROR(VALUE(LEFT(Q1531,LEN(Q1531)-2)),""))</f>
        <v>53.05</v>
      </c>
      <c r="BO1531" s="6" t="n">
        <f aca="false">IF(R1531="-","",IFERROR(VALUE(LEFT(R1531,LEN(R1531)-5)),""))</f>
        <v>4.4</v>
      </c>
      <c r="BP1531" s="6" t="n">
        <f aca="false">IF(R1531="-","",IFERROR(VALUE(F1531),""))</f>
        <v>233.52</v>
      </c>
      <c r="BQ1531" s="4" t="n">
        <f aca="false">IF(R1531="-",1,0)</f>
        <v>0</v>
      </c>
    </row>
    <row r="1532" customFormat="false" ht="15" hidden="false" customHeight="false" outlineLevel="0" collapsed="false">
      <c r="A1532" s="0" t="s">
        <v>5690</v>
      </c>
      <c r="B1532" s="0" t="s">
        <v>5691</v>
      </c>
      <c r="C1532" s="0" t="s">
        <v>70</v>
      </c>
      <c r="E1532" s="3" t="n">
        <v>46277</v>
      </c>
      <c r="F1532" s="4" t="s">
        <v>5709</v>
      </c>
      <c r="G1532" s="5" t="n">
        <v>0.00604166666666667</v>
      </c>
      <c r="H1532" s="5" t="n">
        <v>0</v>
      </c>
      <c r="I1532" s="5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5" t="n">
        <v>0</v>
      </c>
      <c r="P1532" s="5" t="n">
        <v>0</v>
      </c>
      <c r="Q1532" s="4" t="s">
        <v>5710</v>
      </c>
      <c r="R1532" s="4" t="s">
        <v>2058</v>
      </c>
      <c r="S1532" s="5" t="n">
        <v>0</v>
      </c>
      <c r="T1532" s="5" t="n">
        <v>0.0025462962962963</v>
      </c>
      <c r="U1532" s="5" t="n">
        <v>0.00185185185185185</v>
      </c>
      <c r="V1532" s="5" t="n">
        <v>0.00150462962962963</v>
      </c>
      <c r="W1532" s="5" t="n">
        <v>0</v>
      </c>
      <c r="X1532" s="5" t="n">
        <v>0</v>
      </c>
      <c r="Y1532" s="5" t="n">
        <v>0</v>
      </c>
      <c r="Z1532" s="0" t="n">
        <v>0</v>
      </c>
      <c r="AA1532" s="0" t="n">
        <v>0</v>
      </c>
      <c r="AB1532" s="0" t="n">
        <v>0</v>
      </c>
      <c r="AC1532" s="4" t="s">
        <v>159</v>
      </c>
      <c r="AD1532" s="4" t="s">
        <v>159</v>
      </c>
      <c r="AE1532" s="4" t="s">
        <v>5708</v>
      </c>
      <c r="AF1532" s="4" t="s">
        <v>5711</v>
      </c>
      <c r="AG1532" s="5" t="n">
        <v>0.00525462962962963</v>
      </c>
      <c r="AH1532" s="5" t="n">
        <v>0.0203240740740741</v>
      </c>
      <c r="AI1532" s="5" t="n">
        <v>0</v>
      </c>
      <c r="AJ1532" s="5" t="n">
        <v>0</v>
      </c>
      <c r="AK1532" s="5" t="n">
        <v>0</v>
      </c>
      <c r="AL1532" s="5" t="n">
        <v>0</v>
      </c>
      <c r="AM1532" s="4" t="s">
        <v>78</v>
      </c>
      <c r="AN1532" s="0" t="n">
        <v>0</v>
      </c>
      <c r="AO1532" s="0" t="n">
        <v>0</v>
      </c>
      <c r="AP1532" s="0" t="n">
        <v>0</v>
      </c>
      <c r="AQ1532" s="0" t="n">
        <v>0</v>
      </c>
      <c r="AR1532" s="0" t="n">
        <v>0</v>
      </c>
      <c r="AS1532" s="0" t="n">
        <v>0</v>
      </c>
      <c r="AT1532" s="0" t="n">
        <v>0</v>
      </c>
      <c r="AU1532" s="0" t="n">
        <v>0</v>
      </c>
      <c r="AV1532" s="0" t="n">
        <v>0</v>
      </c>
      <c r="AW1532" s="0" t="n">
        <v>0</v>
      </c>
      <c r="AX1532" s="0" t="n">
        <v>0</v>
      </c>
      <c r="AY1532" s="0" t="n">
        <v>0</v>
      </c>
      <c r="AZ1532" s="0" t="n">
        <v>0</v>
      </c>
      <c r="BA1532" s="0" t="n">
        <v>0</v>
      </c>
      <c r="BB1532" s="0" t="n">
        <v>0</v>
      </c>
      <c r="BC1532" s="0" t="n">
        <v>0</v>
      </c>
      <c r="BD1532" s="0" t="n">
        <v>0</v>
      </c>
      <c r="BE1532" s="0" t="n">
        <v>0</v>
      </c>
      <c r="BF1532" s="0" t="n">
        <v>0</v>
      </c>
      <c r="BG1532" s="0" t="n">
        <v>0</v>
      </c>
      <c r="BH1532" s="0" t="n">
        <v>0</v>
      </c>
      <c r="BI1532" s="0" t="n">
        <v>0</v>
      </c>
      <c r="BJ1532" s="0" t="n">
        <v>0</v>
      </c>
      <c r="BK1532" s="0" t="n">
        <v>0</v>
      </c>
      <c r="BM1532" s="6" t="n">
        <f aca="false">IFERROR(VALUE(F1532),"")</f>
        <v>1.8</v>
      </c>
      <c r="BN1532" s="6" t="n">
        <f aca="false">IF(R1532="-","",IFERROR(VALUE(LEFT(Q1532,LEN(Q1532)-2)),""))</f>
        <v>0.61</v>
      </c>
      <c r="BO1532" s="6" t="n">
        <f aca="false">IF(R1532="-","",IFERROR(VALUE(LEFT(R1532,LEN(R1532)-5)),""))</f>
        <v>2.93</v>
      </c>
      <c r="BP1532" s="6" t="n">
        <f aca="false">IF(R1532="-","",IFERROR(VALUE(F1532),""))</f>
        <v>1.8</v>
      </c>
      <c r="BQ1532" s="4" t="n">
        <f aca="false">IF(R1532="-",1,0)</f>
        <v>0</v>
      </c>
    </row>
    <row r="1533" customFormat="false" ht="15" hidden="false" customHeight="false" outlineLevel="0" collapsed="false">
      <c r="A1533" s="0" t="s">
        <v>5690</v>
      </c>
      <c r="B1533" s="0" t="s">
        <v>5691</v>
      </c>
      <c r="C1533" s="0" t="s">
        <v>70</v>
      </c>
      <c r="E1533" s="3" t="n">
        <v>46279</v>
      </c>
      <c r="F1533" s="4" t="s">
        <v>5712</v>
      </c>
      <c r="G1533" s="5" t="n">
        <v>0.122638888888889</v>
      </c>
      <c r="H1533" s="5" t="n">
        <v>0</v>
      </c>
      <c r="I1533" s="5" t="n">
        <v>0.000347222222222222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5" t="n">
        <v>0</v>
      </c>
      <c r="P1533" s="5" t="n">
        <v>0</v>
      </c>
      <c r="Q1533" s="4" t="s">
        <v>5713</v>
      </c>
      <c r="R1533" s="4" t="s">
        <v>2412</v>
      </c>
      <c r="S1533" s="5" t="n">
        <v>0</v>
      </c>
      <c r="T1533" s="5" t="n">
        <v>0.0505787037037037</v>
      </c>
      <c r="U1533" s="5" t="n">
        <v>0.0392361111111111</v>
      </c>
      <c r="V1533" s="5" t="n">
        <v>0.028587962962963</v>
      </c>
      <c r="W1533" s="5" t="n">
        <v>0</v>
      </c>
      <c r="X1533" s="5" t="n">
        <v>0</v>
      </c>
      <c r="Y1533" s="5" t="n">
        <v>0</v>
      </c>
      <c r="Z1533" s="0" t="n">
        <v>0</v>
      </c>
      <c r="AA1533" s="0" t="n">
        <v>0</v>
      </c>
      <c r="AB1533" s="0" t="n">
        <v>0</v>
      </c>
      <c r="AC1533" s="4" t="s">
        <v>159</v>
      </c>
      <c r="AD1533" s="4" t="s">
        <v>159</v>
      </c>
      <c r="AE1533" s="4" t="s">
        <v>5711</v>
      </c>
      <c r="AF1533" s="4" t="s">
        <v>5714</v>
      </c>
      <c r="AG1533" s="5" t="n">
        <v>0.102673611111111</v>
      </c>
      <c r="AH1533" s="5" t="n">
        <v>0.0564351851851852</v>
      </c>
      <c r="AI1533" s="5" t="n">
        <v>0</v>
      </c>
      <c r="AJ1533" s="5" t="n">
        <v>0</v>
      </c>
      <c r="AK1533" s="5" t="n">
        <v>0</v>
      </c>
      <c r="AL1533" s="5" t="n">
        <v>0</v>
      </c>
      <c r="AM1533" s="4" t="s">
        <v>78</v>
      </c>
      <c r="AN1533" s="0" t="n">
        <v>0</v>
      </c>
      <c r="AO1533" s="0" t="n">
        <v>0</v>
      </c>
      <c r="AP1533" s="0" t="n">
        <v>0</v>
      </c>
      <c r="AQ1533" s="0" t="n">
        <v>0</v>
      </c>
      <c r="AR1533" s="0" t="n">
        <v>0</v>
      </c>
      <c r="AS1533" s="0" t="n">
        <v>0</v>
      </c>
      <c r="AT1533" s="0" t="n">
        <v>0</v>
      </c>
      <c r="AU1533" s="0" t="n">
        <v>3</v>
      </c>
      <c r="AV1533" s="0" t="n">
        <v>0</v>
      </c>
      <c r="AW1533" s="0" t="n">
        <v>0</v>
      </c>
      <c r="AX1533" s="0" t="n">
        <v>0</v>
      </c>
      <c r="AY1533" s="0" t="n">
        <v>0</v>
      </c>
      <c r="AZ1533" s="0" t="n">
        <v>0</v>
      </c>
      <c r="BA1533" s="0" t="n">
        <v>0</v>
      </c>
      <c r="BB1533" s="0" t="n">
        <v>0</v>
      </c>
      <c r="BC1533" s="0" t="n">
        <v>0</v>
      </c>
      <c r="BD1533" s="0" t="n">
        <v>0</v>
      </c>
      <c r="BE1533" s="0" t="n">
        <v>0</v>
      </c>
      <c r="BF1533" s="0" t="n">
        <v>0</v>
      </c>
      <c r="BG1533" s="0" t="n">
        <v>0</v>
      </c>
      <c r="BH1533" s="0" t="n">
        <v>0</v>
      </c>
      <c r="BI1533" s="0" t="n">
        <v>0</v>
      </c>
      <c r="BJ1533" s="0" t="n">
        <v>0</v>
      </c>
      <c r="BK1533" s="0" t="n">
        <v>0</v>
      </c>
      <c r="BM1533" s="6" t="n">
        <f aca="false">IFERROR(VALUE(F1533),"")</f>
        <v>55.63</v>
      </c>
      <c r="BN1533" s="6" t="n">
        <f aca="false">IF(R1533="-","",IFERROR(VALUE(LEFT(Q1533,LEN(Q1533)-2)),""))</f>
        <v>16.06</v>
      </c>
      <c r="BO1533" s="6" t="n">
        <f aca="false">IF(R1533="-","",IFERROR(VALUE(LEFT(R1533,LEN(R1533)-5)),""))</f>
        <v>3.46</v>
      </c>
      <c r="BP1533" s="6" t="n">
        <f aca="false">IF(R1533="-","",IFERROR(VALUE(F1533),""))</f>
        <v>55.63</v>
      </c>
      <c r="BQ1533" s="4" t="n">
        <f aca="false">IF(R1533="-",1,0)</f>
        <v>0</v>
      </c>
    </row>
    <row r="1534" customFormat="false" ht="15" hidden="false" customHeight="false" outlineLevel="0" collapsed="false">
      <c r="A1534" s="0" t="s">
        <v>5715</v>
      </c>
      <c r="B1534" s="0" t="s">
        <v>5716</v>
      </c>
      <c r="C1534" s="0" t="s">
        <v>70</v>
      </c>
      <c r="D1534" s="0" t="s">
        <v>5717</v>
      </c>
      <c r="E1534" s="3" t="n">
        <v>46273</v>
      </c>
      <c r="F1534" s="4" t="s">
        <v>5718</v>
      </c>
      <c r="G1534" s="5" t="n">
        <v>0.192094907407407</v>
      </c>
      <c r="H1534" s="5" t="n">
        <v>0.182615740740741</v>
      </c>
      <c r="I1534" s="5" t="n">
        <v>0.000428240740740741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1</v>
      </c>
      <c r="O1534" s="5" t="n">
        <v>0</v>
      </c>
      <c r="P1534" s="5" t="n">
        <v>0</v>
      </c>
      <c r="Q1534" s="4" t="s">
        <v>5719</v>
      </c>
      <c r="R1534" s="4" t="s">
        <v>5720</v>
      </c>
      <c r="S1534" s="5" t="n">
        <v>0</v>
      </c>
      <c r="T1534" s="5" t="n">
        <v>0.0530092592592593</v>
      </c>
      <c r="U1534" s="5" t="n">
        <v>0.0697916666666667</v>
      </c>
      <c r="V1534" s="5" t="n">
        <v>0.0561342592592593</v>
      </c>
      <c r="W1534" s="5" t="n">
        <v>0</v>
      </c>
      <c r="X1534" s="5" t="n">
        <v>0</v>
      </c>
      <c r="Y1534" s="5" t="n">
        <v>0</v>
      </c>
      <c r="Z1534" s="0" t="n">
        <v>0</v>
      </c>
      <c r="AA1534" s="0" t="n">
        <v>0</v>
      </c>
      <c r="AB1534" s="0" t="n">
        <v>0</v>
      </c>
      <c r="AC1534" s="4" t="s">
        <v>159</v>
      </c>
      <c r="AD1534" s="4" t="s">
        <v>159</v>
      </c>
      <c r="AE1534" s="4" t="s">
        <v>5721</v>
      </c>
      <c r="AF1534" s="4" t="s">
        <v>5722</v>
      </c>
      <c r="AG1534" s="5" t="n">
        <v>0.163217592592593</v>
      </c>
      <c r="AH1534" s="5" t="n">
        <v>0.0849768518518519</v>
      </c>
      <c r="AI1534" s="5" t="n">
        <v>0</v>
      </c>
      <c r="AJ1534" s="5" t="n">
        <v>0</v>
      </c>
      <c r="AK1534" s="5" t="n">
        <v>0</v>
      </c>
      <c r="AL1534" s="5" t="n">
        <v>0</v>
      </c>
      <c r="AM1534" s="4" t="s">
        <v>78</v>
      </c>
      <c r="AN1534" s="0" t="n">
        <v>0</v>
      </c>
      <c r="AO1534" s="0" t="n">
        <v>0</v>
      </c>
      <c r="AP1534" s="0" t="n">
        <v>0</v>
      </c>
      <c r="AQ1534" s="0" t="n">
        <v>0</v>
      </c>
      <c r="AR1534" s="0" t="n">
        <v>0</v>
      </c>
      <c r="AS1534" s="0" t="n">
        <v>0</v>
      </c>
      <c r="AT1534" s="0" t="n">
        <v>0</v>
      </c>
      <c r="AU1534" s="0" t="n">
        <v>1</v>
      </c>
      <c r="AV1534" s="0" t="n">
        <v>0</v>
      </c>
      <c r="AW1534" s="0" t="n">
        <v>0</v>
      </c>
      <c r="AX1534" s="0" t="n">
        <v>0</v>
      </c>
      <c r="AY1534" s="0" t="n">
        <v>0</v>
      </c>
      <c r="AZ1534" s="0" t="n">
        <v>0</v>
      </c>
      <c r="BA1534" s="0" t="n">
        <v>0</v>
      </c>
      <c r="BB1534" s="0" t="n">
        <v>0</v>
      </c>
      <c r="BC1534" s="0" t="n">
        <v>0</v>
      </c>
      <c r="BD1534" s="0" t="n">
        <v>0</v>
      </c>
      <c r="BE1534" s="0" t="n">
        <v>0</v>
      </c>
      <c r="BF1534" s="0" t="n">
        <v>0</v>
      </c>
      <c r="BG1534" s="0" t="n">
        <v>0</v>
      </c>
      <c r="BH1534" s="0" t="n">
        <v>0</v>
      </c>
      <c r="BI1534" s="0" t="n">
        <v>0</v>
      </c>
      <c r="BJ1534" s="0" t="n">
        <v>0</v>
      </c>
      <c r="BK1534" s="0" t="n">
        <v>0</v>
      </c>
      <c r="BM1534" s="6" t="n">
        <f aca="false">IFERROR(VALUE(F1534),"")</f>
        <v>139.49</v>
      </c>
      <c r="BN1534" s="6" t="n">
        <f aca="false">IF(R1534="-","",IFERROR(VALUE(LEFT(Q1534,LEN(Q1534)-2)),""))</f>
        <v>27.41</v>
      </c>
      <c r="BO1534" s="6" t="n">
        <f aca="false">IF(R1534="-","",IFERROR(VALUE(LEFT(R1534,LEN(R1534)-5)),""))</f>
        <v>5.09</v>
      </c>
      <c r="BP1534" s="6" t="n">
        <f aca="false">IF(R1534="-","",IFERROR(VALUE(F1534),""))</f>
        <v>139.49</v>
      </c>
      <c r="BQ1534" s="4" t="n">
        <f aca="false">IF(R1534="-",1,0)</f>
        <v>0</v>
      </c>
    </row>
    <row r="1535" customFormat="false" ht="15" hidden="false" customHeight="false" outlineLevel="0" collapsed="false">
      <c r="A1535" s="0" t="s">
        <v>5715</v>
      </c>
      <c r="B1535" s="0" t="s">
        <v>5716</v>
      </c>
      <c r="C1535" s="0" t="s">
        <v>70</v>
      </c>
      <c r="D1535" s="0" t="s">
        <v>5717</v>
      </c>
      <c r="E1535" s="3" t="n">
        <v>46274</v>
      </c>
      <c r="F1535" s="4" t="s">
        <v>5723</v>
      </c>
      <c r="G1535" s="5" t="n">
        <v>0.146736111111111</v>
      </c>
      <c r="H1535" s="5" t="n">
        <v>0.138275462962963</v>
      </c>
      <c r="I1535" s="5" t="n">
        <v>0.000405092592592593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1</v>
      </c>
      <c r="O1535" s="5" t="n">
        <v>0</v>
      </c>
      <c r="P1535" s="5" t="n">
        <v>0</v>
      </c>
      <c r="Q1535" s="4" t="s">
        <v>5724</v>
      </c>
      <c r="R1535" s="4" t="s">
        <v>5725</v>
      </c>
      <c r="S1535" s="5" t="n">
        <v>0.000115740740740741</v>
      </c>
      <c r="T1535" s="5" t="n">
        <v>0.0494212962962963</v>
      </c>
      <c r="U1535" s="5" t="n">
        <v>0.0474537037037037</v>
      </c>
      <c r="V1535" s="5" t="n">
        <v>0.0385416666666667</v>
      </c>
      <c r="W1535" s="5" t="n">
        <v>0</v>
      </c>
      <c r="X1535" s="5" t="n">
        <v>0</v>
      </c>
      <c r="Y1535" s="5" t="n">
        <v>0</v>
      </c>
      <c r="Z1535" s="0" t="n">
        <v>0</v>
      </c>
      <c r="AA1535" s="0" t="n">
        <v>0</v>
      </c>
      <c r="AB1535" s="0" t="n">
        <v>0</v>
      </c>
      <c r="AC1535" s="4" t="s">
        <v>159</v>
      </c>
      <c r="AD1535" s="4" t="s">
        <v>159</v>
      </c>
      <c r="AE1535" s="4" t="s">
        <v>5722</v>
      </c>
      <c r="AF1535" s="4" t="s">
        <v>5726</v>
      </c>
      <c r="AG1535" s="5" t="n">
        <v>0.11744212962963</v>
      </c>
      <c r="AH1535" s="5" t="n">
        <v>0.0746412037037037</v>
      </c>
      <c r="AI1535" s="5" t="n">
        <v>0</v>
      </c>
      <c r="AJ1535" s="5" t="n">
        <v>0</v>
      </c>
      <c r="AK1535" s="5" t="n">
        <v>0</v>
      </c>
      <c r="AL1535" s="5" t="n">
        <v>0</v>
      </c>
      <c r="AM1535" s="4" t="s">
        <v>78</v>
      </c>
      <c r="AN1535" s="0" t="n">
        <v>0</v>
      </c>
      <c r="AO1535" s="0" t="n">
        <v>0</v>
      </c>
      <c r="AP1535" s="0" t="n">
        <v>0</v>
      </c>
      <c r="AQ1535" s="0" t="n">
        <v>0</v>
      </c>
      <c r="AR1535" s="0" t="n">
        <v>0</v>
      </c>
      <c r="AS1535" s="0" t="n">
        <v>0</v>
      </c>
      <c r="AT1535" s="0" t="n">
        <v>0</v>
      </c>
      <c r="AU1535" s="0" t="n">
        <v>12</v>
      </c>
      <c r="AV1535" s="0" t="n">
        <v>0</v>
      </c>
      <c r="AW1535" s="0" t="n">
        <v>0</v>
      </c>
      <c r="AX1535" s="0" t="n">
        <v>0</v>
      </c>
      <c r="AY1535" s="0" t="n">
        <v>0</v>
      </c>
      <c r="AZ1535" s="0" t="n">
        <v>0</v>
      </c>
      <c r="BA1535" s="0" t="n">
        <v>0</v>
      </c>
      <c r="BB1535" s="0" t="n">
        <v>1</v>
      </c>
      <c r="BC1535" s="0" t="n">
        <v>0</v>
      </c>
      <c r="BD1535" s="0" t="n">
        <v>0</v>
      </c>
      <c r="BE1535" s="0" t="n">
        <v>0</v>
      </c>
      <c r="BF1535" s="0" t="n">
        <v>0</v>
      </c>
      <c r="BG1535" s="0" t="n">
        <v>0</v>
      </c>
      <c r="BH1535" s="0" t="n">
        <v>0</v>
      </c>
      <c r="BI1535" s="0" t="n">
        <v>0</v>
      </c>
      <c r="BJ1535" s="0" t="n">
        <v>0</v>
      </c>
      <c r="BK1535" s="0" t="n">
        <v>0</v>
      </c>
      <c r="BM1535" s="6" t="n">
        <f aca="false">IFERROR(VALUE(F1535),"")</f>
        <v>94.16</v>
      </c>
      <c r="BN1535" s="6" t="n">
        <f aca="false">IF(R1535="-","",IFERROR(VALUE(LEFT(Q1535,LEN(Q1535)-2)),""))</f>
        <v>20.31</v>
      </c>
      <c r="BO1535" s="6" t="n">
        <f aca="false">IF(R1535="-","",IFERROR(VALUE(LEFT(R1535,LEN(R1535)-5)),""))</f>
        <v>4.64</v>
      </c>
      <c r="BP1535" s="6" t="n">
        <f aca="false">IF(R1535="-","",IFERROR(VALUE(F1535),""))</f>
        <v>94.16</v>
      </c>
      <c r="BQ1535" s="4" t="n">
        <f aca="false">IF(R1535="-",1,0)</f>
        <v>0</v>
      </c>
    </row>
    <row r="1536" customFormat="false" ht="15" hidden="false" customHeight="false" outlineLevel="0" collapsed="false">
      <c r="A1536" s="0" t="s">
        <v>5715</v>
      </c>
      <c r="B1536" s="0" t="s">
        <v>5716</v>
      </c>
      <c r="C1536" s="0" t="s">
        <v>70</v>
      </c>
      <c r="D1536" s="0" t="s">
        <v>5717</v>
      </c>
      <c r="E1536" s="3" t="n">
        <v>46275</v>
      </c>
      <c r="F1536" s="4" t="s">
        <v>5727</v>
      </c>
      <c r="G1536" s="5" t="n">
        <v>0.167893518518519</v>
      </c>
      <c r="H1536" s="5" t="n">
        <v>0.1225</v>
      </c>
      <c r="I1536" s="5" t="n">
        <v>0.00194444444444444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5" t="n">
        <v>0</v>
      </c>
      <c r="P1536" s="5" t="n">
        <v>0</v>
      </c>
      <c r="Q1536" s="4" t="s">
        <v>5728</v>
      </c>
      <c r="R1536" s="4" t="s">
        <v>5729</v>
      </c>
      <c r="S1536" s="5" t="n">
        <v>0.000115740740740741</v>
      </c>
      <c r="T1536" s="5" t="n">
        <v>0.0655092592592593</v>
      </c>
      <c r="U1536" s="5" t="n">
        <v>0.0511574074074074</v>
      </c>
      <c r="V1536" s="5" t="n">
        <v>0.0390046296296296</v>
      </c>
      <c r="W1536" s="5" t="n">
        <v>0</v>
      </c>
      <c r="X1536" s="5" t="n">
        <v>0</v>
      </c>
      <c r="Y1536" s="5" t="n">
        <v>0</v>
      </c>
      <c r="Z1536" s="0" t="n">
        <v>0</v>
      </c>
      <c r="AA1536" s="0" t="n">
        <v>0</v>
      </c>
      <c r="AB1536" s="0" t="n">
        <v>0</v>
      </c>
      <c r="AC1536" s="4" t="s">
        <v>159</v>
      </c>
      <c r="AD1536" s="4" t="s">
        <v>159</v>
      </c>
      <c r="AE1536" s="4" t="s">
        <v>5726</v>
      </c>
      <c r="AF1536" s="4" t="s">
        <v>5730</v>
      </c>
      <c r="AG1536" s="5" t="n">
        <v>0.13150462962963</v>
      </c>
      <c r="AH1536" s="5" t="n">
        <v>0.0815625</v>
      </c>
      <c r="AI1536" s="5" t="n">
        <v>0</v>
      </c>
      <c r="AJ1536" s="5" t="n">
        <v>0</v>
      </c>
      <c r="AK1536" s="5" t="n">
        <v>0</v>
      </c>
      <c r="AL1536" s="5" t="n">
        <v>0</v>
      </c>
      <c r="AM1536" s="4" t="s">
        <v>78</v>
      </c>
      <c r="AN1536" s="0" t="n">
        <v>0</v>
      </c>
      <c r="AO1536" s="0" t="n">
        <v>0</v>
      </c>
      <c r="AP1536" s="0" t="n">
        <v>0</v>
      </c>
      <c r="AQ1536" s="0" t="n">
        <v>0</v>
      </c>
      <c r="AR1536" s="0" t="n">
        <v>0</v>
      </c>
      <c r="AS1536" s="0" t="n">
        <v>0</v>
      </c>
      <c r="AT1536" s="0" t="n">
        <v>0</v>
      </c>
      <c r="AU1536" s="0" t="n">
        <v>11</v>
      </c>
      <c r="AV1536" s="0" t="n">
        <v>0</v>
      </c>
      <c r="AW1536" s="0" t="n">
        <v>0</v>
      </c>
      <c r="AX1536" s="0" t="n">
        <v>0</v>
      </c>
      <c r="AY1536" s="0" t="n">
        <v>0</v>
      </c>
      <c r="AZ1536" s="0" t="n">
        <v>0</v>
      </c>
      <c r="BA1536" s="0" t="n">
        <v>0</v>
      </c>
      <c r="BB1536" s="0" t="n">
        <v>0</v>
      </c>
      <c r="BC1536" s="0" t="n">
        <v>0</v>
      </c>
      <c r="BD1536" s="0" t="n">
        <v>0</v>
      </c>
      <c r="BE1536" s="0" t="n">
        <v>0</v>
      </c>
      <c r="BF1536" s="0" t="n">
        <v>0</v>
      </c>
      <c r="BG1536" s="0" t="n">
        <v>0</v>
      </c>
      <c r="BH1536" s="0" t="n">
        <v>0</v>
      </c>
      <c r="BI1536" s="0" t="n">
        <v>0</v>
      </c>
      <c r="BJ1536" s="0" t="n">
        <v>0</v>
      </c>
      <c r="BK1536" s="0" t="n">
        <v>0</v>
      </c>
      <c r="BM1536" s="6" t="n">
        <f aca="false">IFERROR(VALUE(F1536),"")</f>
        <v>98.62</v>
      </c>
      <c r="BN1536" s="6" t="n">
        <f aca="false">IF(R1536="-","",IFERROR(VALUE(LEFT(Q1536,LEN(Q1536)-2)),""))</f>
        <v>21.67</v>
      </c>
      <c r="BO1536" s="6" t="n">
        <f aca="false">IF(R1536="-","",IFERROR(VALUE(LEFT(R1536,LEN(R1536)-5)),""))</f>
        <v>4.55</v>
      </c>
      <c r="BP1536" s="6" t="n">
        <f aca="false">IF(R1536="-","",IFERROR(VALUE(F1536),""))</f>
        <v>98.62</v>
      </c>
      <c r="BQ1536" s="4" t="n">
        <f aca="false">IF(R1536="-",1,0)</f>
        <v>0</v>
      </c>
    </row>
    <row r="1537" customFormat="false" ht="15" hidden="false" customHeight="false" outlineLevel="0" collapsed="false">
      <c r="A1537" s="0" t="s">
        <v>5715</v>
      </c>
      <c r="B1537" s="0" t="s">
        <v>5716</v>
      </c>
      <c r="C1537" s="0" t="s">
        <v>70</v>
      </c>
      <c r="D1537" s="0" t="s">
        <v>5717</v>
      </c>
      <c r="E1537" s="3" t="n">
        <v>46276</v>
      </c>
      <c r="F1537" s="4" t="s">
        <v>5731</v>
      </c>
      <c r="G1537" s="5" t="n">
        <v>0.136979166666667</v>
      </c>
      <c r="H1537" s="5" t="n">
        <v>0.12681712962963</v>
      </c>
      <c r="I1537" s="5" t="n">
        <v>0.000694444444444445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5" t="n">
        <v>0</v>
      </c>
      <c r="P1537" s="5" t="n">
        <v>0</v>
      </c>
      <c r="Q1537" s="4" t="s">
        <v>5732</v>
      </c>
      <c r="R1537" s="4" t="s">
        <v>5733</v>
      </c>
      <c r="S1537" s="5" t="n">
        <v>0</v>
      </c>
      <c r="T1537" s="5" t="n">
        <v>0.0423611111111111</v>
      </c>
      <c r="U1537" s="5" t="n">
        <v>0.0447916666666667</v>
      </c>
      <c r="V1537" s="5" t="n">
        <v>0.0409722222222222</v>
      </c>
      <c r="W1537" s="5" t="n">
        <v>0</v>
      </c>
      <c r="X1537" s="5" t="n">
        <v>0</v>
      </c>
      <c r="Y1537" s="5" t="n">
        <v>0</v>
      </c>
      <c r="Z1537" s="0" t="n">
        <v>0</v>
      </c>
      <c r="AA1537" s="0" t="n">
        <v>0</v>
      </c>
      <c r="AB1537" s="0" t="n">
        <v>0</v>
      </c>
      <c r="AC1537" s="4" t="s">
        <v>159</v>
      </c>
      <c r="AD1537" s="4" t="s">
        <v>159</v>
      </c>
      <c r="AE1537" s="4" t="s">
        <v>5730</v>
      </c>
      <c r="AF1537" s="4" t="s">
        <v>5734</v>
      </c>
      <c r="AG1537" s="5" t="n">
        <v>0.113171296296296</v>
      </c>
      <c r="AH1537" s="5" t="n">
        <v>0.0937731481481482</v>
      </c>
      <c r="AI1537" s="5" t="n">
        <v>0</v>
      </c>
      <c r="AJ1537" s="5" t="n">
        <v>0</v>
      </c>
      <c r="AK1537" s="5" t="n">
        <v>0</v>
      </c>
      <c r="AL1537" s="5" t="n">
        <v>0</v>
      </c>
      <c r="AM1537" s="4" t="s">
        <v>78</v>
      </c>
      <c r="AN1537" s="0" t="n">
        <v>0</v>
      </c>
      <c r="AO1537" s="0" t="n">
        <v>0</v>
      </c>
      <c r="AP1537" s="0" t="n">
        <v>0</v>
      </c>
      <c r="AQ1537" s="0" t="n">
        <v>0</v>
      </c>
      <c r="AR1537" s="0" t="n">
        <v>0</v>
      </c>
      <c r="AS1537" s="0" t="n">
        <v>0</v>
      </c>
      <c r="AT1537" s="0" t="n">
        <v>0</v>
      </c>
      <c r="AU1537" s="0" t="n">
        <v>5</v>
      </c>
      <c r="AV1537" s="0" t="n">
        <v>0</v>
      </c>
      <c r="AW1537" s="0" t="n">
        <v>0</v>
      </c>
      <c r="AX1537" s="0" t="n">
        <v>0</v>
      </c>
      <c r="AY1537" s="0" t="n">
        <v>0</v>
      </c>
      <c r="AZ1537" s="0" t="n">
        <v>0</v>
      </c>
      <c r="BA1537" s="0" t="n">
        <v>0</v>
      </c>
      <c r="BB1537" s="0" t="n">
        <v>0</v>
      </c>
      <c r="BC1537" s="0" t="n">
        <v>0</v>
      </c>
      <c r="BD1537" s="0" t="n">
        <v>0</v>
      </c>
      <c r="BE1537" s="0" t="n">
        <v>0</v>
      </c>
      <c r="BF1537" s="0" t="n">
        <v>0</v>
      </c>
      <c r="BG1537" s="0" t="n">
        <v>0</v>
      </c>
      <c r="BH1537" s="0" t="n">
        <v>0</v>
      </c>
      <c r="BI1537" s="0" t="n">
        <v>0</v>
      </c>
      <c r="BJ1537" s="0" t="n">
        <v>0</v>
      </c>
      <c r="BK1537" s="0" t="n">
        <v>0</v>
      </c>
      <c r="BM1537" s="6" t="n">
        <f aca="false">IFERROR(VALUE(F1537),"")</f>
        <v>94.54</v>
      </c>
      <c r="BN1537" s="6" t="n">
        <f aca="false">IF(R1537="-","",IFERROR(VALUE(LEFT(Q1537,LEN(Q1537)-2)),""))</f>
        <v>20.32</v>
      </c>
      <c r="BO1537" s="6" t="n">
        <f aca="false">IF(R1537="-","",IFERROR(VALUE(LEFT(R1537,LEN(R1537)-5)),""))</f>
        <v>4.65</v>
      </c>
      <c r="BP1537" s="6" t="n">
        <f aca="false">IF(R1537="-","",IFERROR(VALUE(F1537),""))</f>
        <v>94.54</v>
      </c>
      <c r="BQ1537" s="4" t="n">
        <f aca="false">IF(R1537="-",1,0)</f>
        <v>0</v>
      </c>
    </row>
    <row r="1538" customFormat="false" ht="15" hidden="false" customHeight="false" outlineLevel="0" collapsed="false">
      <c r="A1538" s="0" t="s">
        <v>5715</v>
      </c>
      <c r="B1538" s="0" t="s">
        <v>5716</v>
      </c>
      <c r="C1538" s="0" t="s">
        <v>70</v>
      </c>
      <c r="E1538" s="3" t="n">
        <v>46277</v>
      </c>
      <c r="F1538" s="4" t="s">
        <v>5735</v>
      </c>
      <c r="G1538" s="5" t="n">
        <v>0.0199189814814815</v>
      </c>
      <c r="H1538" s="5" t="n">
        <v>0</v>
      </c>
      <c r="I1538" s="5" t="n">
        <v>0.000497685185185185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5" t="n">
        <v>0</v>
      </c>
      <c r="P1538" s="5" t="n">
        <v>0</v>
      </c>
      <c r="Q1538" s="4" t="s">
        <v>5736</v>
      </c>
      <c r="R1538" s="4" t="s">
        <v>3922</v>
      </c>
      <c r="S1538" s="5" t="n">
        <v>0</v>
      </c>
      <c r="T1538" s="5" t="n">
        <v>0.00706018518518519</v>
      </c>
      <c r="U1538" s="5" t="n">
        <v>0.00798611111111111</v>
      </c>
      <c r="V1538" s="5" t="n">
        <v>0.0037037037037037</v>
      </c>
      <c r="W1538" s="5" t="n">
        <v>0</v>
      </c>
      <c r="X1538" s="5" t="n">
        <v>0</v>
      </c>
      <c r="Y1538" s="5" t="n">
        <v>0</v>
      </c>
      <c r="Z1538" s="0" t="n">
        <v>0</v>
      </c>
      <c r="AA1538" s="0" t="n">
        <v>0</v>
      </c>
      <c r="AB1538" s="0" t="n">
        <v>0</v>
      </c>
      <c r="AC1538" s="4" t="s">
        <v>159</v>
      </c>
      <c r="AD1538" s="4" t="s">
        <v>158</v>
      </c>
      <c r="AE1538" s="4" t="s">
        <v>5734</v>
      </c>
      <c r="AF1538" s="4" t="s">
        <v>5737</v>
      </c>
      <c r="AG1538" s="5" t="n">
        <v>0.0163194444444445</v>
      </c>
      <c r="AH1538" s="5" t="n">
        <v>0.030775462962963</v>
      </c>
      <c r="AI1538" s="5" t="n">
        <v>0</v>
      </c>
      <c r="AJ1538" s="5" t="n">
        <v>0</v>
      </c>
      <c r="AK1538" s="5" t="n">
        <v>0</v>
      </c>
      <c r="AL1538" s="5" t="n">
        <v>0</v>
      </c>
      <c r="AM1538" s="4" t="s">
        <v>78</v>
      </c>
      <c r="AN1538" s="0" t="n">
        <v>0</v>
      </c>
      <c r="AO1538" s="0" t="n">
        <v>0</v>
      </c>
      <c r="AP1538" s="0" t="n">
        <v>0</v>
      </c>
      <c r="AQ1538" s="0" t="n">
        <v>0</v>
      </c>
      <c r="AR1538" s="0" t="n">
        <v>0</v>
      </c>
      <c r="AS1538" s="0" t="n">
        <v>0</v>
      </c>
      <c r="AT1538" s="0" t="n">
        <v>0</v>
      </c>
      <c r="AU1538" s="0" t="n">
        <v>0</v>
      </c>
      <c r="AV1538" s="0" t="n">
        <v>0</v>
      </c>
      <c r="AW1538" s="0" t="n">
        <v>0</v>
      </c>
      <c r="AX1538" s="0" t="n">
        <v>0</v>
      </c>
      <c r="AY1538" s="0" t="n">
        <v>0</v>
      </c>
      <c r="AZ1538" s="0" t="n">
        <v>0</v>
      </c>
      <c r="BA1538" s="0" t="n">
        <v>0</v>
      </c>
      <c r="BB1538" s="0" t="n">
        <v>0</v>
      </c>
      <c r="BC1538" s="0" t="n">
        <v>0</v>
      </c>
      <c r="BD1538" s="0" t="n">
        <v>0</v>
      </c>
      <c r="BE1538" s="0" t="n">
        <v>0</v>
      </c>
      <c r="BF1538" s="0" t="n">
        <v>0</v>
      </c>
      <c r="BG1538" s="0" t="n">
        <v>0</v>
      </c>
      <c r="BH1538" s="0" t="n">
        <v>0</v>
      </c>
      <c r="BI1538" s="0" t="n">
        <v>0</v>
      </c>
      <c r="BJ1538" s="0" t="n">
        <v>0</v>
      </c>
      <c r="BK1538" s="0" t="n">
        <v>0</v>
      </c>
      <c r="BM1538" s="6" t="n">
        <f aca="false">IFERROR(VALUE(F1538),"")</f>
        <v>8.09</v>
      </c>
      <c r="BN1538" s="6" t="n">
        <f aca="false">IF(R1538="-","",IFERROR(VALUE(LEFT(Q1538,LEN(Q1538)-2)),""))</f>
        <v>2.03</v>
      </c>
      <c r="BO1538" s="6" t="n">
        <f aca="false">IF(R1538="-","",IFERROR(VALUE(LEFT(R1538,LEN(R1538)-5)),""))</f>
        <v>3.98</v>
      </c>
      <c r="BP1538" s="6" t="n">
        <f aca="false">IF(R1538="-","",IFERROR(VALUE(F1538),""))</f>
        <v>8.09</v>
      </c>
      <c r="BQ1538" s="4" t="n">
        <f aca="false">IF(R1538="-",1,0)</f>
        <v>0</v>
      </c>
    </row>
    <row r="1539" customFormat="false" ht="15" hidden="false" customHeight="false" outlineLevel="0" collapsed="false">
      <c r="A1539" s="0" t="s">
        <v>5715</v>
      </c>
      <c r="B1539" s="0" t="s">
        <v>5716</v>
      </c>
      <c r="C1539" s="0" t="s">
        <v>70</v>
      </c>
      <c r="E1539" s="3" t="n">
        <v>46279</v>
      </c>
      <c r="F1539" s="4" t="s">
        <v>5738</v>
      </c>
      <c r="G1539" s="5" t="n">
        <v>0.1509375</v>
      </c>
      <c r="H1539" s="5" t="n">
        <v>0</v>
      </c>
      <c r="I1539" s="5" t="n">
        <v>4.62962962962963E-005</v>
      </c>
      <c r="J1539" s="0" t="n">
        <v>0</v>
      </c>
      <c r="K1539" s="0" t="n">
        <v>1</v>
      </c>
      <c r="L1539" s="0" t="n">
        <v>0</v>
      </c>
      <c r="M1539" s="0" t="n">
        <v>0</v>
      </c>
      <c r="N1539" s="0" t="n">
        <v>0</v>
      </c>
      <c r="O1539" s="5" t="n">
        <v>0</v>
      </c>
      <c r="P1539" s="5" t="n">
        <v>0</v>
      </c>
      <c r="Q1539" s="4" t="s">
        <v>5739</v>
      </c>
      <c r="R1539" s="4" t="s">
        <v>3702</v>
      </c>
      <c r="S1539" s="5" t="n">
        <v>0</v>
      </c>
      <c r="T1539" s="5" t="n">
        <v>0.049537037037037</v>
      </c>
      <c r="U1539" s="5" t="n">
        <v>0.047337962962963</v>
      </c>
      <c r="V1539" s="5" t="n">
        <v>0.0409722222222222</v>
      </c>
      <c r="W1539" s="5" t="n">
        <v>0</v>
      </c>
      <c r="X1539" s="5" t="n">
        <v>0</v>
      </c>
      <c r="Y1539" s="5" t="n">
        <v>0</v>
      </c>
      <c r="Z1539" s="0" t="n">
        <v>0</v>
      </c>
      <c r="AA1539" s="0" t="n">
        <v>0</v>
      </c>
      <c r="AB1539" s="0" t="n">
        <v>0</v>
      </c>
      <c r="AC1539" s="4" t="s">
        <v>158</v>
      </c>
      <c r="AD1539" s="4" t="s">
        <v>159</v>
      </c>
      <c r="AE1539" s="4" t="s">
        <v>5737</v>
      </c>
      <c r="AF1539" s="4" t="s">
        <v>5740</v>
      </c>
      <c r="AG1539" s="5" t="n">
        <v>0.118680555555556</v>
      </c>
      <c r="AH1539" s="5" t="n">
        <v>0.111064814814815</v>
      </c>
      <c r="AI1539" s="5" t="n">
        <v>0</v>
      </c>
      <c r="AJ1539" s="5" t="n">
        <v>0</v>
      </c>
      <c r="AK1539" s="5" t="n">
        <v>0</v>
      </c>
      <c r="AL1539" s="5" t="n">
        <v>0</v>
      </c>
      <c r="AM1539" s="4" t="s">
        <v>78</v>
      </c>
      <c r="AN1539" s="0" t="n">
        <v>0</v>
      </c>
      <c r="AO1539" s="0" t="n">
        <v>0</v>
      </c>
      <c r="AP1539" s="0" t="n">
        <v>0</v>
      </c>
      <c r="AQ1539" s="0" t="n">
        <v>0</v>
      </c>
      <c r="AR1539" s="0" t="n">
        <v>0</v>
      </c>
      <c r="AS1539" s="0" t="n">
        <v>0</v>
      </c>
      <c r="AT1539" s="0" t="n">
        <v>0</v>
      </c>
      <c r="AU1539" s="0" t="n">
        <v>12</v>
      </c>
      <c r="AV1539" s="0" t="n">
        <v>0</v>
      </c>
      <c r="AW1539" s="0" t="n">
        <v>0</v>
      </c>
      <c r="AX1539" s="0" t="n">
        <v>0</v>
      </c>
      <c r="AY1539" s="0" t="n">
        <v>0</v>
      </c>
      <c r="AZ1539" s="0" t="n">
        <v>0</v>
      </c>
      <c r="BA1539" s="0" t="n">
        <v>0</v>
      </c>
      <c r="BB1539" s="0" t="n">
        <v>0</v>
      </c>
      <c r="BC1539" s="0" t="n">
        <v>0</v>
      </c>
      <c r="BD1539" s="0" t="n">
        <v>0</v>
      </c>
      <c r="BE1539" s="0" t="n">
        <v>0</v>
      </c>
      <c r="BF1539" s="0" t="n">
        <v>0</v>
      </c>
      <c r="BG1539" s="0" t="n">
        <v>0</v>
      </c>
      <c r="BH1539" s="0" t="n">
        <v>0</v>
      </c>
      <c r="BI1539" s="0" t="n">
        <v>0</v>
      </c>
      <c r="BJ1539" s="0" t="n">
        <v>0</v>
      </c>
      <c r="BK1539" s="0" t="n">
        <v>0</v>
      </c>
      <c r="BM1539" s="6" t="n">
        <f aca="false">IFERROR(VALUE(F1539),"")</f>
        <v>94.09</v>
      </c>
      <c r="BN1539" s="6" t="n">
        <f aca="false">IF(R1539="-","",IFERROR(VALUE(LEFT(Q1539,LEN(Q1539)-2)),""))</f>
        <v>21.08</v>
      </c>
      <c r="BO1539" s="6" t="n">
        <f aca="false">IF(R1539="-","",IFERROR(VALUE(LEFT(R1539,LEN(R1539)-5)),""))</f>
        <v>4.46</v>
      </c>
      <c r="BP1539" s="6" t="n">
        <f aca="false">IF(R1539="-","",IFERROR(VALUE(F1539),""))</f>
        <v>94.09</v>
      </c>
      <c r="BQ1539" s="4" t="n">
        <f aca="false">IF(R1539="-",1,0)</f>
        <v>0</v>
      </c>
    </row>
    <row r="1540" customFormat="false" ht="15" hidden="false" customHeight="false" outlineLevel="0" collapsed="false">
      <c r="A1540" s="0" t="s">
        <v>5741</v>
      </c>
      <c r="B1540" s="0" t="s">
        <v>5742</v>
      </c>
      <c r="C1540" s="0" t="s">
        <v>70</v>
      </c>
      <c r="E1540" s="3" t="n">
        <v>46273</v>
      </c>
      <c r="F1540" s="4" t="s">
        <v>5743</v>
      </c>
      <c r="G1540" s="5" t="n">
        <v>0.127696759259259</v>
      </c>
      <c r="H1540" s="5" t="n">
        <v>0</v>
      </c>
      <c r="I1540" s="5" t="n">
        <v>0.000416666666666667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5" t="n">
        <v>0</v>
      </c>
      <c r="P1540" s="5" t="n">
        <v>0</v>
      </c>
      <c r="Q1540" s="4" t="s">
        <v>5744</v>
      </c>
      <c r="R1540" s="4" t="s">
        <v>176</v>
      </c>
      <c r="S1540" s="5" t="n">
        <v>0</v>
      </c>
      <c r="T1540" s="5" t="n">
        <v>0.0405092592592593</v>
      </c>
      <c r="U1540" s="5" t="n">
        <v>0.0431712962962963</v>
      </c>
      <c r="V1540" s="5" t="n">
        <v>0.0357638888888889</v>
      </c>
      <c r="W1540" s="5" t="n">
        <v>0</v>
      </c>
      <c r="X1540" s="5" t="n">
        <v>0</v>
      </c>
      <c r="Y1540" s="5" t="n">
        <v>0</v>
      </c>
      <c r="Z1540" s="0" t="n">
        <v>0</v>
      </c>
      <c r="AA1540" s="0" t="n">
        <v>0</v>
      </c>
      <c r="AB1540" s="0" t="n">
        <v>0</v>
      </c>
      <c r="AC1540" s="4" t="s">
        <v>159</v>
      </c>
      <c r="AD1540" s="4" t="s">
        <v>159</v>
      </c>
      <c r="AE1540" s="4" t="s">
        <v>5745</v>
      </c>
      <c r="AF1540" s="4" t="s">
        <v>5746</v>
      </c>
      <c r="AG1540" s="5" t="n">
        <v>0.109641203703704</v>
      </c>
      <c r="AH1540" s="5" t="n">
        <v>0.0507291666666667</v>
      </c>
      <c r="AI1540" s="5" t="n">
        <v>0</v>
      </c>
      <c r="AJ1540" s="5" t="n">
        <v>0</v>
      </c>
      <c r="AK1540" s="5" t="n">
        <v>0</v>
      </c>
      <c r="AL1540" s="5" t="n">
        <v>0</v>
      </c>
      <c r="AM1540" s="4" t="s">
        <v>78</v>
      </c>
      <c r="AN1540" s="0" t="n">
        <v>0</v>
      </c>
      <c r="AO1540" s="0" t="n">
        <v>0</v>
      </c>
      <c r="AP1540" s="0" t="n">
        <v>0</v>
      </c>
      <c r="AQ1540" s="0" t="n">
        <v>0</v>
      </c>
      <c r="AR1540" s="0" t="n">
        <v>0</v>
      </c>
      <c r="AS1540" s="0" t="n">
        <v>0</v>
      </c>
      <c r="AT1540" s="0" t="n">
        <v>0</v>
      </c>
      <c r="AU1540" s="0" t="n">
        <v>0</v>
      </c>
      <c r="AV1540" s="0" t="n">
        <v>0</v>
      </c>
      <c r="AW1540" s="0" t="n">
        <v>0</v>
      </c>
      <c r="AX1540" s="0" t="n">
        <v>0</v>
      </c>
      <c r="AY1540" s="0" t="n">
        <v>0</v>
      </c>
      <c r="AZ1540" s="0" t="n">
        <v>0</v>
      </c>
      <c r="BA1540" s="0" t="n">
        <v>0</v>
      </c>
      <c r="BB1540" s="0" t="n">
        <v>0</v>
      </c>
      <c r="BC1540" s="0" t="n">
        <v>0</v>
      </c>
      <c r="BD1540" s="0" t="n">
        <v>0</v>
      </c>
      <c r="BE1540" s="0" t="n">
        <v>0</v>
      </c>
      <c r="BF1540" s="0" t="n">
        <v>0</v>
      </c>
      <c r="BG1540" s="0" t="n">
        <v>0</v>
      </c>
      <c r="BH1540" s="0" t="n">
        <v>0</v>
      </c>
      <c r="BI1540" s="0" t="n">
        <v>0</v>
      </c>
      <c r="BJ1540" s="0" t="n">
        <v>0</v>
      </c>
      <c r="BK1540" s="0" t="n">
        <v>0</v>
      </c>
      <c r="BM1540" s="6" t="n">
        <f aca="false">IFERROR(VALUE(F1540),"")</f>
        <v>97.72</v>
      </c>
      <c r="BN1540" s="6" t="n">
        <f aca="false">IF(R1540="-","",IFERROR(VALUE(LEFT(Q1540,LEN(Q1540)-2)),""))</f>
        <v>19.92</v>
      </c>
      <c r="BO1540" s="6" t="n">
        <f aca="false">IF(R1540="-","",IFERROR(VALUE(LEFT(R1540,LEN(R1540)-5)),""))</f>
        <v>4.91</v>
      </c>
      <c r="BP1540" s="6" t="n">
        <f aca="false">IF(R1540="-","",IFERROR(VALUE(F1540),""))</f>
        <v>97.72</v>
      </c>
      <c r="BQ1540" s="4" t="n">
        <f aca="false">IF(R1540="-",1,0)</f>
        <v>0</v>
      </c>
    </row>
    <row r="1541" customFormat="false" ht="15" hidden="false" customHeight="false" outlineLevel="0" collapsed="false">
      <c r="A1541" s="0" t="s">
        <v>5741</v>
      </c>
      <c r="B1541" s="0" t="s">
        <v>5742</v>
      </c>
      <c r="C1541" s="0" t="s">
        <v>70</v>
      </c>
      <c r="E1541" s="3" t="n">
        <v>46274</v>
      </c>
      <c r="F1541" s="4" t="s">
        <v>5747</v>
      </c>
      <c r="G1541" s="5" t="n">
        <v>0.0990046296296296</v>
      </c>
      <c r="H1541" s="5" t="n">
        <v>0</v>
      </c>
      <c r="I1541" s="5" t="n">
        <v>0.000416666666666667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5" t="n">
        <v>0</v>
      </c>
      <c r="P1541" s="5" t="n">
        <v>0</v>
      </c>
      <c r="Q1541" s="4" t="s">
        <v>5748</v>
      </c>
      <c r="R1541" s="4" t="s">
        <v>151</v>
      </c>
      <c r="S1541" s="5" t="n">
        <v>0</v>
      </c>
      <c r="T1541" s="5" t="n">
        <v>0.027662037037037</v>
      </c>
      <c r="U1541" s="5" t="n">
        <v>0.0313657407407407</v>
      </c>
      <c r="V1541" s="5" t="n">
        <v>0.0380787037037037</v>
      </c>
      <c r="W1541" s="5" t="n">
        <v>0</v>
      </c>
      <c r="X1541" s="5" t="n">
        <v>0</v>
      </c>
      <c r="Y1541" s="5" t="n">
        <v>0</v>
      </c>
      <c r="Z1541" s="0" t="n">
        <v>0</v>
      </c>
      <c r="AA1541" s="0" t="n">
        <v>0</v>
      </c>
      <c r="AB1541" s="0" t="n">
        <v>0</v>
      </c>
      <c r="AC1541" s="4" t="s">
        <v>159</v>
      </c>
      <c r="AD1541" s="4" t="s">
        <v>159</v>
      </c>
      <c r="AE1541" s="4" t="s">
        <v>5746</v>
      </c>
      <c r="AF1541" s="4" t="s">
        <v>5749</v>
      </c>
      <c r="AG1541" s="5" t="n">
        <v>0.0884606481481482</v>
      </c>
      <c r="AH1541" s="5" t="n">
        <v>0.0501273148148148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4" t="s">
        <v>78</v>
      </c>
      <c r="AN1541" s="0" t="n">
        <v>0</v>
      </c>
      <c r="AO1541" s="0" t="n">
        <v>0</v>
      </c>
      <c r="AP1541" s="0" t="n">
        <v>0</v>
      </c>
      <c r="AQ1541" s="0" t="n">
        <v>0</v>
      </c>
      <c r="AR1541" s="0" t="n">
        <v>0</v>
      </c>
      <c r="AS1541" s="0" t="n">
        <v>0</v>
      </c>
      <c r="AT1541" s="0" t="n">
        <v>0</v>
      </c>
      <c r="AU1541" s="0" t="n">
        <v>0</v>
      </c>
      <c r="AV1541" s="0" t="n">
        <v>0</v>
      </c>
      <c r="AW1541" s="0" t="n">
        <v>0</v>
      </c>
      <c r="AX1541" s="0" t="n">
        <v>0</v>
      </c>
      <c r="AY1541" s="0" t="n">
        <v>0</v>
      </c>
      <c r="AZ1541" s="0" t="n">
        <v>0</v>
      </c>
      <c r="BA1541" s="0" t="n">
        <v>0</v>
      </c>
      <c r="BB1541" s="0" t="n">
        <v>0</v>
      </c>
      <c r="BC1541" s="0" t="n">
        <v>0</v>
      </c>
      <c r="BD1541" s="0" t="n">
        <v>0</v>
      </c>
      <c r="BE1541" s="0" t="n">
        <v>0</v>
      </c>
      <c r="BF1541" s="0" t="n">
        <v>0</v>
      </c>
      <c r="BG1541" s="0" t="n">
        <v>0</v>
      </c>
      <c r="BH1541" s="0" t="n">
        <v>0</v>
      </c>
      <c r="BI1541" s="0" t="n">
        <v>0</v>
      </c>
      <c r="BJ1541" s="0" t="n">
        <v>0</v>
      </c>
      <c r="BK1541" s="0" t="n">
        <v>0</v>
      </c>
      <c r="BM1541" s="6" t="n">
        <f aca="false">IFERROR(VALUE(F1541),"")</f>
        <v>91.52</v>
      </c>
      <c r="BN1541" s="6" t="n">
        <f aca="false">IF(R1541="-","",IFERROR(VALUE(LEFT(Q1541,LEN(Q1541)-2)),""))</f>
        <v>16.25</v>
      </c>
      <c r="BO1541" s="6" t="n">
        <f aca="false">IF(R1541="-","",IFERROR(VALUE(LEFT(R1541,LEN(R1541)-5)),""))</f>
        <v>5.63</v>
      </c>
      <c r="BP1541" s="6" t="n">
        <f aca="false">IF(R1541="-","",IFERROR(VALUE(F1541),""))</f>
        <v>91.52</v>
      </c>
      <c r="BQ1541" s="4" t="n">
        <f aca="false">IF(R1541="-",1,0)</f>
        <v>0</v>
      </c>
    </row>
    <row r="1542" customFormat="false" ht="15" hidden="false" customHeight="false" outlineLevel="0" collapsed="false">
      <c r="A1542" s="0" t="s">
        <v>5741</v>
      </c>
      <c r="B1542" s="0" t="s">
        <v>5742</v>
      </c>
      <c r="C1542" s="0" t="s">
        <v>70</v>
      </c>
      <c r="E1542" s="3" t="n">
        <v>46275</v>
      </c>
      <c r="F1542" s="4" t="s">
        <v>5750</v>
      </c>
      <c r="G1542" s="5" t="n">
        <v>0.376284722222222</v>
      </c>
      <c r="H1542" s="5" t="n">
        <v>0</v>
      </c>
      <c r="I1542" s="5" t="n">
        <v>5.78703703703704E-005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5" t="n">
        <v>0</v>
      </c>
      <c r="P1542" s="5" t="n">
        <v>0</v>
      </c>
      <c r="Q1542" s="4" t="s">
        <v>3917</v>
      </c>
      <c r="R1542" s="4" t="s">
        <v>5751</v>
      </c>
      <c r="S1542" s="5" t="n">
        <v>0</v>
      </c>
      <c r="T1542" s="5" t="n">
        <v>0.0319444444444444</v>
      </c>
      <c r="U1542" s="5" t="n">
        <v>0.0302083333333333</v>
      </c>
      <c r="V1542" s="5" t="n">
        <v>0.0425925925925926</v>
      </c>
      <c r="W1542" s="5" t="n">
        <v>0</v>
      </c>
      <c r="X1542" s="5" t="n">
        <v>0</v>
      </c>
      <c r="Y1542" s="5" t="n">
        <v>0</v>
      </c>
      <c r="Z1542" s="0" t="n">
        <v>0</v>
      </c>
      <c r="AA1542" s="0" t="n">
        <v>0</v>
      </c>
      <c r="AB1542" s="0" t="n">
        <v>0</v>
      </c>
      <c r="AC1542" s="4" t="s">
        <v>159</v>
      </c>
      <c r="AD1542" s="4" t="s">
        <v>159</v>
      </c>
      <c r="AE1542" s="4" t="s">
        <v>5749</v>
      </c>
      <c r="AF1542" s="4" t="s">
        <v>5752</v>
      </c>
      <c r="AG1542" s="5" t="n">
        <v>0.0987152777777778</v>
      </c>
      <c r="AH1542" s="5" t="n">
        <v>0.0613888888888889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4" t="s">
        <v>78</v>
      </c>
      <c r="AN1542" s="0" t="n">
        <v>0</v>
      </c>
      <c r="AO1542" s="0" t="n">
        <v>1</v>
      </c>
      <c r="AP1542" s="0" t="n">
        <v>0</v>
      </c>
      <c r="AQ1542" s="0" t="n">
        <v>0</v>
      </c>
      <c r="AR1542" s="0" t="n">
        <v>0</v>
      </c>
      <c r="AS1542" s="0" t="n">
        <v>0</v>
      </c>
      <c r="AT1542" s="0" t="n">
        <v>0</v>
      </c>
      <c r="AU1542" s="0" t="n">
        <v>0</v>
      </c>
      <c r="AV1542" s="0" t="n">
        <v>0</v>
      </c>
      <c r="AW1542" s="0" t="n">
        <v>0</v>
      </c>
      <c r="AX1542" s="0" t="n">
        <v>0</v>
      </c>
      <c r="AY1542" s="0" t="n">
        <v>0</v>
      </c>
      <c r="AZ1542" s="0" t="n">
        <v>0</v>
      </c>
      <c r="BA1542" s="0" t="n">
        <v>0</v>
      </c>
      <c r="BB1542" s="0" t="n">
        <v>0</v>
      </c>
      <c r="BC1542" s="0" t="n">
        <v>0</v>
      </c>
      <c r="BD1542" s="0" t="n">
        <v>0</v>
      </c>
      <c r="BE1542" s="0" t="n">
        <v>0</v>
      </c>
      <c r="BF1542" s="0" t="n">
        <v>0</v>
      </c>
      <c r="BG1542" s="0" t="n">
        <v>0</v>
      </c>
      <c r="BH1542" s="0" t="n">
        <v>0</v>
      </c>
      <c r="BI1542" s="0" t="n">
        <v>0</v>
      </c>
      <c r="BJ1542" s="0" t="n">
        <v>0</v>
      </c>
      <c r="BK1542" s="0" t="n">
        <v>0</v>
      </c>
      <c r="BM1542" s="6" t="n">
        <f aca="false">IFERROR(VALUE(F1542),"")</f>
        <v>97.76</v>
      </c>
      <c r="BN1542" s="6" t="n">
        <f aca="false">IF(R1542="-","",IFERROR(VALUE(LEFT(Q1542,LEN(Q1542)-2)),""))</f>
        <v>18.24</v>
      </c>
      <c r="BO1542" s="6" t="n">
        <f aca="false">IF(R1542="-","",IFERROR(VALUE(LEFT(R1542,LEN(R1542)-5)),""))</f>
        <v>5.36</v>
      </c>
      <c r="BP1542" s="6" t="n">
        <f aca="false">IF(R1542="-","",IFERROR(VALUE(F1542),""))</f>
        <v>97.76</v>
      </c>
      <c r="BQ1542" s="4" t="n">
        <f aca="false">IF(R1542="-",1,0)</f>
        <v>0</v>
      </c>
    </row>
    <row r="1543" customFormat="false" ht="15" hidden="false" customHeight="false" outlineLevel="0" collapsed="false">
      <c r="A1543" s="0" t="s">
        <v>5741</v>
      </c>
      <c r="B1543" s="0" t="s">
        <v>5742</v>
      </c>
      <c r="C1543" s="0" t="s">
        <v>70</v>
      </c>
      <c r="E1543" s="3" t="n">
        <v>46276</v>
      </c>
      <c r="F1543" s="4" t="s">
        <v>5753</v>
      </c>
      <c r="G1543" s="5" t="n">
        <v>0.0981597222222222</v>
      </c>
      <c r="H1543" s="5" t="n">
        <v>0</v>
      </c>
      <c r="I1543" s="5" t="n">
        <v>0.000648148148148148</v>
      </c>
      <c r="J1543" s="0" t="n">
        <v>0</v>
      </c>
      <c r="K1543" s="0" t="n">
        <v>3</v>
      </c>
      <c r="L1543" s="0" t="n">
        <v>0</v>
      </c>
      <c r="M1543" s="0" t="n">
        <v>0</v>
      </c>
      <c r="N1543" s="0" t="n">
        <v>1</v>
      </c>
      <c r="O1543" s="5" t="n">
        <v>0</v>
      </c>
      <c r="P1543" s="5" t="n">
        <v>0</v>
      </c>
      <c r="Q1543" s="4" t="s">
        <v>5754</v>
      </c>
      <c r="R1543" s="4" t="s">
        <v>1522</v>
      </c>
      <c r="S1543" s="5" t="n">
        <v>0</v>
      </c>
      <c r="T1543" s="5" t="n">
        <v>0.0346064814814815</v>
      </c>
      <c r="U1543" s="5" t="n">
        <v>0.0270833333333333</v>
      </c>
      <c r="V1543" s="5" t="n">
        <v>0.0333333333333333</v>
      </c>
      <c r="W1543" s="5" t="n">
        <v>0.000115740740740741</v>
      </c>
      <c r="X1543" s="5" t="n">
        <v>0</v>
      </c>
      <c r="Y1543" s="5" t="n">
        <v>0</v>
      </c>
      <c r="Z1543" s="0" t="n">
        <v>0</v>
      </c>
      <c r="AA1543" s="0" t="n">
        <v>0</v>
      </c>
      <c r="AB1543" s="0" t="n">
        <v>0</v>
      </c>
      <c r="AC1543" s="4" t="s">
        <v>159</v>
      </c>
      <c r="AD1543" s="4" t="s">
        <v>159</v>
      </c>
      <c r="AE1543" s="4" t="s">
        <v>5752</v>
      </c>
      <c r="AF1543" s="4" t="s">
        <v>5755</v>
      </c>
      <c r="AG1543" s="5" t="n">
        <v>0.0811226851851852</v>
      </c>
      <c r="AH1543" s="5" t="n">
        <v>0.0240740740740741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4" t="s">
        <v>78</v>
      </c>
      <c r="AN1543" s="0" t="n">
        <v>0</v>
      </c>
      <c r="AO1543" s="0" t="n">
        <v>0</v>
      </c>
      <c r="AP1543" s="0" t="n">
        <v>0</v>
      </c>
      <c r="AQ1543" s="0" t="n">
        <v>0</v>
      </c>
      <c r="AR1543" s="0" t="n">
        <v>0</v>
      </c>
      <c r="AS1543" s="0" t="n">
        <v>0</v>
      </c>
      <c r="AT1543" s="0" t="n">
        <v>0</v>
      </c>
      <c r="AU1543" s="0" t="n">
        <v>2</v>
      </c>
      <c r="AV1543" s="0" t="n">
        <v>0</v>
      </c>
      <c r="AW1543" s="0" t="n">
        <v>0</v>
      </c>
      <c r="AX1543" s="0" t="n">
        <v>0</v>
      </c>
      <c r="AY1543" s="0" t="n">
        <v>0</v>
      </c>
      <c r="AZ1543" s="0" t="n">
        <v>0</v>
      </c>
      <c r="BA1543" s="0" t="n">
        <v>0</v>
      </c>
      <c r="BB1543" s="0" t="n">
        <v>0</v>
      </c>
      <c r="BC1543" s="0" t="n">
        <v>0</v>
      </c>
      <c r="BD1543" s="0" t="n">
        <v>0</v>
      </c>
      <c r="BE1543" s="0" t="n">
        <v>0</v>
      </c>
      <c r="BF1543" s="0" t="n">
        <v>0</v>
      </c>
      <c r="BG1543" s="0" t="n">
        <v>0</v>
      </c>
      <c r="BH1543" s="0" t="n">
        <v>0</v>
      </c>
      <c r="BI1543" s="0" t="n">
        <v>0</v>
      </c>
      <c r="BJ1543" s="0" t="n">
        <v>0</v>
      </c>
      <c r="BK1543" s="0" t="n">
        <v>0</v>
      </c>
      <c r="BM1543" s="6" t="n">
        <f aca="false">IFERROR(VALUE(F1543),"")</f>
        <v>72.97</v>
      </c>
      <c r="BN1543" s="6" t="n">
        <f aca="false">IF(R1543="-","",IFERROR(VALUE(LEFT(Q1543,LEN(Q1543)-2)),""))</f>
        <v>17.39</v>
      </c>
      <c r="BO1543" s="6" t="n">
        <f aca="false">IF(R1543="-","",IFERROR(VALUE(LEFT(R1543,LEN(R1543)-5)),""))</f>
        <v>4.2</v>
      </c>
      <c r="BP1543" s="6" t="n">
        <f aca="false">IF(R1543="-","",IFERROR(VALUE(F1543),""))</f>
        <v>72.97</v>
      </c>
      <c r="BQ1543" s="4" t="n">
        <f aca="false">IF(R1543="-",1,0)</f>
        <v>0</v>
      </c>
    </row>
    <row r="1544" customFormat="false" ht="15" hidden="false" customHeight="false" outlineLevel="0" collapsed="false">
      <c r="A1544" s="0" t="s">
        <v>5741</v>
      </c>
      <c r="B1544" s="0" t="s">
        <v>5742</v>
      </c>
      <c r="C1544" s="0" t="s">
        <v>70</v>
      </c>
      <c r="E1544" s="3" t="n">
        <v>46277</v>
      </c>
      <c r="F1544" s="4" t="s">
        <v>5592</v>
      </c>
      <c r="G1544" s="5" t="n">
        <v>0.0188194444444444</v>
      </c>
      <c r="H1544" s="5" t="n">
        <v>0</v>
      </c>
      <c r="I1544" s="5" t="n">
        <v>0.000127314814814815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5" t="n">
        <v>0</v>
      </c>
      <c r="P1544" s="5" t="n">
        <v>0</v>
      </c>
      <c r="Q1544" s="4" t="s">
        <v>5756</v>
      </c>
      <c r="R1544" s="4" t="s">
        <v>2528</v>
      </c>
      <c r="S1544" s="5" t="n">
        <v>0</v>
      </c>
      <c r="T1544" s="5" t="n">
        <v>0.0135416666666667</v>
      </c>
      <c r="U1544" s="5" t="n">
        <v>0.0037037037037037</v>
      </c>
      <c r="V1544" s="5" t="n">
        <v>0.000810185185185185</v>
      </c>
      <c r="W1544" s="5" t="n">
        <v>0</v>
      </c>
      <c r="X1544" s="5" t="n">
        <v>0</v>
      </c>
      <c r="Y1544" s="5" t="n">
        <v>0</v>
      </c>
      <c r="Z1544" s="0" t="n">
        <v>0</v>
      </c>
      <c r="AA1544" s="0" t="n">
        <v>0</v>
      </c>
      <c r="AB1544" s="0" t="n">
        <v>0</v>
      </c>
      <c r="AC1544" s="4" t="s">
        <v>159</v>
      </c>
      <c r="AD1544" s="4" t="s">
        <v>159</v>
      </c>
      <c r="AE1544" s="4" t="s">
        <v>5755</v>
      </c>
      <c r="AF1544" s="4" t="s">
        <v>5757</v>
      </c>
      <c r="AG1544" s="5" t="n">
        <v>0.0087037037037037</v>
      </c>
      <c r="AH1544" s="5" t="n">
        <v>0.0299189814814815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4" t="s">
        <v>78</v>
      </c>
      <c r="AN1544" s="0" t="n">
        <v>0</v>
      </c>
      <c r="AO1544" s="0" t="n">
        <v>0</v>
      </c>
      <c r="AP1544" s="0" t="n">
        <v>0</v>
      </c>
      <c r="AQ1544" s="0" t="n">
        <v>0</v>
      </c>
      <c r="AR1544" s="0" t="n">
        <v>0</v>
      </c>
      <c r="AS1544" s="0" t="n">
        <v>0</v>
      </c>
      <c r="AT1544" s="0" t="n">
        <v>0</v>
      </c>
      <c r="AU1544" s="0" t="n">
        <v>0</v>
      </c>
      <c r="AV1544" s="0" t="n">
        <v>0</v>
      </c>
      <c r="AW1544" s="0" t="n">
        <v>0</v>
      </c>
      <c r="AX1544" s="0" t="n">
        <v>0</v>
      </c>
      <c r="AY1544" s="0" t="n">
        <v>0</v>
      </c>
      <c r="AZ1544" s="0" t="n">
        <v>0</v>
      </c>
      <c r="BA1544" s="0" t="n">
        <v>0</v>
      </c>
      <c r="BB1544" s="0" t="n">
        <v>0</v>
      </c>
      <c r="BC1544" s="0" t="n">
        <v>0</v>
      </c>
      <c r="BD1544" s="0" t="n">
        <v>0</v>
      </c>
      <c r="BE1544" s="0" t="n">
        <v>0</v>
      </c>
      <c r="BF1544" s="0" t="n">
        <v>0</v>
      </c>
      <c r="BG1544" s="0" t="n">
        <v>0</v>
      </c>
      <c r="BH1544" s="0" t="n">
        <v>0</v>
      </c>
      <c r="BI1544" s="0" t="n">
        <v>0</v>
      </c>
      <c r="BJ1544" s="0" t="n">
        <v>0</v>
      </c>
      <c r="BK1544" s="0" t="n">
        <v>0</v>
      </c>
      <c r="BM1544" s="6" t="n">
        <f aca="false">IFERROR(VALUE(F1544),"")</f>
        <v>2.05</v>
      </c>
      <c r="BN1544" s="6" t="n">
        <f aca="false">IF(R1544="-","",IFERROR(VALUE(LEFT(Q1544,LEN(Q1544)-2)),""))</f>
        <v>1.24</v>
      </c>
      <c r="BO1544" s="6" t="n">
        <f aca="false">IF(R1544="-","",IFERROR(VALUE(LEFT(R1544,LEN(R1544)-5)),""))</f>
        <v>1.65</v>
      </c>
      <c r="BP1544" s="6" t="n">
        <f aca="false">IF(R1544="-","",IFERROR(VALUE(F1544),""))</f>
        <v>2.05</v>
      </c>
      <c r="BQ1544" s="4" t="n">
        <f aca="false">IF(R1544="-",1,0)</f>
        <v>0</v>
      </c>
    </row>
    <row r="1545" customFormat="false" ht="15" hidden="false" customHeight="false" outlineLevel="0" collapsed="false">
      <c r="A1545" s="0" t="s">
        <v>5741</v>
      </c>
      <c r="B1545" s="0" t="s">
        <v>5742</v>
      </c>
      <c r="C1545" s="0" t="s">
        <v>70</v>
      </c>
      <c r="E1545" s="3" t="n">
        <v>46279</v>
      </c>
      <c r="F1545" s="4" t="s">
        <v>5758</v>
      </c>
      <c r="G1545" s="5" t="n">
        <v>0.103981481481482</v>
      </c>
      <c r="H1545" s="5" t="n">
        <v>0</v>
      </c>
      <c r="I1545" s="5" t="n">
        <v>0.000162037037037037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5" t="n">
        <v>0</v>
      </c>
      <c r="P1545" s="5" t="n">
        <v>0</v>
      </c>
      <c r="Q1545" s="4" t="s">
        <v>5759</v>
      </c>
      <c r="R1545" s="4" t="s">
        <v>5760</v>
      </c>
      <c r="S1545" s="5" t="n">
        <v>0</v>
      </c>
      <c r="T1545" s="5" t="n">
        <v>0.0305555555555556</v>
      </c>
      <c r="U1545" s="5" t="n">
        <v>0.0293981481481482</v>
      </c>
      <c r="V1545" s="5" t="n">
        <v>0.0393518518518519</v>
      </c>
      <c r="W1545" s="5" t="n">
        <v>0</v>
      </c>
      <c r="X1545" s="5" t="n">
        <v>0</v>
      </c>
      <c r="Y1545" s="5" t="n">
        <v>0</v>
      </c>
      <c r="Z1545" s="0" t="n">
        <v>0</v>
      </c>
      <c r="AA1545" s="0" t="n">
        <v>0</v>
      </c>
      <c r="AB1545" s="0" t="n">
        <v>0</v>
      </c>
      <c r="AC1545" s="4" t="s">
        <v>159</v>
      </c>
      <c r="AD1545" s="4" t="s">
        <v>159</v>
      </c>
      <c r="AE1545" s="4" t="s">
        <v>5757</v>
      </c>
      <c r="AF1545" s="4" t="s">
        <v>5761</v>
      </c>
      <c r="AG1545" s="5" t="n">
        <v>0.085625</v>
      </c>
      <c r="AH1545" s="5" t="n">
        <v>0.0545601851851852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4" t="s">
        <v>78</v>
      </c>
      <c r="AN1545" s="0" t="n">
        <v>0</v>
      </c>
      <c r="AO1545" s="0" t="n">
        <v>0</v>
      </c>
      <c r="AP1545" s="0" t="n">
        <v>0</v>
      </c>
      <c r="AQ1545" s="0" t="n">
        <v>0</v>
      </c>
      <c r="AR1545" s="0" t="n">
        <v>0</v>
      </c>
      <c r="AS1545" s="0" t="n">
        <v>0</v>
      </c>
      <c r="AT1545" s="0" t="n">
        <v>0</v>
      </c>
      <c r="AU1545" s="0" t="n">
        <v>0</v>
      </c>
      <c r="AV1545" s="0" t="n">
        <v>0</v>
      </c>
      <c r="AW1545" s="0" t="n">
        <v>0</v>
      </c>
      <c r="AX1545" s="0" t="n">
        <v>0</v>
      </c>
      <c r="AY1545" s="0" t="n">
        <v>0</v>
      </c>
      <c r="AZ1545" s="0" t="n">
        <v>0</v>
      </c>
      <c r="BA1545" s="0" t="n">
        <v>0</v>
      </c>
      <c r="BB1545" s="0" t="n">
        <v>0</v>
      </c>
      <c r="BC1545" s="0" t="n">
        <v>0</v>
      </c>
      <c r="BD1545" s="0" t="n">
        <v>0</v>
      </c>
      <c r="BE1545" s="0" t="n">
        <v>0</v>
      </c>
      <c r="BF1545" s="0" t="n">
        <v>0</v>
      </c>
      <c r="BG1545" s="0" t="n">
        <v>0</v>
      </c>
      <c r="BH1545" s="0" t="n">
        <v>0</v>
      </c>
      <c r="BI1545" s="0" t="n">
        <v>0</v>
      </c>
      <c r="BJ1545" s="0" t="n">
        <v>0</v>
      </c>
      <c r="BK1545" s="0" t="n">
        <v>0</v>
      </c>
      <c r="BM1545" s="6" t="n">
        <f aca="false">IFERROR(VALUE(F1545),"")</f>
        <v>91.27</v>
      </c>
      <c r="BN1545" s="6" t="n">
        <f aca="false">IF(R1545="-","",IFERROR(VALUE(LEFT(Q1545,LEN(Q1545)-2)),""))</f>
        <v>16.35</v>
      </c>
      <c r="BO1545" s="6" t="n">
        <f aca="false">IF(R1545="-","",IFERROR(VALUE(LEFT(R1545,LEN(R1545)-5)),""))</f>
        <v>5.58</v>
      </c>
      <c r="BP1545" s="6" t="n">
        <f aca="false">IF(R1545="-","",IFERROR(VALUE(F1545),""))</f>
        <v>91.27</v>
      </c>
      <c r="BQ1545" s="4" t="n">
        <f aca="false">IF(R1545="-",1,0)</f>
        <v>0</v>
      </c>
    </row>
    <row r="1546" customFormat="false" ht="15" hidden="false" customHeight="false" outlineLevel="0" collapsed="false">
      <c r="A1546" s="0" t="s">
        <v>5762</v>
      </c>
      <c r="B1546" s="0" t="s">
        <v>5763</v>
      </c>
      <c r="C1546" s="0" t="s">
        <v>70</v>
      </c>
      <c r="D1546" s="0" t="s">
        <v>161</v>
      </c>
      <c r="E1546" s="3" t="n">
        <v>46273</v>
      </c>
      <c r="F1546" s="4" t="s">
        <v>5764</v>
      </c>
      <c r="G1546" s="5" t="n">
        <v>0.2265625</v>
      </c>
      <c r="H1546" s="5" t="n">
        <v>0.224039351851852</v>
      </c>
      <c r="I1546" s="5" t="n">
        <v>0.000613425925925926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5" t="n">
        <v>0</v>
      </c>
      <c r="P1546" s="5" t="n">
        <v>0</v>
      </c>
      <c r="Q1546" s="4" t="s">
        <v>5765</v>
      </c>
      <c r="R1546" s="4" t="s">
        <v>5766</v>
      </c>
      <c r="S1546" s="5" t="n">
        <v>0</v>
      </c>
      <c r="T1546" s="5" t="n">
        <v>0.104398148148148</v>
      </c>
      <c r="U1546" s="5" t="n">
        <v>0.0821759259259259</v>
      </c>
      <c r="V1546" s="5" t="n">
        <v>0.0350694444444444</v>
      </c>
      <c r="W1546" s="5" t="n">
        <v>0.000115740740740741</v>
      </c>
      <c r="X1546" s="5" t="n">
        <v>0</v>
      </c>
      <c r="Y1546" s="5" t="n">
        <v>0</v>
      </c>
      <c r="Z1546" s="0" t="n">
        <v>0</v>
      </c>
      <c r="AA1546" s="0" t="n">
        <v>0</v>
      </c>
      <c r="AB1546" s="0" t="n">
        <v>0</v>
      </c>
      <c r="AC1546" s="4" t="s">
        <v>5767</v>
      </c>
      <c r="AD1546" s="4" t="s">
        <v>159</v>
      </c>
      <c r="AE1546" s="4" t="s">
        <v>5768</v>
      </c>
      <c r="AF1546" s="4" t="s">
        <v>5769</v>
      </c>
      <c r="AG1546" s="5" t="n">
        <v>0.188136574074074</v>
      </c>
      <c r="AH1546" s="5" t="n">
        <v>0.0853472222222222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4" t="s">
        <v>78</v>
      </c>
      <c r="AN1546" s="0" t="n">
        <v>0</v>
      </c>
      <c r="AO1546" s="0" t="n">
        <v>0</v>
      </c>
      <c r="AP1546" s="0" t="n">
        <v>0</v>
      </c>
      <c r="AQ1546" s="0" t="n">
        <v>0</v>
      </c>
      <c r="AR1546" s="0" t="n">
        <v>0</v>
      </c>
      <c r="AS1546" s="0" t="n">
        <v>0</v>
      </c>
      <c r="AT1546" s="0" t="n">
        <v>0</v>
      </c>
      <c r="AU1546" s="0" t="n">
        <v>1</v>
      </c>
      <c r="AV1546" s="0" t="n">
        <v>0</v>
      </c>
      <c r="AW1546" s="0" t="n">
        <v>0</v>
      </c>
      <c r="AX1546" s="0" t="n">
        <v>0</v>
      </c>
      <c r="AY1546" s="0" t="n">
        <v>0</v>
      </c>
      <c r="AZ1546" s="0" t="n">
        <v>0</v>
      </c>
      <c r="BA1546" s="0" t="n">
        <v>0</v>
      </c>
      <c r="BB1546" s="0" t="n">
        <v>0</v>
      </c>
      <c r="BC1546" s="0" t="n">
        <v>0</v>
      </c>
      <c r="BD1546" s="0" t="n">
        <v>0</v>
      </c>
      <c r="BE1546" s="0" t="n">
        <v>0</v>
      </c>
      <c r="BF1546" s="0" t="n">
        <v>0</v>
      </c>
      <c r="BG1546" s="0" t="n">
        <v>0</v>
      </c>
      <c r="BH1546" s="0" t="n">
        <v>0</v>
      </c>
      <c r="BI1546" s="0" t="n">
        <v>0</v>
      </c>
      <c r="BJ1546" s="0" t="n">
        <v>0</v>
      </c>
      <c r="BK1546" s="0" t="n">
        <v>0</v>
      </c>
      <c r="BM1546" s="6" t="n">
        <f aca="false">IFERROR(VALUE(F1546),"")</f>
        <v>132.71</v>
      </c>
      <c r="BN1546" s="6" t="n">
        <f aca="false">IF(R1546="-","",IFERROR(VALUE(LEFT(Q1546,LEN(Q1546)-2)),""))</f>
        <v>29.03</v>
      </c>
      <c r="BO1546" s="6" t="n">
        <f aca="false">IF(R1546="-","",IFERROR(VALUE(LEFT(R1546,LEN(R1546)-5)),""))</f>
        <v>4.57</v>
      </c>
      <c r="BP1546" s="6" t="n">
        <f aca="false">IF(R1546="-","",IFERROR(VALUE(F1546),""))</f>
        <v>132.71</v>
      </c>
      <c r="BQ1546" s="4" t="n">
        <f aca="false">IF(R1546="-",1,0)</f>
        <v>0</v>
      </c>
    </row>
    <row r="1547" customFormat="false" ht="15" hidden="false" customHeight="false" outlineLevel="0" collapsed="false">
      <c r="A1547" s="0" t="s">
        <v>5762</v>
      </c>
      <c r="B1547" s="0" t="s">
        <v>5763</v>
      </c>
      <c r="C1547" s="0" t="s">
        <v>70</v>
      </c>
      <c r="D1547" s="0" t="s">
        <v>161</v>
      </c>
      <c r="E1547" s="3" t="n">
        <v>46274</v>
      </c>
      <c r="F1547" s="4" t="s">
        <v>5770</v>
      </c>
      <c r="G1547" s="5" t="n">
        <v>0.173391203703704</v>
      </c>
      <c r="H1547" s="5" t="n">
        <v>0.165960648148148</v>
      </c>
      <c r="I1547" s="5" t="n">
        <v>0.000335648148148148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5" t="n">
        <v>0</v>
      </c>
      <c r="P1547" s="5" t="n">
        <v>0</v>
      </c>
      <c r="Q1547" s="4" t="s">
        <v>5771</v>
      </c>
      <c r="R1547" s="4" t="s">
        <v>5609</v>
      </c>
      <c r="S1547" s="5" t="n">
        <v>0</v>
      </c>
      <c r="T1547" s="5" t="n">
        <v>0.0637731481481482</v>
      </c>
      <c r="U1547" s="5" t="n">
        <v>0.0635416666666667</v>
      </c>
      <c r="V1547" s="5" t="n">
        <v>0.0388888888888889</v>
      </c>
      <c r="W1547" s="5" t="n">
        <v>0</v>
      </c>
      <c r="X1547" s="5" t="n">
        <v>0</v>
      </c>
      <c r="Y1547" s="5" t="n">
        <v>0</v>
      </c>
      <c r="Z1547" s="0" t="n">
        <v>0</v>
      </c>
      <c r="AA1547" s="0" t="n">
        <v>0</v>
      </c>
      <c r="AB1547" s="0" t="n">
        <v>0</v>
      </c>
      <c r="AC1547" s="4" t="s">
        <v>158</v>
      </c>
      <c r="AD1547" s="4" t="s">
        <v>159</v>
      </c>
      <c r="AE1547" s="4" t="s">
        <v>5769</v>
      </c>
      <c r="AF1547" s="4" t="s">
        <v>5772</v>
      </c>
      <c r="AG1547" s="5" t="n">
        <v>0.153541666666667</v>
      </c>
      <c r="AH1547" s="5" t="n">
        <v>0.0682986111111111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4" t="s">
        <v>78</v>
      </c>
      <c r="AN1547" s="0" t="n">
        <v>0</v>
      </c>
      <c r="AO1547" s="0" t="n">
        <v>0</v>
      </c>
      <c r="AP1547" s="0" t="n">
        <v>0</v>
      </c>
      <c r="AQ1547" s="0" t="n">
        <v>0</v>
      </c>
      <c r="AR1547" s="0" t="n">
        <v>0</v>
      </c>
      <c r="AS1547" s="0" t="n">
        <v>0</v>
      </c>
      <c r="AT1547" s="0" t="n">
        <v>0</v>
      </c>
      <c r="AU1547" s="0" t="n">
        <v>1</v>
      </c>
      <c r="AV1547" s="0" t="n">
        <v>0</v>
      </c>
      <c r="AW1547" s="0" t="n">
        <v>0</v>
      </c>
      <c r="AX1547" s="0" t="n">
        <v>0</v>
      </c>
      <c r="AY1547" s="0" t="n">
        <v>0</v>
      </c>
      <c r="AZ1547" s="0" t="n">
        <v>0</v>
      </c>
      <c r="BA1547" s="0" t="n">
        <v>0</v>
      </c>
      <c r="BB1547" s="0" t="n">
        <v>0</v>
      </c>
      <c r="BC1547" s="0" t="n">
        <v>0</v>
      </c>
      <c r="BD1547" s="0" t="n">
        <v>0</v>
      </c>
      <c r="BE1547" s="0" t="n">
        <v>0</v>
      </c>
      <c r="BF1547" s="0" t="n">
        <v>0</v>
      </c>
      <c r="BG1547" s="0" t="n">
        <v>0</v>
      </c>
      <c r="BH1547" s="0" t="n">
        <v>0</v>
      </c>
      <c r="BI1547" s="0" t="n">
        <v>0</v>
      </c>
      <c r="BJ1547" s="0" t="n">
        <v>0</v>
      </c>
      <c r="BK1547" s="0" t="n">
        <v>0</v>
      </c>
      <c r="BM1547" s="6" t="n">
        <f aca="false">IFERROR(VALUE(F1547),"")</f>
        <v>121.56</v>
      </c>
      <c r="BN1547" s="6" t="n">
        <f aca="false">IF(R1547="-","",IFERROR(VALUE(LEFT(Q1547,LEN(Q1547)-2)),""))</f>
        <v>25.6</v>
      </c>
      <c r="BO1547" s="6" t="n">
        <f aca="false">IF(R1547="-","",IFERROR(VALUE(LEFT(R1547,LEN(R1547)-5)),""))</f>
        <v>4.75</v>
      </c>
      <c r="BP1547" s="6" t="n">
        <f aca="false">IF(R1547="-","",IFERROR(VALUE(F1547),""))</f>
        <v>121.56</v>
      </c>
      <c r="BQ1547" s="4" t="n">
        <f aca="false">IF(R1547="-",1,0)</f>
        <v>0</v>
      </c>
    </row>
    <row r="1548" customFormat="false" ht="15" hidden="false" customHeight="false" outlineLevel="0" collapsed="false">
      <c r="A1548" s="0" t="s">
        <v>5762</v>
      </c>
      <c r="B1548" s="0" t="s">
        <v>5763</v>
      </c>
      <c r="C1548" s="0" t="s">
        <v>70</v>
      </c>
      <c r="D1548" s="0" t="s">
        <v>161</v>
      </c>
      <c r="E1548" s="3" t="n">
        <v>46275</v>
      </c>
      <c r="F1548" s="4" t="s">
        <v>5773</v>
      </c>
      <c r="G1548" s="5" t="n">
        <v>0.222997685185185</v>
      </c>
      <c r="H1548" s="5" t="n">
        <v>0.181076388888889</v>
      </c>
      <c r="I1548" s="5" t="n">
        <v>0.00122685185185185</v>
      </c>
      <c r="J1548" s="0" t="n">
        <v>0</v>
      </c>
      <c r="K1548" s="0" t="n">
        <v>1</v>
      </c>
      <c r="L1548" s="0" t="n">
        <v>0</v>
      </c>
      <c r="M1548" s="0" t="n">
        <v>0</v>
      </c>
      <c r="N1548" s="0" t="n">
        <v>0</v>
      </c>
      <c r="O1548" s="5" t="n">
        <v>0</v>
      </c>
      <c r="P1548" s="5" t="n">
        <v>0.0148726851851852</v>
      </c>
      <c r="Q1548" s="4" t="s">
        <v>5774</v>
      </c>
      <c r="R1548" s="4" t="s">
        <v>5766</v>
      </c>
      <c r="S1548" s="5" t="n">
        <v>0</v>
      </c>
      <c r="T1548" s="5" t="n">
        <v>0.0918981481481482</v>
      </c>
      <c r="U1548" s="5" t="n">
        <v>0.0717592592592593</v>
      </c>
      <c r="V1548" s="5" t="n">
        <v>0.0365740740740741</v>
      </c>
      <c r="W1548" s="5" t="n">
        <v>0</v>
      </c>
      <c r="X1548" s="5" t="n">
        <v>0</v>
      </c>
      <c r="Y1548" s="5" t="n">
        <v>0</v>
      </c>
      <c r="Z1548" s="0" t="n">
        <v>0</v>
      </c>
      <c r="AA1548" s="0" t="n">
        <v>0</v>
      </c>
      <c r="AB1548" s="0" t="n">
        <v>0</v>
      </c>
      <c r="AC1548" s="4" t="s">
        <v>159</v>
      </c>
      <c r="AD1548" s="4" t="s">
        <v>159</v>
      </c>
      <c r="AE1548" s="4" t="s">
        <v>5772</v>
      </c>
      <c r="AF1548" s="4" t="s">
        <v>5775</v>
      </c>
      <c r="AG1548" s="5" t="n">
        <v>0.160034722222222</v>
      </c>
      <c r="AH1548" s="5" t="n">
        <v>0.103946759259259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4" t="s">
        <v>78</v>
      </c>
      <c r="AN1548" s="0" t="n">
        <v>0</v>
      </c>
      <c r="AO1548" s="0" t="n">
        <v>0</v>
      </c>
      <c r="AP1548" s="0" t="n">
        <v>0</v>
      </c>
      <c r="AQ1548" s="0" t="n">
        <v>0</v>
      </c>
      <c r="AR1548" s="0" t="n">
        <v>0</v>
      </c>
      <c r="AS1548" s="0" t="n">
        <v>0</v>
      </c>
      <c r="AT1548" s="0" t="n">
        <v>0</v>
      </c>
      <c r="AU1548" s="0" t="n">
        <v>3</v>
      </c>
      <c r="AV1548" s="0" t="n">
        <v>0</v>
      </c>
      <c r="AW1548" s="0" t="n">
        <v>0</v>
      </c>
      <c r="AX1548" s="0" t="n">
        <v>0</v>
      </c>
      <c r="AY1548" s="0" t="n">
        <v>0</v>
      </c>
      <c r="AZ1548" s="0" t="n">
        <v>0</v>
      </c>
      <c r="BA1548" s="0" t="n">
        <v>0</v>
      </c>
      <c r="BB1548" s="0" t="n">
        <v>0</v>
      </c>
      <c r="BC1548" s="0" t="n">
        <v>0</v>
      </c>
      <c r="BD1548" s="0" t="n">
        <v>0</v>
      </c>
      <c r="BE1548" s="0" t="n">
        <v>0</v>
      </c>
      <c r="BF1548" s="0" t="n">
        <v>0</v>
      </c>
      <c r="BG1548" s="0" t="n">
        <v>0</v>
      </c>
      <c r="BH1548" s="0" t="n">
        <v>0</v>
      </c>
      <c r="BI1548" s="0" t="n">
        <v>0</v>
      </c>
      <c r="BJ1548" s="0" t="n">
        <v>0</v>
      </c>
      <c r="BK1548" s="0" t="n">
        <v>0</v>
      </c>
      <c r="BM1548" s="6" t="n">
        <f aca="false">IFERROR(VALUE(F1548),"")</f>
        <v>127.09</v>
      </c>
      <c r="BN1548" s="6" t="n">
        <f aca="false">IF(R1548="-","",IFERROR(VALUE(LEFT(Q1548,LEN(Q1548)-2)),""))</f>
        <v>27.83</v>
      </c>
      <c r="BO1548" s="6" t="n">
        <f aca="false">IF(R1548="-","",IFERROR(VALUE(LEFT(R1548,LEN(R1548)-5)),""))</f>
        <v>4.57</v>
      </c>
      <c r="BP1548" s="6" t="n">
        <f aca="false">IF(R1548="-","",IFERROR(VALUE(F1548),""))</f>
        <v>127.09</v>
      </c>
      <c r="BQ1548" s="4" t="n">
        <f aca="false">IF(R1548="-",1,0)</f>
        <v>0</v>
      </c>
    </row>
    <row r="1549" customFormat="false" ht="15" hidden="false" customHeight="false" outlineLevel="0" collapsed="false">
      <c r="A1549" s="0" t="s">
        <v>5762</v>
      </c>
      <c r="B1549" s="0" t="s">
        <v>5763</v>
      </c>
      <c r="C1549" s="0" t="s">
        <v>70</v>
      </c>
      <c r="D1549" s="0" t="s">
        <v>161</v>
      </c>
      <c r="E1549" s="3" t="n">
        <v>46276</v>
      </c>
      <c r="F1549" s="4" t="s">
        <v>5776</v>
      </c>
      <c r="G1549" s="5" t="n">
        <v>0.197037037037037</v>
      </c>
      <c r="H1549" s="5" t="n">
        <v>0.182962962962963</v>
      </c>
      <c r="I1549" s="5" t="n">
        <v>0.000358796296296296</v>
      </c>
      <c r="J1549" s="0" t="n">
        <v>0</v>
      </c>
      <c r="K1549" s="0" t="n">
        <v>1</v>
      </c>
      <c r="L1549" s="0" t="n">
        <v>0</v>
      </c>
      <c r="M1549" s="0" t="n">
        <v>0</v>
      </c>
      <c r="N1549" s="0" t="n">
        <v>1</v>
      </c>
      <c r="O1549" s="5" t="n">
        <v>0</v>
      </c>
      <c r="P1549" s="5" t="n">
        <v>0</v>
      </c>
      <c r="Q1549" s="4" t="s">
        <v>5777</v>
      </c>
      <c r="R1549" s="4" t="s">
        <v>5766</v>
      </c>
      <c r="S1549" s="5" t="n">
        <v>0.000347222222222222</v>
      </c>
      <c r="T1549" s="5" t="n">
        <v>0.0810185185185185</v>
      </c>
      <c r="U1549" s="5" t="n">
        <v>0.0740740740740741</v>
      </c>
      <c r="V1549" s="5" t="n">
        <v>0.0347222222222222</v>
      </c>
      <c r="W1549" s="5" t="n">
        <v>0</v>
      </c>
      <c r="X1549" s="5" t="n">
        <v>0</v>
      </c>
      <c r="Y1549" s="5" t="n">
        <v>0</v>
      </c>
      <c r="Z1549" s="0" t="n">
        <v>0</v>
      </c>
      <c r="AA1549" s="0" t="n">
        <v>0</v>
      </c>
      <c r="AB1549" s="0" t="n">
        <v>0</v>
      </c>
      <c r="AC1549" s="4" t="s">
        <v>158</v>
      </c>
      <c r="AD1549" s="4" t="s">
        <v>159</v>
      </c>
      <c r="AE1549" s="4" t="s">
        <v>5775</v>
      </c>
      <c r="AF1549" s="4" t="s">
        <v>5778</v>
      </c>
      <c r="AG1549" s="5" t="n">
        <v>0.160300925925926</v>
      </c>
      <c r="AH1549" s="5" t="n">
        <v>0.0869212962962963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4" t="s">
        <v>78</v>
      </c>
      <c r="AN1549" s="0" t="n">
        <v>0</v>
      </c>
      <c r="AO1549" s="0" t="n">
        <v>0</v>
      </c>
      <c r="AP1549" s="0" t="n">
        <v>0</v>
      </c>
      <c r="AQ1549" s="0" t="n">
        <v>0</v>
      </c>
      <c r="AR1549" s="0" t="n">
        <v>0</v>
      </c>
      <c r="AS1549" s="0" t="n">
        <v>0</v>
      </c>
      <c r="AT1549" s="0" t="n">
        <v>0</v>
      </c>
      <c r="AU1549" s="0" t="n">
        <v>2</v>
      </c>
      <c r="AV1549" s="0" t="n">
        <v>0</v>
      </c>
      <c r="AW1549" s="0" t="n">
        <v>0</v>
      </c>
      <c r="AX1549" s="0" t="n">
        <v>0</v>
      </c>
      <c r="AY1549" s="0" t="n">
        <v>0</v>
      </c>
      <c r="AZ1549" s="0" t="n">
        <v>0</v>
      </c>
      <c r="BA1549" s="0" t="n">
        <v>0</v>
      </c>
      <c r="BB1549" s="0" t="n">
        <v>0</v>
      </c>
      <c r="BC1549" s="0" t="n">
        <v>0</v>
      </c>
      <c r="BD1549" s="0" t="n">
        <v>0</v>
      </c>
      <c r="BE1549" s="0" t="n">
        <v>0</v>
      </c>
      <c r="BF1549" s="0" t="n">
        <v>0</v>
      </c>
      <c r="BG1549" s="0" t="n">
        <v>0</v>
      </c>
      <c r="BH1549" s="0" t="n">
        <v>0</v>
      </c>
      <c r="BI1549" s="0" t="n">
        <v>0</v>
      </c>
      <c r="BJ1549" s="0" t="n">
        <v>0</v>
      </c>
      <c r="BK1549" s="0" t="n">
        <v>0</v>
      </c>
      <c r="BM1549" s="6" t="n">
        <f aca="false">IFERROR(VALUE(F1549),"")</f>
        <v>125.94</v>
      </c>
      <c r="BN1549" s="6" t="n">
        <f aca="false">IF(R1549="-","",IFERROR(VALUE(LEFT(Q1549,LEN(Q1549)-2)),""))</f>
        <v>27.56</v>
      </c>
      <c r="BO1549" s="6" t="n">
        <f aca="false">IF(R1549="-","",IFERROR(VALUE(LEFT(R1549,LEN(R1549)-5)),""))</f>
        <v>4.57</v>
      </c>
      <c r="BP1549" s="6" t="n">
        <f aca="false">IF(R1549="-","",IFERROR(VALUE(F1549),""))</f>
        <v>125.94</v>
      </c>
      <c r="BQ1549" s="4" t="n">
        <f aca="false">IF(R1549="-",1,0)</f>
        <v>0</v>
      </c>
    </row>
    <row r="1550" customFormat="false" ht="15" hidden="false" customHeight="false" outlineLevel="0" collapsed="false">
      <c r="A1550" s="0" t="s">
        <v>5762</v>
      </c>
      <c r="B1550" s="0" t="s">
        <v>5763</v>
      </c>
      <c r="C1550" s="0" t="s">
        <v>70</v>
      </c>
      <c r="E1550" s="3" t="n">
        <v>46277</v>
      </c>
      <c r="F1550" s="4" t="s">
        <v>5779</v>
      </c>
      <c r="G1550" s="5" t="n">
        <v>0.00855324074074074</v>
      </c>
      <c r="H1550" s="5" t="n">
        <v>0</v>
      </c>
      <c r="I1550" s="5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5" t="n">
        <v>0</v>
      </c>
      <c r="P1550" s="5" t="n">
        <v>0</v>
      </c>
      <c r="Q1550" s="4" t="s">
        <v>4556</v>
      </c>
      <c r="R1550" s="4" t="s">
        <v>2179</v>
      </c>
      <c r="S1550" s="5" t="n">
        <v>0</v>
      </c>
      <c r="T1550" s="5" t="n">
        <v>0.00393518518518519</v>
      </c>
      <c r="U1550" s="5" t="n">
        <v>0.00347222222222222</v>
      </c>
      <c r="V1550" s="5" t="n">
        <v>0.000694444444444445</v>
      </c>
      <c r="W1550" s="5" t="n">
        <v>0</v>
      </c>
      <c r="X1550" s="5" t="n">
        <v>0</v>
      </c>
      <c r="Y1550" s="5" t="n">
        <v>0</v>
      </c>
      <c r="Z1550" s="0" t="n">
        <v>0</v>
      </c>
      <c r="AA1550" s="0" t="n">
        <v>0</v>
      </c>
      <c r="AB1550" s="0" t="n">
        <v>0</v>
      </c>
      <c r="AC1550" s="4" t="s">
        <v>158</v>
      </c>
      <c r="AD1550" s="4" t="s">
        <v>159</v>
      </c>
      <c r="AE1550" s="4" t="s">
        <v>5778</v>
      </c>
      <c r="AF1550" s="4" t="s">
        <v>5780</v>
      </c>
      <c r="AG1550" s="5" t="n">
        <v>0.00736111111111111</v>
      </c>
      <c r="AH1550" s="5" t="n">
        <v>0.0531365740740741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4" t="s">
        <v>78</v>
      </c>
      <c r="AN1550" s="0" t="n">
        <v>0</v>
      </c>
      <c r="AO1550" s="0" t="n">
        <v>0</v>
      </c>
      <c r="AP1550" s="0" t="n">
        <v>0</v>
      </c>
      <c r="AQ1550" s="0" t="n">
        <v>0</v>
      </c>
      <c r="AR1550" s="0" t="n">
        <v>0</v>
      </c>
      <c r="AS1550" s="0" t="n">
        <v>0</v>
      </c>
      <c r="AT1550" s="0" t="n">
        <v>0</v>
      </c>
      <c r="AU1550" s="0" t="n">
        <v>0</v>
      </c>
      <c r="AV1550" s="0" t="n">
        <v>0</v>
      </c>
      <c r="AW1550" s="0" t="n">
        <v>0</v>
      </c>
      <c r="AX1550" s="0" t="n">
        <v>0</v>
      </c>
      <c r="AY1550" s="0" t="n">
        <v>0</v>
      </c>
      <c r="AZ1550" s="0" t="n">
        <v>0</v>
      </c>
      <c r="BA1550" s="0" t="n">
        <v>0</v>
      </c>
      <c r="BB1550" s="0" t="n">
        <v>0</v>
      </c>
      <c r="BC1550" s="0" t="n">
        <v>0</v>
      </c>
      <c r="BD1550" s="0" t="n">
        <v>0</v>
      </c>
      <c r="BE1550" s="0" t="n">
        <v>0</v>
      </c>
      <c r="BF1550" s="0" t="n">
        <v>0</v>
      </c>
      <c r="BG1550" s="0" t="n">
        <v>0</v>
      </c>
      <c r="BH1550" s="0" t="n">
        <v>0</v>
      </c>
      <c r="BI1550" s="0" t="n">
        <v>0</v>
      </c>
      <c r="BJ1550" s="0" t="n">
        <v>0</v>
      </c>
      <c r="BK1550" s="0" t="n">
        <v>0</v>
      </c>
      <c r="BM1550" s="6" t="n">
        <f aca="false">IFERROR(VALUE(F1550),"")</f>
        <v>1.94</v>
      </c>
      <c r="BN1550" s="6" t="n">
        <f aca="false">IF(R1550="-","",IFERROR(VALUE(LEFT(Q1550,LEN(Q1550)-2)),""))</f>
        <v>0.76</v>
      </c>
      <c r="BO1550" s="6" t="n">
        <f aca="false">IF(R1550="-","",IFERROR(VALUE(LEFT(R1550,LEN(R1550)-5)),""))</f>
        <v>2.54</v>
      </c>
      <c r="BP1550" s="6" t="n">
        <f aca="false">IF(R1550="-","",IFERROR(VALUE(F1550),""))</f>
        <v>1.94</v>
      </c>
      <c r="BQ1550" s="4" t="n">
        <f aca="false">IF(R1550="-",1,0)</f>
        <v>0</v>
      </c>
    </row>
    <row r="1551" customFormat="false" ht="15" hidden="false" customHeight="false" outlineLevel="0" collapsed="false">
      <c r="A1551" s="0" t="s">
        <v>5762</v>
      </c>
      <c r="B1551" s="0" t="s">
        <v>5763</v>
      </c>
      <c r="C1551" s="0" t="s">
        <v>70</v>
      </c>
      <c r="D1551" s="0" t="s">
        <v>161</v>
      </c>
      <c r="E1551" s="3" t="n">
        <v>46279</v>
      </c>
      <c r="F1551" s="4" t="s">
        <v>5781</v>
      </c>
      <c r="G1551" s="5" t="n">
        <v>0.484675925925926</v>
      </c>
      <c r="H1551" s="5" t="n">
        <v>0.195347222222222</v>
      </c>
      <c r="I1551" s="5" t="n">
        <v>0.00140046296296296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5" t="n">
        <v>0</v>
      </c>
      <c r="P1551" s="5" t="n">
        <v>0.0169560185185185</v>
      </c>
      <c r="Q1551" s="4" t="s">
        <v>5782</v>
      </c>
      <c r="R1551" s="4" t="s">
        <v>5783</v>
      </c>
      <c r="S1551" s="5" t="n">
        <v>0.000115740740740741</v>
      </c>
      <c r="T1551" s="5" t="n">
        <v>0.106712962962963</v>
      </c>
      <c r="U1551" s="5" t="n">
        <v>0.0751157407407408</v>
      </c>
      <c r="V1551" s="5" t="n">
        <v>0.0369212962962963</v>
      </c>
      <c r="W1551" s="5" t="n">
        <v>0</v>
      </c>
      <c r="X1551" s="5" t="n">
        <v>0</v>
      </c>
      <c r="Y1551" s="5" t="n">
        <v>0</v>
      </c>
      <c r="Z1551" s="0" t="n">
        <v>0</v>
      </c>
      <c r="AA1551" s="0" t="n">
        <v>0</v>
      </c>
      <c r="AB1551" s="0" t="n">
        <v>0</v>
      </c>
      <c r="AC1551" s="4" t="s">
        <v>159</v>
      </c>
      <c r="AD1551" s="4" t="s">
        <v>159</v>
      </c>
      <c r="AE1551" s="4" t="s">
        <v>5780</v>
      </c>
      <c r="AF1551" s="4" t="s">
        <v>5784</v>
      </c>
      <c r="AG1551" s="5" t="n">
        <v>0.160960648148148</v>
      </c>
      <c r="AH1551" s="5" t="n">
        <v>0.120578703703704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4" t="s">
        <v>78</v>
      </c>
      <c r="AN1551" s="0" t="n">
        <v>0</v>
      </c>
      <c r="AO1551" s="0" t="n">
        <v>0</v>
      </c>
      <c r="AP1551" s="0" t="n">
        <v>0</v>
      </c>
      <c r="AQ1551" s="0" t="n">
        <v>0</v>
      </c>
      <c r="AR1551" s="0" t="n">
        <v>0</v>
      </c>
      <c r="AS1551" s="0" t="n">
        <v>0</v>
      </c>
      <c r="AT1551" s="0" t="n">
        <v>0</v>
      </c>
      <c r="AU1551" s="0" t="n">
        <v>4</v>
      </c>
      <c r="AV1551" s="0" t="n">
        <v>0</v>
      </c>
      <c r="AW1551" s="0" t="n">
        <v>0</v>
      </c>
      <c r="AX1551" s="0" t="n">
        <v>0</v>
      </c>
      <c r="AY1551" s="0" t="n">
        <v>0</v>
      </c>
      <c r="AZ1551" s="0" t="n">
        <v>0</v>
      </c>
      <c r="BA1551" s="0" t="n">
        <v>0</v>
      </c>
      <c r="BB1551" s="0" t="n">
        <v>0</v>
      </c>
      <c r="BC1551" s="0" t="n">
        <v>0</v>
      </c>
      <c r="BD1551" s="0" t="n">
        <v>0</v>
      </c>
      <c r="BE1551" s="0" t="n">
        <v>0</v>
      </c>
      <c r="BF1551" s="0" t="n">
        <v>0</v>
      </c>
      <c r="BG1551" s="0" t="n">
        <v>0</v>
      </c>
      <c r="BH1551" s="0" t="n">
        <v>0</v>
      </c>
      <c r="BI1551" s="0" t="n">
        <v>0</v>
      </c>
      <c r="BJ1551" s="0" t="n">
        <v>0</v>
      </c>
      <c r="BK1551" s="0" t="n">
        <v>0</v>
      </c>
      <c r="BM1551" s="6" t="n">
        <f aca="false">IFERROR(VALUE(F1551),"")</f>
        <v>127.2</v>
      </c>
      <c r="BN1551" s="6" t="n">
        <f aca="false">IF(R1551="-","",IFERROR(VALUE(LEFT(Q1551,LEN(Q1551)-2)),""))</f>
        <v>30.72</v>
      </c>
      <c r="BO1551" s="6" t="n">
        <f aca="false">IF(R1551="-","",IFERROR(VALUE(LEFT(R1551,LEN(R1551)-5)),""))</f>
        <v>4.14</v>
      </c>
      <c r="BP1551" s="6" t="n">
        <f aca="false">IF(R1551="-","",IFERROR(VALUE(F1551),""))</f>
        <v>127.2</v>
      </c>
      <c r="BQ1551" s="4" t="n">
        <f aca="false">IF(R1551="-",1,0)</f>
        <v>0</v>
      </c>
    </row>
    <row r="1552" customFormat="false" ht="15" hidden="false" customHeight="false" outlineLevel="0" collapsed="false">
      <c r="A1552" s="0" t="s">
        <v>5785</v>
      </c>
      <c r="B1552" s="0" t="s">
        <v>5786</v>
      </c>
      <c r="C1552" s="0" t="s">
        <v>70</v>
      </c>
      <c r="D1552" s="0" t="s">
        <v>5787</v>
      </c>
      <c r="E1552" s="3" t="n">
        <v>46273</v>
      </c>
      <c r="F1552" s="4" t="s">
        <v>5788</v>
      </c>
      <c r="G1552" s="5" t="n">
        <v>0.515231481481482</v>
      </c>
      <c r="H1552" s="5" t="n">
        <v>0.456041666666667</v>
      </c>
      <c r="I1552" s="5" t="n">
        <v>0.000555555555555556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1</v>
      </c>
      <c r="O1552" s="5" t="n">
        <v>0</v>
      </c>
      <c r="P1552" s="5" t="n">
        <v>0.0147106481481482</v>
      </c>
      <c r="Q1552" s="4" t="s">
        <v>5789</v>
      </c>
      <c r="R1552" s="4" t="s">
        <v>4363</v>
      </c>
      <c r="S1552" s="5" t="n">
        <v>0.000115740740740741</v>
      </c>
      <c r="T1552" s="5" t="n">
        <v>0.106944444444444</v>
      </c>
      <c r="U1552" s="5" t="n">
        <v>0.353819444444445</v>
      </c>
      <c r="V1552" s="5" t="n">
        <v>0.0108796296296296</v>
      </c>
      <c r="W1552" s="5" t="n">
        <v>0</v>
      </c>
      <c r="X1552" s="5" t="n">
        <v>0</v>
      </c>
      <c r="Y1552" s="5" t="n">
        <v>0</v>
      </c>
      <c r="Z1552" s="0" t="n">
        <v>0</v>
      </c>
      <c r="AA1552" s="0" t="n">
        <v>0</v>
      </c>
      <c r="AB1552" s="0" t="n">
        <v>0</v>
      </c>
      <c r="AC1552" s="4" t="s">
        <v>5084</v>
      </c>
      <c r="AD1552" s="4" t="s">
        <v>1998</v>
      </c>
      <c r="AE1552" s="4" t="s">
        <v>5790</v>
      </c>
      <c r="AF1552" s="4" t="s">
        <v>5791</v>
      </c>
      <c r="AG1552" s="5" t="n">
        <v>0.420983796296296</v>
      </c>
      <c r="AH1552" s="5" t="n">
        <v>0.221365740740741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4" t="s">
        <v>78</v>
      </c>
      <c r="AN1552" s="0" t="n">
        <v>0</v>
      </c>
      <c r="AO1552" s="0" t="n">
        <v>0</v>
      </c>
      <c r="AP1552" s="0" t="n">
        <v>0</v>
      </c>
      <c r="AQ1552" s="0" t="n">
        <v>0</v>
      </c>
      <c r="AR1552" s="0" t="n">
        <v>0</v>
      </c>
      <c r="AS1552" s="0" t="n">
        <v>0</v>
      </c>
      <c r="AT1552" s="0" t="n">
        <v>0</v>
      </c>
      <c r="AU1552" s="0" t="n">
        <v>2</v>
      </c>
      <c r="AV1552" s="0" t="n">
        <v>0</v>
      </c>
      <c r="AW1552" s="0" t="n">
        <v>0</v>
      </c>
      <c r="AX1552" s="0" t="n">
        <v>0</v>
      </c>
      <c r="AY1552" s="0" t="n">
        <v>0</v>
      </c>
      <c r="AZ1552" s="0" t="n">
        <v>0</v>
      </c>
      <c r="BA1552" s="0" t="n">
        <v>0</v>
      </c>
      <c r="BB1552" s="0" t="n">
        <v>0</v>
      </c>
      <c r="BC1552" s="0" t="n">
        <v>0</v>
      </c>
      <c r="BD1552" s="0" t="n">
        <v>0</v>
      </c>
      <c r="BE1552" s="0" t="n">
        <v>0</v>
      </c>
      <c r="BF1552" s="0" t="n">
        <v>0</v>
      </c>
      <c r="BG1552" s="0" t="n">
        <v>0</v>
      </c>
      <c r="BH1552" s="0" t="n">
        <v>0</v>
      </c>
      <c r="BI1552" s="0" t="n">
        <v>0</v>
      </c>
      <c r="BJ1552" s="0" t="n">
        <v>0</v>
      </c>
      <c r="BK1552" s="0" t="n">
        <v>0</v>
      </c>
      <c r="BM1552" s="6" t="n">
        <f aca="false">IFERROR(VALUE(F1552),"")</f>
        <v>560.34</v>
      </c>
      <c r="BN1552" s="6" t="n">
        <f aca="false">IF(R1552="-","",IFERROR(VALUE(LEFT(Q1552,LEN(Q1552)-2)),""))</f>
        <v>157.74</v>
      </c>
      <c r="BO1552" s="6" t="n">
        <f aca="false">IF(R1552="-","",IFERROR(VALUE(LEFT(R1552,LEN(R1552)-5)),""))</f>
        <v>3.55</v>
      </c>
      <c r="BP1552" s="6" t="n">
        <f aca="false">IF(R1552="-","",IFERROR(VALUE(F1552),""))</f>
        <v>560.34</v>
      </c>
      <c r="BQ1552" s="4" t="n">
        <f aca="false">IF(R1552="-",1,0)</f>
        <v>0</v>
      </c>
    </row>
    <row r="1553" customFormat="false" ht="15" hidden="false" customHeight="false" outlineLevel="0" collapsed="false">
      <c r="A1553" s="0" t="s">
        <v>5785</v>
      </c>
      <c r="B1553" s="0" t="s">
        <v>5786</v>
      </c>
      <c r="C1553" s="0" t="s">
        <v>70</v>
      </c>
      <c r="D1553" s="0" t="s">
        <v>5792</v>
      </c>
      <c r="E1553" s="3" t="n">
        <v>46274</v>
      </c>
      <c r="F1553" s="4" t="s">
        <v>5793</v>
      </c>
      <c r="G1553" s="5" t="n">
        <v>0.408460648148148</v>
      </c>
      <c r="H1553" s="5" t="n">
        <v>0.266886574074074</v>
      </c>
      <c r="I1553" s="5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5" t="n">
        <v>0</v>
      </c>
      <c r="P1553" s="5" t="n">
        <v>0.121643518518519</v>
      </c>
      <c r="Q1553" s="4" t="s">
        <v>5794</v>
      </c>
      <c r="R1553" s="4" t="s">
        <v>1083</v>
      </c>
      <c r="S1553" s="5" t="n">
        <v>0.000347222222222222</v>
      </c>
      <c r="T1553" s="5" t="n">
        <v>0.22337962962963</v>
      </c>
      <c r="U1553" s="5" t="n">
        <v>0.115856481481482</v>
      </c>
      <c r="V1553" s="5" t="n">
        <v>0.00289351851851852</v>
      </c>
      <c r="W1553" s="5" t="n">
        <v>0</v>
      </c>
      <c r="X1553" s="5" t="n">
        <v>0</v>
      </c>
      <c r="Y1553" s="5" t="n">
        <v>0</v>
      </c>
      <c r="Z1553" s="0" t="n">
        <v>0</v>
      </c>
      <c r="AA1553" s="0" t="n">
        <v>0</v>
      </c>
      <c r="AB1553" s="0" t="n">
        <v>0</v>
      </c>
      <c r="AC1553" s="4" t="s">
        <v>1276</v>
      </c>
      <c r="AD1553" s="4" t="s">
        <v>1998</v>
      </c>
      <c r="AE1553" s="4" t="s">
        <v>5791</v>
      </c>
      <c r="AF1553" s="4" t="s">
        <v>5795</v>
      </c>
      <c r="AG1553" s="5" t="n">
        <v>0.185798611111111</v>
      </c>
      <c r="AH1553" s="5" t="n">
        <v>0.349884259259259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4" t="s">
        <v>78</v>
      </c>
      <c r="AN1553" s="0" t="n">
        <v>0</v>
      </c>
      <c r="AO1553" s="0" t="n">
        <v>0</v>
      </c>
      <c r="AP1553" s="0" t="n">
        <v>0</v>
      </c>
      <c r="AQ1553" s="0" t="n">
        <v>0</v>
      </c>
      <c r="AR1553" s="0" t="n">
        <v>0</v>
      </c>
      <c r="AS1553" s="0" t="n">
        <v>0</v>
      </c>
      <c r="AT1553" s="0" t="n">
        <v>0</v>
      </c>
      <c r="AU1553" s="0" t="n">
        <v>5</v>
      </c>
      <c r="AV1553" s="0" t="n">
        <v>0</v>
      </c>
      <c r="AW1553" s="0" t="n">
        <v>0</v>
      </c>
      <c r="AX1553" s="0" t="n">
        <v>0</v>
      </c>
      <c r="AY1553" s="0" t="n">
        <v>0</v>
      </c>
      <c r="AZ1553" s="0" t="n">
        <v>0</v>
      </c>
      <c r="BA1553" s="0" t="n">
        <v>0</v>
      </c>
      <c r="BB1553" s="0" t="n">
        <v>0</v>
      </c>
      <c r="BC1553" s="0" t="n">
        <v>0</v>
      </c>
      <c r="BD1553" s="0" t="n">
        <v>0</v>
      </c>
      <c r="BE1553" s="0" t="n">
        <v>0</v>
      </c>
      <c r="BF1553" s="0" t="n">
        <v>0</v>
      </c>
      <c r="BG1553" s="0" t="n">
        <v>0</v>
      </c>
      <c r="BH1553" s="0" t="n">
        <v>0</v>
      </c>
      <c r="BI1553" s="0" t="n">
        <v>0</v>
      </c>
      <c r="BJ1553" s="0" t="n">
        <v>0</v>
      </c>
      <c r="BK1553" s="0" t="n">
        <v>0</v>
      </c>
      <c r="BM1553" s="6" t="n">
        <f aca="false">IFERROR(VALUE(F1553),"")</f>
        <v>111.53</v>
      </c>
      <c r="BN1553" s="6" t="n">
        <f aca="false">IF(R1553="-","",IFERROR(VALUE(LEFT(Q1553,LEN(Q1553)-2)),""))</f>
        <v>51.48</v>
      </c>
      <c r="BO1553" s="6" t="n">
        <f aca="false">IF(R1553="-","",IFERROR(VALUE(LEFT(R1553,LEN(R1553)-5)),""))</f>
        <v>2.17</v>
      </c>
      <c r="BP1553" s="6" t="n">
        <f aca="false">IF(R1553="-","",IFERROR(VALUE(F1553),""))</f>
        <v>111.53</v>
      </c>
      <c r="BQ1553" s="4" t="n">
        <f aca="false">IF(R1553="-",1,0)</f>
        <v>0</v>
      </c>
    </row>
    <row r="1554" customFormat="false" ht="15" hidden="false" customHeight="false" outlineLevel="0" collapsed="false">
      <c r="A1554" s="0" t="s">
        <v>5785</v>
      </c>
      <c r="B1554" s="0" t="s">
        <v>5786</v>
      </c>
      <c r="C1554" s="0" t="s">
        <v>70</v>
      </c>
      <c r="D1554" s="0" t="s">
        <v>5796</v>
      </c>
      <c r="E1554" s="3" t="n">
        <v>46275</v>
      </c>
      <c r="F1554" s="4" t="s">
        <v>5797</v>
      </c>
      <c r="G1554" s="5" t="n">
        <v>0.436226851851852</v>
      </c>
      <c r="H1554" s="5" t="n">
        <v>0.3115625</v>
      </c>
      <c r="I1554" s="5" t="n">
        <v>0.00146990740740741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1</v>
      </c>
      <c r="O1554" s="5" t="n">
        <v>0</v>
      </c>
      <c r="P1554" s="5" t="n">
        <v>0.0205208333333333</v>
      </c>
      <c r="Q1554" s="4" t="s">
        <v>5798</v>
      </c>
      <c r="R1554" s="4" t="s">
        <v>943</v>
      </c>
      <c r="S1554" s="5" t="n">
        <v>0.000115740740740741</v>
      </c>
      <c r="T1554" s="5" t="n">
        <v>0.0846064814814815</v>
      </c>
      <c r="U1554" s="5" t="n">
        <v>0.225115740740741</v>
      </c>
      <c r="V1554" s="5" t="n">
        <v>0.00590277777777778</v>
      </c>
      <c r="W1554" s="5" t="n">
        <v>0</v>
      </c>
      <c r="X1554" s="5" t="n">
        <v>0</v>
      </c>
      <c r="Y1554" s="5" t="n">
        <v>0</v>
      </c>
      <c r="Z1554" s="0" t="n">
        <v>0</v>
      </c>
      <c r="AA1554" s="0" t="n">
        <v>0</v>
      </c>
      <c r="AB1554" s="0" t="n">
        <v>0</v>
      </c>
      <c r="AC1554" s="4" t="s">
        <v>1998</v>
      </c>
      <c r="AD1554" s="4" t="s">
        <v>5799</v>
      </c>
      <c r="AE1554" s="4" t="s">
        <v>5795</v>
      </c>
      <c r="AF1554" s="4" t="s">
        <v>5800</v>
      </c>
      <c r="AG1554" s="5" t="n">
        <v>0.269513888888889</v>
      </c>
      <c r="AH1554" s="5" t="n">
        <v>0.201597222222222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4" t="s">
        <v>78</v>
      </c>
      <c r="AN1554" s="0" t="n">
        <v>0</v>
      </c>
      <c r="AO1554" s="0" t="n">
        <v>1</v>
      </c>
      <c r="AP1554" s="0" t="n">
        <v>0</v>
      </c>
      <c r="AQ1554" s="0" t="n">
        <v>0</v>
      </c>
      <c r="AR1554" s="0" t="n">
        <v>0</v>
      </c>
      <c r="AS1554" s="0" t="n">
        <v>0</v>
      </c>
      <c r="AT1554" s="0" t="n">
        <v>0</v>
      </c>
      <c r="AU1554" s="0" t="n">
        <v>2</v>
      </c>
      <c r="AV1554" s="0" t="n">
        <v>0</v>
      </c>
      <c r="AW1554" s="0" t="n">
        <v>1</v>
      </c>
      <c r="AX1554" s="0" t="n">
        <v>0</v>
      </c>
      <c r="AY1554" s="0" t="n">
        <v>0</v>
      </c>
      <c r="AZ1554" s="0" t="n">
        <v>0</v>
      </c>
      <c r="BA1554" s="0" t="n">
        <v>0</v>
      </c>
      <c r="BB1554" s="0" t="n">
        <v>0</v>
      </c>
      <c r="BC1554" s="0" t="n">
        <v>0</v>
      </c>
      <c r="BD1554" s="0" t="n">
        <v>0</v>
      </c>
      <c r="BE1554" s="0" t="n">
        <v>0</v>
      </c>
      <c r="BF1554" s="0" t="n">
        <v>0</v>
      </c>
      <c r="BG1554" s="0" t="n">
        <v>0</v>
      </c>
      <c r="BH1554" s="0" t="n">
        <v>0</v>
      </c>
      <c r="BI1554" s="0" t="n">
        <v>0</v>
      </c>
      <c r="BJ1554" s="0" t="n">
        <v>0</v>
      </c>
      <c r="BK1554" s="0" t="n">
        <v>0</v>
      </c>
      <c r="BM1554" s="6" t="n">
        <f aca="false">IFERROR(VALUE(F1554),"")</f>
        <v>362.45</v>
      </c>
      <c r="BN1554" s="6" t="n">
        <f aca="false">IF(R1554="-","",IFERROR(VALUE(LEFT(Q1554,LEN(Q1554)-2)),""))</f>
        <v>112.08</v>
      </c>
      <c r="BO1554" s="6" t="n">
        <f aca="false">IF(R1554="-","",IFERROR(VALUE(LEFT(R1554,LEN(R1554)-5)),""))</f>
        <v>3.23</v>
      </c>
      <c r="BP1554" s="6" t="n">
        <f aca="false">IF(R1554="-","",IFERROR(VALUE(F1554),""))</f>
        <v>362.45</v>
      </c>
      <c r="BQ1554" s="4" t="n">
        <f aca="false">IF(R1554="-",1,0)</f>
        <v>0</v>
      </c>
    </row>
    <row r="1555" customFormat="false" ht="15" hidden="false" customHeight="false" outlineLevel="0" collapsed="false">
      <c r="A1555" s="0" t="s">
        <v>5785</v>
      </c>
      <c r="B1555" s="0" t="s">
        <v>5786</v>
      </c>
      <c r="C1555" s="0" t="s">
        <v>70</v>
      </c>
      <c r="D1555" s="0" t="s">
        <v>5801</v>
      </c>
      <c r="E1555" s="3" t="n">
        <v>46276</v>
      </c>
      <c r="F1555" s="4" t="s">
        <v>5802</v>
      </c>
      <c r="G1555" s="5" t="n">
        <v>0.397615740740741</v>
      </c>
      <c r="H1555" s="5" t="n">
        <v>0.323171296296296</v>
      </c>
      <c r="I1555" s="5" t="n">
        <v>0.00258101851851852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5" t="n">
        <v>0</v>
      </c>
      <c r="P1555" s="5" t="n">
        <v>0.049837962962963</v>
      </c>
      <c r="Q1555" s="4" t="s">
        <v>5803</v>
      </c>
      <c r="R1555" s="4" t="s">
        <v>937</v>
      </c>
      <c r="S1555" s="5" t="n">
        <v>0.000115740740740741</v>
      </c>
      <c r="T1555" s="5" t="n">
        <v>0.141666666666667</v>
      </c>
      <c r="U1555" s="5" t="n">
        <v>0.221990740740741</v>
      </c>
      <c r="V1555" s="5" t="n">
        <v>0.00451388888888889</v>
      </c>
      <c r="W1555" s="5" t="n">
        <v>0</v>
      </c>
      <c r="X1555" s="5" t="n">
        <v>0</v>
      </c>
      <c r="Y1555" s="5" t="n">
        <v>0</v>
      </c>
      <c r="Z1555" s="0" t="n">
        <v>0</v>
      </c>
      <c r="AA1555" s="0" t="n">
        <v>0</v>
      </c>
      <c r="AB1555" s="0" t="n">
        <v>0</v>
      </c>
      <c r="AC1555" s="4" t="s">
        <v>5799</v>
      </c>
      <c r="AD1555" s="4" t="s">
        <v>1998</v>
      </c>
      <c r="AE1555" s="4" t="s">
        <v>5800</v>
      </c>
      <c r="AF1555" s="4" t="s">
        <v>5804</v>
      </c>
      <c r="AG1555" s="5" t="n">
        <v>0.273854166666667</v>
      </c>
      <c r="AH1555" s="5" t="n">
        <v>0.167824074074074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4" t="s">
        <v>78</v>
      </c>
      <c r="AN1555" s="0" t="n">
        <v>0</v>
      </c>
      <c r="AO1555" s="0" t="n">
        <v>0</v>
      </c>
      <c r="AP1555" s="0" t="n">
        <v>0</v>
      </c>
      <c r="AQ1555" s="0" t="n">
        <v>0</v>
      </c>
      <c r="AR1555" s="0" t="n">
        <v>0</v>
      </c>
      <c r="AS1555" s="0" t="n">
        <v>1</v>
      </c>
      <c r="AT1555" s="0" t="n">
        <v>0</v>
      </c>
      <c r="AU1555" s="0" t="n">
        <v>1</v>
      </c>
      <c r="AV1555" s="0" t="n">
        <v>0</v>
      </c>
      <c r="AW1555" s="0" t="n">
        <v>0</v>
      </c>
      <c r="AX1555" s="0" t="n">
        <v>0</v>
      </c>
      <c r="AY1555" s="0" t="n">
        <v>0</v>
      </c>
      <c r="AZ1555" s="0" t="n">
        <v>0</v>
      </c>
      <c r="BA1555" s="0" t="n">
        <v>0</v>
      </c>
      <c r="BB1555" s="0" t="n">
        <v>0</v>
      </c>
      <c r="BC1555" s="0" t="n">
        <v>0</v>
      </c>
      <c r="BD1555" s="0" t="n">
        <v>0</v>
      </c>
      <c r="BE1555" s="0" t="n">
        <v>0</v>
      </c>
      <c r="BF1555" s="0" t="n">
        <v>0</v>
      </c>
      <c r="BG1555" s="0" t="n">
        <v>0</v>
      </c>
      <c r="BH1555" s="0" t="n">
        <v>0</v>
      </c>
      <c r="BI1555" s="0" t="n">
        <v>0</v>
      </c>
      <c r="BJ1555" s="0" t="n">
        <v>0</v>
      </c>
      <c r="BK1555" s="0" t="n">
        <v>0</v>
      </c>
      <c r="BM1555" s="6" t="n">
        <f aca="false">IFERROR(VALUE(F1555),"")</f>
        <v>364.67</v>
      </c>
      <c r="BN1555" s="6" t="n">
        <f aca="false">IF(R1555="-","",IFERROR(VALUE(LEFT(Q1555,LEN(Q1555)-2)),""))</f>
        <v>109.47</v>
      </c>
      <c r="BO1555" s="6" t="n">
        <f aca="false">IF(R1555="-","",IFERROR(VALUE(LEFT(R1555,LEN(R1555)-5)),""))</f>
        <v>3.33</v>
      </c>
      <c r="BP1555" s="6" t="n">
        <f aca="false">IF(R1555="-","",IFERROR(VALUE(F1555),""))</f>
        <v>364.67</v>
      </c>
      <c r="BQ1555" s="4" t="n">
        <f aca="false">IF(R1555="-",1,0)</f>
        <v>0</v>
      </c>
    </row>
    <row r="1556" customFormat="false" ht="15" hidden="false" customHeight="false" outlineLevel="0" collapsed="false">
      <c r="A1556" s="0" t="s">
        <v>5785</v>
      </c>
      <c r="B1556" s="0" t="s">
        <v>5786</v>
      </c>
      <c r="C1556" s="0" t="s">
        <v>70</v>
      </c>
      <c r="D1556" s="0" t="s">
        <v>5805</v>
      </c>
      <c r="E1556" s="3" t="n">
        <v>46277</v>
      </c>
      <c r="F1556" s="4" t="s">
        <v>5806</v>
      </c>
      <c r="G1556" s="5" t="n">
        <v>0.446435185185185</v>
      </c>
      <c r="H1556" s="5" t="n">
        <v>0.417465277777778</v>
      </c>
      <c r="I1556" s="5" t="n">
        <v>0.00931712962962963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5" t="n">
        <v>0</v>
      </c>
      <c r="P1556" s="5" t="n">
        <v>0.0407175925925926</v>
      </c>
      <c r="Q1556" s="4" t="s">
        <v>5807</v>
      </c>
      <c r="R1556" s="4" t="s">
        <v>3809</v>
      </c>
      <c r="S1556" s="5" t="n">
        <v>0.000115740740740741</v>
      </c>
      <c r="T1556" s="5" t="n">
        <v>0.106134259259259</v>
      </c>
      <c r="U1556" s="5" t="n">
        <v>0.284722222222222</v>
      </c>
      <c r="V1556" s="5" t="n">
        <v>0.0087962962962963</v>
      </c>
      <c r="W1556" s="5" t="n">
        <v>0</v>
      </c>
      <c r="X1556" s="5" t="n">
        <v>0</v>
      </c>
      <c r="Y1556" s="5" t="n">
        <v>0</v>
      </c>
      <c r="Z1556" s="0" t="n">
        <v>0</v>
      </c>
      <c r="AA1556" s="0" t="n">
        <v>0</v>
      </c>
      <c r="AB1556" s="0" t="n">
        <v>0</v>
      </c>
      <c r="AC1556" s="4" t="s">
        <v>1998</v>
      </c>
      <c r="AD1556" s="4" t="s">
        <v>5808</v>
      </c>
      <c r="AE1556" s="4" t="s">
        <v>5804</v>
      </c>
      <c r="AF1556" s="4" t="s">
        <v>5809</v>
      </c>
      <c r="AG1556" s="5" t="n">
        <v>0.335856481481482</v>
      </c>
      <c r="AH1556" s="5" t="n">
        <v>0.178900462962963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4" t="s">
        <v>78</v>
      </c>
      <c r="AN1556" s="0" t="n">
        <v>0</v>
      </c>
      <c r="AO1556" s="0" t="n">
        <v>1</v>
      </c>
      <c r="AP1556" s="0" t="n">
        <v>0</v>
      </c>
      <c r="AQ1556" s="0" t="n">
        <v>0</v>
      </c>
      <c r="AR1556" s="0" t="n">
        <v>1</v>
      </c>
      <c r="AS1556" s="0" t="n">
        <v>0</v>
      </c>
      <c r="AT1556" s="0" t="n">
        <v>0</v>
      </c>
      <c r="AU1556" s="0" t="n">
        <v>6</v>
      </c>
      <c r="AV1556" s="0" t="n">
        <v>0</v>
      </c>
      <c r="AW1556" s="0" t="n">
        <v>1</v>
      </c>
      <c r="AX1556" s="0" t="n">
        <v>0</v>
      </c>
      <c r="AY1556" s="0" t="n">
        <v>0</v>
      </c>
      <c r="AZ1556" s="0" t="n">
        <v>0</v>
      </c>
      <c r="BA1556" s="0" t="n">
        <v>0</v>
      </c>
      <c r="BB1556" s="0" t="n">
        <v>0</v>
      </c>
      <c r="BC1556" s="0" t="n">
        <v>0</v>
      </c>
      <c r="BD1556" s="0" t="n">
        <v>0</v>
      </c>
      <c r="BE1556" s="0" t="n">
        <v>0</v>
      </c>
      <c r="BF1556" s="0" t="n">
        <v>0</v>
      </c>
      <c r="BG1556" s="0" t="n">
        <v>0</v>
      </c>
      <c r="BH1556" s="0" t="n">
        <v>0</v>
      </c>
      <c r="BI1556" s="0" t="n">
        <v>0</v>
      </c>
      <c r="BJ1556" s="0" t="n">
        <v>0</v>
      </c>
      <c r="BK1556" s="0" t="n">
        <v>0</v>
      </c>
      <c r="BM1556" s="6" t="n">
        <f aca="false">IFERROR(VALUE(F1556),"")</f>
        <v>527.66</v>
      </c>
      <c r="BN1556" s="6" t="n">
        <f aca="false">IF(R1556="-","",IFERROR(VALUE(LEFT(Q1556,LEN(Q1556)-2)),""))</f>
        <v>145.56</v>
      </c>
      <c r="BO1556" s="6" t="n">
        <f aca="false">IF(R1556="-","",IFERROR(VALUE(LEFT(R1556,LEN(R1556)-5)),""))</f>
        <v>3.63</v>
      </c>
      <c r="BP1556" s="6" t="n">
        <f aca="false">IF(R1556="-","",IFERROR(VALUE(F1556),""))</f>
        <v>527.66</v>
      </c>
      <c r="BQ1556" s="4" t="n">
        <f aca="false">IF(R1556="-",1,0)</f>
        <v>0</v>
      </c>
    </row>
    <row r="1557" customFormat="false" ht="15" hidden="false" customHeight="false" outlineLevel="0" collapsed="false">
      <c r="A1557" s="0" t="s">
        <v>5785</v>
      </c>
      <c r="B1557" s="0" t="s">
        <v>5786</v>
      </c>
      <c r="C1557" s="0" t="s">
        <v>70</v>
      </c>
      <c r="D1557" s="0" t="s">
        <v>5810</v>
      </c>
      <c r="E1557" s="3" t="n">
        <v>46278</v>
      </c>
      <c r="F1557" s="4" t="s">
        <v>5811</v>
      </c>
      <c r="G1557" s="5" t="n">
        <v>0.432199074074074</v>
      </c>
      <c r="H1557" s="5" t="n">
        <v>0.427002314814815</v>
      </c>
      <c r="I1557" s="5" t="n">
        <v>0.00481481481481482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5" t="n">
        <v>0</v>
      </c>
      <c r="P1557" s="5" t="n">
        <v>0</v>
      </c>
      <c r="Q1557" s="4" t="s">
        <v>5812</v>
      </c>
      <c r="R1557" s="4" t="s">
        <v>5813</v>
      </c>
      <c r="S1557" s="5" t="n">
        <v>0</v>
      </c>
      <c r="T1557" s="5" t="n">
        <v>0.0667824074074074</v>
      </c>
      <c r="U1557" s="5" t="n">
        <v>0.324189814814815</v>
      </c>
      <c r="V1557" s="5" t="n">
        <v>0.00868055555555556</v>
      </c>
      <c r="W1557" s="5" t="n">
        <v>0</v>
      </c>
      <c r="X1557" s="5" t="n">
        <v>0</v>
      </c>
      <c r="Y1557" s="5" t="n">
        <v>0</v>
      </c>
      <c r="Z1557" s="0" t="n">
        <v>0</v>
      </c>
      <c r="AA1557" s="0" t="n">
        <v>0</v>
      </c>
      <c r="AB1557" s="0" t="n">
        <v>0</v>
      </c>
      <c r="AC1557" s="4" t="s">
        <v>5808</v>
      </c>
      <c r="AD1557" s="4" t="s">
        <v>1998</v>
      </c>
      <c r="AE1557" s="4" t="s">
        <v>5814</v>
      </c>
      <c r="AF1557" s="4" t="s">
        <v>5815</v>
      </c>
      <c r="AG1557" s="5" t="n">
        <v>0.372986111111111</v>
      </c>
      <c r="AH1557" s="5" t="n">
        <v>0.109722222222222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4" t="s">
        <v>78</v>
      </c>
      <c r="AN1557" s="0" t="n">
        <v>0</v>
      </c>
      <c r="AO1557" s="0" t="n">
        <v>0</v>
      </c>
      <c r="AP1557" s="0" t="n">
        <v>0</v>
      </c>
      <c r="AQ1557" s="0" t="n">
        <v>0</v>
      </c>
      <c r="AR1557" s="0" t="n">
        <v>0</v>
      </c>
      <c r="AS1557" s="0" t="n">
        <v>0</v>
      </c>
      <c r="AT1557" s="0" t="n">
        <v>0</v>
      </c>
      <c r="AU1557" s="0" t="n">
        <v>1</v>
      </c>
      <c r="AV1557" s="0" t="n">
        <v>0</v>
      </c>
      <c r="AW1557" s="0" t="n">
        <v>0</v>
      </c>
      <c r="AX1557" s="0" t="n">
        <v>0</v>
      </c>
      <c r="AY1557" s="0" t="n">
        <v>0</v>
      </c>
      <c r="AZ1557" s="0" t="n">
        <v>0</v>
      </c>
      <c r="BA1557" s="0" t="n">
        <v>0</v>
      </c>
      <c r="BB1557" s="0" t="n">
        <v>0</v>
      </c>
      <c r="BC1557" s="0" t="n">
        <v>0</v>
      </c>
      <c r="BD1557" s="0" t="n">
        <v>0</v>
      </c>
      <c r="BE1557" s="0" t="n">
        <v>0</v>
      </c>
      <c r="BF1557" s="0" t="n">
        <v>0</v>
      </c>
      <c r="BG1557" s="0" t="n">
        <v>0</v>
      </c>
      <c r="BH1557" s="0" t="n">
        <v>0</v>
      </c>
      <c r="BI1557" s="0" t="n">
        <v>0</v>
      </c>
      <c r="BJ1557" s="0" t="n">
        <v>0</v>
      </c>
      <c r="BK1557" s="0" t="n">
        <v>0</v>
      </c>
      <c r="BM1557" s="6" t="n">
        <f aca="false">IFERROR(VALUE(F1557),"")</f>
        <v>540.54</v>
      </c>
      <c r="BN1557" s="6" t="n">
        <f aca="false">IF(R1557="-","",IFERROR(VALUE(LEFT(Q1557,LEN(Q1557)-2)),""))</f>
        <v>139.76</v>
      </c>
      <c r="BO1557" s="6" t="n">
        <f aca="false">IF(R1557="-","",IFERROR(VALUE(LEFT(R1557,LEN(R1557)-5)),""))</f>
        <v>3.87</v>
      </c>
      <c r="BP1557" s="6" t="n">
        <f aca="false">IF(R1557="-","",IFERROR(VALUE(F1557),""))</f>
        <v>540.54</v>
      </c>
      <c r="BQ1557" s="4" t="n">
        <f aca="false">IF(R1557="-",1,0)</f>
        <v>0</v>
      </c>
    </row>
    <row r="1558" customFormat="false" ht="15" hidden="false" customHeight="false" outlineLevel="0" collapsed="false">
      <c r="A1558" s="0" t="s">
        <v>5816</v>
      </c>
      <c r="B1558" s="0" t="s">
        <v>5817</v>
      </c>
      <c r="C1558" s="0" t="s">
        <v>70</v>
      </c>
      <c r="D1558" s="0" t="s">
        <v>5818</v>
      </c>
      <c r="E1558" s="3" t="n">
        <v>46273</v>
      </c>
      <c r="F1558" s="4" t="s">
        <v>5819</v>
      </c>
      <c r="G1558" s="5" t="n">
        <v>0.696736111111111</v>
      </c>
      <c r="H1558" s="5" t="n">
        <v>0.463113425925926</v>
      </c>
      <c r="I1558" s="5" t="n">
        <v>0.00255787037037037</v>
      </c>
      <c r="J1558" s="0" t="n">
        <v>0</v>
      </c>
      <c r="K1558" s="0" t="n">
        <v>1</v>
      </c>
      <c r="L1558" s="0" t="n">
        <v>0</v>
      </c>
      <c r="M1558" s="0" t="n">
        <v>0</v>
      </c>
      <c r="N1558" s="0" t="n">
        <v>0</v>
      </c>
      <c r="O1558" s="5" t="n">
        <v>0</v>
      </c>
      <c r="P1558" s="5" t="n">
        <v>0</v>
      </c>
      <c r="Q1558" s="4" t="s">
        <v>5820</v>
      </c>
      <c r="R1558" s="4" t="s">
        <v>5649</v>
      </c>
      <c r="S1558" s="5" t="n">
        <v>0.000231481481481482</v>
      </c>
      <c r="T1558" s="5" t="n">
        <v>0.127662037037037</v>
      </c>
      <c r="U1558" s="5" t="n">
        <v>0.469918981481482</v>
      </c>
      <c r="V1558" s="5" t="n">
        <v>0.0258449074074074</v>
      </c>
      <c r="W1558" s="5" t="n">
        <v>0.000104166666666667</v>
      </c>
      <c r="X1558" s="5" t="n">
        <v>0</v>
      </c>
      <c r="Y1558" s="5" t="n">
        <v>0.000104166666666667</v>
      </c>
      <c r="Z1558" s="0" t="n">
        <v>0</v>
      </c>
      <c r="AA1558" s="0" t="n">
        <v>0</v>
      </c>
      <c r="AB1558" s="0" t="n">
        <v>0</v>
      </c>
      <c r="AC1558" s="4" t="s">
        <v>852</v>
      </c>
      <c r="AD1558" s="4" t="s">
        <v>1276</v>
      </c>
      <c r="AE1558" s="4" t="s">
        <v>5821</v>
      </c>
      <c r="AF1558" s="4" t="s">
        <v>5822</v>
      </c>
      <c r="AG1558" s="5" t="n">
        <v>0.584097222222222</v>
      </c>
      <c r="AH1558" s="5" t="n">
        <v>0.187581018518519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4" t="s">
        <v>78</v>
      </c>
      <c r="AN1558" s="0" t="n">
        <v>0</v>
      </c>
      <c r="AO1558" s="0" t="n">
        <v>0</v>
      </c>
      <c r="AP1558" s="0" t="n">
        <v>0</v>
      </c>
      <c r="AQ1558" s="0" t="n">
        <v>0</v>
      </c>
      <c r="AR1558" s="0" t="n">
        <v>1</v>
      </c>
      <c r="AS1558" s="0" t="n">
        <v>0</v>
      </c>
      <c r="AT1558" s="0" t="n">
        <v>0</v>
      </c>
      <c r="AU1558" s="0" t="n">
        <v>3</v>
      </c>
      <c r="AV1558" s="0" t="n">
        <v>0</v>
      </c>
      <c r="AW1558" s="0" t="n">
        <v>0</v>
      </c>
      <c r="AX1558" s="0" t="n">
        <v>0</v>
      </c>
      <c r="AY1558" s="0" t="n">
        <v>0</v>
      </c>
      <c r="AZ1558" s="0" t="n">
        <v>0</v>
      </c>
      <c r="BA1558" s="0" t="n">
        <v>0</v>
      </c>
      <c r="BB1558" s="0" t="n">
        <v>0</v>
      </c>
      <c r="BC1558" s="0" t="n">
        <v>0</v>
      </c>
      <c r="BD1558" s="0" t="n">
        <v>0</v>
      </c>
      <c r="BE1558" s="0" t="n">
        <v>0</v>
      </c>
      <c r="BF1558" s="0" t="n">
        <v>0</v>
      </c>
      <c r="BG1558" s="0" t="n">
        <v>0</v>
      </c>
      <c r="BH1558" s="0" t="n">
        <v>0</v>
      </c>
      <c r="BI1558" s="0" t="n">
        <v>0</v>
      </c>
      <c r="BJ1558" s="0" t="n">
        <v>0</v>
      </c>
      <c r="BK1558" s="0" t="n">
        <v>0</v>
      </c>
      <c r="BM1558" s="6" t="n">
        <f aca="false">IFERROR(VALUE(F1558),"")</f>
        <v>828.17</v>
      </c>
      <c r="BN1558" s="6" t="n">
        <f aca="false">IF(R1558="-","",IFERROR(VALUE(LEFT(Q1558,LEN(Q1558)-2)),""))</f>
        <v>231.93</v>
      </c>
      <c r="BO1558" s="6" t="n">
        <f aca="false">IF(R1558="-","",IFERROR(VALUE(LEFT(R1558,LEN(R1558)-5)),""))</f>
        <v>3.57</v>
      </c>
      <c r="BP1558" s="6" t="n">
        <f aca="false">IF(R1558="-","",IFERROR(VALUE(F1558),""))</f>
        <v>828.17</v>
      </c>
      <c r="BQ1558" s="4" t="n">
        <f aca="false">IF(R1558="-",1,0)</f>
        <v>0</v>
      </c>
    </row>
    <row r="1559" customFormat="false" ht="15" hidden="false" customHeight="false" outlineLevel="0" collapsed="false">
      <c r="A1559" s="0" t="s">
        <v>5816</v>
      </c>
      <c r="B1559" s="0" t="s">
        <v>5817</v>
      </c>
      <c r="C1559" s="0" t="s">
        <v>70</v>
      </c>
      <c r="D1559" s="0" t="s">
        <v>5823</v>
      </c>
      <c r="E1559" s="3" t="n">
        <v>46274</v>
      </c>
      <c r="F1559" s="4" t="s">
        <v>5824</v>
      </c>
      <c r="G1559" s="5" t="n">
        <v>0.505601851851852</v>
      </c>
      <c r="H1559" s="5" t="n">
        <v>0.294444444444445</v>
      </c>
      <c r="I1559" s="5" t="n">
        <v>9.25925925925926E-005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5" t="n">
        <v>0</v>
      </c>
      <c r="P1559" s="5" t="n">
        <v>0.0783217592592593</v>
      </c>
      <c r="Q1559" s="4" t="s">
        <v>5825</v>
      </c>
      <c r="R1559" s="4" t="s">
        <v>283</v>
      </c>
      <c r="S1559" s="5" t="n">
        <v>0.000810185185185185</v>
      </c>
      <c r="T1559" s="5" t="n">
        <v>0.22974537037037</v>
      </c>
      <c r="U1559" s="5" t="n">
        <v>0.11412037037037</v>
      </c>
      <c r="V1559" s="5" t="n">
        <v>0.00104166666666667</v>
      </c>
      <c r="W1559" s="5" t="n">
        <v>0</v>
      </c>
      <c r="X1559" s="5" t="n">
        <v>0</v>
      </c>
      <c r="Y1559" s="5" t="n">
        <v>0</v>
      </c>
      <c r="Z1559" s="0" t="n">
        <v>0</v>
      </c>
      <c r="AA1559" s="0" t="n">
        <v>0</v>
      </c>
      <c r="AB1559" s="0" t="n">
        <v>0</v>
      </c>
      <c r="AC1559" s="4" t="s">
        <v>1276</v>
      </c>
      <c r="AD1559" s="4" t="s">
        <v>1998</v>
      </c>
      <c r="AE1559" s="4" t="s">
        <v>5826</v>
      </c>
      <c r="AF1559" s="4" t="s">
        <v>5827</v>
      </c>
      <c r="AG1559" s="5" t="n">
        <v>0.225416666666667</v>
      </c>
      <c r="AH1559" s="5" t="n">
        <v>0.449583333333333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4" t="s">
        <v>78</v>
      </c>
      <c r="AN1559" s="0" t="n">
        <v>0</v>
      </c>
      <c r="AO1559" s="0" t="n">
        <v>0</v>
      </c>
      <c r="AP1559" s="0" t="n">
        <v>0</v>
      </c>
      <c r="AQ1559" s="0" t="n">
        <v>0</v>
      </c>
      <c r="AR1559" s="0" t="n">
        <v>0</v>
      </c>
      <c r="AS1559" s="0" t="n">
        <v>0</v>
      </c>
      <c r="AT1559" s="0" t="n">
        <v>0</v>
      </c>
      <c r="AU1559" s="0" t="n">
        <v>1</v>
      </c>
      <c r="AV1559" s="0" t="n">
        <v>0</v>
      </c>
      <c r="AW1559" s="0" t="n">
        <v>0</v>
      </c>
      <c r="AX1559" s="0" t="n">
        <v>0</v>
      </c>
      <c r="AY1559" s="0" t="n">
        <v>0</v>
      </c>
      <c r="AZ1559" s="0" t="n">
        <v>0</v>
      </c>
      <c r="BA1559" s="0" t="n">
        <v>0</v>
      </c>
      <c r="BB1559" s="0" t="n">
        <v>0</v>
      </c>
      <c r="BC1559" s="0" t="n">
        <v>0</v>
      </c>
      <c r="BD1559" s="0" t="n">
        <v>0</v>
      </c>
      <c r="BE1559" s="0" t="n">
        <v>0</v>
      </c>
      <c r="BF1559" s="0" t="n">
        <v>0</v>
      </c>
      <c r="BG1559" s="0" t="n">
        <v>0</v>
      </c>
      <c r="BH1559" s="0" t="n">
        <v>0</v>
      </c>
      <c r="BI1559" s="0" t="n">
        <v>0</v>
      </c>
      <c r="BJ1559" s="0" t="n">
        <v>0</v>
      </c>
      <c r="BK1559" s="0" t="n">
        <v>0</v>
      </c>
      <c r="BM1559" s="6" t="n">
        <f aca="false">IFERROR(VALUE(F1559),"")</f>
        <v>135.4</v>
      </c>
      <c r="BN1559" s="6" t="n">
        <f aca="false">IF(R1559="-","",IFERROR(VALUE(LEFT(Q1559,LEN(Q1559)-2)),""))</f>
        <v>55.31</v>
      </c>
      <c r="BO1559" s="6" t="n">
        <f aca="false">IF(R1559="-","",IFERROR(VALUE(LEFT(R1559,LEN(R1559)-5)),""))</f>
        <v>2.45</v>
      </c>
      <c r="BP1559" s="6" t="n">
        <f aca="false">IF(R1559="-","",IFERROR(VALUE(F1559),""))</f>
        <v>135.4</v>
      </c>
      <c r="BQ1559" s="4" t="n">
        <f aca="false">IF(R1559="-",1,0)</f>
        <v>0</v>
      </c>
    </row>
    <row r="1560" customFormat="false" ht="15" hidden="false" customHeight="false" outlineLevel="0" collapsed="false">
      <c r="A1560" s="0" t="s">
        <v>5816</v>
      </c>
      <c r="B1560" s="0" t="s">
        <v>5817</v>
      </c>
      <c r="C1560" s="0" t="s">
        <v>70</v>
      </c>
      <c r="D1560" s="0" t="s">
        <v>5828</v>
      </c>
      <c r="E1560" s="3" t="n">
        <v>46275</v>
      </c>
      <c r="F1560" s="4" t="s">
        <v>5829</v>
      </c>
      <c r="G1560" s="5" t="n">
        <v>0.538981481481482</v>
      </c>
      <c r="H1560" s="5" t="n">
        <v>0.500428240740741</v>
      </c>
      <c r="I1560" s="5" t="n">
        <v>0.000636574074074074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5" t="n">
        <v>0</v>
      </c>
      <c r="P1560" s="5" t="n">
        <v>0</v>
      </c>
      <c r="Q1560" s="4" t="s">
        <v>5830</v>
      </c>
      <c r="R1560" s="4" t="s">
        <v>2113</v>
      </c>
      <c r="S1560" s="5" t="n">
        <v>0.000115740740740741</v>
      </c>
      <c r="T1560" s="5" t="n">
        <v>0.0868055555555556</v>
      </c>
      <c r="U1560" s="5" t="n">
        <v>0.335648148148148</v>
      </c>
      <c r="V1560" s="5" t="n">
        <v>0.0170138888888889</v>
      </c>
      <c r="W1560" s="5" t="n">
        <v>0</v>
      </c>
      <c r="X1560" s="5" t="n">
        <v>0</v>
      </c>
      <c r="Y1560" s="5" t="n">
        <v>0</v>
      </c>
      <c r="Z1560" s="0" t="n">
        <v>0</v>
      </c>
      <c r="AA1560" s="0" t="n">
        <v>0</v>
      </c>
      <c r="AB1560" s="0" t="n">
        <v>0</v>
      </c>
      <c r="AC1560" s="4" t="s">
        <v>1998</v>
      </c>
      <c r="AD1560" s="4" t="s">
        <v>152</v>
      </c>
      <c r="AE1560" s="4" t="s">
        <v>5827</v>
      </c>
      <c r="AF1560" s="4" t="s">
        <v>5831</v>
      </c>
      <c r="AG1560" s="5" t="n">
        <v>0.409907407407407</v>
      </c>
      <c r="AH1560" s="5" t="n">
        <v>0.248969907407407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4" t="s">
        <v>78</v>
      </c>
      <c r="AN1560" s="0" t="n">
        <v>0</v>
      </c>
      <c r="AO1560" s="0" t="n">
        <v>0</v>
      </c>
      <c r="AP1560" s="0" t="n">
        <v>0</v>
      </c>
      <c r="AQ1560" s="0" t="n">
        <v>0</v>
      </c>
      <c r="AR1560" s="0" t="n">
        <v>0</v>
      </c>
      <c r="AS1560" s="0" t="n">
        <v>0</v>
      </c>
      <c r="AT1560" s="0" t="n">
        <v>0</v>
      </c>
      <c r="AU1560" s="0" t="n">
        <v>1</v>
      </c>
      <c r="AV1560" s="0" t="n">
        <v>0</v>
      </c>
      <c r="AW1560" s="0" t="n">
        <v>0</v>
      </c>
      <c r="AX1560" s="0" t="n">
        <v>0</v>
      </c>
      <c r="AY1560" s="0" t="n">
        <v>0</v>
      </c>
      <c r="AZ1560" s="0" t="n">
        <v>0</v>
      </c>
      <c r="BA1560" s="0" t="n">
        <v>0</v>
      </c>
      <c r="BB1560" s="0" t="n">
        <v>0</v>
      </c>
      <c r="BC1560" s="0" t="n">
        <v>0</v>
      </c>
      <c r="BD1560" s="0" t="n">
        <v>0</v>
      </c>
      <c r="BE1560" s="0" t="n">
        <v>0</v>
      </c>
      <c r="BF1560" s="0" t="n">
        <v>0</v>
      </c>
      <c r="BG1560" s="0" t="n">
        <v>0</v>
      </c>
      <c r="BH1560" s="0" t="n">
        <v>0</v>
      </c>
      <c r="BI1560" s="0" t="n">
        <v>0</v>
      </c>
      <c r="BJ1560" s="0" t="n">
        <v>0</v>
      </c>
      <c r="BK1560" s="0" t="n">
        <v>0</v>
      </c>
      <c r="BM1560" s="6" t="n">
        <f aca="false">IFERROR(VALUE(F1560),"")</f>
        <v>545.49</v>
      </c>
      <c r="BN1560" s="6" t="n">
        <f aca="false">IF(R1560="-","",IFERROR(VALUE(LEFT(Q1560,LEN(Q1560)-2)),""))</f>
        <v>165.21</v>
      </c>
      <c r="BO1560" s="6" t="n">
        <f aca="false">IF(R1560="-","",IFERROR(VALUE(LEFT(R1560,LEN(R1560)-5)),""))</f>
        <v>3.3</v>
      </c>
      <c r="BP1560" s="6" t="n">
        <f aca="false">IF(R1560="-","",IFERROR(VALUE(F1560),""))</f>
        <v>545.49</v>
      </c>
      <c r="BQ1560" s="4" t="n">
        <f aca="false">IF(R1560="-",1,0)</f>
        <v>0</v>
      </c>
    </row>
    <row r="1561" customFormat="false" ht="15" hidden="false" customHeight="false" outlineLevel="0" collapsed="false">
      <c r="A1561" s="0" t="s">
        <v>5816</v>
      </c>
      <c r="B1561" s="0" t="s">
        <v>5817</v>
      </c>
      <c r="C1561" s="0" t="s">
        <v>70</v>
      </c>
      <c r="D1561" s="0" t="s">
        <v>5832</v>
      </c>
      <c r="E1561" s="3" t="n">
        <v>46276</v>
      </c>
      <c r="F1561" s="4" t="s">
        <v>5833</v>
      </c>
      <c r="G1561" s="5" t="n">
        <v>0.73474537037037</v>
      </c>
      <c r="H1561" s="5" t="n">
        <v>0.653796296296296</v>
      </c>
      <c r="I1561" s="5" t="n">
        <v>0.000983796296296296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5" t="n">
        <v>0</v>
      </c>
      <c r="P1561" s="5" t="n">
        <v>0.0156828703703704</v>
      </c>
      <c r="Q1561" s="4" t="s">
        <v>5834</v>
      </c>
      <c r="R1561" s="4" t="s">
        <v>3540</v>
      </c>
      <c r="S1561" s="5" t="n">
        <v>0.000231481481481482</v>
      </c>
      <c r="T1561" s="5" t="n">
        <v>0.157175925925926</v>
      </c>
      <c r="U1561" s="5" t="n">
        <v>0.467939814814815</v>
      </c>
      <c r="V1561" s="5" t="n">
        <v>0.0189814814814815</v>
      </c>
      <c r="W1561" s="5" t="n">
        <v>0</v>
      </c>
      <c r="X1561" s="5" t="n">
        <v>0</v>
      </c>
      <c r="Y1561" s="5" t="n">
        <v>0</v>
      </c>
      <c r="Z1561" s="0" t="n">
        <v>0</v>
      </c>
      <c r="AA1561" s="0" t="n">
        <v>0</v>
      </c>
      <c r="AB1561" s="0" t="n">
        <v>0</v>
      </c>
      <c r="AC1561" s="4" t="s">
        <v>152</v>
      </c>
      <c r="AD1561" s="4" t="s">
        <v>852</v>
      </c>
      <c r="AE1561" s="4" t="s">
        <v>5831</v>
      </c>
      <c r="AF1561" s="4" t="s">
        <v>5835</v>
      </c>
      <c r="AG1561" s="5" t="n">
        <v>0.566388888888889</v>
      </c>
      <c r="AH1561" s="5" t="n">
        <v>0.206585648148148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4" t="s">
        <v>78</v>
      </c>
      <c r="AN1561" s="0" t="n">
        <v>0</v>
      </c>
      <c r="AO1561" s="0" t="n">
        <v>0</v>
      </c>
      <c r="AP1561" s="0" t="n">
        <v>0</v>
      </c>
      <c r="AQ1561" s="0" t="n">
        <v>0</v>
      </c>
      <c r="AR1561" s="0" t="n">
        <v>0</v>
      </c>
      <c r="AS1561" s="0" t="n">
        <v>0</v>
      </c>
      <c r="AT1561" s="0" t="n">
        <v>0</v>
      </c>
      <c r="AU1561" s="0" t="n">
        <v>1</v>
      </c>
      <c r="AV1561" s="0" t="n">
        <v>0</v>
      </c>
      <c r="AW1561" s="0" t="n">
        <v>0</v>
      </c>
      <c r="AX1561" s="0" t="n">
        <v>0</v>
      </c>
      <c r="AY1561" s="0" t="n">
        <v>0</v>
      </c>
      <c r="AZ1561" s="0" t="n">
        <v>0</v>
      </c>
      <c r="BA1561" s="0" t="n">
        <v>0</v>
      </c>
      <c r="BB1561" s="0" t="n">
        <v>0</v>
      </c>
      <c r="BC1561" s="0" t="n">
        <v>0</v>
      </c>
      <c r="BD1561" s="0" t="n">
        <v>0</v>
      </c>
      <c r="BE1561" s="0" t="n">
        <v>0</v>
      </c>
      <c r="BF1561" s="0" t="n">
        <v>0</v>
      </c>
      <c r="BG1561" s="0" t="n">
        <v>0</v>
      </c>
      <c r="BH1561" s="0" t="n">
        <v>0</v>
      </c>
      <c r="BI1561" s="0" t="n">
        <v>0</v>
      </c>
      <c r="BJ1561" s="0" t="n">
        <v>0</v>
      </c>
      <c r="BK1561" s="0" t="n">
        <v>0</v>
      </c>
      <c r="BM1561" s="6" t="n">
        <f aca="false">IFERROR(VALUE(F1561),"")</f>
        <v>794.7</v>
      </c>
      <c r="BN1561" s="6" t="n">
        <f aca="false">IF(R1561="-","",IFERROR(VALUE(LEFT(Q1561,LEN(Q1561)-2)),""))</f>
        <v>217.33</v>
      </c>
      <c r="BO1561" s="6" t="n">
        <f aca="false">IF(R1561="-","",IFERROR(VALUE(LEFT(R1561,LEN(R1561)-5)),""))</f>
        <v>3.66</v>
      </c>
      <c r="BP1561" s="6" t="n">
        <f aca="false">IF(R1561="-","",IFERROR(VALUE(F1561),""))</f>
        <v>794.7</v>
      </c>
      <c r="BQ1561" s="4" t="n">
        <f aca="false">IF(R1561="-",1,0)</f>
        <v>0</v>
      </c>
    </row>
    <row r="1562" customFormat="false" ht="15" hidden="false" customHeight="false" outlineLevel="0" collapsed="false">
      <c r="A1562" s="0" t="s">
        <v>5816</v>
      </c>
      <c r="B1562" s="0" t="s">
        <v>5817</v>
      </c>
      <c r="C1562" s="0" t="s">
        <v>70</v>
      </c>
      <c r="D1562" s="0" t="s">
        <v>5836</v>
      </c>
      <c r="E1562" s="3" t="n">
        <v>46277</v>
      </c>
      <c r="F1562" s="4" t="s">
        <v>5837</v>
      </c>
      <c r="G1562" s="5" t="n">
        <v>0.427650462962963</v>
      </c>
      <c r="H1562" s="5" t="n">
        <v>0.400891203703704</v>
      </c>
      <c r="I1562" s="5" t="n">
        <v>0.00103009259259259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5" t="n">
        <v>0</v>
      </c>
      <c r="P1562" s="5" t="n">
        <v>0</v>
      </c>
      <c r="Q1562" s="4" t="s">
        <v>5838</v>
      </c>
      <c r="R1562" s="4" t="s">
        <v>3125</v>
      </c>
      <c r="S1562" s="5" t="n">
        <v>0</v>
      </c>
      <c r="T1562" s="5" t="n">
        <v>0.0864583333333333</v>
      </c>
      <c r="U1562" s="5" t="n">
        <v>0.28287037037037</v>
      </c>
      <c r="V1562" s="5" t="n">
        <v>0.0185185185185185</v>
      </c>
      <c r="W1562" s="5" t="n">
        <v>0</v>
      </c>
      <c r="X1562" s="5" t="n">
        <v>0</v>
      </c>
      <c r="Y1562" s="5" t="n">
        <v>0</v>
      </c>
      <c r="Z1562" s="0" t="n">
        <v>0</v>
      </c>
      <c r="AA1562" s="0" t="n">
        <v>0</v>
      </c>
      <c r="AB1562" s="0" t="n">
        <v>0</v>
      </c>
      <c r="AC1562" s="4" t="s">
        <v>852</v>
      </c>
      <c r="AD1562" s="4" t="s">
        <v>5839</v>
      </c>
      <c r="AE1562" s="4" t="s">
        <v>5835</v>
      </c>
      <c r="AF1562" s="4" t="s">
        <v>5840</v>
      </c>
      <c r="AG1562" s="5" t="n">
        <v>0.353796296296296</v>
      </c>
      <c r="AH1562" s="5" t="n">
        <v>0.0852893518518519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4" t="s">
        <v>78</v>
      </c>
      <c r="AN1562" s="0" t="n">
        <v>0</v>
      </c>
      <c r="AO1562" s="0" t="n">
        <v>0</v>
      </c>
      <c r="AP1562" s="0" t="n">
        <v>0</v>
      </c>
      <c r="AQ1562" s="0" t="n">
        <v>0</v>
      </c>
      <c r="AR1562" s="0" t="n">
        <v>3</v>
      </c>
      <c r="AS1562" s="0" t="n">
        <v>0</v>
      </c>
      <c r="AT1562" s="0" t="n">
        <v>0</v>
      </c>
      <c r="AU1562" s="0" t="n">
        <v>0</v>
      </c>
      <c r="AV1562" s="0" t="n">
        <v>0</v>
      </c>
      <c r="AW1562" s="0" t="n">
        <v>0</v>
      </c>
      <c r="AX1562" s="0" t="n">
        <v>0</v>
      </c>
      <c r="AY1562" s="0" t="n">
        <v>0</v>
      </c>
      <c r="AZ1562" s="0" t="n">
        <v>0</v>
      </c>
      <c r="BA1562" s="0" t="n">
        <v>0</v>
      </c>
      <c r="BB1562" s="0" t="n">
        <v>0</v>
      </c>
      <c r="BC1562" s="0" t="n">
        <v>0</v>
      </c>
      <c r="BD1562" s="0" t="n">
        <v>0</v>
      </c>
      <c r="BE1562" s="0" t="n">
        <v>0</v>
      </c>
      <c r="BF1562" s="0" t="n">
        <v>0</v>
      </c>
      <c r="BG1562" s="0" t="n">
        <v>0</v>
      </c>
      <c r="BH1562" s="0" t="n">
        <v>0</v>
      </c>
      <c r="BI1562" s="0" t="n">
        <v>0</v>
      </c>
      <c r="BJ1562" s="0" t="n">
        <v>0</v>
      </c>
      <c r="BK1562" s="0" t="n">
        <v>0</v>
      </c>
      <c r="BM1562" s="6" t="n">
        <f aca="false">IFERROR(VALUE(F1562),"")</f>
        <v>506.64</v>
      </c>
      <c r="BN1562" s="6" t="n">
        <f aca="false">IF(R1562="-","",IFERROR(VALUE(LEFT(Q1562,LEN(Q1562)-2)),""))</f>
        <v>143.87</v>
      </c>
      <c r="BO1562" s="6" t="n">
        <f aca="false">IF(R1562="-","",IFERROR(VALUE(LEFT(R1562,LEN(R1562)-5)),""))</f>
        <v>3.52</v>
      </c>
      <c r="BP1562" s="6" t="n">
        <f aca="false">IF(R1562="-","",IFERROR(VALUE(F1562),""))</f>
        <v>506.64</v>
      </c>
      <c r="BQ1562" s="4" t="n">
        <f aca="false">IF(R1562="-",1,0)</f>
        <v>0</v>
      </c>
    </row>
    <row r="1563" customFormat="false" ht="15" hidden="false" customHeight="false" outlineLevel="0" collapsed="false">
      <c r="A1563" s="0" t="s">
        <v>5816</v>
      </c>
      <c r="B1563" s="0" t="s">
        <v>5817</v>
      </c>
      <c r="C1563" s="0" t="s">
        <v>70</v>
      </c>
      <c r="D1563" s="0" t="s">
        <v>5841</v>
      </c>
      <c r="E1563" s="3" t="n">
        <v>46278</v>
      </c>
      <c r="F1563" s="4" t="s">
        <v>5842</v>
      </c>
      <c r="G1563" s="5" t="n">
        <v>0.729421296296296</v>
      </c>
      <c r="H1563" s="5" t="n">
        <v>0.596111111111111</v>
      </c>
      <c r="I1563" s="5" t="n">
        <v>0.000810185185185185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5" t="n">
        <v>0</v>
      </c>
      <c r="P1563" s="5" t="n">
        <v>0.0645023148148148</v>
      </c>
      <c r="Q1563" s="4" t="s">
        <v>5843</v>
      </c>
      <c r="R1563" s="4" t="s">
        <v>4888</v>
      </c>
      <c r="S1563" s="5" t="n">
        <v>0.000347222222222222</v>
      </c>
      <c r="T1563" s="5" t="n">
        <v>0.178125</v>
      </c>
      <c r="U1563" s="5" t="n">
        <v>0.438541666666667</v>
      </c>
      <c r="V1563" s="5" t="n">
        <v>0.0224537037037037</v>
      </c>
      <c r="W1563" s="5" t="n">
        <v>0</v>
      </c>
      <c r="X1563" s="5" t="n">
        <v>0</v>
      </c>
      <c r="Y1563" s="5" t="n">
        <v>0</v>
      </c>
      <c r="Z1563" s="0" t="n">
        <v>0</v>
      </c>
      <c r="AA1563" s="0" t="n">
        <v>0</v>
      </c>
      <c r="AB1563" s="0" t="n">
        <v>0</v>
      </c>
      <c r="AC1563" s="4" t="s">
        <v>852</v>
      </c>
      <c r="AD1563" s="4" t="s">
        <v>852</v>
      </c>
      <c r="AE1563" s="4" t="s">
        <v>5844</v>
      </c>
      <c r="AF1563" s="4" t="s">
        <v>5845</v>
      </c>
      <c r="AG1563" s="5" t="n">
        <v>0.548055555555556</v>
      </c>
      <c r="AH1563" s="5" t="n">
        <v>0.291759259259259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4" t="s">
        <v>78</v>
      </c>
      <c r="AN1563" s="0" t="n">
        <v>0</v>
      </c>
      <c r="AO1563" s="0" t="n">
        <v>0</v>
      </c>
      <c r="AP1563" s="0" t="n">
        <v>0</v>
      </c>
      <c r="AQ1563" s="0" t="n">
        <v>0</v>
      </c>
      <c r="AR1563" s="0" t="n">
        <v>0</v>
      </c>
      <c r="AS1563" s="0" t="n">
        <v>0</v>
      </c>
      <c r="AT1563" s="0" t="n">
        <v>0</v>
      </c>
      <c r="AU1563" s="0" t="n">
        <v>0</v>
      </c>
      <c r="AV1563" s="0" t="n">
        <v>0</v>
      </c>
      <c r="AW1563" s="0" t="n">
        <v>0</v>
      </c>
      <c r="AX1563" s="0" t="n">
        <v>0</v>
      </c>
      <c r="AY1563" s="0" t="n">
        <v>0</v>
      </c>
      <c r="AZ1563" s="0" t="n">
        <v>0</v>
      </c>
      <c r="BA1563" s="0" t="n">
        <v>0</v>
      </c>
      <c r="BB1563" s="0" t="n">
        <v>0</v>
      </c>
      <c r="BC1563" s="0" t="n">
        <v>0</v>
      </c>
      <c r="BD1563" s="0" t="n">
        <v>0</v>
      </c>
      <c r="BE1563" s="0" t="n">
        <v>0</v>
      </c>
      <c r="BF1563" s="0" t="n">
        <v>0</v>
      </c>
      <c r="BG1563" s="0" t="n">
        <v>0</v>
      </c>
      <c r="BH1563" s="0" t="n">
        <v>0</v>
      </c>
      <c r="BI1563" s="0" t="n">
        <v>0</v>
      </c>
      <c r="BJ1563" s="0" t="n">
        <v>0</v>
      </c>
      <c r="BK1563" s="0" t="n">
        <v>0</v>
      </c>
      <c r="BM1563" s="6" t="n">
        <f aca="false">IFERROR(VALUE(F1563),"")</f>
        <v>791.87</v>
      </c>
      <c r="BN1563" s="6" t="n">
        <f aca="false">IF(R1563="-","",IFERROR(VALUE(LEFT(Q1563,LEN(Q1563)-2)),""))</f>
        <v>208.86</v>
      </c>
      <c r="BO1563" s="6" t="n">
        <f aca="false">IF(R1563="-","",IFERROR(VALUE(LEFT(R1563,LEN(R1563)-5)),""))</f>
        <v>3.79</v>
      </c>
      <c r="BP1563" s="6" t="n">
        <f aca="false">IF(R1563="-","",IFERROR(VALUE(F1563),""))</f>
        <v>791.87</v>
      </c>
      <c r="BQ1563" s="4" t="n">
        <f aca="false">IF(R1563="-",1,0)</f>
        <v>0</v>
      </c>
    </row>
    <row r="1564" customFormat="false" ht="15" hidden="false" customHeight="false" outlineLevel="0" collapsed="false">
      <c r="A1564" s="0" t="s">
        <v>5846</v>
      </c>
      <c r="B1564" s="0" t="s">
        <v>5847</v>
      </c>
      <c r="C1564" s="0" t="s">
        <v>70</v>
      </c>
      <c r="D1564" s="0" t="s">
        <v>5848</v>
      </c>
      <c r="E1564" s="3" t="n">
        <v>46273</v>
      </c>
      <c r="F1564" s="4" t="s">
        <v>5849</v>
      </c>
      <c r="G1564" s="5" t="n">
        <v>0.73974537037037</v>
      </c>
      <c r="H1564" s="5" t="n">
        <v>0.726921296296296</v>
      </c>
      <c r="I1564" s="5" t="n">
        <v>0.00173611111111111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5" t="n">
        <v>0</v>
      </c>
      <c r="P1564" s="5" t="n">
        <v>0.0445601851851852</v>
      </c>
      <c r="Q1564" s="4" t="s">
        <v>5850</v>
      </c>
      <c r="R1564" s="4" t="s">
        <v>3429</v>
      </c>
      <c r="S1564" s="5" t="n">
        <v>0.000347222222222222</v>
      </c>
      <c r="T1564" s="5" t="n">
        <v>0.177199074074074</v>
      </c>
      <c r="U1564" s="5" t="n">
        <v>0.531365740740741</v>
      </c>
      <c r="V1564" s="5" t="n">
        <v>0.0174768518518519</v>
      </c>
      <c r="W1564" s="5" t="n">
        <v>0</v>
      </c>
      <c r="X1564" s="5" t="n">
        <v>0</v>
      </c>
      <c r="Y1564" s="5" t="n">
        <v>0</v>
      </c>
      <c r="Z1564" s="0" t="n">
        <v>0</v>
      </c>
      <c r="AA1564" s="0" t="n">
        <v>0</v>
      </c>
      <c r="AB1564" s="0" t="n">
        <v>0</v>
      </c>
      <c r="AC1564" s="4" t="s">
        <v>994</v>
      </c>
      <c r="AD1564" s="4" t="s">
        <v>5055</v>
      </c>
      <c r="AE1564" s="4" t="s">
        <v>5851</v>
      </c>
      <c r="AF1564" s="4" t="s">
        <v>5852</v>
      </c>
      <c r="AG1564" s="5" t="n">
        <v>0.636736111111111</v>
      </c>
      <c r="AH1564" s="5" t="n">
        <v>0.182650462962963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4" t="s">
        <v>78</v>
      </c>
      <c r="AN1564" s="0" t="n">
        <v>0</v>
      </c>
      <c r="AO1564" s="0" t="n">
        <v>0</v>
      </c>
      <c r="AP1564" s="0" t="n">
        <v>0</v>
      </c>
      <c r="AQ1564" s="0" t="n">
        <v>0</v>
      </c>
      <c r="AR1564" s="0" t="n">
        <v>0</v>
      </c>
      <c r="AS1564" s="0" t="n">
        <v>0</v>
      </c>
      <c r="AT1564" s="0" t="n">
        <v>0</v>
      </c>
      <c r="AU1564" s="0" t="n">
        <v>1</v>
      </c>
      <c r="AV1564" s="0" t="n">
        <v>0</v>
      </c>
      <c r="AW1564" s="0" t="n">
        <v>0</v>
      </c>
      <c r="AX1564" s="0" t="n">
        <v>0</v>
      </c>
      <c r="AY1564" s="0" t="n">
        <v>0</v>
      </c>
      <c r="AZ1564" s="0" t="n">
        <v>0</v>
      </c>
      <c r="BA1564" s="0" t="n">
        <v>0</v>
      </c>
      <c r="BB1564" s="0" t="n">
        <v>0</v>
      </c>
      <c r="BC1564" s="0" t="n">
        <v>0</v>
      </c>
      <c r="BD1564" s="0" t="n">
        <v>0</v>
      </c>
      <c r="BE1564" s="0" t="n">
        <v>0</v>
      </c>
      <c r="BF1564" s="0" t="n">
        <v>0</v>
      </c>
      <c r="BG1564" s="0" t="n">
        <v>0</v>
      </c>
      <c r="BH1564" s="0" t="n">
        <v>0</v>
      </c>
      <c r="BI1564" s="0" t="n">
        <v>0</v>
      </c>
      <c r="BJ1564" s="0" t="n">
        <v>0</v>
      </c>
      <c r="BK1564" s="0" t="n">
        <v>0</v>
      </c>
      <c r="BM1564" s="6" t="n">
        <f aca="false">IFERROR(VALUE(F1564),"")</f>
        <v>824.56</v>
      </c>
      <c r="BN1564" s="6" t="n">
        <f aca="false">IF(R1564="-","",IFERROR(VALUE(LEFT(Q1564,LEN(Q1564)-2)),""))</f>
        <v>243.03</v>
      </c>
      <c r="BO1564" s="6" t="n">
        <f aca="false">IF(R1564="-","",IFERROR(VALUE(LEFT(R1564,LEN(R1564)-5)),""))</f>
        <v>3.39</v>
      </c>
      <c r="BP1564" s="6" t="n">
        <f aca="false">IF(R1564="-","",IFERROR(VALUE(F1564),""))</f>
        <v>824.56</v>
      </c>
      <c r="BQ1564" s="4" t="n">
        <f aca="false">IF(R1564="-",1,0)</f>
        <v>0</v>
      </c>
    </row>
    <row r="1565" customFormat="false" ht="15" hidden="false" customHeight="false" outlineLevel="0" collapsed="false">
      <c r="A1565" s="0" t="s">
        <v>5846</v>
      </c>
      <c r="B1565" s="0" t="s">
        <v>5847</v>
      </c>
      <c r="C1565" s="0" t="s">
        <v>70</v>
      </c>
      <c r="D1565" s="0" t="s">
        <v>5853</v>
      </c>
      <c r="E1565" s="3" t="n">
        <v>46274</v>
      </c>
      <c r="F1565" s="4" t="s">
        <v>5854</v>
      </c>
      <c r="G1565" s="5" t="n">
        <v>0.505497685185185</v>
      </c>
      <c r="H1565" s="5" t="n">
        <v>0.439780092592593</v>
      </c>
      <c r="I1565" s="5" t="n">
        <v>0.00148148148148148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5" t="n">
        <v>0</v>
      </c>
      <c r="P1565" s="5" t="n">
        <v>0.0318634259259259</v>
      </c>
      <c r="Q1565" s="4" t="s">
        <v>5855</v>
      </c>
      <c r="R1565" s="4" t="s">
        <v>5549</v>
      </c>
      <c r="S1565" s="5" t="n">
        <v>0.000347222222222222</v>
      </c>
      <c r="T1565" s="5" t="n">
        <v>0.131481481481482</v>
      </c>
      <c r="U1565" s="5" t="n">
        <v>0.310185185185185</v>
      </c>
      <c r="V1565" s="5" t="n">
        <v>0.00787037037037037</v>
      </c>
      <c r="W1565" s="5" t="n">
        <v>0.000115740740740741</v>
      </c>
      <c r="X1565" s="5" t="n">
        <v>0</v>
      </c>
      <c r="Y1565" s="5" t="n">
        <v>0</v>
      </c>
      <c r="Z1565" s="0" t="n">
        <v>0</v>
      </c>
      <c r="AA1565" s="0" t="n">
        <v>0</v>
      </c>
      <c r="AB1565" s="0" t="n">
        <v>0</v>
      </c>
      <c r="AC1565" s="4" t="s">
        <v>5045</v>
      </c>
      <c r="AD1565" s="4" t="s">
        <v>75</v>
      </c>
      <c r="AE1565" s="4" t="s">
        <v>5852</v>
      </c>
      <c r="AF1565" s="4" t="s">
        <v>5856</v>
      </c>
      <c r="AG1565" s="5" t="n">
        <v>0.379456018518519</v>
      </c>
      <c r="AH1565" s="5" t="n">
        <v>0.244363425925926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4" t="s">
        <v>78</v>
      </c>
      <c r="AN1565" s="0" t="n">
        <v>0</v>
      </c>
      <c r="AO1565" s="0" t="n">
        <v>0</v>
      </c>
      <c r="AP1565" s="0" t="n">
        <v>0</v>
      </c>
      <c r="AQ1565" s="0" t="n">
        <v>0</v>
      </c>
      <c r="AR1565" s="0" t="n">
        <v>0</v>
      </c>
      <c r="AS1565" s="0" t="n">
        <v>0</v>
      </c>
      <c r="AT1565" s="0" t="n">
        <v>0</v>
      </c>
      <c r="AU1565" s="0" t="n">
        <v>2</v>
      </c>
      <c r="AV1565" s="0" t="n">
        <v>0</v>
      </c>
      <c r="AW1565" s="0" t="n">
        <v>0</v>
      </c>
      <c r="AX1565" s="0" t="n">
        <v>0</v>
      </c>
      <c r="AY1565" s="0" t="n">
        <v>0</v>
      </c>
      <c r="AZ1565" s="0" t="n">
        <v>0</v>
      </c>
      <c r="BA1565" s="0" t="n">
        <v>0</v>
      </c>
      <c r="BB1565" s="0" t="n">
        <v>0</v>
      </c>
      <c r="BC1565" s="0" t="n">
        <v>0</v>
      </c>
      <c r="BD1565" s="0" t="n">
        <v>0</v>
      </c>
      <c r="BE1565" s="0" t="n">
        <v>0</v>
      </c>
      <c r="BF1565" s="0" t="n">
        <v>0</v>
      </c>
      <c r="BG1565" s="0" t="n">
        <v>0</v>
      </c>
      <c r="BH1565" s="0" t="n">
        <v>0</v>
      </c>
      <c r="BI1565" s="0" t="n">
        <v>0</v>
      </c>
      <c r="BJ1565" s="0" t="n">
        <v>0</v>
      </c>
      <c r="BK1565" s="0" t="n">
        <v>0</v>
      </c>
      <c r="BM1565" s="6" t="n">
        <f aca="false">IFERROR(VALUE(F1565),"")</f>
        <v>477.62</v>
      </c>
      <c r="BN1565" s="6" t="n">
        <f aca="false">IF(R1565="-","",IFERROR(VALUE(LEFT(Q1565,LEN(Q1565)-2)),""))</f>
        <v>145.01</v>
      </c>
      <c r="BO1565" s="6" t="n">
        <f aca="false">IF(R1565="-","",IFERROR(VALUE(LEFT(R1565,LEN(R1565)-5)),""))</f>
        <v>3.29</v>
      </c>
      <c r="BP1565" s="6" t="n">
        <f aca="false">IF(R1565="-","",IFERROR(VALUE(F1565),""))</f>
        <v>477.62</v>
      </c>
      <c r="BQ1565" s="4" t="n">
        <f aca="false">IF(R1565="-",1,0)</f>
        <v>0</v>
      </c>
    </row>
    <row r="1566" customFormat="false" ht="15" hidden="false" customHeight="false" outlineLevel="0" collapsed="false">
      <c r="A1566" s="0" t="s">
        <v>5846</v>
      </c>
      <c r="B1566" s="0" t="s">
        <v>5847</v>
      </c>
      <c r="C1566" s="0" t="s">
        <v>70</v>
      </c>
      <c r="D1566" s="0" t="s">
        <v>5857</v>
      </c>
      <c r="E1566" s="3" t="n">
        <v>46275</v>
      </c>
      <c r="F1566" s="4" t="s">
        <v>5858</v>
      </c>
      <c r="G1566" s="5" t="n">
        <v>0.487048611111111</v>
      </c>
      <c r="H1566" s="5" t="n">
        <v>0.376574074074074</v>
      </c>
      <c r="I1566" s="5" t="n">
        <v>0.00539351851851852</v>
      </c>
      <c r="J1566" s="0" t="n">
        <v>0</v>
      </c>
      <c r="K1566" s="0" t="n">
        <v>2</v>
      </c>
      <c r="L1566" s="0" t="n">
        <v>0</v>
      </c>
      <c r="M1566" s="0" t="n">
        <v>0</v>
      </c>
      <c r="N1566" s="0" t="n">
        <v>0</v>
      </c>
      <c r="O1566" s="5" t="n">
        <v>0</v>
      </c>
      <c r="P1566" s="5" t="n">
        <v>0.00866898148148148</v>
      </c>
      <c r="Q1566" s="4" t="s">
        <v>5859</v>
      </c>
      <c r="R1566" s="4" t="s">
        <v>863</v>
      </c>
      <c r="S1566" s="5" t="n">
        <v>0</v>
      </c>
      <c r="T1566" s="5" t="n">
        <v>0.0952546296296296</v>
      </c>
      <c r="U1566" s="5" t="n">
        <v>0.335185185185185</v>
      </c>
      <c r="V1566" s="5" t="n">
        <v>0.024537037037037</v>
      </c>
      <c r="W1566" s="5" t="n">
        <v>0</v>
      </c>
      <c r="X1566" s="5" t="n">
        <v>0</v>
      </c>
      <c r="Y1566" s="5" t="n">
        <v>0</v>
      </c>
      <c r="Z1566" s="0" t="n">
        <v>0</v>
      </c>
      <c r="AA1566" s="0" t="n">
        <v>0</v>
      </c>
      <c r="AB1566" s="0" t="n">
        <v>0</v>
      </c>
      <c r="AC1566" s="4" t="s">
        <v>228</v>
      </c>
      <c r="AD1566" s="4" t="s">
        <v>208</v>
      </c>
      <c r="AE1566" s="4" t="s">
        <v>5856</v>
      </c>
      <c r="AF1566" s="4" t="s">
        <v>5860</v>
      </c>
      <c r="AG1566" s="5" t="n">
        <v>0.413668981481482</v>
      </c>
      <c r="AH1566" s="5" t="n">
        <v>0.114143518518519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4" t="s">
        <v>78</v>
      </c>
      <c r="AN1566" s="0" t="n">
        <v>0</v>
      </c>
      <c r="AO1566" s="0" t="n">
        <v>0</v>
      </c>
      <c r="AP1566" s="0" t="n">
        <v>0</v>
      </c>
      <c r="AQ1566" s="0" t="n">
        <v>0</v>
      </c>
      <c r="AR1566" s="0" t="n">
        <v>0</v>
      </c>
      <c r="AS1566" s="0" t="n">
        <v>0</v>
      </c>
      <c r="AT1566" s="0" t="n">
        <v>0</v>
      </c>
      <c r="AU1566" s="0" t="n">
        <v>7</v>
      </c>
      <c r="AV1566" s="0" t="n">
        <v>0</v>
      </c>
      <c r="AW1566" s="0" t="n">
        <v>0</v>
      </c>
      <c r="AX1566" s="0" t="n">
        <v>0</v>
      </c>
      <c r="AY1566" s="0" t="n">
        <v>0</v>
      </c>
      <c r="AZ1566" s="0" t="n">
        <v>0</v>
      </c>
      <c r="BA1566" s="0" t="n">
        <v>0</v>
      </c>
      <c r="BB1566" s="0" t="n">
        <v>0</v>
      </c>
      <c r="BC1566" s="0" t="n">
        <v>0</v>
      </c>
      <c r="BD1566" s="0" t="n">
        <v>0</v>
      </c>
      <c r="BE1566" s="0" t="n">
        <v>0</v>
      </c>
      <c r="BF1566" s="0" t="n">
        <v>0</v>
      </c>
      <c r="BG1566" s="0" t="n">
        <v>0</v>
      </c>
      <c r="BH1566" s="0" t="n">
        <v>0</v>
      </c>
      <c r="BI1566" s="0" t="n">
        <v>0</v>
      </c>
      <c r="BJ1566" s="0" t="n">
        <v>0</v>
      </c>
      <c r="BK1566" s="0" t="n">
        <v>0</v>
      </c>
      <c r="BM1566" s="6" t="n">
        <f aca="false">IFERROR(VALUE(F1566),"")</f>
        <v>544.14</v>
      </c>
      <c r="BN1566" s="6" t="n">
        <f aca="false">IF(R1566="-","",IFERROR(VALUE(LEFT(Q1566,LEN(Q1566)-2)),""))</f>
        <v>166.28</v>
      </c>
      <c r="BO1566" s="6" t="n">
        <f aca="false">IF(R1566="-","",IFERROR(VALUE(LEFT(R1566,LEN(R1566)-5)),""))</f>
        <v>3.27</v>
      </c>
      <c r="BP1566" s="6" t="n">
        <f aca="false">IF(R1566="-","",IFERROR(VALUE(F1566),""))</f>
        <v>544.14</v>
      </c>
      <c r="BQ1566" s="4" t="n">
        <f aca="false">IF(R1566="-",1,0)</f>
        <v>0</v>
      </c>
    </row>
    <row r="1567" customFormat="false" ht="15" hidden="false" customHeight="false" outlineLevel="0" collapsed="false">
      <c r="A1567" s="0" t="s">
        <v>5846</v>
      </c>
      <c r="B1567" s="0" t="s">
        <v>5847</v>
      </c>
      <c r="C1567" s="0" t="s">
        <v>70</v>
      </c>
      <c r="D1567" s="0" t="s">
        <v>5861</v>
      </c>
      <c r="E1567" s="3" t="n">
        <v>46276</v>
      </c>
      <c r="F1567" s="4" t="s">
        <v>5862</v>
      </c>
      <c r="G1567" s="5" t="n">
        <v>0.467037037037037</v>
      </c>
      <c r="H1567" s="5" t="n">
        <v>0.453576388888889</v>
      </c>
      <c r="I1567" s="5" t="n">
        <v>0.000405092592592593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5" t="n">
        <v>0</v>
      </c>
      <c r="P1567" s="5" t="n">
        <v>0</v>
      </c>
      <c r="Q1567" s="4" t="s">
        <v>5863</v>
      </c>
      <c r="R1567" s="4" t="s">
        <v>948</v>
      </c>
      <c r="S1567" s="5" t="n">
        <v>0</v>
      </c>
      <c r="T1567" s="5" t="n">
        <v>0.0908564814814815</v>
      </c>
      <c r="U1567" s="5" t="n">
        <v>0.321759259259259</v>
      </c>
      <c r="V1567" s="5" t="n">
        <v>0.0269675925925926</v>
      </c>
      <c r="W1567" s="5" t="n">
        <v>0</v>
      </c>
      <c r="X1567" s="5" t="n">
        <v>0</v>
      </c>
      <c r="Y1567" s="5" t="n">
        <v>0</v>
      </c>
      <c r="Z1567" s="0" t="n">
        <v>0</v>
      </c>
      <c r="AA1567" s="0" t="n">
        <v>0</v>
      </c>
      <c r="AB1567" s="0" t="n">
        <v>0</v>
      </c>
      <c r="AC1567" s="4" t="s">
        <v>208</v>
      </c>
      <c r="AD1567" s="4" t="s">
        <v>994</v>
      </c>
      <c r="AE1567" s="4" t="s">
        <v>5860</v>
      </c>
      <c r="AF1567" s="4" t="s">
        <v>5864</v>
      </c>
      <c r="AG1567" s="5" t="n">
        <v>0.391550925925926</v>
      </c>
      <c r="AH1567" s="5" t="n">
        <v>0.1821875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4" t="s">
        <v>78</v>
      </c>
      <c r="AN1567" s="0" t="n">
        <v>0</v>
      </c>
      <c r="AO1567" s="0" t="n">
        <v>0</v>
      </c>
      <c r="AP1567" s="0" t="n">
        <v>0</v>
      </c>
      <c r="AQ1567" s="0" t="n">
        <v>0</v>
      </c>
      <c r="AR1567" s="0" t="n">
        <v>3</v>
      </c>
      <c r="AS1567" s="0" t="n">
        <v>0</v>
      </c>
      <c r="AT1567" s="0" t="n">
        <v>0</v>
      </c>
      <c r="AU1567" s="0" t="n">
        <v>2</v>
      </c>
      <c r="AV1567" s="0" t="n">
        <v>0</v>
      </c>
      <c r="AW1567" s="0" t="n">
        <v>0</v>
      </c>
      <c r="AX1567" s="0" t="n">
        <v>0</v>
      </c>
      <c r="AY1567" s="0" t="n">
        <v>0</v>
      </c>
      <c r="AZ1567" s="0" t="n">
        <v>0</v>
      </c>
      <c r="BA1567" s="0" t="n">
        <v>0</v>
      </c>
      <c r="BB1567" s="0" t="n">
        <v>0</v>
      </c>
      <c r="BC1567" s="0" t="n">
        <v>0</v>
      </c>
      <c r="BD1567" s="0" t="n">
        <v>0</v>
      </c>
      <c r="BE1567" s="0" t="n">
        <v>0</v>
      </c>
      <c r="BF1567" s="0" t="n">
        <v>0</v>
      </c>
      <c r="BG1567" s="0" t="n">
        <v>0</v>
      </c>
      <c r="BH1567" s="0" t="n">
        <v>0</v>
      </c>
      <c r="BI1567" s="0" t="n">
        <v>0</v>
      </c>
      <c r="BJ1567" s="0" t="n">
        <v>0</v>
      </c>
      <c r="BK1567" s="0" t="n">
        <v>0</v>
      </c>
      <c r="BM1567" s="6" t="n">
        <f aca="false">IFERROR(VALUE(F1567),"")</f>
        <v>513.79</v>
      </c>
      <c r="BN1567" s="6" t="n">
        <f aca="false">IF(R1567="-","",IFERROR(VALUE(LEFT(Q1567,LEN(Q1567)-2)),""))</f>
        <v>158.34</v>
      </c>
      <c r="BO1567" s="6" t="n">
        <f aca="false">IF(R1567="-","",IFERROR(VALUE(LEFT(R1567,LEN(R1567)-5)),""))</f>
        <v>3.24</v>
      </c>
      <c r="BP1567" s="6" t="n">
        <f aca="false">IF(R1567="-","",IFERROR(VALUE(F1567),""))</f>
        <v>513.79</v>
      </c>
      <c r="BQ1567" s="4" t="n">
        <f aca="false">IF(R1567="-",1,0)</f>
        <v>0</v>
      </c>
    </row>
    <row r="1568" customFormat="false" ht="15" hidden="false" customHeight="false" outlineLevel="0" collapsed="false">
      <c r="A1568" s="0" t="s">
        <v>5846</v>
      </c>
      <c r="B1568" s="0" t="s">
        <v>5847</v>
      </c>
      <c r="C1568" s="0" t="s">
        <v>70</v>
      </c>
      <c r="D1568" s="0" t="s">
        <v>5865</v>
      </c>
      <c r="E1568" s="3" t="n">
        <v>46277</v>
      </c>
      <c r="F1568" s="4" t="s">
        <v>5866</v>
      </c>
      <c r="G1568" s="5" t="n">
        <v>0.748043981481481</v>
      </c>
      <c r="H1568" s="5" t="n">
        <v>0.736064814814815</v>
      </c>
      <c r="I1568" s="5" t="n">
        <v>0.00112268518518519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2</v>
      </c>
      <c r="O1568" s="5" t="n">
        <v>0</v>
      </c>
      <c r="P1568" s="5" t="n">
        <v>0.020462962962963</v>
      </c>
      <c r="Q1568" s="4" t="s">
        <v>5867</v>
      </c>
      <c r="R1568" s="4" t="s">
        <v>3676</v>
      </c>
      <c r="S1568" s="5" t="n">
        <v>0.000115740740740741</v>
      </c>
      <c r="T1568" s="5" t="n">
        <v>0.144097222222222</v>
      </c>
      <c r="U1568" s="5" t="n">
        <v>0.57431712962963</v>
      </c>
      <c r="V1568" s="5" t="n">
        <v>0.0202893518518519</v>
      </c>
      <c r="W1568" s="5" t="n">
        <v>5.78703703703704E-005</v>
      </c>
      <c r="X1568" s="5" t="n">
        <v>0</v>
      </c>
      <c r="Y1568" s="5" t="n">
        <v>0</v>
      </c>
      <c r="Z1568" s="0" t="n">
        <v>0</v>
      </c>
      <c r="AA1568" s="0" t="n">
        <v>0</v>
      </c>
      <c r="AB1568" s="0" t="n">
        <v>0</v>
      </c>
      <c r="AC1568" s="4" t="s">
        <v>994</v>
      </c>
      <c r="AD1568" s="4" t="s">
        <v>5868</v>
      </c>
      <c r="AE1568" s="4" t="s">
        <v>5869</v>
      </c>
      <c r="AF1568" s="4" t="s">
        <v>5870</v>
      </c>
      <c r="AG1568" s="5" t="n">
        <v>0.667523148148148</v>
      </c>
      <c r="AH1568" s="5" t="n">
        <v>0.144768518518519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4" t="s">
        <v>78</v>
      </c>
      <c r="AN1568" s="0" t="n">
        <v>0</v>
      </c>
      <c r="AO1568" s="0" t="n">
        <v>0</v>
      </c>
      <c r="AP1568" s="0" t="n">
        <v>0</v>
      </c>
      <c r="AQ1568" s="0" t="n">
        <v>0</v>
      </c>
      <c r="AR1568" s="0" t="n">
        <v>0</v>
      </c>
      <c r="AS1568" s="0" t="n">
        <v>0</v>
      </c>
      <c r="AT1568" s="0" t="n">
        <v>0</v>
      </c>
      <c r="AU1568" s="0" t="n">
        <v>2</v>
      </c>
      <c r="AV1568" s="0" t="n">
        <v>0</v>
      </c>
      <c r="AW1568" s="0" t="n">
        <v>1</v>
      </c>
      <c r="AX1568" s="0" t="n">
        <v>0</v>
      </c>
      <c r="AY1568" s="0" t="n">
        <v>0</v>
      </c>
      <c r="AZ1568" s="0" t="n">
        <v>0</v>
      </c>
      <c r="BA1568" s="0" t="n">
        <v>0</v>
      </c>
      <c r="BB1568" s="0" t="n">
        <v>0</v>
      </c>
      <c r="BC1568" s="0" t="n">
        <v>0</v>
      </c>
      <c r="BD1568" s="0" t="n">
        <v>0</v>
      </c>
      <c r="BE1568" s="0" t="n">
        <v>0</v>
      </c>
      <c r="BF1568" s="0" t="n">
        <v>0</v>
      </c>
      <c r="BG1568" s="0" t="n">
        <v>0</v>
      </c>
      <c r="BH1568" s="0" t="n">
        <v>0</v>
      </c>
      <c r="BI1568" s="0" t="n">
        <v>0</v>
      </c>
      <c r="BJ1568" s="0" t="n">
        <v>0</v>
      </c>
      <c r="BK1568" s="0" t="n">
        <v>0</v>
      </c>
      <c r="BM1568" s="6" t="n">
        <f aca="false">IFERROR(VALUE(F1568),"")</f>
        <v>915.43</v>
      </c>
      <c r="BN1568" s="6" t="n">
        <f aca="false">IF(R1568="-","",IFERROR(VALUE(LEFT(Q1568,LEN(Q1568)-2)),""))</f>
        <v>253.02</v>
      </c>
      <c r="BO1568" s="6" t="n">
        <f aca="false">IF(R1568="-","",IFERROR(VALUE(LEFT(R1568,LEN(R1568)-5)),""))</f>
        <v>3.62</v>
      </c>
      <c r="BP1568" s="6" t="n">
        <f aca="false">IF(R1568="-","",IFERROR(VALUE(F1568),""))</f>
        <v>915.43</v>
      </c>
      <c r="BQ1568" s="4" t="n">
        <f aca="false">IF(R1568="-",1,0)</f>
        <v>0</v>
      </c>
    </row>
    <row r="1569" customFormat="false" ht="15" hidden="false" customHeight="false" outlineLevel="0" collapsed="false">
      <c r="A1569" s="0" t="s">
        <v>5846</v>
      </c>
      <c r="B1569" s="0" t="s">
        <v>5847</v>
      </c>
      <c r="C1569" s="0" t="s">
        <v>70</v>
      </c>
      <c r="D1569" s="0" t="s">
        <v>5871</v>
      </c>
      <c r="E1569" s="3" t="n">
        <v>46278</v>
      </c>
      <c r="F1569" s="4" t="s">
        <v>5872</v>
      </c>
      <c r="G1569" s="5" t="n">
        <v>0.576863425925926</v>
      </c>
      <c r="H1569" s="5" t="n">
        <v>0.515115740740741</v>
      </c>
      <c r="I1569" s="5" t="n">
        <v>0.00037037037037037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1</v>
      </c>
      <c r="O1569" s="5" t="n">
        <v>0</v>
      </c>
      <c r="P1569" s="5" t="n">
        <v>0.0552199074074074</v>
      </c>
      <c r="Q1569" s="4" t="s">
        <v>5873</v>
      </c>
      <c r="R1569" s="4" t="s">
        <v>3651</v>
      </c>
      <c r="S1569" s="5" t="n">
        <v>0</v>
      </c>
      <c r="T1569" s="5" t="n">
        <v>0.145023148148148</v>
      </c>
      <c r="U1569" s="5" t="n">
        <v>0.361342592592593</v>
      </c>
      <c r="V1569" s="5" t="n">
        <v>0.00393518518518519</v>
      </c>
      <c r="W1569" s="5" t="n">
        <v>0</v>
      </c>
      <c r="X1569" s="5" t="n">
        <v>0</v>
      </c>
      <c r="Y1569" s="5" t="n">
        <v>0</v>
      </c>
      <c r="Z1569" s="0" t="n">
        <v>0</v>
      </c>
      <c r="AA1569" s="0" t="n">
        <v>0</v>
      </c>
      <c r="AB1569" s="0" t="n">
        <v>0</v>
      </c>
      <c r="AC1569" s="4" t="s">
        <v>5868</v>
      </c>
      <c r="AD1569" s="4" t="s">
        <v>208</v>
      </c>
      <c r="AE1569" s="4" t="s">
        <v>5870</v>
      </c>
      <c r="AF1569" s="4" t="s">
        <v>5874</v>
      </c>
      <c r="AG1569" s="5" t="n">
        <v>0.413101851851852</v>
      </c>
      <c r="AH1569" s="5" t="n">
        <v>0.1734375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4" t="s">
        <v>78</v>
      </c>
      <c r="AN1569" s="0" t="n">
        <v>0</v>
      </c>
      <c r="AO1569" s="0" t="n">
        <v>0</v>
      </c>
      <c r="AP1569" s="0" t="n">
        <v>0</v>
      </c>
      <c r="AQ1569" s="0" t="n">
        <v>0</v>
      </c>
      <c r="AR1569" s="0" t="n">
        <v>0</v>
      </c>
      <c r="AS1569" s="0" t="n">
        <v>0</v>
      </c>
      <c r="AT1569" s="0" t="n">
        <v>0</v>
      </c>
      <c r="AU1569" s="0" t="n">
        <v>1</v>
      </c>
      <c r="AV1569" s="0" t="n">
        <v>0</v>
      </c>
      <c r="AW1569" s="0" t="n">
        <v>0</v>
      </c>
      <c r="AX1569" s="0" t="n">
        <v>0</v>
      </c>
      <c r="AY1569" s="0" t="n">
        <v>0</v>
      </c>
      <c r="AZ1569" s="0" t="n">
        <v>0</v>
      </c>
      <c r="BA1569" s="0" t="n">
        <v>0</v>
      </c>
      <c r="BB1569" s="0" t="n">
        <v>0</v>
      </c>
      <c r="BC1569" s="0" t="n">
        <v>0</v>
      </c>
      <c r="BD1569" s="0" t="n">
        <v>0</v>
      </c>
      <c r="BE1569" s="0" t="n">
        <v>0</v>
      </c>
      <c r="BF1569" s="0" t="n">
        <v>0</v>
      </c>
      <c r="BG1569" s="0" t="n">
        <v>0</v>
      </c>
      <c r="BH1569" s="0" t="n">
        <v>0</v>
      </c>
      <c r="BI1569" s="0" t="n">
        <v>0</v>
      </c>
      <c r="BJ1569" s="0" t="n">
        <v>0</v>
      </c>
      <c r="BK1569" s="0" t="n">
        <v>0</v>
      </c>
      <c r="BM1569" s="6" t="n">
        <f aca="false">IFERROR(VALUE(F1569),"")</f>
        <v>557.11</v>
      </c>
      <c r="BN1569" s="6" t="n">
        <f aca="false">IF(R1569="-","",IFERROR(VALUE(LEFT(Q1569,LEN(Q1569)-2)),""))</f>
        <v>157.37</v>
      </c>
      <c r="BO1569" s="6" t="n">
        <f aca="false">IF(R1569="-","",IFERROR(VALUE(LEFT(R1569,LEN(R1569)-5)),""))</f>
        <v>3.54</v>
      </c>
      <c r="BP1569" s="6" t="n">
        <f aca="false">IF(R1569="-","",IFERROR(VALUE(F1569),""))</f>
        <v>557.11</v>
      </c>
      <c r="BQ1569" s="4" t="n">
        <f aca="false">IF(R1569="-",1,0)</f>
        <v>0</v>
      </c>
    </row>
    <row r="1570" customFormat="false" ht="15" hidden="false" customHeight="false" outlineLevel="0" collapsed="false">
      <c r="A1570" s="0" t="s">
        <v>5846</v>
      </c>
      <c r="B1570" s="0" t="s">
        <v>5847</v>
      </c>
      <c r="C1570" s="0" t="s">
        <v>70</v>
      </c>
      <c r="D1570" s="0" t="s">
        <v>5875</v>
      </c>
      <c r="E1570" s="3" t="n">
        <v>46279</v>
      </c>
      <c r="F1570" s="4" t="s">
        <v>5876</v>
      </c>
      <c r="G1570" s="5" t="n">
        <v>0.483472222222222</v>
      </c>
      <c r="H1570" s="5" t="n">
        <v>0.448009259259259</v>
      </c>
      <c r="I1570" s="5" t="n">
        <v>0.0003125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1</v>
      </c>
      <c r="O1570" s="5" t="n">
        <v>0</v>
      </c>
      <c r="P1570" s="5" t="n">
        <v>0.0109143518518519</v>
      </c>
      <c r="Q1570" s="4" t="s">
        <v>5877</v>
      </c>
      <c r="R1570" s="4" t="s">
        <v>757</v>
      </c>
      <c r="S1570" s="5" t="n">
        <v>0.000231481481481482</v>
      </c>
      <c r="T1570" s="5" t="n">
        <v>0.0945601851851852</v>
      </c>
      <c r="U1570" s="5" t="n">
        <v>0.32650462962963</v>
      </c>
      <c r="V1570" s="5" t="n">
        <v>0.0113425925925926</v>
      </c>
      <c r="W1570" s="5" t="n">
        <v>0</v>
      </c>
      <c r="X1570" s="5" t="n">
        <v>0</v>
      </c>
      <c r="Y1570" s="5" t="n">
        <v>0</v>
      </c>
      <c r="Z1570" s="0" t="n">
        <v>0</v>
      </c>
      <c r="AA1570" s="0" t="n">
        <v>0</v>
      </c>
      <c r="AB1570" s="0" t="n">
        <v>0</v>
      </c>
      <c r="AC1570" s="4" t="s">
        <v>208</v>
      </c>
      <c r="AD1570" s="4" t="s">
        <v>994</v>
      </c>
      <c r="AE1570" s="4" t="s">
        <v>5874</v>
      </c>
      <c r="AF1570" s="4" t="s">
        <v>5878</v>
      </c>
      <c r="AG1570" s="5" t="n">
        <v>0.385497685185185</v>
      </c>
      <c r="AH1570" s="5" t="n">
        <v>0.185775462962963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4" t="s">
        <v>78</v>
      </c>
      <c r="AN1570" s="0" t="n">
        <v>0</v>
      </c>
      <c r="AO1570" s="0" t="n">
        <v>0</v>
      </c>
      <c r="AP1570" s="0" t="n">
        <v>0</v>
      </c>
      <c r="AQ1570" s="0" t="n">
        <v>0</v>
      </c>
      <c r="AR1570" s="0" t="n">
        <v>2</v>
      </c>
      <c r="AS1570" s="0" t="n">
        <v>0</v>
      </c>
      <c r="AT1570" s="0" t="n">
        <v>0</v>
      </c>
      <c r="AU1570" s="0" t="n">
        <v>2</v>
      </c>
      <c r="AV1570" s="0" t="n">
        <v>0</v>
      </c>
      <c r="AW1570" s="0" t="n">
        <v>0</v>
      </c>
      <c r="AX1570" s="0" t="n">
        <v>0</v>
      </c>
      <c r="AY1570" s="0" t="n">
        <v>0</v>
      </c>
      <c r="AZ1570" s="0" t="n">
        <v>0</v>
      </c>
      <c r="BA1570" s="0" t="n">
        <v>0</v>
      </c>
      <c r="BB1570" s="0" t="n">
        <v>0</v>
      </c>
      <c r="BC1570" s="0" t="n">
        <v>0</v>
      </c>
      <c r="BD1570" s="0" t="n">
        <v>0</v>
      </c>
      <c r="BE1570" s="0" t="n">
        <v>0</v>
      </c>
      <c r="BF1570" s="0" t="n">
        <v>0</v>
      </c>
      <c r="BG1570" s="0" t="n">
        <v>0</v>
      </c>
      <c r="BH1570" s="0" t="n">
        <v>0</v>
      </c>
      <c r="BI1570" s="0" t="n">
        <v>0</v>
      </c>
      <c r="BJ1570" s="0" t="n">
        <v>0</v>
      </c>
      <c r="BK1570" s="0" t="n">
        <v>0</v>
      </c>
      <c r="BM1570" s="6" t="n">
        <f aca="false">IFERROR(VALUE(F1570),"")</f>
        <v>516.22</v>
      </c>
      <c r="BN1570" s="6" t="n">
        <f aca="false">IF(R1570="-","",IFERROR(VALUE(LEFT(Q1570,LEN(Q1570)-2)),""))</f>
        <v>154.03</v>
      </c>
      <c r="BO1570" s="6" t="n">
        <f aca="false">IF(R1570="-","",IFERROR(VALUE(LEFT(R1570,LEN(R1570)-5)),""))</f>
        <v>3.35</v>
      </c>
      <c r="BP1570" s="6" t="n">
        <f aca="false">IF(R1570="-","",IFERROR(VALUE(F1570),""))</f>
        <v>516.22</v>
      </c>
      <c r="BQ1570" s="4" t="n">
        <f aca="false">IF(R1570="-",1,0)</f>
        <v>0</v>
      </c>
    </row>
    <row r="1571" customFormat="false" ht="15" hidden="false" customHeight="false" outlineLevel="0" collapsed="false">
      <c r="A1571" s="0" t="s">
        <v>5879</v>
      </c>
      <c r="B1571" s="0" t="s">
        <v>5880</v>
      </c>
      <c r="C1571" s="0" t="s">
        <v>70</v>
      </c>
      <c r="E1571" s="3" t="n">
        <v>46273</v>
      </c>
      <c r="F1571" s="4" t="s">
        <v>5881</v>
      </c>
      <c r="G1571" s="5" t="n">
        <v>0.00231481481481482</v>
      </c>
      <c r="H1571" s="5" t="n">
        <v>0</v>
      </c>
      <c r="I1571" s="5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5" t="n">
        <v>0</v>
      </c>
      <c r="P1571" s="5" t="n">
        <v>0</v>
      </c>
      <c r="Q1571" s="4" t="s">
        <v>929</v>
      </c>
      <c r="R1571" s="4" t="s">
        <v>5882</v>
      </c>
      <c r="S1571" s="5" t="n">
        <v>0</v>
      </c>
      <c r="T1571" s="5" t="n">
        <v>0.00138888888888889</v>
      </c>
      <c r="U1571" s="5" t="n">
        <v>0.000694444444444445</v>
      </c>
      <c r="V1571" s="5" t="n">
        <v>0</v>
      </c>
      <c r="W1571" s="5" t="n">
        <v>0</v>
      </c>
      <c r="X1571" s="5" t="n">
        <v>0</v>
      </c>
      <c r="Y1571" s="5" t="n">
        <v>0</v>
      </c>
      <c r="Z1571" s="0" t="n">
        <v>0</v>
      </c>
      <c r="AA1571" s="0" t="n">
        <v>0</v>
      </c>
      <c r="AB1571" s="0" t="n">
        <v>0</v>
      </c>
      <c r="AC1571" s="4" t="s">
        <v>158</v>
      </c>
      <c r="AD1571" s="4" t="s">
        <v>152</v>
      </c>
      <c r="AE1571" s="4" t="s">
        <v>5883</v>
      </c>
      <c r="AF1571" s="4" t="s">
        <v>5884</v>
      </c>
      <c r="AG1571" s="5" t="n">
        <v>0.00140046296296296</v>
      </c>
      <c r="AH1571" s="5" t="n">
        <v>0.00635416666666667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4" t="s">
        <v>78</v>
      </c>
      <c r="AN1571" s="0" t="n">
        <v>0</v>
      </c>
      <c r="AO1571" s="0" t="n">
        <v>0</v>
      </c>
      <c r="AP1571" s="0" t="n">
        <v>0</v>
      </c>
      <c r="AQ1571" s="0" t="n">
        <v>0</v>
      </c>
      <c r="AR1571" s="0" t="n">
        <v>0</v>
      </c>
      <c r="AS1571" s="0" t="n">
        <v>0</v>
      </c>
      <c r="AT1571" s="0" t="n">
        <v>0</v>
      </c>
      <c r="AU1571" s="0" t="n">
        <v>0</v>
      </c>
      <c r="AV1571" s="0" t="n">
        <v>0</v>
      </c>
      <c r="AW1571" s="0" t="n">
        <v>0</v>
      </c>
      <c r="AX1571" s="0" t="n">
        <v>0</v>
      </c>
      <c r="AY1571" s="0" t="n">
        <v>0</v>
      </c>
      <c r="AZ1571" s="0" t="n">
        <v>0</v>
      </c>
      <c r="BA1571" s="0" t="n">
        <v>0</v>
      </c>
      <c r="BB1571" s="0" t="n">
        <v>0</v>
      </c>
      <c r="BC1571" s="0" t="n">
        <v>0</v>
      </c>
      <c r="BD1571" s="0" t="n">
        <v>0</v>
      </c>
      <c r="BE1571" s="0" t="n">
        <v>0</v>
      </c>
      <c r="BF1571" s="0" t="n">
        <v>0</v>
      </c>
      <c r="BG1571" s="0" t="n">
        <v>0</v>
      </c>
      <c r="BH1571" s="0" t="n">
        <v>0</v>
      </c>
      <c r="BI1571" s="0" t="n">
        <v>0</v>
      </c>
      <c r="BJ1571" s="0" t="n">
        <v>0</v>
      </c>
      <c r="BK1571" s="0" t="n">
        <v>0</v>
      </c>
      <c r="BM1571" s="6" t="n">
        <f aca="false">IFERROR(VALUE(F1571),"")</f>
        <v>0.16</v>
      </c>
      <c r="BN1571" s="6" t="n">
        <f aca="false">IF(R1571="-","",IFERROR(VALUE(LEFT(Q1571,LEN(Q1571)-2)),""))</f>
        <v>0.16</v>
      </c>
      <c r="BO1571" s="6" t="n">
        <f aca="false">IF(R1571="-","",IFERROR(VALUE(LEFT(R1571,LEN(R1571)-5)),""))</f>
        <v>0.98</v>
      </c>
      <c r="BP1571" s="6" t="n">
        <f aca="false">IF(R1571="-","",IFERROR(VALUE(F1571),""))</f>
        <v>0.16</v>
      </c>
      <c r="BQ1571" s="4" t="n">
        <f aca="false">IF(R1571="-",1,0)</f>
        <v>0</v>
      </c>
    </row>
    <row r="1572" customFormat="false" ht="15" hidden="false" customHeight="false" outlineLevel="0" collapsed="false">
      <c r="A1572" s="0" t="s">
        <v>5879</v>
      </c>
      <c r="B1572" s="0" t="s">
        <v>5880</v>
      </c>
      <c r="C1572" s="0" t="s">
        <v>70</v>
      </c>
      <c r="E1572" s="3" t="n">
        <v>46274</v>
      </c>
      <c r="F1572" s="4" t="s">
        <v>5885</v>
      </c>
      <c r="G1572" s="5" t="n">
        <v>0.0373958333333333</v>
      </c>
      <c r="H1572" s="5" t="n">
        <v>0</v>
      </c>
      <c r="I1572" s="5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5" t="n">
        <v>0</v>
      </c>
      <c r="P1572" s="5" t="n">
        <v>0</v>
      </c>
      <c r="Q1572" s="4" t="s">
        <v>5886</v>
      </c>
      <c r="R1572" s="4" t="s">
        <v>5887</v>
      </c>
      <c r="S1572" s="5" t="n">
        <v>0</v>
      </c>
      <c r="T1572" s="5" t="n">
        <v>0.0157407407407407</v>
      </c>
      <c r="U1572" s="5" t="n">
        <v>0.00266203703703704</v>
      </c>
      <c r="V1572" s="5" t="n">
        <v>0.00138888888888889</v>
      </c>
      <c r="W1572" s="5" t="n">
        <v>0</v>
      </c>
      <c r="X1572" s="5" t="n">
        <v>0</v>
      </c>
      <c r="Y1572" s="5" t="n">
        <v>0</v>
      </c>
      <c r="Z1572" s="0" t="n">
        <v>0</v>
      </c>
      <c r="AA1572" s="0" t="n">
        <v>0</v>
      </c>
      <c r="AB1572" s="0" t="n">
        <v>0</v>
      </c>
      <c r="AC1572" s="4" t="s">
        <v>152</v>
      </c>
      <c r="AD1572" s="4" t="s">
        <v>159</v>
      </c>
      <c r="AE1572" s="4" t="s">
        <v>5884</v>
      </c>
      <c r="AF1572" s="4" t="s">
        <v>5888</v>
      </c>
      <c r="AG1572" s="5" t="n">
        <v>0.00828703703703704</v>
      </c>
      <c r="AH1572" s="5" t="n">
        <v>0.0559143518518519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4" t="s">
        <v>78</v>
      </c>
      <c r="AN1572" s="0" t="n">
        <v>0</v>
      </c>
      <c r="AO1572" s="0" t="n">
        <v>0</v>
      </c>
      <c r="AP1572" s="0" t="n">
        <v>0</v>
      </c>
      <c r="AQ1572" s="0" t="n">
        <v>0</v>
      </c>
      <c r="AR1572" s="0" t="n">
        <v>0</v>
      </c>
      <c r="AS1572" s="0" t="n">
        <v>0</v>
      </c>
      <c r="AT1572" s="0" t="n">
        <v>0</v>
      </c>
      <c r="AU1572" s="0" t="n">
        <v>0</v>
      </c>
      <c r="AV1572" s="0" t="n">
        <v>0</v>
      </c>
      <c r="AW1572" s="0" t="n">
        <v>0</v>
      </c>
      <c r="AX1572" s="0" t="n">
        <v>0</v>
      </c>
      <c r="AY1572" s="0" t="n">
        <v>0</v>
      </c>
      <c r="AZ1572" s="0" t="n">
        <v>0</v>
      </c>
      <c r="BA1572" s="0" t="n">
        <v>0</v>
      </c>
      <c r="BB1572" s="0" t="n">
        <v>0</v>
      </c>
      <c r="BC1572" s="0" t="n">
        <v>0</v>
      </c>
      <c r="BD1572" s="0" t="n">
        <v>0</v>
      </c>
      <c r="BE1572" s="0" t="n">
        <v>0</v>
      </c>
      <c r="BF1572" s="0" t="n">
        <v>0</v>
      </c>
      <c r="BG1572" s="0" t="n">
        <v>0</v>
      </c>
      <c r="BH1572" s="0" t="n">
        <v>0</v>
      </c>
      <c r="BI1572" s="0" t="n">
        <v>0</v>
      </c>
      <c r="BJ1572" s="0" t="n">
        <v>0</v>
      </c>
      <c r="BK1572" s="0" t="n">
        <v>0</v>
      </c>
      <c r="BM1572" s="6" t="n">
        <f aca="false">IFERROR(VALUE(F1572),"")</f>
        <v>1.55</v>
      </c>
      <c r="BN1572" s="6" t="n">
        <f aca="false">IF(R1572="-","",IFERROR(VALUE(LEFT(Q1572,LEN(Q1572)-2)),""))</f>
        <v>1.23</v>
      </c>
      <c r="BO1572" s="6" t="n">
        <f aca="false">IF(R1572="-","",IFERROR(VALUE(LEFT(R1572,LEN(R1572)-5)),""))</f>
        <v>1.26</v>
      </c>
      <c r="BP1572" s="6" t="n">
        <f aca="false">IF(R1572="-","",IFERROR(VALUE(F1572),""))</f>
        <v>1.55</v>
      </c>
      <c r="BQ1572" s="4" t="n">
        <f aca="false">IF(R1572="-",1,0)</f>
        <v>0</v>
      </c>
    </row>
    <row r="1573" customFormat="false" ht="15" hidden="false" customHeight="false" outlineLevel="0" collapsed="false">
      <c r="A1573" s="0" t="s">
        <v>5879</v>
      </c>
      <c r="B1573" s="0" t="s">
        <v>5880</v>
      </c>
      <c r="C1573" s="0" t="s">
        <v>70</v>
      </c>
      <c r="D1573" s="0" t="s">
        <v>5889</v>
      </c>
      <c r="E1573" s="3" t="n">
        <v>46275</v>
      </c>
      <c r="F1573" s="4" t="s">
        <v>5890</v>
      </c>
      <c r="G1573" s="5" t="n">
        <v>0.290833333333333</v>
      </c>
      <c r="H1573" s="5" t="n">
        <v>0.0549074074074074</v>
      </c>
      <c r="I1573" s="5" t="n">
        <v>0.000231481481481482</v>
      </c>
      <c r="J1573" s="0" t="n">
        <v>0</v>
      </c>
      <c r="K1573" s="0" t="n">
        <v>1</v>
      </c>
      <c r="L1573" s="0" t="n">
        <v>0</v>
      </c>
      <c r="M1573" s="0" t="n">
        <v>0</v>
      </c>
      <c r="N1573" s="0" t="n">
        <v>1</v>
      </c>
      <c r="O1573" s="5" t="n">
        <v>0</v>
      </c>
      <c r="P1573" s="5" t="n">
        <v>0</v>
      </c>
      <c r="Q1573" s="4" t="s">
        <v>5891</v>
      </c>
      <c r="R1573" s="4" t="s">
        <v>5670</v>
      </c>
      <c r="S1573" s="5" t="n">
        <v>0</v>
      </c>
      <c r="T1573" s="5" t="n">
        <v>0.0969907407407407</v>
      </c>
      <c r="U1573" s="5" t="n">
        <v>0.127314814814815</v>
      </c>
      <c r="V1573" s="5" t="n">
        <v>0.0604166666666667</v>
      </c>
      <c r="W1573" s="5" t="n">
        <v>0</v>
      </c>
      <c r="X1573" s="5" t="n">
        <v>0</v>
      </c>
      <c r="Y1573" s="5" t="n">
        <v>0</v>
      </c>
      <c r="Z1573" s="0" t="n">
        <v>0</v>
      </c>
      <c r="AA1573" s="0" t="n">
        <v>0</v>
      </c>
      <c r="AB1573" s="0" t="n">
        <v>0</v>
      </c>
      <c r="AC1573" s="4" t="s">
        <v>159</v>
      </c>
      <c r="AD1573" s="4" t="s">
        <v>159</v>
      </c>
      <c r="AE1573" s="4" t="s">
        <v>5888</v>
      </c>
      <c r="AF1573" s="4" t="s">
        <v>5892</v>
      </c>
      <c r="AG1573" s="5" t="n">
        <v>0.267199074074074</v>
      </c>
      <c r="AH1573" s="5" t="n">
        <v>0.0775694444444444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4" t="s">
        <v>78</v>
      </c>
      <c r="AN1573" s="0" t="n">
        <v>0</v>
      </c>
      <c r="AO1573" s="0" t="n">
        <v>0</v>
      </c>
      <c r="AP1573" s="0" t="n">
        <v>0</v>
      </c>
      <c r="AQ1573" s="0" t="n">
        <v>0</v>
      </c>
      <c r="AR1573" s="0" t="n">
        <v>0</v>
      </c>
      <c r="AS1573" s="0" t="n">
        <v>0</v>
      </c>
      <c r="AT1573" s="0" t="n">
        <v>0</v>
      </c>
      <c r="AU1573" s="0" t="n">
        <v>0</v>
      </c>
      <c r="AV1573" s="0" t="n">
        <v>0</v>
      </c>
      <c r="AW1573" s="0" t="n">
        <v>0</v>
      </c>
      <c r="AX1573" s="0" t="n">
        <v>0</v>
      </c>
      <c r="AY1573" s="0" t="n">
        <v>0</v>
      </c>
      <c r="AZ1573" s="0" t="n">
        <v>0</v>
      </c>
      <c r="BA1573" s="0" t="n">
        <v>0</v>
      </c>
      <c r="BB1573" s="0" t="n">
        <v>0</v>
      </c>
      <c r="BC1573" s="0" t="n">
        <v>0</v>
      </c>
      <c r="BD1573" s="0" t="n">
        <v>0</v>
      </c>
      <c r="BE1573" s="0" t="n">
        <v>0</v>
      </c>
      <c r="BF1573" s="0" t="n">
        <v>0</v>
      </c>
      <c r="BG1573" s="0" t="n">
        <v>0</v>
      </c>
      <c r="BH1573" s="0" t="n">
        <v>0</v>
      </c>
      <c r="BI1573" s="0" t="n">
        <v>0</v>
      </c>
      <c r="BJ1573" s="0" t="n">
        <v>0</v>
      </c>
      <c r="BK1573" s="0" t="n">
        <v>0</v>
      </c>
      <c r="BM1573" s="6" t="n">
        <f aca="false">IFERROR(VALUE(F1573),"")</f>
        <v>162.91</v>
      </c>
      <c r="BN1573" s="6" t="n">
        <f aca="false">IF(R1573="-","",IFERROR(VALUE(LEFT(Q1573,LEN(Q1573)-2)),""))</f>
        <v>40.26</v>
      </c>
      <c r="BO1573" s="6" t="n">
        <f aca="false">IF(R1573="-","",IFERROR(VALUE(LEFT(R1573,LEN(R1573)-5)),""))</f>
        <v>4.05</v>
      </c>
      <c r="BP1573" s="6" t="n">
        <f aca="false">IF(R1573="-","",IFERROR(VALUE(F1573),""))</f>
        <v>162.91</v>
      </c>
      <c r="BQ1573" s="4" t="n">
        <f aca="false">IF(R1573="-",1,0)</f>
        <v>0</v>
      </c>
    </row>
    <row r="1574" customFormat="false" ht="15" hidden="false" customHeight="false" outlineLevel="0" collapsed="false">
      <c r="A1574" s="0" t="s">
        <v>5879</v>
      </c>
      <c r="B1574" s="0" t="s">
        <v>5880</v>
      </c>
      <c r="C1574" s="0" t="s">
        <v>70</v>
      </c>
      <c r="D1574" s="0" t="s">
        <v>5889</v>
      </c>
      <c r="E1574" s="3" t="n">
        <v>46276</v>
      </c>
      <c r="F1574" s="4" t="s">
        <v>5893</v>
      </c>
      <c r="G1574" s="5" t="n">
        <v>0.19849537037037</v>
      </c>
      <c r="H1574" s="5" t="n">
        <v>0.0937847222222222</v>
      </c>
      <c r="I1574" s="5" t="n">
        <v>0.000358796296296296</v>
      </c>
      <c r="J1574" s="0" t="n">
        <v>0</v>
      </c>
      <c r="K1574" s="0" t="n">
        <v>1</v>
      </c>
      <c r="L1574" s="0" t="n">
        <v>0</v>
      </c>
      <c r="M1574" s="0" t="n">
        <v>0</v>
      </c>
      <c r="N1574" s="0" t="n">
        <v>0</v>
      </c>
      <c r="O1574" s="5" t="n">
        <v>0</v>
      </c>
      <c r="P1574" s="5" t="n">
        <v>0</v>
      </c>
      <c r="Q1574" s="4" t="s">
        <v>5894</v>
      </c>
      <c r="R1574" s="4" t="s">
        <v>4888</v>
      </c>
      <c r="S1574" s="5" t="n">
        <v>0</v>
      </c>
      <c r="T1574" s="5" t="n">
        <v>0.0712962962962963</v>
      </c>
      <c r="U1574" s="5" t="n">
        <v>0.0854166666666667</v>
      </c>
      <c r="V1574" s="5" t="n">
        <v>0.0332407407407407</v>
      </c>
      <c r="W1574" s="5" t="n">
        <v>0.000763888888888889</v>
      </c>
      <c r="X1574" s="5" t="n">
        <v>0</v>
      </c>
      <c r="Y1574" s="5" t="n">
        <v>0.000173611111111111</v>
      </c>
      <c r="Z1574" s="0" t="n">
        <v>0</v>
      </c>
      <c r="AA1574" s="0" t="n">
        <v>0</v>
      </c>
      <c r="AB1574" s="0" t="n">
        <v>0</v>
      </c>
      <c r="AC1574" s="4" t="s">
        <v>159</v>
      </c>
      <c r="AD1574" s="4" t="s">
        <v>159</v>
      </c>
      <c r="AE1574" s="4" t="s">
        <v>5892</v>
      </c>
      <c r="AF1574" s="4" t="s">
        <v>5895</v>
      </c>
      <c r="AG1574" s="5" t="n">
        <v>0.173159722222222</v>
      </c>
      <c r="AH1574" s="5" t="n">
        <v>0.101006944444444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4" t="s">
        <v>78</v>
      </c>
      <c r="AN1574" s="0" t="n">
        <v>0</v>
      </c>
      <c r="AO1574" s="0" t="n">
        <v>0</v>
      </c>
      <c r="AP1574" s="0" t="n">
        <v>0</v>
      </c>
      <c r="AQ1574" s="0" t="n">
        <v>0</v>
      </c>
      <c r="AR1574" s="0" t="n">
        <v>0</v>
      </c>
      <c r="AS1574" s="0" t="n">
        <v>0</v>
      </c>
      <c r="AT1574" s="0" t="n">
        <v>0</v>
      </c>
      <c r="AU1574" s="0" t="n">
        <v>0</v>
      </c>
      <c r="AV1574" s="0" t="n">
        <v>0</v>
      </c>
      <c r="AW1574" s="0" t="n">
        <v>0</v>
      </c>
      <c r="AX1574" s="0" t="n">
        <v>0</v>
      </c>
      <c r="AY1574" s="0" t="n">
        <v>0</v>
      </c>
      <c r="AZ1574" s="0" t="n">
        <v>0</v>
      </c>
      <c r="BA1574" s="0" t="n">
        <v>0</v>
      </c>
      <c r="BB1574" s="0" t="n">
        <v>0</v>
      </c>
      <c r="BC1574" s="0" t="n">
        <v>0</v>
      </c>
      <c r="BD1574" s="0" t="n">
        <v>0</v>
      </c>
      <c r="BE1574" s="0" t="n">
        <v>0</v>
      </c>
      <c r="BF1574" s="0" t="n">
        <v>0</v>
      </c>
      <c r="BG1574" s="0" t="n">
        <v>0</v>
      </c>
      <c r="BH1574" s="0" t="n">
        <v>0</v>
      </c>
      <c r="BI1574" s="0" t="n">
        <v>0</v>
      </c>
      <c r="BJ1574" s="0" t="n">
        <v>0</v>
      </c>
      <c r="BK1574" s="0" t="n">
        <v>0</v>
      </c>
      <c r="BM1574" s="6" t="n">
        <f aca="false">IFERROR(VALUE(F1574),"")</f>
        <v>102.46</v>
      </c>
      <c r="BN1574" s="6" t="n">
        <f aca="false">IF(R1574="-","",IFERROR(VALUE(LEFT(Q1574,LEN(Q1574)-2)),""))</f>
        <v>27.01</v>
      </c>
      <c r="BO1574" s="6" t="n">
        <f aca="false">IF(R1574="-","",IFERROR(VALUE(LEFT(R1574,LEN(R1574)-5)),""))</f>
        <v>3.79</v>
      </c>
      <c r="BP1574" s="6" t="n">
        <f aca="false">IF(R1574="-","",IFERROR(VALUE(F1574),""))</f>
        <v>102.46</v>
      </c>
      <c r="BQ1574" s="4" t="n">
        <f aca="false">IF(R1574="-",1,0)</f>
        <v>0</v>
      </c>
    </row>
    <row r="1575" customFormat="false" ht="15" hidden="false" customHeight="false" outlineLevel="0" collapsed="false">
      <c r="A1575" s="0" t="s">
        <v>5879</v>
      </c>
      <c r="B1575" s="0" t="s">
        <v>5880</v>
      </c>
      <c r="C1575" s="0" t="s">
        <v>70</v>
      </c>
      <c r="D1575" s="0" t="s">
        <v>5149</v>
      </c>
      <c r="E1575" s="3" t="n">
        <v>46277</v>
      </c>
      <c r="F1575" s="4" t="s">
        <v>5896</v>
      </c>
      <c r="G1575" s="5" t="n">
        <v>0.0081712962962963</v>
      </c>
      <c r="H1575" s="5" t="n">
        <v>0.00429398148148148</v>
      </c>
      <c r="I1575" s="5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5" t="n">
        <v>0</v>
      </c>
      <c r="P1575" s="5" t="n">
        <v>0</v>
      </c>
      <c r="Q1575" s="4" t="s">
        <v>5897</v>
      </c>
      <c r="R1575" s="4" t="s">
        <v>2803</v>
      </c>
      <c r="S1575" s="5" t="n">
        <v>0</v>
      </c>
      <c r="T1575" s="5" t="n">
        <v>0.00405092592592593</v>
      </c>
      <c r="U1575" s="5" t="n">
        <v>0.00266203703703704</v>
      </c>
      <c r="V1575" s="5" t="n">
        <v>0.00115740740740741</v>
      </c>
      <c r="W1575" s="5" t="n">
        <v>0</v>
      </c>
      <c r="X1575" s="5" t="n">
        <v>0</v>
      </c>
      <c r="Y1575" s="5" t="n">
        <v>0</v>
      </c>
      <c r="Z1575" s="0" t="n">
        <v>0</v>
      </c>
      <c r="AA1575" s="0" t="n">
        <v>0</v>
      </c>
      <c r="AB1575" s="0" t="n">
        <v>0</v>
      </c>
      <c r="AC1575" s="4" t="s">
        <v>159</v>
      </c>
      <c r="AD1575" s="4" t="s">
        <v>159</v>
      </c>
      <c r="AE1575" s="4" t="s">
        <v>5895</v>
      </c>
      <c r="AF1575" s="4" t="s">
        <v>5898</v>
      </c>
      <c r="AG1575" s="5" t="n">
        <v>0.0074537037037037</v>
      </c>
      <c r="AH1575" s="5" t="n">
        <v>0.0402546296296296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4" t="s">
        <v>78</v>
      </c>
      <c r="AN1575" s="0" t="n">
        <v>0</v>
      </c>
      <c r="AO1575" s="0" t="n">
        <v>0</v>
      </c>
      <c r="AP1575" s="0" t="n">
        <v>0</v>
      </c>
      <c r="AQ1575" s="0" t="n">
        <v>0</v>
      </c>
      <c r="AR1575" s="0" t="n">
        <v>0</v>
      </c>
      <c r="AS1575" s="0" t="n">
        <v>0</v>
      </c>
      <c r="AT1575" s="0" t="n">
        <v>0</v>
      </c>
      <c r="AU1575" s="0" t="n">
        <v>0</v>
      </c>
      <c r="AV1575" s="0" t="n">
        <v>0</v>
      </c>
      <c r="AW1575" s="0" t="n">
        <v>0</v>
      </c>
      <c r="AX1575" s="0" t="n">
        <v>0</v>
      </c>
      <c r="AY1575" s="0" t="n">
        <v>0</v>
      </c>
      <c r="AZ1575" s="0" t="n">
        <v>0</v>
      </c>
      <c r="BA1575" s="0" t="n">
        <v>0</v>
      </c>
      <c r="BB1575" s="0" t="n">
        <v>0</v>
      </c>
      <c r="BC1575" s="0" t="n">
        <v>0</v>
      </c>
      <c r="BD1575" s="0" t="n">
        <v>0</v>
      </c>
      <c r="BE1575" s="0" t="n">
        <v>0</v>
      </c>
      <c r="BF1575" s="0" t="n">
        <v>0</v>
      </c>
      <c r="BG1575" s="0" t="n">
        <v>0</v>
      </c>
      <c r="BH1575" s="0" t="n">
        <v>0</v>
      </c>
      <c r="BI1575" s="0" t="n">
        <v>0</v>
      </c>
      <c r="BJ1575" s="0" t="n">
        <v>0</v>
      </c>
      <c r="BK1575" s="0" t="n">
        <v>0</v>
      </c>
      <c r="BM1575" s="6" t="n">
        <f aca="false">IFERROR(VALUE(F1575),"")</f>
        <v>1.9</v>
      </c>
      <c r="BN1575" s="6" t="n">
        <f aca="false">IF(R1575="-","",IFERROR(VALUE(LEFT(Q1575,LEN(Q1575)-2)),""))</f>
        <v>0.8</v>
      </c>
      <c r="BO1575" s="6" t="n">
        <f aca="false">IF(R1575="-","",IFERROR(VALUE(LEFT(R1575,LEN(R1575)-5)),""))</f>
        <v>2.37</v>
      </c>
      <c r="BP1575" s="6" t="n">
        <f aca="false">IF(R1575="-","",IFERROR(VALUE(F1575),""))</f>
        <v>1.9</v>
      </c>
      <c r="BQ1575" s="4" t="n">
        <f aca="false">IF(R1575="-",1,0)</f>
        <v>0</v>
      </c>
    </row>
    <row r="1576" customFormat="false" ht="15" hidden="false" customHeight="false" outlineLevel="0" collapsed="false">
      <c r="A1576" s="0" t="s">
        <v>5879</v>
      </c>
      <c r="B1576" s="0" t="s">
        <v>5880</v>
      </c>
      <c r="C1576" s="0" t="s">
        <v>70</v>
      </c>
      <c r="E1576" s="3" t="n">
        <v>46279</v>
      </c>
      <c r="F1576" s="4" t="s">
        <v>5899</v>
      </c>
      <c r="G1576" s="5" t="n">
        <v>0.170844907407407</v>
      </c>
      <c r="H1576" s="5" t="n">
        <v>0</v>
      </c>
      <c r="I1576" s="5" t="n">
        <v>0.000474537037037037</v>
      </c>
      <c r="J1576" s="0" t="n">
        <v>0</v>
      </c>
      <c r="K1576" s="0" t="n">
        <v>1</v>
      </c>
      <c r="L1576" s="0" t="n">
        <v>0</v>
      </c>
      <c r="M1576" s="0" t="n">
        <v>0</v>
      </c>
      <c r="N1576" s="0" t="n">
        <v>0</v>
      </c>
      <c r="O1576" s="5" t="n">
        <v>0</v>
      </c>
      <c r="P1576" s="5" t="n">
        <v>0</v>
      </c>
      <c r="Q1576" s="4" t="s">
        <v>5900</v>
      </c>
      <c r="R1576" s="4" t="s">
        <v>1712</v>
      </c>
      <c r="S1576" s="5" t="n">
        <v>0.000115740740740741</v>
      </c>
      <c r="T1576" s="5" t="n">
        <v>0.0607638888888889</v>
      </c>
      <c r="U1576" s="5" t="n">
        <v>0.0753472222222222</v>
      </c>
      <c r="V1576" s="5" t="n">
        <v>0.0319444444444444</v>
      </c>
      <c r="W1576" s="5" t="n">
        <v>0</v>
      </c>
      <c r="X1576" s="5" t="n">
        <v>0</v>
      </c>
      <c r="Y1576" s="5" t="n">
        <v>0</v>
      </c>
      <c r="Z1576" s="0" t="n">
        <v>0</v>
      </c>
      <c r="AA1576" s="0" t="n">
        <v>0</v>
      </c>
      <c r="AB1576" s="0" t="n">
        <v>0</v>
      </c>
      <c r="AC1576" s="4" t="s">
        <v>159</v>
      </c>
      <c r="AD1576" s="4" t="s">
        <v>159</v>
      </c>
      <c r="AE1576" s="4" t="s">
        <v>5898</v>
      </c>
      <c r="AF1576" s="4" t="s">
        <v>5901</v>
      </c>
      <c r="AG1576" s="5" t="n">
        <v>0.157175925925926</v>
      </c>
      <c r="AH1576" s="5" t="n">
        <v>0.0906597222222222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4" t="s">
        <v>78</v>
      </c>
      <c r="AN1576" s="0" t="n">
        <v>0</v>
      </c>
      <c r="AO1576" s="0" t="n">
        <v>1</v>
      </c>
      <c r="AP1576" s="0" t="n">
        <v>0</v>
      </c>
      <c r="AQ1576" s="0" t="n">
        <v>0</v>
      </c>
      <c r="AR1576" s="0" t="n">
        <v>0</v>
      </c>
      <c r="AS1576" s="0" t="n">
        <v>0</v>
      </c>
      <c r="AT1576" s="0" t="n">
        <v>0</v>
      </c>
      <c r="AU1576" s="0" t="n">
        <v>2</v>
      </c>
      <c r="AV1576" s="0" t="n">
        <v>0</v>
      </c>
      <c r="AW1576" s="0" t="n">
        <v>0</v>
      </c>
      <c r="AX1576" s="0" t="n">
        <v>0</v>
      </c>
      <c r="AY1576" s="0" t="n">
        <v>0</v>
      </c>
      <c r="AZ1576" s="0" t="n">
        <v>0</v>
      </c>
      <c r="BA1576" s="0" t="n">
        <v>0</v>
      </c>
      <c r="BB1576" s="0" t="n">
        <v>0</v>
      </c>
      <c r="BC1576" s="0" t="n">
        <v>0</v>
      </c>
      <c r="BD1576" s="0" t="n">
        <v>0</v>
      </c>
      <c r="BE1576" s="0" t="n">
        <v>0</v>
      </c>
      <c r="BF1576" s="0" t="n">
        <v>0</v>
      </c>
      <c r="BG1576" s="0" t="n">
        <v>0</v>
      </c>
      <c r="BH1576" s="0" t="n">
        <v>0</v>
      </c>
      <c r="BI1576" s="0" t="n">
        <v>0</v>
      </c>
      <c r="BJ1576" s="0" t="n">
        <v>0</v>
      </c>
      <c r="BK1576" s="0" t="n">
        <v>0</v>
      </c>
      <c r="BM1576" s="6" t="n">
        <f aca="false">IFERROR(VALUE(F1576),"")</f>
        <v>90.91</v>
      </c>
      <c r="BN1576" s="6" t="n">
        <f aca="false">IF(R1576="-","",IFERROR(VALUE(LEFT(Q1576,LEN(Q1576)-2)),""))</f>
        <v>24.43</v>
      </c>
      <c r="BO1576" s="6" t="n">
        <f aca="false">IF(R1576="-","",IFERROR(VALUE(LEFT(R1576,LEN(R1576)-5)),""))</f>
        <v>3.72</v>
      </c>
      <c r="BP1576" s="6" t="n">
        <f aca="false">IF(R1576="-","",IFERROR(VALUE(F1576),""))</f>
        <v>90.91</v>
      </c>
      <c r="BQ1576" s="4" t="n">
        <f aca="false">IF(R1576="-",1,0)</f>
        <v>0</v>
      </c>
    </row>
    <row r="1577" customFormat="false" ht="15" hidden="false" customHeight="false" outlineLevel="0" collapsed="false">
      <c r="A1577" s="0" t="s">
        <v>5902</v>
      </c>
      <c r="B1577" s="0" t="s">
        <v>5903</v>
      </c>
      <c r="C1577" s="0" t="s">
        <v>70</v>
      </c>
      <c r="D1577" s="0" t="s">
        <v>5904</v>
      </c>
      <c r="E1577" s="3" t="n">
        <v>46273</v>
      </c>
      <c r="F1577" s="4" t="s">
        <v>5905</v>
      </c>
      <c r="G1577" s="5" t="n">
        <v>0.266851851851852</v>
      </c>
      <c r="H1577" s="5" t="n">
        <v>0.245844907407407</v>
      </c>
      <c r="I1577" s="5" t="n">
        <v>0</v>
      </c>
      <c r="J1577" s="0" t="n">
        <v>0</v>
      </c>
      <c r="K1577" s="0" t="n">
        <v>1</v>
      </c>
      <c r="L1577" s="0" t="n">
        <v>0</v>
      </c>
      <c r="M1577" s="0" t="n">
        <v>0</v>
      </c>
      <c r="N1577" s="0" t="n">
        <v>0</v>
      </c>
      <c r="O1577" s="5" t="n">
        <v>0</v>
      </c>
      <c r="P1577" s="5" t="n">
        <v>0</v>
      </c>
      <c r="Q1577" s="4" t="s">
        <v>5906</v>
      </c>
      <c r="R1577" s="4" t="s">
        <v>958</v>
      </c>
      <c r="S1577" s="5" t="n">
        <v>0.000231481481481482</v>
      </c>
      <c r="T1577" s="5" t="n">
        <v>0.0518518518518519</v>
      </c>
      <c r="U1577" s="5" t="n">
        <v>0.161458333333333</v>
      </c>
      <c r="V1577" s="5" t="n">
        <v>0.0347222222222222</v>
      </c>
      <c r="W1577" s="5" t="n">
        <v>0.000115740740740741</v>
      </c>
      <c r="X1577" s="5" t="n">
        <v>0</v>
      </c>
      <c r="Y1577" s="5" t="n">
        <v>0</v>
      </c>
      <c r="Z1577" s="0" t="n">
        <v>0</v>
      </c>
      <c r="AA1577" s="0" t="n">
        <v>0</v>
      </c>
      <c r="AB1577" s="0" t="n">
        <v>0</v>
      </c>
      <c r="AC1577" s="4" t="s">
        <v>852</v>
      </c>
      <c r="AD1577" s="4" t="s">
        <v>152</v>
      </c>
      <c r="AE1577" s="4" t="s">
        <v>5907</v>
      </c>
      <c r="AF1577" s="4" t="s">
        <v>5908</v>
      </c>
      <c r="AG1577" s="5" t="n">
        <v>0.235439814814815</v>
      </c>
      <c r="AH1577" s="5" t="n">
        <v>0.114641203703704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4" t="s">
        <v>78</v>
      </c>
      <c r="AN1577" s="0" t="n">
        <v>0</v>
      </c>
      <c r="AO1577" s="0" t="n">
        <v>0</v>
      </c>
      <c r="AP1577" s="0" t="n">
        <v>0</v>
      </c>
      <c r="AQ1577" s="0" t="n">
        <v>0</v>
      </c>
      <c r="AR1577" s="0" t="n">
        <v>0</v>
      </c>
      <c r="AS1577" s="0" t="n">
        <v>0</v>
      </c>
      <c r="AT1577" s="0" t="n">
        <v>0</v>
      </c>
      <c r="AU1577" s="0" t="n">
        <v>0</v>
      </c>
      <c r="AV1577" s="0" t="n">
        <v>0</v>
      </c>
      <c r="AW1577" s="0" t="n">
        <v>0</v>
      </c>
      <c r="AX1577" s="0" t="n">
        <v>0</v>
      </c>
      <c r="AY1577" s="0" t="n">
        <v>0</v>
      </c>
      <c r="AZ1577" s="0" t="n">
        <v>0</v>
      </c>
      <c r="BA1577" s="0" t="n">
        <v>0</v>
      </c>
      <c r="BB1577" s="0" t="n">
        <v>0</v>
      </c>
      <c r="BC1577" s="0" t="n">
        <v>0</v>
      </c>
      <c r="BD1577" s="0" t="n">
        <v>0</v>
      </c>
      <c r="BE1577" s="0" t="n">
        <v>0</v>
      </c>
      <c r="BF1577" s="0" t="n">
        <v>0</v>
      </c>
      <c r="BG1577" s="0" t="n">
        <v>0</v>
      </c>
      <c r="BH1577" s="0" t="n">
        <v>0</v>
      </c>
      <c r="BI1577" s="0" t="n">
        <v>0</v>
      </c>
      <c r="BJ1577" s="0" t="n">
        <v>0</v>
      </c>
      <c r="BK1577" s="0" t="n">
        <v>0</v>
      </c>
      <c r="BM1577" s="6" t="n">
        <f aca="false">IFERROR(VALUE(F1577),"")</f>
        <v>338.44</v>
      </c>
      <c r="BN1577" s="6" t="n">
        <f aca="false">IF(R1577="-","",IFERROR(VALUE(LEFT(Q1577,LEN(Q1577)-2)),""))</f>
        <v>100.6</v>
      </c>
      <c r="BO1577" s="6" t="n">
        <f aca="false">IF(R1577="-","",IFERROR(VALUE(LEFT(R1577,LEN(R1577)-5)),""))</f>
        <v>3.36</v>
      </c>
      <c r="BP1577" s="6" t="n">
        <f aca="false">IF(R1577="-","",IFERROR(VALUE(F1577),""))</f>
        <v>338.44</v>
      </c>
      <c r="BQ1577" s="4" t="n">
        <f aca="false">IF(R1577="-",1,0)</f>
        <v>0</v>
      </c>
    </row>
    <row r="1578" customFormat="false" ht="15" hidden="false" customHeight="false" outlineLevel="0" collapsed="false">
      <c r="A1578" s="0" t="s">
        <v>5902</v>
      </c>
      <c r="B1578" s="0" t="s">
        <v>5903</v>
      </c>
      <c r="C1578" s="0" t="s">
        <v>70</v>
      </c>
      <c r="D1578" s="0" t="s">
        <v>5909</v>
      </c>
      <c r="E1578" s="3" t="n">
        <v>46274</v>
      </c>
      <c r="F1578" s="4" t="s">
        <v>5910</v>
      </c>
      <c r="G1578" s="5" t="n">
        <v>0.20962962962963</v>
      </c>
      <c r="H1578" s="5" t="n">
        <v>0.198032407407407</v>
      </c>
      <c r="I1578" s="5" t="n">
        <v>5.78703703703704E-005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5" t="n">
        <v>0</v>
      </c>
      <c r="P1578" s="5" t="n">
        <v>0</v>
      </c>
      <c r="Q1578" s="4" t="s">
        <v>5911</v>
      </c>
      <c r="R1578" s="4" t="s">
        <v>2412</v>
      </c>
      <c r="S1578" s="5" t="n">
        <v>0</v>
      </c>
      <c r="T1578" s="5" t="n">
        <v>0.0355324074074074</v>
      </c>
      <c r="U1578" s="5" t="n">
        <v>0.112731481481482</v>
      </c>
      <c r="V1578" s="5" t="n">
        <v>0.0137731481481482</v>
      </c>
      <c r="W1578" s="5" t="n">
        <v>0</v>
      </c>
      <c r="X1578" s="5" t="n">
        <v>0</v>
      </c>
      <c r="Y1578" s="5" t="n">
        <v>0</v>
      </c>
      <c r="Z1578" s="0" t="n">
        <v>0</v>
      </c>
      <c r="AA1578" s="0" t="n">
        <v>0</v>
      </c>
      <c r="AB1578" s="0" t="n">
        <v>0</v>
      </c>
      <c r="AC1578" s="4" t="s">
        <v>152</v>
      </c>
      <c r="AD1578" s="4" t="s">
        <v>852</v>
      </c>
      <c r="AE1578" s="4" t="s">
        <v>5908</v>
      </c>
      <c r="AF1578" s="4" t="s">
        <v>5912</v>
      </c>
      <c r="AG1578" s="5" t="n">
        <v>0.148923611111111</v>
      </c>
      <c r="AH1578" s="5" t="n">
        <v>0.0857175925925926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4" t="s">
        <v>78</v>
      </c>
      <c r="AN1578" s="0" t="n">
        <v>0</v>
      </c>
      <c r="AO1578" s="0" t="n">
        <v>0</v>
      </c>
      <c r="AP1578" s="0" t="n">
        <v>0</v>
      </c>
      <c r="AQ1578" s="0" t="n">
        <v>0</v>
      </c>
      <c r="AR1578" s="0" t="n">
        <v>0</v>
      </c>
      <c r="AS1578" s="0" t="n">
        <v>0</v>
      </c>
      <c r="AT1578" s="0" t="n">
        <v>0</v>
      </c>
      <c r="AU1578" s="0" t="n">
        <v>0</v>
      </c>
      <c r="AV1578" s="0" t="n">
        <v>0</v>
      </c>
      <c r="AW1578" s="0" t="n">
        <v>0</v>
      </c>
      <c r="AX1578" s="0" t="n">
        <v>0</v>
      </c>
      <c r="AY1578" s="0" t="n">
        <v>0</v>
      </c>
      <c r="AZ1578" s="0" t="n">
        <v>0</v>
      </c>
      <c r="BA1578" s="0" t="n">
        <v>0</v>
      </c>
      <c r="BB1578" s="0" t="n">
        <v>0</v>
      </c>
      <c r="BC1578" s="0" t="n">
        <v>0</v>
      </c>
      <c r="BD1578" s="0" t="n">
        <v>0</v>
      </c>
      <c r="BE1578" s="0" t="n">
        <v>0</v>
      </c>
      <c r="BF1578" s="0" t="n">
        <v>0</v>
      </c>
      <c r="BG1578" s="0" t="n">
        <v>0</v>
      </c>
      <c r="BH1578" s="0" t="n">
        <v>0</v>
      </c>
      <c r="BI1578" s="0" t="n">
        <v>0</v>
      </c>
      <c r="BJ1578" s="0" t="n">
        <v>0</v>
      </c>
      <c r="BK1578" s="0" t="n">
        <v>0</v>
      </c>
      <c r="BM1578" s="6" t="n">
        <f aca="false">IFERROR(VALUE(F1578),"")</f>
        <v>209.3</v>
      </c>
      <c r="BN1578" s="6" t="n">
        <f aca="false">IF(R1578="-","",IFERROR(VALUE(LEFT(Q1578,LEN(Q1578)-2)),""))</f>
        <v>60.47</v>
      </c>
      <c r="BO1578" s="6" t="n">
        <f aca="false">IF(R1578="-","",IFERROR(VALUE(LEFT(R1578,LEN(R1578)-5)),""))</f>
        <v>3.46</v>
      </c>
      <c r="BP1578" s="6" t="n">
        <f aca="false">IF(R1578="-","",IFERROR(VALUE(F1578),""))</f>
        <v>209.3</v>
      </c>
      <c r="BQ1578" s="4" t="n">
        <f aca="false">IF(R1578="-",1,0)</f>
        <v>0</v>
      </c>
    </row>
    <row r="1579" customFormat="false" ht="15" hidden="false" customHeight="false" outlineLevel="0" collapsed="false">
      <c r="A1579" s="0" t="s">
        <v>5902</v>
      </c>
      <c r="B1579" s="0" t="s">
        <v>5903</v>
      </c>
      <c r="C1579" s="0" t="s">
        <v>70</v>
      </c>
      <c r="D1579" s="0" t="s">
        <v>5909</v>
      </c>
      <c r="E1579" s="3" t="n">
        <v>46275</v>
      </c>
      <c r="F1579" s="4" t="s">
        <v>5913</v>
      </c>
      <c r="G1579" s="5" t="n">
        <v>0.251689814814815</v>
      </c>
      <c r="H1579" s="5" t="n">
        <v>0.223738425925926</v>
      </c>
      <c r="I1579" s="5" t="n">
        <v>0.00163194444444445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5" t="n">
        <v>0</v>
      </c>
      <c r="P1579" s="5" t="n">
        <v>0.0106134259259259</v>
      </c>
      <c r="Q1579" s="4" t="s">
        <v>5914</v>
      </c>
      <c r="R1579" s="4" t="s">
        <v>5915</v>
      </c>
      <c r="S1579" s="5" t="n">
        <v>0.000115740740740741</v>
      </c>
      <c r="T1579" s="5" t="n">
        <v>0.0413194444444444</v>
      </c>
      <c r="U1579" s="5" t="n">
        <v>0.151967592592593</v>
      </c>
      <c r="V1579" s="5" t="n">
        <v>0.0232638888888889</v>
      </c>
      <c r="W1579" s="5" t="n">
        <v>0</v>
      </c>
      <c r="X1579" s="5" t="n">
        <v>0</v>
      </c>
      <c r="Y1579" s="5" t="n">
        <v>0</v>
      </c>
      <c r="Z1579" s="0" t="n">
        <v>0</v>
      </c>
      <c r="AA1579" s="0" t="n">
        <v>0</v>
      </c>
      <c r="AB1579" s="0" t="n">
        <v>0</v>
      </c>
      <c r="AC1579" s="4" t="s">
        <v>852</v>
      </c>
      <c r="AD1579" s="4" t="s">
        <v>1998</v>
      </c>
      <c r="AE1579" s="4" t="s">
        <v>5916</v>
      </c>
      <c r="AF1579" s="4" t="s">
        <v>5917</v>
      </c>
      <c r="AG1579" s="5" t="n">
        <v>0.200856481481482</v>
      </c>
      <c r="AH1579" s="5" t="n">
        <v>0.105891203703704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4" t="s">
        <v>78</v>
      </c>
      <c r="AN1579" s="0" t="n">
        <v>0</v>
      </c>
      <c r="AO1579" s="0" t="n">
        <v>0</v>
      </c>
      <c r="AP1579" s="0" t="n">
        <v>0</v>
      </c>
      <c r="AQ1579" s="0" t="n">
        <v>0</v>
      </c>
      <c r="AR1579" s="0" t="n">
        <v>0</v>
      </c>
      <c r="AS1579" s="0" t="n">
        <v>0</v>
      </c>
      <c r="AT1579" s="0" t="n">
        <v>0</v>
      </c>
      <c r="AU1579" s="0" t="n">
        <v>0</v>
      </c>
      <c r="AV1579" s="0" t="n">
        <v>0</v>
      </c>
      <c r="AW1579" s="0" t="n">
        <v>0</v>
      </c>
      <c r="AX1579" s="0" t="n">
        <v>0</v>
      </c>
      <c r="AY1579" s="0" t="n">
        <v>0</v>
      </c>
      <c r="AZ1579" s="0" t="n">
        <v>0</v>
      </c>
      <c r="BA1579" s="0" t="n">
        <v>0</v>
      </c>
      <c r="BB1579" s="0" t="n">
        <v>0</v>
      </c>
      <c r="BC1579" s="0" t="n">
        <v>0</v>
      </c>
      <c r="BD1579" s="0" t="n">
        <v>0</v>
      </c>
      <c r="BE1579" s="0" t="n">
        <v>0</v>
      </c>
      <c r="BF1579" s="0" t="n">
        <v>0</v>
      </c>
      <c r="BG1579" s="0" t="n">
        <v>0</v>
      </c>
      <c r="BH1579" s="0" t="n">
        <v>0</v>
      </c>
      <c r="BI1579" s="0" t="n">
        <v>0</v>
      </c>
      <c r="BJ1579" s="0" t="n">
        <v>0</v>
      </c>
      <c r="BK1579" s="0" t="n">
        <v>0</v>
      </c>
      <c r="BM1579" s="6" t="n">
        <f aca="false">IFERROR(VALUE(F1579),"")</f>
        <v>336.08</v>
      </c>
      <c r="BN1579" s="6" t="n">
        <f aca="false">IF(R1579="-","",IFERROR(VALUE(LEFT(Q1579,LEN(Q1579)-2)),""))</f>
        <v>85.7</v>
      </c>
      <c r="BO1579" s="6" t="n">
        <f aca="false">IF(R1579="-","",IFERROR(VALUE(LEFT(R1579,LEN(R1579)-5)),""))</f>
        <v>3.92</v>
      </c>
      <c r="BP1579" s="6" t="n">
        <f aca="false">IF(R1579="-","",IFERROR(VALUE(F1579),""))</f>
        <v>336.08</v>
      </c>
      <c r="BQ1579" s="4" t="n">
        <f aca="false">IF(R1579="-",1,0)</f>
        <v>0</v>
      </c>
    </row>
    <row r="1580" customFormat="false" ht="15" hidden="false" customHeight="false" outlineLevel="0" collapsed="false">
      <c r="A1580" s="0" t="s">
        <v>5902</v>
      </c>
      <c r="B1580" s="0" t="s">
        <v>5903</v>
      </c>
      <c r="C1580" s="0" t="s">
        <v>70</v>
      </c>
      <c r="D1580" s="0" t="s">
        <v>5918</v>
      </c>
      <c r="E1580" s="3" t="n">
        <v>46276</v>
      </c>
      <c r="F1580" s="4" t="s">
        <v>5919</v>
      </c>
      <c r="G1580" s="5" t="n">
        <v>0.400439814814815</v>
      </c>
      <c r="H1580" s="5" t="n">
        <v>0.0257638888888889</v>
      </c>
      <c r="I1580" s="5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5" t="n">
        <v>0</v>
      </c>
      <c r="P1580" s="5" t="n">
        <v>0.0320138888888889</v>
      </c>
      <c r="Q1580" s="4" t="s">
        <v>5920</v>
      </c>
      <c r="R1580" s="4" t="s">
        <v>998</v>
      </c>
      <c r="S1580" s="5" t="n">
        <v>0.000578703703703704</v>
      </c>
      <c r="T1580" s="5" t="n">
        <v>0.206944444444444</v>
      </c>
      <c r="U1580" s="5" t="n">
        <v>0.152546296296296</v>
      </c>
      <c r="V1580" s="5" t="n">
        <v>0.0174768518518519</v>
      </c>
      <c r="W1580" s="5" t="n">
        <v>0</v>
      </c>
      <c r="X1580" s="5" t="n">
        <v>0</v>
      </c>
      <c r="Y1580" s="5" t="n">
        <v>0</v>
      </c>
      <c r="Z1580" s="0" t="n">
        <v>0</v>
      </c>
      <c r="AA1580" s="0" t="n">
        <v>0</v>
      </c>
      <c r="AB1580" s="0" t="n">
        <v>0</v>
      </c>
      <c r="AC1580" s="4" t="s">
        <v>1998</v>
      </c>
      <c r="AD1580" s="4" t="s">
        <v>1998</v>
      </c>
      <c r="AE1580" s="4" t="s">
        <v>5917</v>
      </c>
      <c r="AF1580" s="4" t="s">
        <v>5921</v>
      </c>
      <c r="AG1580" s="5" t="n">
        <v>0.282592592592593</v>
      </c>
      <c r="AH1580" s="5" t="n">
        <v>0.175219907407407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4" t="s">
        <v>78</v>
      </c>
      <c r="AN1580" s="0" t="n">
        <v>0</v>
      </c>
      <c r="AO1580" s="0" t="n">
        <v>0</v>
      </c>
      <c r="AP1580" s="0" t="n">
        <v>0</v>
      </c>
      <c r="AQ1580" s="0" t="n">
        <v>0</v>
      </c>
      <c r="AR1580" s="0" t="n">
        <v>0</v>
      </c>
      <c r="AS1580" s="0" t="n">
        <v>0</v>
      </c>
      <c r="AT1580" s="0" t="n">
        <v>0</v>
      </c>
      <c r="AU1580" s="0" t="n">
        <v>7</v>
      </c>
      <c r="AV1580" s="0" t="n">
        <v>0</v>
      </c>
      <c r="AW1580" s="0" t="n">
        <v>0</v>
      </c>
      <c r="AX1580" s="0" t="n">
        <v>0</v>
      </c>
      <c r="AY1580" s="0" t="n">
        <v>0</v>
      </c>
      <c r="AZ1580" s="0" t="n">
        <v>0</v>
      </c>
      <c r="BA1580" s="0" t="n">
        <v>0</v>
      </c>
      <c r="BB1580" s="0" t="n">
        <v>0</v>
      </c>
      <c r="BC1580" s="0" t="n">
        <v>0</v>
      </c>
      <c r="BD1580" s="0" t="n">
        <v>0</v>
      </c>
      <c r="BE1580" s="0" t="n">
        <v>0</v>
      </c>
      <c r="BF1580" s="0" t="n">
        <v>0</v>
      </c>
      <c r="BG1580" s="0" t="n">
        <v>0</v>
      </c>
      <c r="BH1580" s="0" t="n">
        <v>0</v>
      </c>
      <c r="BI1580" s="0" t="n">
        <v>0</v>
      </c>
      <c r="BJ1580" s="0" t="n">
        <v>0</v>
      </c>
      <c r="BK1580" s="0" t="n">
        <v>0</v>
      </c>
      <c r="BM1580" s="6" t="n">
        <f aca="false">IFERROR(VALUE(F1580),"")</f>
        <v>210.49</v>
      </c>
      <c r="BN1580" s="6" t="n">
        <f aca="false">IF(R1580="-","",IFERROR(VALUE(LEFT(Q1580,LEN(Q1580)-2)),""))</f>
        <v>78.91</v>
      </c>
      <c r="BO1580" s="6" t="n">
        <f aca="false">IF(R1580="-","",IFERROR(VALUE(LEFT(R1580,LEN(R1580)-5)),""))</f>
        <v>2.67</v>
      </c>
      <c r="BP1580" s="6" t="n">
        <f aca="false">IF(R1580="-","",IFERROR(VALUE(F1580),""))</f>
        <v>210.49</v>
      </c>
      <c r="BQ1580" s="4" t="n">
        <f aca="false">IF(R1580="-",1,0)</f>
        <v>0</v>
      </c>
    </row>
    <row r="1581" customFormat="false" ht="15" hidden="false" customHeight="false" outlineLevel="0" collapsed="false">
      <c r="A1581" s="0" t="s">
        <v>5902</v>
      </c>
      <c r="B1581" s="0" t="s">
        <v>5903</v>
      </c>
      <c r="C1581" s="0" t="s">
        <v>70</v>
      </c>
      <c r="D1581" s="0" t="s">
        <v>5922</v>
      </c>
      <c r="E1581" s="3" t="n">
        <v>46277</v>
      </c>
      <c r="F1581" s="4" t="s">
        <v>5923</v>
      </c>
      <c r="G1581" s="5" t="n">
        <v>0.51181712962963</v>
      </c>
      <c r="H1581" s="5" t="n">
        <v>0.4859375</v>
      </c>
      <c r="I1581" s="5" t="n">
        <v>0.000694444444444445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5" t="n">
        <v>0</v>
      </c>
      <c r="P1581" s="5" t="n">
        <v>0</v>
      </c>
      <c r="Q1581" s="4" t="s">
        <v>3788</v>
      </c>
      <c r="R1581" s="4" t="s">
        <v>863</v>
      </c>
      <c r="S1581" s="5" t="n">
        <v>0.000115740740740741</v>
      </c>
      <c r="T1581" s="5" t="n">
        <v>0.104976851851852</v>
      </c>
      <c r="U1581" s="5" t="n">
        <v>0.289236111111111</v>
      </c>
      <c r="V1581" s="5" t="n">
        <v>0.0537037037037037</v>
      </c>
      <c r="W1581" s="5" t="n">
        <v>0</v>
      </c>
      <c r="X1581" s="5" t="n">
        <v>0</v>
      </c>
      <c r="Y1581" s="5" t="n">
        <v>0</v>
      </c>
      <c r="Z1581" s="0" t="n">
        <v>0</v>
      </c>
      <c r="AA1581" s="0" t="n">
        <v>0</v>
      </c>
      <c r="AB1581" s="0" t="n">
        <v>0</v>
      </c>
      <c r="AC1581" s="4" t="s">
        <v>1998</v>
      </c>
      <c r="AD1581" s="4" t="s">
        <v>152</v>
      </c>
      <c r="AE1581" s="4" t="s">
        <v>5921</v>
      </c>
      <c r="AF1581" s="4" t="s">
        <v>5924</v>
      </c>
      <c r="AG1581" s="5" t="n">
        <v>0.416655092592593</v>
      </c>
      <c r="AH1581" s="5" t="n">
        <v>0.164733796296296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4" t="s">
        <v>78</v>
      </c>
      <c r="AN1581" s="0" t="n">
        <v>0</v>
      </c>
      <c r="AO1581" s="0" t="n">
        <v>0</v>
      </c>
      <c r="AP1581" s="0" t="n">
        <v>0</v>
      </c>
      <c r="AQ1581" s="0" t="n">
        <v>0</v>
      </c>
      <c r="AR1581" s="0" t="n">
        <v>0</v>
      </c>
      <c r="AS1581" s="0" t="n">
        <v>0</v>
      </c>
      <c r="AT1581" s="0" t="n">
        <v>0</v>
      </c>
      <c r="AU1581" s="0" t="n">
        <v>2</v>
      </c>
      <c r="AV1581" s="0" t="n">
        <v>0</v>
      </c>
      <c r="AW1581" s="0" t="n">
        <v>0</v>
      </c>
      <c r="AX1581" s="0" t="n">
        <v>0</v>
      </c>
      <c r="AY1581" s="0" t="n">
        <v>0</v>
      </c>
      <c r="AZ1581" s="0" t="n">
        <v>0</v>
      </c>
      <c r="BA1581" s="0" t="n">
        <v>0</v>
      </c>
      <c r="BB1581" s="0" t="n">
        <v>0</v>
      </c>
      <c r="BC1581" s="0" t="n">
        <v>0</v>
      </c>
      <c r="BD1581" s="0" t="n">
        <v>0</v>
      </c>
      <c r="BE1581" s="0" t="n">
        <v>0</v>
      </c>
      <c r="BF1581" s="0" t="n">
        <v>0</v>
      </c>
      <c r="BG1581" s="0" t="n">
        <v>0</v>
      </c>
      <c r="BH1581" s="0" t="n">
        <v>0</v>
      </c>
      <c r="BI1581" s="0" t="n">
        <v>0</v>
      </c>
      <c r="BJ1581" s="0" t="n">
        <v>0</v>
      </c>
      <c r="BK1581" s="0" t="n">
        <v>0</v>
      </c>
      <c r="BM1581" s="6" t="n">
        <f aca="false">IFERROR(VALUE(F1581),"")</f>
        <v>544.98</v>
      </c>
      <c r="BN1581" s="6" t="n">
        <f aca="false">IF(R1581="-","",IFERROR(VALUE(LEFT(Q1581,LEN(Q1581)-2)),""))</f>
        <v>166.76</v>
      </c>
      <c r="BO1581" s="6" t="n">
        <f aca="false">IF(R1581="-","",IFERROR(VALUE(LEFT(R1581,LEN(R1581)-5)),""))</f>
        <v>3.27</v>
      </c>
      <c r="BP1581" s="6" t="n">
        <f aca="false">IF(R1581="-","",IFERROR(VALUE(F1581),""))</f>
        <v>544.98</v>
      </c>
      <c r="BQ1581" s="4" t="n">
        <f aca="false">IF(R1581="-",1,0)</f>
        <v>0</v>
      </c>
    </row>
    <row r="1582" customFormat="false" ht="15" hidden="false" customHeight="false" outlineLevel="0" collapsed="false">
      <c r="A1582" s="0" t="s">
        <v>5902</v>
      </c>
      <c r="B1582" s="0" t="s">
        <v>5903</v>
      </c>
      <c r="C1582" s="0" t="s">
        <v>70</v>
      </c>
      <c r="D1582" s="0" t="s">
        <v>5925</v>
      </c>
      <c r="E1582" s="3" t="n">
        <v>46278</v>
      </c>
      <c r="F1582" s="4" t="s">
        <v>5926</v>
      </c>
      <c r="G1582" s="5" t="n">
        <v>0.191053240740741</v>
      </c>
      <c r="H1582" s="5" t="n">
        <v>0.17787037037037</v>
      </c>
      <c r="I1582" s="5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5" t="n">
        <v>0</v>
      </c>
      <c r="P1582" s="5" t="n">
        <v>0.0423958333333333</v>
      </c>
      <c r="Q1582" s="4" t="s">
        <v>5927</v>
      </c>
      <c r="R1582" s="4" t="s">
        <v>1346</v>
      </c>
      <c r="S1582" s="5" t="n">
        <v>0.000115740740740741</v>
      </c>
      <c r="T1582" s="5" t="n">
        <v>0.0851851851851852</v>
      </c>
      <c r="U1582" s="5" t="n">
        <v>0.0540509259259259</v>
      </c>
      <c r="V1582" s="5" t="n">
        <v>0.00983796296296296</v>
      </c>
      <c r="W1582" s="5" t="n">
        <v>0</v>
      </c>
      <c r="X1582" s="5" t="n">
        <v>0</v>
      </c>
      <c r="Y1582" s="5" t="n">
        <v>0</v>
      </c>
      <c r="Z1582" s="0" t="n">
        <v>0</v>
      </c>
      <c r="AA1582" s="0" t="n">
        <v>0</v>
      </c>
      <c r="AB1582" s="0" t="n">
        <v>0</v>
      </c>
      <c r="AC1582" s="4" t="s">
        <v>152</v>
      </c>
      <c r="AD1582" s="4" t="s">
        <v>852</v>
      </c>
      <c r="AE1582" s="4" t="s">
        <v>5924</v>
      </c>
      <c r="AF1582" s="4" t="s">
        <v>5928</v>
      </c>
      <c r="AG1582" s="5" t="n">
        <v>0.0879976851851852</v>
      </c>
      <c r="AH1582" s="5" t="n">
        <v>0.108564814814815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4" t="s">
        <v>78</v>
      </c>
      <c r="AN1582" s="0" t="n">
        <v>0</v>
      </c>
      <c r="AO1582" s="0" t="n">
        <v>0</v>
      </c>
      <c r="AP1582" s="0" t="n">
        <v>0</v>
      </c>
      <c r="AQ1582" s="0" t="n">
        <v>0</v>
      </c>
      <c r="AR1582" s="0" t="n">
        <v>1</v>
      </c>
      <c r="AS1582" s="0" t="n">
        <v>0</v>
      </c>
      <c r="AT1582" s="0" t="n">
        <v>0</v>
      </c>
      <c r="AU1582" s="0" t="n">
        <v>0</v>
      </c>
      <c r="AV1582" s="0" t="n">
        <v>0</v>
      </c>
      <c r="AW1582" s="0" t="n">
        <v>0</v>
      </c>
      <c r="AX1582" s="0" t="n">
        <v>0</v>
      </c>
      <c r="AY1582" s="0" t="n">
        <v>0</v>
      </c>
      <c r="AZ1582" s="0" t="n">
        <v>0</v>
      </c>
      <c r="BA1582" s="0" t="n">
        <v>0</v>
      </c>
      <c r="BB1582" s="0" t="n">
        <v>0</v>
      </c>
      <c r="BC1582" s="0" t="n">
        <v>0</v>
      </c>
      <c r="BD1582" s="0" t="n">
        <v>0</v>
      </c>
      <c r="BE1582" s="0" t="n">
        <v>0</v>
      </c>
      <c r="BF1582" s="0" t="n">
        <v>0</v>
      </c>
      <c r="BG1582" s="0" t="n">
        <v>0</v>
      </c>
      <c r="BH1582" s="0" t="n">
        <v>0</v>
      </c>
      <c r="BI1582" s="0" t="n">
        <v>0</v>
      </c>
      <c r="BJ1582" s="0" t="n">
        <v>0</v>
      </c>
      <c r="BK1582" s="0" t="n">
        <v>0</v>
      </c>
      <c r="BM1582" s="6" t="n">
        <f aca="false">IFERROR(VALUE(F1582),"")</f>
        <v>92.52</v>
      </c>
      <c r="BN1582" s="6" t="n">
        <f aca="false">IF(R1582="-","",IFERROR(VALUE(LEFT(Q1582,LEN(Q1582)-2)),""))</f>
        <v>27.86</v>
      </c>
      <c r="BO1582" s="6" t="n">
        <f aca="false">IF(R1582="-","",IFERROR(VALUE(LEFT(R1582,LEN(R1582)-5)),""))</f>
        <v>3.32</v>
      </c>
      <c r="BP1582" s="6" t="n">
        <f aca="false">IF(R1582="-","",IFERROR(VALUE(F1582),""))</f>
        <v>92.52</v>
      </c>
      <c r="BQ1582" s="4" t="n">
        <f aca="false">IF(R1582="-",1,0)</f>
        <v>0</v>
      </c>
    </row>
    <row r="1583" customFormat="false" ht="15" hidden="false" customHeight="false" outlineLevel="0" collapsed="false">
      <c r="A1583" s="0" t="s">
        <v>5929</v>
      </c>
      <c r="B1583" s="0" t="s">
        <v>5930</v>
      </c>
      <c r="C1583" s="0" t="s">
        <v>70</v>
      </c>
      <c r="D1583" s="0" t="s">
        <v>5931</v>
      </c>
      <c r="E1583" s="3" t="n">
        <v>46273</v>
      </c>
      <c r="F1583" s="4" t="s">
        <v>5932</v>
      </c>
      <c r="G1583" s="5" t="n">
        <v>0.191678240740741</v>
      </c>
      <c r="H1583" s="5" t="n">
        <v>0.00953703703703704</v>
      </c>
      <c r="I1583" s="5" t="n">
        <v>0.000486111111111111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5" t="n">
        <v>0</v>
      </c>
      <c r="P1583" s="5" t="n">
        <v>0</v>
      </c>
      <c r="Q1583" s="4" t="s">
        <v>5933</v>
      </c>
      <c r="R1583" s="4" t="s">
        <v>3645</v>
      </c>
      <c r="S1583" s="5" t="n">
        <v>0</v>
      </c>
      <c r="T1583" s="5" t="n">
        <v>0.0819444444444444</v>
      </c>
      <c r="U1583" s="5" t="n">
        <v>0.0836805555555556</v>
      </c>
      <c r="V1583" s="5" t="n">
        <v>0.022337962962963</v>
      </c>
      <c r="W1583" s="5" t="n">
        <v>0</v>
      </c>
      <c r="X1583" s="5" t="n">
        <v>0</v>
      </c>
      <c r="Y1583" s="5" t="n">
        <v>0</v>
      </c>
      <c r="Z1583" s="0" t="n">
        <v>0</v>
      </c>
      <c r="AA1583" s="0" t="n">
        <v>0</v>
      </c>
      <c r="AB1583" s="0" t="n">
        <v>0</v>
      </c>
      <c r="AC1583" s="4" t="s">
        <v>159</v>
      </c>
      <c r="AD1583" s="4" t="s">
        <v>159</v>
      </c>
      <c r="AE1583" s="4" t="s">
        <v>5934</v>
      </c>
      <c r="AF1583" s="4" t="s">
        <v>5935</v>
      </c>
      <c r="AG1583" s="5" t="n">
        <v>0.172939814814815</v>
      </c>
      <c r="AH1583" s="5" t="n">
        <v>0.0755902777777778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4" t="s">
        <v>78</v>
      </c>
      <c r="AN1583" s="0" t="n">
        <v>0</v>
      </c>
      <c r="AO1583" s="0" t="n">
        <v>0</v>
      </c>
      <c r="AP1583" s="0" t="n">
        <v>0</v>
      </c>
      <c r="AQ1583" s="0" t="n">
        <v>0</v>
      </c>
      <c r="AR1583" s="0" t="n">
        <v>0</v>
      </c>
      <c r="AS1583" s="0" t="n">
        <v>0</v>
      </c>
      <c r="AT1583" s="0" t="n">
        <v>0</v>
      </c>
      <c r="AU1583" s="0" t="n">
        <v>0</v>
      </c>
      <c r="AV1583" s="0" t="n">
        <v>0</v>
      </c>
      <c r="AW1583" s="0" t="n">
        <v>0</v>
      </c>
      <c r="AX1583" s="0" t="n">
        <v>0</v>
      </c>
      <c r="AY1583" s="0" t="n">
        <v>0</v>
      </c>
      <c r="AZ1583" s="0" t="n">
        <v>0</v>
      </c>
      <c r="BA1583" s="0" t="n">
        <v>0</v>
      </c>
      <c r="BB1583" s="0" t="n">
        <v>0</v>
      </c>
      <c r="BC1583" s="0" t="n">
        <v>0</v>
      </c>
      <c r="BD1583" s="0" t="n">
        <v>0</v>
      </c>
      <c r="BE1583" s="0" t="n">
        <v>0</v>
      </c>
      <c r="BF1583" s="0" t="n">
        <v>0</v>
      </c>
      <c r="BG1583" s="0" t="n">
        <v>0</v>
      </c>
      <c r="BH1583" s="0" t="n">
        <v>0</v>
      </c>
      <c r="BI1583" s="0" t="n">
        <v>0</v>
      </c>
      <c r="BJ1583" s="0" t="n">
        <v>0</v>
      </c>
      <c r="BK1583" s="0" t="n">
        <v>0</v>
      </c>
      <c r="BM1583" s="6" t="n">
        <f aca="false">IFERROR(VALUE(F1583),"")</f>
        <v>90.27</v>
      </c>
      <c r="BN1583" s="6" t="n">
        <f aca="false">IF(R1583="-","",IFERROR(VALUE(LEFT(Q1583,LEN(Q1583)-2)),""))</f>
        <v>24.14</v>
      </c>
      <c r="BO1583" s="6" t="n">
        <f aca="false">IF(R1583="-","",IFERROR(VALUE(LEFT(R1583,LEN(R1583)-5)),""))</f>
        <v>3.74</v>
      </c>
      <c r="BP1583" s="6" t="n">
        <f aca="false">IF(R1583="-","",IFERROR(VALUE(F1583),""))</f>
        <v>90.27</v>
      </c>
      <c r="BQ1583" s="4" t="n">
        <f aca="false">IF(R1583="-",1,0)</f>
        <v>0</v>
      </c>
    </row>
    <row r="1584" customFormat="false" ht="15" hidden="false" customHeight="false" outlineLevel="0" collapsed="false">
      <c r="A1584" s="0" t="s">
        <v>5929</v>
      </c>
      <c r="B1584" s="0" t="s">
        <v>5930</v>
      </c>
      <c r="C1584" s="0" t="s">
        <v>70</v>
      </c>
      <c r="E1584" s="3" t="n">
        <v>46274</v>
      </c>
      <c r="F1584" s="4" t="s">
        <v>5936</v>
      </c>
      <c r="G1584" s="5" t="n">
        <v>0.191458333333333</v>
      </c>
      <c r="H1584" s="5" t="n">
        <v>0</v>
      </c>
      <c r="I1584" s="5" t="n">
        <v>0.000509259259259259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5" t="n">
        <v>0</v>
      </c>
      <c r="P1584" s="5" t="n">
        <v>0</v>
      </c>
      <c r="Q1584" s="4" t="s">
        <v>3145</v>
      </c>
      <c r="R1584" s="4" t="s">
        <v>3918</v>
      </c>
      <c r="S1584" s="5" t="n">
        <v>0</v>
      </c>
      <c r="T1584" s="5" t="n">
        <v>0.0765046296296296</v>
      </c>
      <c r="U1584" s="5" t="n">
        <v>0.0862268518518519</v>
      </c>
      <c r="V1584" s="5" t="n">
        <v>0.0236111111111111</v>
      </c>
      <c r="W1584" s="5" t="n">
        <v>0</v>
      </c>
      <c r="X1584" s="5" t="n">
        <v>0</v>
      </c>
      <c r="Y1584" s="5" t="n">
        <v>0</v>
      </c>
      <c r="Z1584" s="0" t="n">
        <v>0</v>
      </c>
      <c r="AA1584" s="0" t="n">
        <v>0</v>
      </c>
      <c r="AB1584" s="0" t="n">
        <v>0</v>
      </c>
      <c r="AC1584" s="4" t="s">
        <v>159</v>
      </c>
      <c r="AD1584" s="4" t="s">
        <v>158</v>
      </c>
      <c r="AE1584" s="4" t="s">
        <v>5935</v>
      </c>
      <c r="AF1584" s="4" t="s">
        <v>5937</v>
      </c>
      <c r="AG1584" s="5" t="n">
        <v>0.177592592592593</v>
      </c>
      <c r="AH1584" s="5" t="n">
        <v>0.0707407407407407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4" t="s">
        <v>78</v>
      </c>
      <c r="AN1584" s="0" t="n">
        <v>0</v>
      </c>
      <c r="AO1584" s="0" t="n">
        <v>0</v>
      </c>
      <c r="AP1584" s="0" t="n">
        <v>0</v>
      </c>
      <c r="AQ1584" s="0" t="n">
        <v>0</v>
      </c>
      <c r="AR1584" s="0" t="n">
        <v>0</v>
      </c>
      <c r="AS1584" s="0" t="n">
        <v>0</v>
      </c>
      <c r="AT1584" s="0" t="n">
        <v>0</v>
      </c>
      <c r="AU1584" s="0" t="n">
        <v>0</v>
      </c>
      <c r="AV1584" s="0" t="n">
        <v>0</v>
      </c>
      <c r="AW1584" s="0" t="n">
        <v>0</v>
      </c>
      <c r="AX1584" s="0" t="n">
        <v>0</v>
      </c>
      <c r="AY1584" s="0" t="n">
        <v>0</v>
      </c>
      <c r="AZ1584" s="0" t="n">
        <v>0</v>
      </c>
      <c r="BA1584" s="0" t="n">
        <v>0</v>
      </c>
      <c r="BB1584" s="0" t="n">
        <v>0</v>
      </c>
      <c r="BC1584" s="0" t="n">
        <v>0</v>
      </c>
      <c r="BD1584" s="0" t="n">
        <v>0</v>
      </c>
      <c r="BE1584" s="0" t="n">
        <v>0</v>
      </c>
      <c r="BF1584" s="0" t="n">
        <v>0</v>
      </c>
      <c r="BG1584" s="0" t="n">
        <v>0</v>
      </c>
      <c r="BH1584" s="0" t="n">
        <v>0</v>
      </c>
      <c r="BI1584" s="0" t="n">
        <v>0</v>
      </c>
      <c r="BJ1584" s="0" t="n">
        <v>0</v>
      </c>
      <c r="BK1584" s="0" t="n">
        <v>0</v>
      </c>
      <c r="BM1584" s="6" t="n">
        <f aca="false">IFERROR(VALUE(F1584),"")</f>
        <v>95.27</v>
      </c>
      <c r="BN1584" s="6" t="n">
        <f aca="false">IF(R1584="-","",IFERROR(VALUE(LEFT(Q1584,LEN(Q1584)-2)),""))</f>
        <v>24.56</v>
      </c>
      <c r="BO1584" s="6" t="n">
        <f aca="false">IF(R1584="-","",IFERROR(VALUE(LEFT(R1584,LEN(R1584)-5)),""))</f>
        <v>3.88</v>
      </c>
      <c r="BP1584" s="6" t="n">
        <f aca="false">IF(R1584="-","",IFERROR(VALUE(F1584),""))</f>
        <v>95.27</v>
      </c>
      <c r="BQ1584" s="4" t="n">
        <f aca="false">IF(R1584="-",1,0)</f>
        <v>0</v>
      </c>
    </row>
    <row r="1585" customFormat="false" ht="15" hidden="false" customHeight="false" outlineLevel="0" collapsed="false">
      <c r="A1585" s="0" t="s">
        <v>5929</v>
      </c>
      <c r="B1585" s="0" t="s">
        <v>5930</v>
      </c>
      <c r="C1585" s="0" t="s">
        <v>70</v>
      </c>
      <c r="E1585" s="3" t="n">
        <v>46275</v>
      </c>
      <c r="F1585" s="4" t="s">
        <v>557</v>
      </c>
      <c r="G1585" s="5" t="n">
        <v>0.00299768518518519</v>
      </c>
      <c r="H1585" s="5" t="n">
        <v>0</v>
      </c>
      <c r="I1585" s="5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5" t="n">
        <v>0</v>
      </c>
      <c r="P1585" s="5" t="n">
        <v>0</v>
      </c>
      <c r="Q1585" s="4" t="s">
        <v>2530</v>
      </c>
      <c r="R1585" s="4" t="s">
        <v>5938</v>
      </c>
      <c r="S1585" s="5" t="n">
        <v>0</v>
      </c>
      <c r="T1585" s="5" t="n">
        <v>0.00266203703703704</v>
      </c>
      <c r="U1585" s="5" t="n">
        <v>0.000115740740740741</v>
      </c>
      <c r="V1585" s="5" t="n">
        <v>0</v>
      </c>
      <c r="W1585" s="5" t="n">
        <v>0</v>
      </c>
      <c r="X1585" s="5" t="n">
        <v>0</v>
      </c>
      <c r="Y1585" s="5" t="n">
        <v>0</v>
      </c>
      <c r="Z1585" s="0" t="n">
        <v>0</v>
      </c>
      <c r="AA1585" s="0" t="n">
        <v>0</v>
      </c>
      <c r="AB1585" s="0" t="n">
        <v>0</v>
      </c>
      <c r="AC1585" s="4" t="s">
        <v>158</v>
      </c>
      <c r="AD1585" s="4" t="s">
        <v>159</v>
      </c>
      <c r="AE1585" s="4" t="s">
        <v>5937</v>
      </c>
      <c r="AF1585" s="4" t="s">
        <v>5939</v>
      </c>
      <c r="AG1585" s="5" t="n">
        <v>0.00153935185185185</v>
      </c>
      <c r="AH1585" s="5" t="n">
        <v>0.00256944444444445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4" t="s">
        <v>78</v>
      </c>
      <c r="AN1585" s="0" t="n">
        <v>0</v>
      </c>
      <c r="AO1585" s="0" t="n">
        <v>0</v>
      </c>
      <c r="AP1585" s="0" t="n">
        <v>0</v>
      </c>
      <c r="AQ1585" s="0" t="n">
        <v>0</v>
      </c>
      <c r="AR1585" s="0" t="n">
        <v>0</v>
      </c>
      <c r="AS1585" s="0" t="n">
        <v>0</v>
      </c>
      <c r="AT1585" s="0" t="n">
        <v>0</v>
      </c>
      <c r="AU1585" s="0" t="n">
        <v>0</v>
      </c>
      <c r="AV1585" s="0" t="n">
        <v>0</v>
      </c>
      <c r="AW1585" s="0" t="n">
        <v>0</v>
      </c>
      <c r="AX1585" s="0" t="n">
        <v>0</v>
      </c>
      <c r="AY1585" s="0" t="n">
        <v>0</v>
      </c>
      <c r="AZ1585" s="0" t="n">
        <v>0</v>
      </c>
      <c r="BA1585" s="0" t="n">
        <v>0</v>
      </c>
      <c r="BB1585" s="0" t="n">
        <v>0</v>
      </c>
      <c r="BC1585" s="0" t="n">
        <v>0</v>
      </c>
      <c r="BD1585" s="0" t="n">
        <v>0</v>
      </c>
      <c r="BE1585" s="0" t="n">
        <v>0</v>
      </c>
      <c r="BF1585" s="0" t="n">
        <v>0</v>
      </c>
      <c r="BG1585" s="0" t="n">
        <v>0</v>
      </c>
      <c r="BH1585" s="0" t="n">
        <v>0</v>
      </c>
      <c r="BI1585" s="0" t="n">
        <v>0</v>
      </c>
      <c r="BJ1585" s="0" t="n">
        <v>0</v>
      </c>
      <c r="BK1585" s="0" t="n">
        <v>0</v>
      </c>
      <c r="BM1585" s="6" t="n">
        <f aca="false">IFERROR(VALUE(F1585),"")</f>
        <v>0.1</v>
      </c>
      <c r="BN1585" s="6" t="n">
        <f aca="false">IF(R1585="-","",IFERROR(VALUE(LEFT(Q1585,LEN(Q1585)-2)),""))</f>
        <v>0.14</v>
      </c>
      <c r="BO1585" s="6" t="n">
        <f aca="false">IF(R1585="-","",IFERROR(VALUE(LEFT(R1585,LEN(R1585)-5)),""))</f>
        <v>0.72</v>
      </c>
      <c r="BP1585" s="6" t="n">
        <f aca="false">IF(R1585="-","",IFERROR(VALUE(F1585),""))</f>
        <v>0.1</v>
      </c>
      <c r="BQ1585" s="4" t="n">
        <f aca="false">IF(R1585="-",1,0)</f>
        <v>0</v>
      </c>
    </row>
    <row r="1586" customFormat="false" ht="15" hidden="false" customHeight="false" outlineLevel="0" collapsed="false">
      <c r="A1586" s="0" t="s">
        <v>5929</v>
      </c>
      <c r="B1586" s="0" t="s">
        <v>5930</v>
      </c>
      <c r="C1586" s="0" t="s">
        <v>70</v>
      </c>
      <c r="E1586" s="3" t="n">
        <v>46276</v>
      </c>
      <c r="F1586" s="4" t="s">
        <v>5940</v>
      </c>
      <c r="G1586" s="5" t="n">
        <v>0.350810185185185</v>
      </c>
      <c r="H1586" s="5" t="n">
        <v>0</v>
      </c>
      <c r="I1586" s="5" t="n">
        <v>0.00263888888888889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5" t="n">
        <v>0</v>
      </c>
      <c r="P1586" s="5" t="n">
        <v>0.0439467592592593</v>
      </c>
      <c r="Q1586" s="4" t="s">
        <v>5941</v>
      </c>
      <c r="R1586" s="4" t="s">
        <v>5942</v>
      </c>
      <c r="S1586" s="5" t="n">
        <v>0</v>
      </c>
      <c r="T1586" s="5" t="n">
        <v>0.0798611111111111</v>
      </c>
      <c r="U1586" s="5" t="n">
        <v>0.052662037037037</v>
      </c>
      <c r="V1586" s="5" t="n">
        <v>0.21400462962963</v>
      </c>
      <c r="W1586" s="5" t="n">
        <v>0</v>
      </c>
      <c r="X1586" s="5" t="n">
        <v>0</v>
      </c>
      <c r="Y1586" s="5" t="n">
        <v>0</v>
      </c>
      <c r="Z1586" s="0" t="n">
        <v>0</v>
      </c>
      <c r="AA1586" s="0" t="n">
        <v>0</v>
      </c>
      <c r="AB1586" s="0" t="n">
        <v>0</v>
      </c>
      <c r="AC1586" s="4" t="s">
        <v>159</v>
      </c>
      <c r="AD1586" s="4" t="s">
        <v>5943</v>
      </c>
      <c r="AE1586" s="4" t="s">
        <v>5939</v>
      </c>
      <c r="AF1586" s="4" t="s">
        <v>5944</v>
      </c>
      <c r="AG1586" s="5" t="n">
        <v>0.294502314814815</v>
      </c>
      <c r="AH1586" s="5" t="n">
        <v>0.0991087962962963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4" t="s">
        <v>78</v>
      </c>
      <c r="AN1586" s="0" t="n">
        <v>0</v>
      </c>
      <c r="AO1586" s="0" t="n">
        <v>0</v>
      </c>
      <c r="AP1586" s="0" t="n">
        <v>0</v>
      </c>
      <c r="AQ1586" s="0" t="n">
        <v>0</v>
      </c>
      <c r="AR1586" s="0" t="n">
        <v>0</v>
      </c>
      <c r="AS1586" s="0" t="n">
        <v>0</v>
      </c>
      <c r="AT1586" s="0" t="n">
        <v>0</v>
      </c>
      <c r="AU1586" s="0" t="n">
        <v>0</v>
      </c>
      <c r="AV1586" s="0" t="n">
        <v>0</v>
      </c>
      <c r="AW1586" s="0" t="n">
        <v>0</v>
      </c>
      <c r="AX1586" s="0" t="n">
        <v>0</v>
      </c>
      <c r="AY1586" s="0" t="n">
        <v>0</v>
      </c>
      <c r="AZ1586" s="0" t="n">
        <v>0</v>
      </c>
      <c r="BA1586" s="0" t="n">
        <v>0</v>
      </c>
      <c r="BB1586" s="0" t="n">
        <v>0</v>
      </c>
      <c r="BC1586" s="0" t="n">
        <v>0</v>
      </c>
      <c r="BD1586" s="0" t="n">
        <v>0</v>
      </c>
      <c r="BE1586" s="0" t="n">
        <v>0</v>
      </c>
      <c r="BF1586" s="0" t="n">
        <v>0</v>
      </c>
      <c r="BG1586" s="0" t="n">
        <v>0</v>
      </c>
      <c r="BH1586" s="0" t="n">
        <v>0</v>
      </c>
      <c r="BI1586" s="0" t="n">
        <v>0</v>
      </c>
      <c r="BJ1586" s="0" t="n">
        <v>0</v>
      </c>
      <c r="BK1586" s="0" t="n">
        <v>0</v>
      </c>
      <c r="BM1586" s="6" t="n">
        <f aca="false">IFERROR(VALUE(F1586),"")</f>
        <v>400.48</v>
      </c>
      <c r="BN1586" s="6" t="n">
        <f aca="false">IF(R1586="-","",IFERROR(VALUE(LEFT(Q1586,LEN(Q1586)-2)),""))</f>
        <v>81.87</v>
      </c>
      <c r="BO1586" s="6" t="n">
        <f aca="false">IF(R1586="-","",IFERROR(VALUE(LEFT(R1586,LEN(R1586)-5)),""))</f>
        <v>4.89</v>
      </c>
      <c r="BP1586" s="6" t="n">
        <f aca="false">IF(R1586="-","",IFERROR(VALUE(F1586),""))</f>
        <v>400.48</v>
      </c>
      <c r="BQ1586" s="4" t="n">
        <f aca="false">IF(R1586="-",1,0)</f>
        <v>0</v>
      </c>
    </row>
    <row r="1587" customFormat="false" ht="15" hidden="false" customHeight="false" outlineLevel="0" collapsed="false">
      <c r="A1587" s="0" t="s">
        <v>5929</v>
      </c>
      <c r="B1587" s="0" t="s">
        <v>5930</v>
      </c>
      <c r="C1587" s="0" t="s">
        <v>70</v>
      </c>
      <c r="E1587" s="3" t="n">
        <v>46278</v>
      </c>
      <c r="F1587" s="4" t="s">
        <v>95</v>
      </c>
      <c r="G1587" s="5" t="n">
        <v>0.00327546296296296</v>
      </c>
      <c r="H1587" s="5" t="n">
        <v>0</v>
      </c>
      <c r="I1587" s="5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5" t="n">
        <v>0</v>
      </c>
      <c r="P1587" s="5" t="n">
        <v>0</v>
      </c>
      <c r="Q1587" s="4" t="s">
        <v>5945</v>
      </c>
      <c r="R1587" s="4" t="s">
        <v>454</v>
      </c>
      <c r="S1587" s="5" t="n">
        <v>0</v>
      </c>
      <c r="T1587" s="5" t="n">
        <v>0.00277777777777778</v>
      </c>
      <c r="U1587" s="5" t="n">
        <v>0.000231481481481482</v>
      </c>
      <c r="V1587" s="5" t="n">
        <v>0.000115740740740741</v>
      </c>
      <c r="W1587" s="5" t="n">
        <v>0</v>
      </c>
      <c r="X1587" s="5" t="n">
        <v>0</v>
      </c>
      <c r="Y1587" s="5" t="n">
        <v>0</v>
      </c>
      <c r="Z1587" s="0" t="n">
        <v>0</v>
      </c>
      <c r="AA1587" s="0" t="n">
        <v>0</v>
      </c>
      <c r="AB1587" s="0" t="n">
        <v>0</v>
      </c>
      <c r="AC1587" s="4" t="s">
        <v>5943</v>
      </c>
      <c r="AD1587" s="4" t="s">
        <v>5943</v>
      </c>
      <c r="AE1587" s="4" t="s">
        <v>5944</v>
      </c>
      <c r="AF1587" s="4" t="s">
        <v>5944</v>
      </c>
      <c r="AG1587" s="5" t="n">
        <v>0</v>
      </c>
      <c r="AH1587" s="5" t="n">
        <v>0.00373842592592593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4" t="s">
        <v>78</v>
      </c>
      <c r="AN1587" s="0" t="n">
        <v>0</v>
      </c>
      <c r="AO1587" s="0" t="n">
        <v>0</v>
      </c>
      <c r="AP1587" s="0" t="n">
        <v>0</v>
      </c>
      <c r="AQ1587" s="0" t="n">
        <v>0</v>
      </c>
      <c r="AR1587" s="0" t="n">
        <v>0</v>
      </c>
      <c r="AS1587" s="0" t="n">
        <v>0</v>
      </c>
      <c r="AT1587" s="0" t="n">
        <v>0</v>
      </c>
      <c r="AU1587" s="0" t="n">
        <v>0</v>
      </c>
      <c r="AV1587" s="0" t="n">
        <v>0</v>
      </c>
      <c r="AW1587" s="0" t="n">
        <v>0</v>
      </c>
      <c r="AX1587" s="0" t="n">
        <v>0</v>
      </c>
      <c r="AY1587" s="0" t="n">
        <v>0</v>
      </c>
      <c r="AZ1587" s="0" t="n">
        <v>0</v>
      </c>
      <c r="BA1587" s="0" t="n">
        <v>0</v>
      </c>
      <c r="BB1587" s="0" t="n">
        <v>0</v>
      </c>
      <c r="BC1587" s="0" t="n">
        <v>0</v>
      </c>
      <c r="BD1587" s="0" t="n">
        <v>0</v>
      </c>
      <c r="BE1587" s="0" t="n">
        <v>0</v>
      </c>
      <c r="BF1587" s="0" t="n">
        <v>0</v>
      </c>
      <c r="BG1587" s="0" t="n">
        <v>0</v>
      </c>
      <c r="BH1587" s="0" t="n">
        <v>0</v>
      </c>
      <c r="BI1587" s="0" t="n">
        <v>0</v>
      </c>
      <c r="BJ1587" s="0" t="n">
        <v>0</v>
      </c>
      <c r="BK1587" s="0" t="n">
        <v>0</v>
      </c>
      <c r="BM1587" s="6" t="n">
        <f aca="false">IFERROR(VALUE(F1587),"")</f>
        <v>0</v>
      </c>
      <c r="BN1587" s="6" t="n">
        <f aca="false">IF(R1587="-","",IFERROR(VALUE(LEFT(Q1587,LEN(Q1587)-2)),""))</f>
        <v>0.26</v>
      </c>
      <c r="BO1587" s="6" t="n">
        <f aca="false">IF(R1587="-","",IFERROR(VALUE(LEFT(R1587,LEN(R1587)-5)),""))</f>
        <v>0</v>
      </c>
      <c r="BP1587" s="6" t="n">
        <f aca="false">IF(R1587="-","",IFERROR(VALUE(F1587),""))</f>
        <v>0</v>
      </c>
      <c r="BQ1587" s="4" t="n">
        <f aca="false">IF(R1587="-",1,0)</f>
        <v>0</v>
      </c>
    </row>
    <row r="1588" customFormat="false" ht="15" hidden="false" customHeight="false" outlineLevel="0" collapsed="false">
      <c r="A1588" s="0" t="s">
        <v>5929</v>
      </c>
      <c r="B1588" s="0" t="s">
        <v>5930</v>
      </c>
      <c r="C1588" s="0" t="s">
        <v>70</v>
      </c>
      <c r="E1588" s="3" t="n">
        <v>46279</v>
      </c>
      <c r="F1588" s="4" t="s">
        <v>4893</v>
      </c>
      <c r="G1588" s="5" t="n">
        <v>0.000671296296296296</v>
      </c>
      <c r="H1588" s="5" t="n">
        <v>0</v>
      </c>
      <c r="I1588" s="5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5" t="n">
        <v>0</v>
      </c>
      <c r="P1588" s="5" t="n">
        <v>0</v>
      </c>
      <c r="Q1588" s="4" t="s">
        <v>5946</v>
      </c>
      <c r="R1588" s="4" t="s">
        <v>5947</v>
      </c>
      <c r="S1588" s="5" t="n">
        <v>0</v>
      </c>
      <c r="T1588" s="5" t="n">
        <v>0</v>
      </c>
      <c r="U1588" s="5" t="n">
        <v>0.000347222222222222</v>
      </c>
      <c r="V1588" s="5" t="n">
        <v>0.000231481481481482</v>
      </c>
      <c r="W1588" s="5" t="n">
        <v>0</v>
      </c>
      <c r="X1588" s="5" t="n">
        <v>0</v>
      </c>
      <c r="Y1588" s="5" t="n">
        <v>0</v>
      </c>
      <c r="Z1588" s="0" t="n">
        <v>0</v>
      </c>
      <c r="AA1588" s="0" t="n">
        <v>0</v>
      </c>
      <c r="AB1588" s="0" t="n">
        <v>0</v>
      </c>
      <c r="AC1588" s="4" t="s">
        <v>5943</v>
      </c>
      <c r="AD1588" s="4" t="s">
        <v>5943</v>
      </c>
      <c r="AE1588" s="4" t="s">
        <v>5944</v>
      </c>
      <c r="AF1588" s="4" t="s">
        <v>5948</v>
      </c>
      <c r="AG1588" s="5" t="n">
        <v>0.000625</v>
      </c>
      <c r="AH1588" s="5" t="n">
        <v>0.017349537037037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4" t="s">
        <v>78</v>
      </c>
      <c r="AN1588" s="0" t="n">
        <v>0</v>
      </c>
      <c r="AO1588" s="0" t="n">
        <v>0</v>
      </c>
      <c r="AP1588" s="0" t="n">
        <v>0</v>
      </c>
      <c r="AQ1588" s="0" t="n">
        <v>0</v>
      </c>
      <c r="AR1588" s="0" t="n">
        <v>0</v>
      </c>
      <c r="AS1588" s="0" t="n">
        <v>0</v>
      </c>
      <c r="AT1588" s="0" t="n">
        <v>0</v>
      </c>
      <c r="AU1588" s="0" t="n">
        <v>0</v>
      </c>
      <c r="AV1588" s="0" t="n">
        <v>0</v>
      </c>
      <c r="AW1588" s="0" t="n">
        <v>0</v>
      </c>
      <c r="AX1588" s="0" t="n">
        <v>0</v>
      </c>
      <c r="AY1588" s="0" t="n">
        <v>0</v>
      </c>
      <c r="AZ1588" s="0" t="n">
        <v>0</v>
      </c>
      <c r="BA1588" s="0" t="n">
        <v>0</v>
      </c>
      <c r="BB1588" s="0" t="n">
        <v>0</v>
      </c>
      <c r="BC1588" s="0" t="n">
        <v>0</v>
      </c>
      <c r="BD1588" s="0" t="n">
        <v>0</v>
      </c>
      <c r="BE1588" s="0" t="n">
        <v>0</v>
      </c>
      <c r="BF1588" s="0" t="n">
        <v>0</v>
      </c>
      <c r="BG1588" s="0" t="n">
        <v>0</v>
      </c>
      <c r="BH1588" s="0" t="n">
        <v>0</v>
      </c>
      <c r="BI1588" s="0" t="n">
        <v>0</v>
      </c>
      <c r="BJ1588" s="0" t="n">
        <v>0</v>
      </c>
      <c r="BK1588" s="0" t="n">
        <v>0</v>
      </c>
      <c r="BM1588" s="6" t="n">
        <f aca="false">IFERROR(VALUE(F1588),"")</f>
        <v>0.09</v>
      </c>
      <c r="BN1588" s="6" t="n">
        <f aca="false">IF(R1588="-","",IFERROR(VALUE(LEFT(Q1588,LEN(Q1588)-2)),""))</f>
        <v>0.07</v>
      </c>
      <c r="BO1588" s="6" t="n">
        <f aca="false">IF(R1588="-","",IFERROR(VALUE(LEFT(R1588,LEN(R1588)-5)),""))</f>
        <v>1.23</v>
      </c>
      <c r="BP1588" s="6" t="n">
        <f aca="false">IF(R1588="-","",IFERROR(VALUE(F1588),""))</f>
        <v>0.09</v>
      </c>
      <c r="BQ1588" s="4" t="n">
        <f aca="false">IF(R1588="-",1,0)</f>
        <v>0</v>
      </c>
    </row>
    <row r="1589" customFormat="false" ht="15" hidden="false" customHeight="false" outlineLevel="0" collapsed="false">
      <c r="A1589" s="0" t="s">
        <v>5949</v>
      </c>
      <c r="B1589" s="0" t="s">
        <v>5950</v>
      </c>
      <c r="C1589" s="0" t="s">
        <v>70</v>
      </c>
      <c r="D1589" s="0" t="s">
        <v>5951</v>
      </c>
      <c r="E1589" s="3" t="n">
        <v>46273</v>
      </c>
      <c r="F1589" s="4" t="s">
        <v>5952</v>
      </c>
      <c r="G1589" s="5" t="n">
        <v>0.770752314814815</v>
      </c>
      <c r="H1589" s="5" t="n">
        <v>0.701180555555556</v>
      </c>
      <c r="I1589" s="5" t="n">
        <v>0.00278935185185185</v>
      </c>
      <c r="J1589" s="0" t="n">
        <v>0</v>
      </c>
      <c r="K1589" s="0" t="n">
        <v>1</v>
      </c>
      <c r="L1589" s="0" t="n">
        <v>0</v>
      </c>
      <c r="M1589" s="0" t="n">
        <v>0</v>
      </c>
      <c r="N1589" s="0" t="n">
        <v>0</v>
      </c>
      <c r="O1589" s="5" t="n">
        <v>0</v>
      </c>
      <c r="P1589" s="5" t="n">
        <v>0.0303703703703704</v>
      </c>
      <c r="Q1589" s="4" t="s">
        <v>5953</v>
      </c>
      <c r="R1589" s="4" t="s">
        <v>3509</v>
      </c>
      <c r="S1589" s="5" t="n">
        <v>0.000115740740740741</v>
      </c>
      <c r="T1589" s="5" t="n">
        <v>0.171527777777778</v>
      </c>
      <c r="U1589" s="5" t="n">
        <v>0.468287037037037</v>
      </c>
      <c r="V1589" s="5" t="n">
        <v>0.0547453703703704</v>
      </c>
      <c r="W1589" s="5" t="n">
        <v>0</v>
      </c>
      <c r="X1589" s="5" t="n">
        <v>0</v>
      </c>
      <c r="Y1589" s="5" t="n">
        <v>0</v>
      </c>
      <c r="Z1589" s="0" t="n">
        <v>0</v>
      </c>
      <c r="AA1589" s="0" t="n">
        <v>0</v>
      </c>
      <c r="AB1589" s="0" t="n">
        <v>0</v>
      </c>
      <c r="AC1589" s="4" t="s">
        <v>5954</v>
      </c>
      <c r="AD1589" s="4" t="s">
        <v>1131</v>
      </c>
      <c r="AE1589" s="4" t="s">
        <v>5955</v>
      </c>
      <c r="AF1589" s="4" t="s">
        <v>5956</v>
      </c>
      <c r="AG1589" s="5" t="n">
        <v>0.611770833333333</v>
      </c>
      <c r="AH1589" s="5" t="n">
        <v>0.299513888888889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4" t="s">
        <v>78</v>
      </c>
      <c r="AN1589" s="0" t="n">
        <v>0</v>
      </c>
      <c r="AO1589" s="0" t="n">
        <v>0</v>
      </c>
      <c r="AP1589" s="0" t="n">
        <v>0</v>
      </c>
      <c r="AQ1589" s="0" t="n">
        <v>0</v>
      </c>
      <c r="AR1589" s="0" t="n">
        <v>0</v>
      </c>
      <c r="AS1589" s="0" t="n">
        <v>0</v>
      </c>
      <c r="AT1589" s="0" t="n">
        <v>0</v>
      </c>
      <c r="AU1589" s="0" t="n">
        <v>5</v>
      </c>
      <c r="AV1589" s="0" t="n">
        <v>0</v>
      </c>
      <c r="AW1589" s="0" t="n">
        <v>0</v>
      </c>
      <c r="AX1589" s="0" t="n">
        <v>0</v>
      </c>
      <c r="AY1589" s="0" t="n">
        <v>0</v>
      </c>
      <c r="AZ1589" s="0" t="n">
        <v>0</v>
      </c>
      <c r="BA1589" s="0" t="n">
        <v>0</v>
      </c>
      <c r="BB1589" s="0" t="n">
        <v>0</v>
      </c>
      <c r="BC1589" s="0" t="n">
        <v>0</v>
      </c>
      <c r="BD1589" s="0" t="n">
        <v>0</v>
      </c>
      <c r="BE1589" s="0" t="n">
        <v>0</v>
      </c>
      <c r="BF1589" s="0" t="n">
        <v>0</v>
      </c>
      <c r="BG1589" s="0" t="n">
        <v>0</v>
      </c>
      <c r="BH1589" s="0" t="n">
        <v>0</v>
      </c>
      <c r="BI1589" s="0" t="n">
        <v>0</v>
      </c>
      <c r="BJ1589" s="0" t="n">
        <v>0</v>
      </c>
      <c r="BK1589" s="0" t="n">
        <v>0</v>
      </c>
      <c r="BM1589" s="6" t="n">
        <f aca="false">IFERROR(VALUE(F1589),"")</f>
        <v>810.94</v>
      </c>
      <c r="BN1589" s="6" t="n">
        <f aca="false">IF(R1589="-","",IFERROR(VALUE(LEFT(Q1589,LEN(Q1589)-2)),""))</f>
        <v>229.41</v>
      </c>
      <c r="BO1589" s="6" t="n">
        <f aca="false">IF(R1589="-","",IFERROR(VALUE(LEFT(R1589,LEN(R1589)-5)),""))</f>
        <v>3.53</v>
      </c>
      <c r="BP1589" s="6" t="n">
        <f aca="false">IF(R1589="-","",IFERROR(VALUE(F1589),""))</f>
        <v>810.94</v>
      </c>
      <c r="BQ1589" s="4" t="n">
        <f aca="false">IF(R1589="-",1,0)</f>
        <v>0</v>
      </c>
    </row>
    <row r="1590" customFormat="false" ht="15" hidden="false" customHeight="false" outlineLevel="0" collapsed="false">
      <c r="A1590" s="0" t="s">
        <v>5949</v>
      </c>
      <c r="B1590" s="0" t="s">
        <v>5950</v>
      </c>
      <c r="C1590" s="0" t="s">
        <v>70</v>
      </c>
      <c r="D1590" s="0" t="s">
        <v>5957</v>
      </c>
      <c r="E1590" s="3" t="n">
        <v>46274</v>
      </c>
      <c r="F1590" s="4" t="s">
        <v>5958</v>
      </c>
      <c r="G1590" s="5" t="n">
        <v>0.431215277777778</v>
      </c>
      <c r="H1590" s="5" t="n">
        <v>0.386226851851852</v>
      </c>
      <c r="I1590" s="5" t="n">
        <v>0.0016087962962963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5" t="n">
        <v>0</v>
      </c>
      <c r="P1590" s="5" t="n">
        <v>0.00748842592592593</v>
      </c>
      <c r="Q1590" s="4" t="s">
        <v>5959</v>
      </c>
      <c r="R1590" s="4" t="s">
        <v>3661</v>
      </c>
      <c r="S1590" s="5" t="n">
        <v>0.000347222222222222</v>
      </c>
      <c r="T1590" s="5" t="n">
        <v>0.0804398148148148</v>
      </c>
      <c r="U1590" s="5" t="n">
        <v>0.285416666666667</v>
      </c>
      <c r="V1590" s="5" t="n">
        <v>0.012962962962963</v>
      </c>
      <c r="W1590" s="5" t="n">
        <v>0</v>
      </c>
      <c r="X1590" s="5" t="n">
        <v>0</v>
      </c>
      <c r="Y1590" s="5" t="n">
        <v>0</v>
      </c>
      <c r="Z1590" s="0" t="n">
        <v>0</v>
      </c>
      <c r="AA1590" s="0" t="n">
        <v>0</v>
      </c>
      <c r="AB1590" s="0" t="n">
        <v>0</v>
      </c>
      <c r="AC1590" s="4" t="s">
        <v>1131</v>
      </c>
      <c r="AD1590" s="4" t="s">
        <v>1998</v>
      </c>
      <c r="AE1590" s="4" t="s">
        <v>5956</v>
      </c>
      <c r="AF1590" s="4" t="s">
        <v>5960</v>
      </c>
      <c r="AG1590" s="5" t="n">
        <v>0.355138888888889</v>
      </c>
      <c r="AH1590" s="5" t="n">
        <v>0.174699074074074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4" t="s">
        <v>78</v>
      </c>
      <c r="AN1590" s="0" t="n">
        <v>0</v>
      </c>
      <c r="AO1590" s="0" t="n">
        <v>0</v>
      </c>
      <c r="AP1590" s="0" t="n">
        <v>0</v>
      </c>
      <c r="AQ1590" s="0" t="n">
        <v>0</v>
      </c>
      <c r="AR1590" s="0" t="n">
        <v>0</v>
      </c>
      <c r="AS1590" s="0" t="n">
        <v>0</v>
      </c>
      <c r="AT1590" s="0" t="n">
        <v>0</v>
      </c>
      <c r="AU1590" s="0" t="n">
        <v>5</v>
      </c>
      <c r="AV1590" s="0" t="n">
        <v>0</v>
      </c>
      <c r="AW1590" s="0" t="n">
        <v>0</v>
      </c>
      <c r="AX1590" s="0" t="n">
        <v>0</v>
      </c>
      <c r="AY1590" s="0" t="n">
        <v>0</v>
      </c>
      <c r="AZ1590" s="0" t="n">
        <v>0</v>
      </c>
      <c r="BA1590" s="0" t="n">
        <v>0</v>
      </c>
      <c r="BB1590" s="0" t="n">
        <v>0</v>
      </c>
      <c r="BC1590" s="0" t="n">
        <v>0</v>
      </c>
      <c r="BD1590" s="0" t="n">
        <v>0</v>
      </c>
      <c r="BE1590" s="0" t="n">
        <v>0</v>
      </c>
      <c r="BF1590" s="0" t="n">
        <v>0</v>
      </c>
      <c r="BG1590" s="0" t="n">
        <v>0</v>
      </c>
      <c r="BH1590" s="0" t="n">
        <v>0</v>
      </c>
      <c r="BI1590" s="0" t="n">
        <v>0</v>
      </c>
      <c r="BJ1590" s="0" t="n">
        <v>0</v>
      </c>
      <c r="BK1590" s="0" t="n">
        <v>0</v>
      </c>
      <c r="BM1590" s="6" t="n">
        <f aca="false">IFERROR(VALUE(F1590),"")</f>
        <v>470.1</v>
      </c>
      <c r="BN1590" s="6" t="n">
        <f aca="false">IF(R1590="-","",IFERROR(VALUE(LEFT(Q1590,LEN(Q1590)-2)),""))</f>
        <v>130.35</v>
      </c>
      <c r="BO1590" s="6" t="n">
        <f aca="false">IF(R1590="-","",IFERROR(VALUE(LEFT(R1590,LEN(R1590)-5)),""))</f>
        <v>3.61</v>
      </c>
      <c r="BP1590" s="6" t="n">
        <f aca="false">IF(R1590="-","",IFERROR(VALUE(F1590),""))</f>
        <v>470.1</v>
      </c>
      <c r="BQ1590" s="4" t="n">
        <f aca="false">IF(R1590="-",1,0)</f>
        <v>0</v>
      </c>
    </row>
    <row r="1591" customFormat="false" ht="15" hidden="false" customHeight="false" outlineLevel="0" collapsed="false">
      <c r="A1591" s="0" t="s">
        <v>5949</v>
      </c>
      <c r="B1591" s="0" t="s">
        <v>5950</v>
      </c>
      <c r="C1591" s="0" t="s">
        <v>70</v>
      </c>
      <c r="D1591" s="0" t="s">
        <v>5961</v>
      </c>
      <c r="E1591" s="3" t="n">
        <v>46275</v>
      </c>
      <c r="F1591" s="4" t="s">
        <v>5962</v>
      </c>
      <c r="G1591" s="5" t="n">
        <v>0.192361111111111</v>
      </c>
      <c r="H1591" s="5" t="n">
        <v>0.156921296296296</v>
      </c>
      <c r="I1591" s="5" t="n">
        <v>0.000104166666666667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5" t="n">
        <v>0</v>
      </c>
      <c r="P1591" s="5" t="n">
        <v>0.0616550925925926</v>
      </c>
      <c r="Q1591" s="4" t="s">
        <v>5963</v>
      </c>
      <c r="R1591" s="4" t="s">
        <v>1179</v>
      </c>
      <c r="S1591" s="5" t="n">
        <v>0.000347222222222222</v>
      </c>
      <c r="T1591" s="5" t="n">
        <v>0.108564814814815</v>
      </c>
      <c r="U1591" s="5" t="n">
        <v>0.0712962962962963</v>
      </c>
      <c r="V1591" s="5" t="n">
        <v>0.003125</v>
      </c>
      <c r="W1591" s="5" t="n">
        <v>0</v>
      </c>
      <c r="X1591" s="5" t="n">
        <v>0</v>
      </c>
      <c r="Y1591" s="5" t="n">
        <v>0</v>
      </c>
      <c r="Z1591" s="0" t="n">
        <v>0</v>
      </c>
      <c r="AA1591" s="0" t="n">
        <v>0</v>
      </c>
      <c r="AB1591" s="0" t="n">
        <v>0</v>
      </c>
      <c r="AC1591" s="4" t="s">
        <v>1276</v>
      </c>
      <c r="AD1591" s="4" t="s">
        <v>5964</v>
      </c>
      <c r="AE1591" s="4" t="s">
        <v>5960</v>
      </c>
      <c r="AF1591" s="4" t="s">
        <v>5965</v>
      </c>
      <c r="AG1591" s="5" t="n">
        <v>0.103090277777778</v>
      </c>
      <c r="AH1591" s="5" t="n">
        <v>0.177974537037037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4" t="s">
        <v>78</v>
      </c>
      <c r="AN1591" s="0" t="n">
        <v>0</v>
      </c>
      <c r="AO1591" s="0" t="n">
        <v>0</v>
      </c>
      <c r="AP1591" s="0" t="n">
        <v>0</v>
      </c>
      <c r="AQ1591" s="0" t="n">
        <v>0</v>
      </c>
      <c r="AR1591" s="0" t="n">
        <v>0</v>
      </c>
      <c r="AS1591" s="0" t="n">
        <v>0</v>
      </c>
      <c r="AT1591" s="0" t="n">
        <v>0</v>
      </c>
      <c r="AU1591" s="0" t="n">
        <v>1</v>
      </c>
      <c r="AV1591" s="0" t="n">
        <v>0</v>
      </c>
      <c r="AW1591" s="0" t="n">
        <v>0</v>
      </c>
      <c r="AX1591" s="0" t="n">
        <v>0</v>
      </c>
      <c r="AY1591" s="0" t="n">
        <v>0</v>
      </c>
      <c r="AZ1591" s="0" t="n">
        <v>0</v>
      </c>
      <c r="BA1591" s="0" t="n">
        <v>0</v>
      </c>
      <c r="BB1591" s="0" t="n">
        <v>0</v>
      </c>
      <c r="BC1591" s="0" t="n">
        <v>0</v>
      </c>
      <c r="BD1591" s="0" t="n">
        <v>0</v>
      </c>
      <c r="BE1591" s="0" t="n">
        <v>0</v>
      </c>
      <c r="BF1591" s="0" t="n">
        <v>0</v>
      </c>
      <c r="BG1591" s="0" t="n">
        <v>0</v>
      </c>
      <c r="BH1591" s="0" t="n">
        <v>0</v>
      </c>
      <c r="BI1591" s="0" t="n">
        <v>0</v>
      </c>
      <c r="BJ1591" s="0" t="n">
        <v>0</v>
      </c>
      <c r="BK1591" s="0" t="n">
        <v>0</v>
      </c>
      <c r="BM1591" s="6" t="n">
        <f aca="false">IFERROR(VALUE(F1591),"")</f>
        <v>89.79</v>
      </c>
      <c r="BN1591" s="6" t="n">
        <f aca="false">IF(R1591="-","",IFERROR(VALUE(LEFT(Q1591,LEN(Q1591)-2)),""))</f>
        <v>33.53</v>
      </c>
      <c r="BO1591" s="6" t="n">
        <f aca="false">IF(R1591="-","",IFERROR(VALUE(LEFT(R1591,LEN(R1591)-5)),""))</f>
        <v>2.68</v>
      </c>
      <c r="BP1591" s="6" t="n">
        <f aca="false">IF(R1591="-","",IFERROR(VALUE(F1591),""))</f>
        <v>89.79</v>
      </c>
      <c r="BQ1591" s="4" t="n">
        <f aca="false">IF(R1591="-",1,0)</f>
        <v>0</v>
      </c>
    </row>
    <row r="1592" customFormat="false" ht="15" hidden="false" customHeight="false" outlineLevel="0" collapsed="false">
      <c r="A1592" s="0" t="s">
        <v>5949</v>
      </c>
      <c r="B1592" s="0" t="s">
        <v>5950</v>
      </c>
      <c r="C1592" s="0" t="s">
        <v>70</v>
      </c>
      <c r="D1592" s="0" t="s">
        <v>5966</v>
      </c>
      <c r="E1592" s="3" t="n">
        <v>46276</v>
      </c>
      <c r="F1592" s="4" t="s">
        <v>5967</v>
      </c>
      <c r="G1592" s="5" t="n">
        <v>0.33505787037037</v>
      </c>
      <c r="H1592" s="5" t="n">
        <v>0.329351851851852</v>
      </c>
      <c r="I1592" s="5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5" t="n">
        <v>0</v>
      </c>
      <c r="P1592" s="5" t="n">
        <v>0.0544560185185185</v>
      </c>
      <c r="Q1592" s="4" t="s">
        <v>5968</v>
      </c>
      <c r="R1592" s="4" t="s">
        <v>1887</v>
      </c>
      <c r="S1592" s="5" t="n">
        <v>0</v>
      </c>
      <c r="T1592" s="5" t="n">
        <v>0.131828703703704</v>
      </c>
      <c r="U1592" s="5" t="n">
        <v>0.130208333333333</v>
      </c>
      <c r="V1592" s="5" t="n">
        <v>0.00347222222222222</v>
      </c>
      <c r="W1592" s="5" t="n">
        <v>0</v>
      </c>
      <c r="X1592" s="5" t="n">
        <v>0</v>
      </c>
      <c r="Y1592" s="5" t="n">
        <v>0</v>
      </c>
      <c r="Z1592" s="0" t="n">
        <v>0</v>
      </c>
      <c r="AA1592" s="0" t="n">
        <v>0</v>
      </c>
      <c r="AB1592" s="0" t="n">
        <v>0</v>
      </c>
      <c r="AC1592" s="4" t="s">
        <v>5964</v>
      </c>
      <c r="AD1592" s="4" t="s">
        <v>1276</v>
      </c>
      <c r="AE1592" s="4" t="s">
        <v>5965</v>
      </c>
      <c r="AF1592" s="4" t="s">
        <v>5969</v>
      </c>
      <c r="AG1592" s="5" t="n">
        <v>0.200601851851852</v>
      </c>
      <c r="AH1592" s="5" t="n">
        <v>0.177708333333333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4" t="s">
        <v>78</v>
      </c>
      <c r="AN1592" s="0" t="n">
        <v>0</v>
      </c>
      <c r="AO1592" s="0" t="n">
        <v>0</v>
      </c>
      <c r="AP1592" s="0" t="n">
        <v>0</v>
      </c>
      <c r="AQ1592" s="0" t="n">
        <v>0</v>
      </c>
      <c r="AR1592" s="0" t="n">
        <v>0</v>
      </c>
      <c r="AS1592" s="0" t="n">
        <v>0</v>
      </c>
      <c r="AT1592" s="0" t="n">
        <v>0</v>
      </c>
      <c r="AU1592" s="0" t="n">
        <v>0</v>
      </c>
      <c r="AV1592" s="0" t="n">
        <v>0</v>
      </c>
      <c r="AW1592" s="0" t="n">
        <v>0</v>
      </c>
      <c r="AX1592" s="0" t="n">
        <v>0</v>
      </c>
      <c r="AY1592" s="0" t="n">
        <v>0</v>
      </c>
      <c r="AZ1592" s="0" t="n">
        <v>0</v>
      </c>
      <c r="BA1592" s="0" t="n">
        <v>0</v>
      </c>
      <c r="BB1592" s="0" t="n">
        <v>0</v>
      </c>
      <c r="BC1592" s="0" t="n">
        <v>0</v>
      </c>
      <c r="BD1592" s="0" t="n">
        <v>0</v>
      </c>
      <c r="BE1592" s="0" t="n">
        <v>0</v>
      </c>
      <c r="BF1592" s="0" t="n">
        <v>0</v>
      </c>
      <c r="BG1592" s="0" t="n">
        <v>0</v>
      </c>
      <c r="BH1592" s="0" t="n">
        <v>0</v>
      </c>
      <c r="BI1592" s="0" t="n">
        <v>0</v>
      </c>
      <c r="BJ1592" s="0" t="n">
        <v>0</v>
      </c>
      <c r="BK1592" s="0" t="n">
        <v>0</v>
      </c>
      <c r="BM1592" s="6" t="n">
        <f aca="false">IFERROR(VALUE(F1592),"")</f>
        <v>181.09</v>
      </c>
      <c r="BN1592" s="6" t="n">
        <f aca="false">IF(R1592="-","",IFERROR(VALUE(LEFT(Q1592,LEN(Q1592)-2)),""))</f>
        <v>58.3</v>
      </c>
      <c r="BO1592" s="6" t="n">
        <f aca="false">IF(R1592="-","",IFERROR(VALUE(LEFT(R1592,LEN(R1592)-5)),""))</f>
        <v>3.11</v>
      </c>
      <c r="BP1592" s="6" t="n">
        <f aca="false">IF(R1592="-","",IFERROR(VALUE(F1592),""))</f>
        <v>181.09</v>
      </c>
      <c r="BQ1592" s="4" t="n">
        <f aca="false">IF(R1592="-",1,0)</f>
        <v>0</v>
      </c>
    </row>
    <row r="1593" customFormat="false" ht="15" hidden="false" customHeight="false" outlineLevel="0" collapsed="false">
      <c r="A1593" s="0" t="s">
        <v>5949</v>
      </c>
      <c r="B1593" s="0" t="s">
        <v>5950</v>
      </c>
      <c r="C1593" s="0" t="s">
        <v>70</v>
      </c>
      <c r="D1593" s="0" t="s">
        <v>5970</v>
      </c>
      <c r="E1593" s="3" t="n">
        <v>46277</v>
      </c>
      <c r="F1593" s="4" t="s">
        <v>5971</v>
      </c>
      <c r="G1593" s="5" t="n">
        <v>0.466898148148148</v>
      </c>
      <c r="H1593" s="5" t="n">
        <v>0.451458333333333</v>
      </c>
      <c r="I1593" s="5" t="n">
        <v>3.47222222222222E-005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5" t="n">
        <v>0</v>
      </c>
      <c r="P1593" s="5" t="n">
        <v>0.00803240740740741</v>
      </c>
      <c r="Q1593" s="4" t="s">
        <v>5972</v>
      </c>
      <c r="R1593" s="4" t="s">
        <v>4363</v>
      </c>
      <c r="S1593" s="5" t="n">
        <v>0</v>
      </c>
      <c r="T1593" s="5" t="n">
        <v>0.0694444444444445</v>
      </c>
      <c r="U1593" s="5" t="n">
        <v>0.311226851851852</v>
      </c>
      <c r="V1593" s="5" t="n">
        <v>0.00439814814814815</v>
      </c>
      <c r="W1593" s="5" t="n">
        <v>0</v>
      </c>
      <c r="X1593" s="5" t="n">
        <v>0</v>
      </c>
      <c r="Y1593" s="5" t="n">
        <v>0</v>
      </c>
      <c r="Z1593" s="0" t="n">
        <v>0</v>
      </c>
      <c r="AA1593" s="0" t="n">
        <v>0</v>
      </c>
      <c r="AB1593" s="0" t="n">
        <v>0</v>
      </c>
      <c r="AC1593" s="4" t="s">
        <v>1276</v>
      </c>
      <c r="AD1593" s="4" t="s">
        <v>852</v>
      </c>
      <c r="AE1593" s="4" t="s">
        <v>5973</v>
      </c>
      <c r="AF1593" s="4" t="s">
        <v>5974</v>
      </c>
      <c r="AG1593" s="5" t="n">
        <v>0.353703703703704</v>
      </c>
      <c r="AH1593" s="5" t="n">
        <v>0.147916666666667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4" t="s">
        <v>78</v>
      </c>
      <c r="AN1593" s="0" t="n">
        <v>0</v>
      </c>
      <c r="AO1593" s="0" t="n">
        <v>0</v>
      </c>
      <c r="AP1593" s="0" t="n">
        <v>0</v>
      </c>
      <c r="AQ1593" s="0" t="n">
        <v>0</v>
      </c>
      <c r="AR1593" s="0" t="n">
        <v>0</v>
      </c>
      <c r="AS1593" s="0" t="n">
        <v>0</v>
      </c>
      <c r="AT1593" s="0" t="n">
        <v>0</v>
      </c>
      <c r="AU1593" s="0" t="n">
        <v>2</v>
      </c>
      <c r="AV1593" s="0" t="n">
        <v>0</v>
      </c>
      <c r="AW1593" s="0" t="n">
        <v>0</v>
      </c>
      <c r="AX1593" s="0" t="n">
        <v>0</v>
      </c>
      <c r="AY1593" s="0" t="n">
        <v>0</v>
      </c>
      <c r="AZ1593" s="0" t="n">
        <v>0</v>
      </c>
      <c r="BA1593" s="0" t="n">
        <v>0</v>
      </c>
      <c r="BB1593" s="0" t="n">
        <v>0</v>
      </c>
      <c r="BC1593" s="0" t="n">
        <v>0</v>
      </c>
      <c r="BD1593" s="0" t="n">
        <v>0</v>
      </c>
      <c r="BE1593" s="0" t="n">
        <v>0</v>
      </c>
      <c r="BF1593" s="0" t="n">
        <v>0</v>
      </c>
      <c r="BG1593" s="0" t="n">
        <v>0</v>
      </c>
      <c r="BH1593" s="0" t="n">
        <v>0</v>
      </c>
      <c r="BI1593" s="0" t="n">
        <v>0</v>
      </c>
      <c r="BJ1593" s="0" t="n">
        <v>0</v>
      </c>
      <c r="BK1593" s="0" t="n">
        <v>0</v>
      </c>
      <c r="BM1593" s="6" t="n">
        <f aca="false">IFERROR(VALUE(F1593),"")</f>
        <v>512.65</v>
      </c>
      <c r="BN1593" s="6" t="n">
        <f aca="false">IF(R1593="-","",IFERROR(VALUE(LEFT(Q1593,LEN(Q1593)-2)),""))</f>
        <v>144.27</v>
      </c>
      <c r="BO1593" s="6" t="n">
        <f aca="false">IF(R1593="-","",IFERROR(VALUE(LEFT(R1593,LEN(R1593)-5)),""))</f>
        <v>3.55</v>
      </c>
      <c r="BP1593" s="6" t="n">
        <f aca="false">IF(R1593="-","",IFERROR(VALUE(F1593),""))</f>
        <v>512.65</v>
      </c>
      <c r="BQ1593" s="4" t="n">
        <f aca="false">IF(R1593="-",1,0)</f>
        <v>0</v>
      </c>
    </row>
    <row r="1594" customFormat="false" ht="15" hidden="false" customHeight="false" outlineLevel="0" collapsed="false">
      <c r="A1594" s="0" t="s">
        <v>5949</v>
      </c>
      <c r="B1594" s="0" t="s">
        <v>5950</v>
      </c>
      <c r="C1594" s="0" t="s">
        <v>70</v>
      </c>
      <c r="D1594" s="0" t="s">
        <v>5975</v>
      </c>
      <c r="E1594" s="3" t="n">
        <v>46278</v>
      </c>
      <c r="F1594" s="4" t="s">
        <v>5976</v>
      </c>
      <c r="G1594" s="5" t="n">
        <v>0.74650462962963</v>
      </c>
      <c r="H1594" s="5" t="n">
        <v>0.680069444444444</v>
      </c>
      <c r="I1594" s="5" t="n">
        <v>0.000752314814814815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1</v>
      </c>
      <c r="O1594" s="5" t="n">
        <v>0</v>
      </c>
      <c r="P1594" s="5" t="n">
        <v>0.0464467592592593</v>
      </c>
      <c r="Q1594" s="4" t="s">
        <v>5977</v>
      </c>
      <c r="R1594" s="4" t="s">
        <v>3918</v>
      </c>
      <c r="S1594" s="5" t="n">
        <v>0</v>
      </c>
      <c r="T1594" s="5" t="n">
        <v>0.121643518518519</v>
      </c>
      <c r="U1594" s="5" t="n">
        <v>0.451736111111111</v>
      </c>
      <c r="V1594" s="5" t="n">
        <v>0.0414351851851852</v>
      </c>
      <c r="W1594" s="5" t="n">
        <v>0</v>
      </c>
      <c r="X1594" s="5" t="n">
        <v>0</v>
      </c>
      <c r="Y1594" s="5" t="n">
        <v>0</v>
      </c>
      <c r="Z1594" s="0" t="n">
        <v>0</v>
      </c>
      <c r="AA1594" s="0" t="n">
        <v>0</v>
      </c>
      <c r="AB1594" s="0" t="n">
        <v>0</v>
      </c>
      <c r="AC1594" s="4" t="s">
        <v>852</v>
      </c>
      <c r="AD1594" s="4" t="s">
        <v>3357</v>
      </c>
      <c r="AE1594" s="4" t="s">
        <v>5978</v>
      </c>
      <c r="AF1594" s="4" t="s">
        <v>5979</v>
      </c>
      <c r="AG1594" s="5" t="n">
        <v>0.525891203703704</v>
      </c>
      <c r="AH1594" s="5" t="n">
        <v>0.264861111111111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4" t="s">
        <v>78</v>
      </c>
      <c r="AN1594" s="0" t="n">
        <v>0</v>
      </c>
      <c r="AO1594" s="0" t="n">
        <v>0</v>
      </c>
      <c r="AP1594" s="0" t="n">
        <v>0</v>
      </c>
      <c r="AQ1594" s="0" t="n">
        <v>0</v>
      </c>
      <c r="AR1594" s="0" t="n">
        <v>0</v>
      </c>
      <c r="AS1594" s="0" t="n">
        <v>0</v>
      </c>
      <c r="AT1594" s="0" t="n">
        <v>0</v>
      </c>
      <c r="AU1594" s="0" t="n">
        <v>4</v>
      </c>
      <c r="AV1594" s="0" t="n">
        <v>0</v>
      </c>
      <c r="AW1594" s="0" t="n">
        <v>1</v>
      </c>
      <c r="AX1594" s="0" t="n">
        <v>0</v>
      </c>
      <c r="AY1594" s="0" t="n">
        <v>0</v>
      </c>
      <c r="AZ1594" s="0" t="n">
        <v>0</v>
      </c>
      <c r="BA1594" s="0" t="n">
        <v>0</v>
      </c>
      <c r="BB1594" s="0" t="n">
        <v>0</v>
      </c>
      <c r="BC1594" s="0" t="n">
        <v>0</v>
      </c>
      <c r="BD1594" s="0" t="n">
        <v>0</v>
      </c>
      <c r="BE1594" s="0" t="n">
        <v>0</v>
      </c>
      <c r="BF1594" s="0" t="n">
        <v>0</v>
      </c>
      <c r="BG1594" s="0" t="n">
        <v>0</v>
      </c>
      <c r="BH1594" s="0" t="n">
        <v>0</v>
      </c>
      <c r="BI1594" s="0" t="n">
        <v>0</v>
      </c>
      <c r="BJ1594" s="0" t="n">
        <v>0</v>
      </c>
      <c r="BK1594" s="0" t="n">
        <v>0</v>
      </c>
      <c r="BM1594" s="6" t="n">
        <f aca="false">IFERROR(VALUE(F1594),"")</f>
        <v>856.07</v>
      </c>
      <c r="BN1594" s="6" t="n">
        <f aca="false">IF(R1594="-","",IFERROR(VALUE(LEFT(Q1594,LEN(Q1594)-2)),""))</f>
        <v>220.66</v>
      </c>
      <c r="BO1594" s="6" t="n">
        <f aca="false">IF(R1594="-","",IFERROR(VALUE(LEFT(R1594,LEN(R1594)-5)),""))</f>
        <v>3.88</v>
      </c>
      <c r="BP1594" s="6" t="n">
        <f aca="false">IF(R1594="-","",IFERROR(VALUE(F1594),""))</f>
        <v>856.07</v>
      </c>
      <c r="BQ1594" s="4" t="n">
        <f aca="false">IF(R1594="-",1,0)</f>
        <v>0</v>
      </c>
    </row>
    <row r="1595" customFormat="false" ht="15" hidden="false" customHeight="false" outlineLevel="0" collapsed="false">
      <c r="A1595" s="0" t="s">
        <v>5980</v>
      </c>
      <c r="B1595" s="0" t="s">
        <v>5981</v>
      </c>
      <c r="C1595" s="0" t="s">
        <v>70</v>
      </c>
      <c r="D1595" s="0" t="s">
        <v>5982</v>
      </c>
      <c r="E1595" s="3" t="n">
        <v>46273</v>
      </c>
      <c r="F1595" s="4" t="s">
        <v>5983</v>
      </c>
      <c r="G1595" s="5" t="n">
        <v>0.702060185185185</v>
      </c>
      <c r="H1595" s="5" t="n">
        <v>0.651099537037037</v>
      </c>
      <c r="I1595" s="5" t="n">
        <v>0.00273148148148148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1</v>
      </c>
      <c r="O1595" s="5" t="n">
        <v>0</v>
      </c>
      <c r="P1595" s="5" t="n">
        <v>0.0372569444444445</v>
      </c>
      <c r="Q1595" s="4" t="s">
        <v>5984</v>
      </c>
      <c r="R1595" s="4" t="s">
        <v>2942</v>
      </c>
      <c r="S1595" s="5" t="n">
        <v>0.000347222222222222</v>
      </c>
      <c r="T1595" s="5" t="n">
        <v>0.149189814814815</v>
      </c>
      <c r="U1595" s="5" t="n">
        <v>0.461458333333333</v>
      </c>
      <c r="V1595" s="5" t="n">
        <v>0.0361111111111111</v>
      </c>
      <c r="W1595" s="5" t="n">
        <v>0</v>
      </c>
      <c r="X1595" s="5" t="n">
        <v>0</v>
      </c>
      <c r="Y1595" s="5" t="n">
        <v>0</v>
      </c>
      <c r="Z1595" s="0" t="n">
        <v>0</v>
      </c>
      <c r="AA1595" s="0" t="n">
        <v>0</v>
      </c>
      <c r="AB1595" s="0" t="n">
        <v>0</v>
      </c>
      <c r="AC1595" s="4" t="s">
        <v>994</v>
      </c>
      <c r="AD1595" s="4" t="s">
        <v>208</v>
      </c>
      <c r="AE1595" s="4" t="s">
        <v>5985</v>
      </c>
      <c r="AF1595" s="4" t="s">
        <v>5986</v>
      </c>
      <c r="AG1595" s="5" t="n">
        <v>0.567199074074074</v>
      </c>
      <c r="AH1595" s="5" t="n">
        <v>0.185300925925926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4" t="s">
        <v>78</v>
      </c>
      <c r="AN1595" s="0" t="n">
        <v>0</v>
      </c>
      <c r="AO1595" s="0" t="n">
        <v>0</v>
      </c>
      <c r="AP1595" s="0" t="n">
        <v>0</v>
      </c>
      <c r="AQ1595" s="0" t="n">
        <v>0</v>
      </c>
      <c r="AR1595" s="0" t="n">
        <v>1</v>
      </c>
      <c r="AS1595" s="0" t="n">
        <v>0</v>
      </c>
      <c r="AT1595" s="0" t="n">
        <v>0</v>
      </c>
      <c r="AU1595" s="0" t="n">
        <v>3</v>
      </c>
      <c r="AV1595" s="0" t="n">
        <v>0</v>
      </c>
      <c r="AW1595" s="0" t="n">
        <v>0</v>
      </c>
      <c r="AX1595" s="0" t="n">
        <v>0</v>
      </c>
      <c r="AY1595" s="0" t="n">
        <v>0</v>
      </c>
      <c r="AZ1595" s="0" t="n">
        <v>0</v>
      </c>
      <c r="BA1595" s="0" t="n">
        <v>0</v>
      </c>
      <c r="BB1595" s="0" t="n">
        <v>0</v>
      </c>
      <c r="BC1595" s="0" t="n">
        <v>0</v>
      </c>
      <c r="BD1595" s="0" t="n">
        <v>0</v>
      </c>
      <c r="BE1595" s="0" t="n">
        <v>0</v>
      </c>
      <c r="BF1595" s="0" t="n">
        <v>0</v>
      </c>
      <c r="BG1595" s="0" t="n">
        <v>0</v>
      </c>
      <c r="BH1595" s="0" t="n">
        <v>0</v>
      </c>
      <c r="BI1595" s="0" t="n">
        <v>0</v>
      </c>
      <c r="BJ1595" s="0" t="n">
        <v>0</v>
      </c>
      <c r="BK1595" s="0" t="n">
        <v>0</v>
      </c>
      <c r="BM1595" s="6" t="n">
        <f aca="false">IFERROR(VALUE(F1595),"")</f>
        <v>816.43</v>
      </c>
      <c r="BN1595" s="6" t="n">
        <f aca="false">IF(R1595="-","",IFERROR(VALUE(LEFT(Q1595,LEN(Q1595)-2)),""))</f>
        <v>233.25</v>
      </c>
      <c r="BO1595" s="6" t="n">
        <f aca="false">IF(R1595="-","",IFERROR(VALUE(LEFT(R1595,LEN(R1595)-5)),""))</f>
        <v>3.5</v>
      </c>
      <c r="BP1595" s="6" t="n">
        <f aca="false">IF(R1595="-","",IFERROR(VALUE(F1595),""))</f>
        <v>816.43</v>
      </c>
      <c r="BQ1595" s="4" t="n">
        <f aca="false">IF(R1595="-",1,0)</f>
        <v>0</v>
      </c>
    </row>
    <row r="1596" customFormat="false" ht="15" hidden="false" customHeight="false" outlineLevel="0" collapsed="false">
      <c r="A1596" s="0" t="s">
        <v>5980</v>
      </c>
      <c r="B1596" s="0" t="s">
        <v>5981</v>
      </c>
      <c r="C1596" s="0" t="s">
        <v>70</v>
      </c>
      <c r="D1596" s="0" t="s">
        <v>5987</v>
      </c>
      <c r="E1596" s="3" t="n">
        <v>46274</v>
      </c>
      <c r="F1596" s="4" t="s">
        <v>5988</v>
      </c>
      <c r="G1596" s="5" t="n">
        <v>0.16431712962963</v>
      </c>
      <c r="H1596" s="5" t="n">
        <v>0.0587037037037037</v>
      </c>
      <c r="I1596" s="5" t="n">
        <v>0.000208333333333333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5" t="n">
        <v>0</v>
      </c>
      <c r="P1596" s="5" t="n">
        <v>0.0233101851851852</v>
      </c>
      <c r="Q1596" s="4" t="s">
        <v>5989</v>
      </c>
      <c r="R1596" s="4" t="s">
        <v>2935</v>
      </c>
      <c r="S1596" s="5" t="n">
        <v>0.000115740740740741</v>
      </c>
      <c r="T1596" s="5" t="n">
        <v>0.0782407407407407</v>
      </c>
      <c r="U1596" s="5" t="n">
        <v>0.0579861111111111</v>
      </c>
      <c r="V1596" s="5" t="n">
        <v>0.00243055555555556</v>
      </c>
      <c r="W1596" s="5" t="n">
        <v>0</v>
      </c>
      <c r="X1596" s="5" t="n">
        <v>0</v>
      </c>
      <c r="Y1596" s="5" t="n">
        <v>0</v>
      </c>
      <c r="Z1596" s="0" t="n">
        <v>0</v>
      </c>
      <c r="AA1596" s="0" t="n">
        <v>0</v>
      </c>
      <c r="AB1596" s="0" t="n">
        <v>0</v>
      </c>
      <c r="AC1596" s="4" t="s">
        <v>208</v>
      </c>
      <c r="AD1596" s="4" t="s">
        <v>994</v>
      </c>
      <c r="AE1596" s="4" t="s">
        <v>5986</v>
      </c>
      <c r="AF1596" s="4" t="s">
        <v>5990</v>
      </c>
      <c r="AG1596" s="5" t="n">
        <v>0.0913310185185185</v>
      </c>
      <c r="AH1596" s="5" t="n">
        <v>0.19462962962963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4" t="s">
        <v>78</v>
      </c>
      <c r="AN1596" s="0" t="n">
        <v>0</v>
      </c>
      <c r="AO1596" s="0" t="n">
        <v>0</v>
      </c>
      <c r="AP1596" s="0" t="n">
        <v>0</v>
      </c>
      <c r="AQ1596" s="0" t="n">
        <v>0</v>
      </c>
      <c r="AR1596" s="0" t="n">
        <v>0</v>
      </c>
      <c r="AS1596" s="0" t="n">
        <v>0</v>
      </c>
      <c r="AT1596" s="0" t="n">
        <v>0</v>
      </c>
      <c r="AU1596" s="0" t="n">
        <v>2</v>
      </c>
      <c r="AV1596" s="0" t="n">
        <v>0</v>
      </c>
      <c r="AW1596" s="0" t="n">
        <v>0</v>
      </c>
      <c r="AX1596" s="0" t="n">
        <v>0</v>
      </c>
      <c r="AY1596" s="0" t="n">
        <v>0</v>
      </c>
      <c r="AZ1596" s="0" t="n">
        <v>0</v>
      </c>
      <c r="BA1596" s="0" t="n">
        <v>0</v>
      </c>
      <c r="BB1596" s="0" t="n">
        <v>0</v>
      </c>
      <c r="BC1596" s="0" t="n">
        <v>0</v>
      </c>
      <c r="BD1596" s="0" t="n">
        <v>0</v>
      </c>
      <c r="BE1596" s="0" t="n">
        <v>0</v>
      </c>
      <c r="BF1596" s="0" t="n">
        <v>0</v>
      </c>
      <c r="BG1596" s="0" t="n">
        <v>0</v>
      </c>
      <c r="BH1596" s="0" t="n">
        <v>0</v>
      </c>
      <c r="BI1596" s="0" t="n">
        <v>0</v>
      </c>
      <c r="BJ1596" s="0" t="n">
        <v>0</v>
      </c>
      <c r="BK1596" s="0" t="n">
        <v>0</v>
      </c>
      <c r="BM1596" s="6" t="n">
        <f aca="false">IFERROR(VALUE(F1596),"")</f>
        <v>96.1</v>
      </c>
      <c r="BN1596" s="6" t="n">
        <f aca="false">IF(R1596="-","",IFERROR(VALUE(LEFT(Q1596,LEN(Q1596)-2)),""))</f>
        <v>33.09</v>
      </c>
      <c r="BO1596" s="6" t="n">
        <f aca="false">IF(R1596="-","",IFERROR(VALUE(LEFT(R1596,LEN(R1596)-5)),""))</f>
        <v>2.9</v>
      </c>
      <c r="BP1596" s="6" t="n">
        <f aca="false">IF(R1596="-","",IFERROR(VALUE(F1596),""))</f>
        <v>96.1</v>
      </c>
      <c r="BQ1596" s="4" t="n">
        <f aca="false">IF(R1596="-",1,0)</f>
        <v>0</v>
      </c>
    </row>
    <row r="1597" customFormat="false" ht="15" hidden="false" customHeight="false" outlineLevel="0" collapsed="false">
      <c r="A1597" s="0" t="s">
        <v>5980</v>
      </c>
      <c r="B1597" s="0" t="s">
        <v>5981</v>
      </c>
      <c r="C1597" s="0" t="s">
        <v>70</v>
      </c>
      <c r="D1597" s="0" t="s">
        <v>5991</v>
      </c>
      <c r="E1597" s="3" t="n">
        <v>46275</v>
      </c>
      <c r="F1597" s="4" t="s">
        <v>5992</v>
      </c>
      <c r="G1597" s="5" t="n">
        <v>0.718344907407407</v>
      </c>
      <c r="H1597" s="5" t="n">
        <v>0.536851851851852</v>
      </c>
      <c r="I1597" s="5" t="n">
        <v>0.00211805555555556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1</v>
      </c>
      <c r="O1597" s="5" t="n">
        <v>0</v>
      </c>
      <c r="P1597" s="5" t="n">
        <v>0.0522106481481481</v>
      </c>
      <c r="Q1597" s="4" t="s">
        <v>5993</v>
      </c>
      <c r="R1597" s="4" t="s">
        <v>4653</v>
      </c>
      <c r="S1597" s="5" t="n">
        <v>0.000925925925925926</v>
      </c>
      <c r="T1597" s="5" t="n">
        <v>0.160763888888889</v>
      </c>
      <c r="U1597" s="5" t="n">
        <v>0.43912037037037</v>
      </c>
      <c r="V1597" s="5" t="n">
        <v>0.0302083333333333</v>
      </c>
      <c r="W1597" s="5" t="n">
        <v>0</v>
      </c>
      <c r="X1597" s="5" t="n">
        <v>0</v>
      </c>
      <c r="Y1597" s="5" t="n">
        <v>0</v>
      </c>
      <c r="Z1597" s="0" t="n">
        <v>0</v>
      </c>
      <c r="AA1597" s="0" t="n">
        <v>0</v>
      </c>
      <c r="AB1597" s="0" t="n">
        <v>0</v>
      </c>
      <c r="AC1597" s="4" t="s">
        <v>994</v>
      </c>
      <c r="AD1597" s="4" t="s">
        <v>208</v>
      </c>
      <c r="AE1597" s="4" t="s">
        <v>5994</v>
      </c>
      <c r="AF1597" s="4" t="s">
        <v>5995</v>
      </c>
      <c r="AG1597" s="5" t="n">
        <v>0.542962962962963</v>
      </c>
      <c r="AH1597" s="5" t="n">
        <v>0.243113425925926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4" t="s">
        <v>78</v>
      </c>
      <c r="AN1597" s="0" t="n">
        <v>0</v>
      </c>
      <c r="AO1597" s="0" t="n">
        <v>0</v>
      </c>
      <c r="AP1597" s="0" t="n">
        <v>0</v>
      </c>
      <c r="AQ1597" s="0" t="n">
        <v>0</v>
      </c>
      <c r="AR1597" s="0" t="n">
        <v>0</v>
      </c>
      <c r="AS1597" s="0" t="n">
        <v>1</v>
      </c>
      <c r="AT1597" s="0" t="n">
        <v>0</v>
      </c>
      <c r="AU1597" s="0" t="n">
        <v>6</v>
      </c>
      <c r="AV1597" s="0" t="n">
        <v>0</v>
      </c>
      <c r="AW1597" s="0" t="n">
        <v>0</v>
      </c>
      <c r="AX1597" s="0" t="n">
        <v>0</v>
      </c>
      <c r="AY1597" s="0" t="n">
        <v>0</v>
      </c>
      <c r="AZ1597" s="0" t="n">
        <v>0</v>
      </c>
      <c r="BA1597" s="0" t="n">
        <v>0</v>
      </c>
      <c r="BB1597" s="0" t="n">
        <v>0</v>
      </c>
      <c r="BC1597" s="0" t="n">
        <v>0</v>
      </c>
      <c r="BD1597" s="0" t="n">
        <v>0</v>
      </c>
      <c r="BE1597" s="0" t="n">
        <v>0</v>
      </c>
      <c r="BF1597" s="0" t="n">
        <v>0</v>
      </c>
      <c r="BG1597" s="0" t="n">
        <v>0</v>
      </c>
      <c r="BH1597" s="0" t="n">
        <v>0</v>
      </c>
      <c r="BI1597" s="0" t="n">
        <v>0</v>
      </c>
      <c r="BJ1597" s="0" t="n">
        <v>0</v>
      </c>
      <c r="BK1597" s="0" t="n">
        <v>0</v>
      </c>
      <c r="BM1597" s="6" t="n">
        <f aca="false">IFERROR(VALUE(F1597),"")</f>
        <v>789.29</v>
      </c>
      <c r="BN1597" s="6" t="n">
        <f aca="false">IF(R1597="-","",IFERROR(VALUE(LEFT(Q1597,LEN(Q1597)-2)),""))</f>
        <v>226.65</v>
      </c>
      <c r="BO1597" s="6" t="n">
        <f aca="false">IF(R1597="-","",IFERROR(VALUE(LEFT(R1597,LEN(R1597)-5)),""))</f>
        <v>3.48</v>
      </c>
      <c r="BP1597" s="6" t="n">
        <f aca="false">IF(R1597="-","",IFERROR(VALUE(F1597),""))</f>
        <v>789.29</v>
      </c>
      <c r="BQ1597" s="4" t="n">
        <f aca="false">IF(R1597="-",1,0)</f>
        <v>0</v>
      </c>
    </row>
    <row r="1598" customFormat="false" ht="15" hidden="false" customHeight="false" outlineLevel="0" collapsed="false">
      <c r="A1598" s="0" t="s">
        <v>5980</v>
      </c>
      <c r="B1598" s="0" t="s">
        <v>5981</v>
      </c>
      <c r="C1598" s="0" t="s">
        <v>70</v>
      </c>
      <c r="D1598" s="0" t="s">
        <v>5996</v>
      </c>
      <c r="E1598" s="3" t="n">
        <v>46276</v>
      </c>
      <c r="F1598" s="4" t="s">
        <v>5997</v>
      </c>
      <c r="G1598" s="5" t="n">
        <v>0.173344907407407</v>
      </c>
      <c r="H1598" s="5" t="n">
        <v>0.139618055555556</v>
      </c>
      <c r="I1598" s="5" t="n">
        <v>3.47222222222222E-005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5" t="n">
        <v>0</v>
      </c>
      <c r="P1598" s="5" t="n">
        <v>0.0273611111111111</v>
      </c>
      <c r="Q1598" s="4" t="s">
        <v>5998</v>
      </c>
      <c r="R1598" s="4" t="s">
        <v>5999</v>
      </c>
      <c r="S1598" s="5" t="n">
        <v>0.000115740740740741</v>
      </c>
      <c r="T1598" s="5" t="n">
        <v>0.0978009259259259</v>
      </c>
      <c r="U1598" s="5" t="n">
        <v>0.0555555555555556</v>
      </c>
      <c r="V1598" s="5" t="n">
        <v>0.00416666666666667</v>
      </c>
      <c r="W1598" s="5" t="n">
        <v>0</v>
      </c>
      <c r="X1598" s="5" t="n">
        <v>0</v>
      </c>
      <c r="Y1598" s="5" t="n">
        <v>0</v>
      </c>
      <c r="Z1598" s="0" t="n">
        <v>0</v>
      </c>
      <c r="AA1598" s="0" t="n">
        <v>0</v>
      </c>
      <c r="AB1598" s="0" t="n">
        <v>0</v>
      </c>
      <c r="AC1598" s="4" t="s">
        <v>208</v>
      </c>
      <c r="AD1598" s="4" t="s">
        <v>208</v>
      </c>
      <c r="AE1598" s="4" t="s">
        <v>6000</v>
      </c>
      <c r="AF1598" s="4" t="s">
        <v>6001</v>
      </c>
      <c r="AG1598" s="5" t="n">
        <v>0.100381944444444</v>
      </c>
      <c r="AH1598" s="5" t="n">
        <v>0.104490740740741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4" t="s">
        <v>78</v>
      </c>
      <c r="AN1598" s="0" t="n">
        <v>0</v>
      </c>
      <c r="AO1598" s="0" t="n">
        <v>0</v>
      </c>
      <c r="AP1598" s="0" t="n">
        <v>0</v>
      </c>
      <c r="AQ1598" s="0" t="n">
        <v>0</v>
      </c>
      <c r="AR1598" s="0" t="n">
        <v>0</v>
      </c>
      <c r="AS1598" s="0" t="n">
        <v>0</v>
      </c>
      <c r="AT1598" s="0" t="n">
        <v>0</v>
      </c>
      <c r="AU1598" s="0" t="n">
        <v>0</v>
      </c>
      <c r="AV1598" s="0" t="n">
        <v>0</v>
      </c>
      <c r="AW1598" s="0" t="n">
        <v>0</v>
      </c>
      <c r="AX1598" s="0" t="n">
        <v>0</v>
      </c>
      <c r="AY1598" s="0" t="n">
        <v>0</v>
      </c>
      <c r="AZ1598" s="0" t="n">
        <v>0</v>
      </c>
      <c r="BA1598" s="0" t="n">
        <v>0</v>
      </c>
      <c r="BB1598" s="0" t="n">
        <v>0</v>
      </c>
      <c r="BC1598" s="0" t="n">
        <v>0</v>
      </c>
      <c r="BD1598" s="0" t="n">
        <v>0</v>
      </c>
      <c r="BE1598" s="0" t="n">
        <v>0</v>
      </c>
      <c r="BF1598" s="0" t="n">
        <v>0</v>
      </c>
      <c r="BG1598" s="0" t="n">
        <v>0</v>
      </c>
      <c r="BH1598" s="0" t="n">
        <v>0</v>
      </c>
      <c r="BI1598" s="0" t="n">
        <v>0</v>
      </c>
      <c r="BJ1598" s="0" t="n">
        <v>0</v>
      </c>
      <c r="BK1598" s="0" t="n">
        <v>0</v>
      </c>
      <c r="BM1598" s="6" t="n">
        <f aca="false">IFERROR(VALUE(F1598),"")</f>
        <v>42.17</v>
      </c>
      <c r="BN1598" s="6" t="n">
        <f aca="false">IF(R1598="-","",IFERROR(VALUE(LEFT(Q1598,LEN(Q1598)-2)),""))</f>
        <v>22.83</v>
      </c>
      <c r="BO1598" s="6" t="n">
        <f aca="false">IF(R1598="-","",IFERROR(VALUE(LEFT(R1598,LEN(R1598)-5)),""))</f>
        <v>1.85</v>
      </c>
      <c r="BP1598" s="6" t="n">
        <f aca="false">IF(R1598="-","",IFERROR(VALUE(F1598),""))</f>
        <v>42.17</v>
      </c>
      <c r="BQ1598" s="4" t="n">
        <f aca="false">IF(R1598="-",1,0)</f>
        <v>0</v>
      </c>
    </row>
    <row r="1599" customFormat="false" ht="15" hidden="false" customHeight="false" outlineLevel="0" collapsed="false">
      <c r="A1599" s="0" t="s">
        <v>5980</v>
      </c>
      <c r="B1599" s="0" t="s">
        <v>5981</v>
      </c>
      <c r="C1599" s="0" t="s">
        <v>70</v>
      </c>
      <c r="E1599" s="3" t="n">
        <v>46278</v>
      </c>
      <c r="F1599" s="4" t="s">
        <v>95</v>
      </c>
      <c r="G1599" s="5" t="n">
        <v>0.00479166666666667</v>
      </c>
      <c r="H1599" s="5" t="n">
        <v>0</v>
      </c>
      <c r="I1599" s="5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5" t="n">
        <v>0</v>
      </c>
      <c r="P1599" s="5" t="n">
        <v>0</v>
      </c>
      <c r="Q1599" s="4" t="s">
        <v>929</v>
      </c>
      <c r="R1599" s="4" t="s">
        <v>454</v>
      </c>
      <c r="S1599" s="5" t="n">
        <v>0</v>
      </c>
      <c r="T1599" s="5" t="n">
        <v>0.0025462962962963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0" t="n">
        <v>0</v>
      </c>
      <c r="AA1599" s="0" t="n">
        <v>0</v>
      </c>
      <c r="AB1599" s="0" t="n">
        <v>0</v>
      </c>
      <c r="AC1599" s="4" t="s">
        <v>208</v>
      </c>
      <c r="AD1599" s="4" t="s">
        <v>208</v>
      </c>
      <c r="AE1599" s="4" t="s">
        <v>6001</v>
      </c>
      <c r="AF1599" s="4" t="s">
        <v>6001</v>
      </c>
      <c r="AG1599" s="5" t="n">
        <v>0</v>
      </c>
      <c r="AH1599" s="5" t="n">
        <v>0.0534375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4" t="s">
        <v>78</v>
      </c>
      <c r="AN1599" s="0" t="n">
        <v>0</v>
      </c>
      <c r="AO1599" s="0" t="n">
        <v>0</v>
      </c>
      <c r="AP1599" s="0" t="n">
        <v>0</v>
      </c>
      <c r="AQ1599" s="0" t="n">
        <v>0</v>
      </c>
      <c r="AR1599" s="0" t="n">
        <v>0</v>
      </c>
      <c r="AS1599" s="0" t="n">
        <v>0</v>
      </c>
      <c r="AT1599" s="0" t="n">
        <v>0</v>
      </c>
      <c r="AU1599" s="0" t="n">
        <v>0</v>
      </c>
      <c r="AV1599" s="0" t="n">
        <v>0</v>
      </c>
      <c r="AW1599" s="0" t="n">
        <v>0</v>
      </c>
      <c r="AX1599" s="0" t="n">
        <v>0</v>
      </c>
      <c r="AY1599" s="0" t="n">
        <v>0</v>
      </c>
      <c r="AZ1599" s="0" t="n">
        <v>0</v>
      </c>
      <c r="BA1599" s="0" t="n">
        <v>0</v>
      </c>
      <c r="BB1599" s="0" t="n">
        <v>0</v>
      </c>
      <c r="BC1599" s="0" t="n">
        <v>0</v>
      </c>
      <c r="BD1599" s="0" t="n">
        <v>0</v>
      </c>
      <c r="BE1599" s="0" t="n">
        <v>0</v>
      </c>
      <c r="BF1599" s="0" t="n">
        <v>0</v>
      </c>
      <c r="BG1599" s="0" t="n">
        <v>0</v>
      </c>
      <c r="BH1599" s="0" t="n">
        <v>0</v>
      </c>
      <c r="BI1599" s="0" t="n">
        <v>0</v>
      </c>
      <c r="BJ1599" s="0" t="n">
        <v>0</v>
      </c>
      <c r="BK1599" s="0" t="n">
        <v>0</v>
      </c>
      <c r="BM1599" s="6" t="n">
        <f aca="false">IFERROR(VALUE(F1599),"")</f>
        <v>0</v>
      </c>
      <c r="BN1599" s="6" t="n">
        <f aca="false">IF(R1599="-","",IFERROR(VALUE(LEFT(Q1599,LEN(Q1599)-2)),""))</f>
        <v>0.16</v>
      </c>
      <c r="BO1599" s="6" t="n">
        <f aca="false">IF(R1599="-","",IFERROR(VALUE(LEFT(R1599,LEN(R1599)-5)),""))</f>
        <v>0</v>
      </c>
      <c r="BP1599" s="6" t="n">
        <f aca="false">IF(R1599="-","",IFERROR(VALUE(F1599),""))</f>
        <v>0</v>
      </c>
      <c r="BQ1599" s="4" t="n">
        <f aca="false">IF(R1599="-",1,0)</f>
        <v>0</v>
      </c>
    </row>
    <row r="1600" customFormat="false" ht="15" hidden="false" customHeight="false" outlineLevel="0" collapsed="false">
      <c r="A1600" s="0" t="s">
        <v>5980</v>
      </c>
      <c r="B1600" s="0" t="s">
        <v>5981</v>
      </c>
      <c r="C1600" s="0" t="s">
        <v>70</v>
      </c>
      <c r="D1600" s="0" t="s">
        <v>6002</v>
      </c>
      <c r="E1600" s="3" t="n">
        <v>46279</v>
      </c>
      <c r="F1600" s="4" t="s">
        <v>6003</v>
      </c>
      <c r="G1600" s="5" t="n">
        <v>0.154328703703704</v>
      </c>
      <c r="H1600" s="5" t="n">
        <v>0.144097222222222</v>
      </c>
      <c r="I1600" s="5" t="n">
        <v>6.94444444444444E-005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5" t="n">
        <v>0</v>
      </c>
      <c r="P1600" s="5" t="n">
        <v>0.00758101851851852</v>
      </c>
      <c r="Q1600" s="4" t="s">
        <v>6004</v>
      </c>
      <c r="R1600" s="4" t="s">
        <v>426</v>
      </c>
      <c r="S1600" s="5" t="n">
        <v>0.000231481481481482</v>
      </c>
      <c r="T1600" s="5" t="n">
        <v>0.0512731481481482</v>
      </c>
      <c r="U1600" s="5" t="n">
        <v>0.090625</v>
      </c>
      <c r="V1600" s="5" t="n">
        <v>0.0099537037037037</v>
      </c>
      <c r="W1600" s="5" t="n">
        <v>0</v>
      </c>
      <c r="X1600" s="5" t="n">
        <v>0</v>
      </c>
      <c r="Y1600" s="5" t="n">
        <v>0</v>
      </c>
      <c r="Z1600" s="0" t="n">
        <v>0</v>
      </c>
      <c r="AA1600" s="0" t="n">
        <v>0</v>
      </c>
      <c r="AB1600" s="0" t="n">
        <v>0</v>
      </c>
      <c r="AC1600" s="4" t="s">
        <v>208</v>
      </c>
      <c r="AD1600" s="4" t="s">
        <v>74</v>
      </c>
      <c r="AE1600" s="4" t="s">
        <v>6001</v>
      </c>
      <c r="AF1600" s="4" t="s">
        <v>6005</v>
      </c>
      <c r="AG1600" s="5" t="n">
        <v>0.132650462962963</v>
      </c>
      <c r="AH1600" s="5" t="n">
        <v>0.0704976851851852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4" t="s">
        <v>78</v>
      </c>
      <c r="AN1600" s="0" t="n">
        <v>0</v>
      </c>
      <c r="AO1600" s="0" t="n">
        <v>0</v>
      </c>
      <c r="AP1600" s="0" t="n">
        <v>0</v>
      </c>
      <c r="AQ1600" s="0" t="n">
        <v>0</v>
      </c>
      <c r="AR1600" s="0" t="n">
        <v>4</v>
      </c>
      <c r="AS1600" s="0" t="n">
        <v>0</v>
      </c>
      <c r="AT1600" s="0" t="n">
        <v>0</v>
      </c>
      <c r="AU1600" s="0" t="n">
        <v>2</v>
      </c>
      <c r="AV1600" s="0" t="n">
        <v>0</v>
      </c>
      <c r="AW1600" s="0" t="n">
        <v>0</v>
      </c>
      <c r="AX1600" s="0" t="n">
        <v>0</v>
      </c>
      <c r="AY1600" s="0" t="n">
        <v>0</v>
      </c>
      <c r="AZ1600" s="0" t="n">
        <v>0</v>
      </c>
      <c r="BA1600" s="0" t="n">
        <v>0</v>
      </c>
      <c r="BB1600" s="0" t="n">
        <v>0</v>
      </c>
      <c r="BC1600" s="0" t="n">
        <v>0</v>
      </c>
      <c r="BD1600" s="0" t="n">
        <v>0</v>
      </c>
      <c r="BE1600" s="0" t="n">
        <v>0</v>
      </c>
      <c r="BF1600" s="0" t="n">
        <v>0</v>
      </c>
      <c r="BG1600" s="0" t="n">
        <v>0</v>
      </c>
      <c r="BH1600" s="0" t="n">
        <v>0</v>
      </c>
      <c r="BI1600" s="0" t="n">
        <v>0</v>
      </c>
      <c r="BJ1600" s="0" t="n">
        <v>0</v>
      </c>
      <c r="BK1600" s="0" t="n">
        <v>0</v>
      </c>
      <c r="BM1600" s="6" t="n">
        <f aca="false">IFERROR(VALUE(F1600),"")</f>
        <v>101.04</v>
      </c>
      <c r="BN1600" s="6" t="n">
        <f aca="false">IF(R1600="-","",IFERROR(VALUE(LEFT(Q1600,LEN(Q1600)-2)),""))</f>
        <v>35.95</v>
      </c>
      <c r="BO1600" s="6" t="n">
        <f aca="false">IF(R1600="-","",IFERROR(VALUE(LEFT(R1600,LEN(R1600)-5)),""))</f>
        <v>2.81</v>
      </c>
      <c r="BP1600" s="6" t="n">
        <f aca="false">IF(R1600="-","",IFERROR(VALUE(F1600),""))</f>
        <v>101.04</v>
      </c>
      <c r="BQ1600" s="4" t="n">
        <f aca="false">IF(R1600="-",1,0)</f>
        <v>0</v>
      </c>
    </row>
    <row r="1601" customFormat="false" ht="15" hidden="false" customHeight="false" outlineLevel="0" collapsed="false">
      <c r="A1601" s="0" t="s">
        <v>6006</v>
      </c>
      <c r="B1601" s="0" t="s">
        <v>6007</v>
      </c>
      <c r="C1601" s="0" t="s">
        <v>70</v>
      </c>
      <c r="D1601" s="0" t="s">
        <v>6008</v>
      </c>
      <c r="E1601" s="3" t="n">
        <v>46273</v>
      </c>
      <c r="F1601" s="4" t="s">
        <v>6009</v>
      </c>
      <c r="G1601" s="5" t="n">
        <v>0.146423611111111</v>
      </c>
      <c r="H1601" s="5" t="n">
        <v>0.136666666666667</v>
      </c>
      <c r="I1601" s="5" t="n">
        <v>0.000659722222222222</v>
      </c>
      <c r="J1601" s="0" t="n">
        <v>0</v>
      </c>
      <c r="K1601" s="0" t="n">
        <v>1</v>
      </c>
      <c r="L1601" s="0" t="n">
        <v>0</v>
      </c>
      <c r="M1601" s="0" t="n">
        <v>0</v>
      </c>
      <c r="N1601" s="0" t="n">
        <v>0</v>
      </c>
      <c r="O1601" s="5" t="n">
        <v>0</v>
      </c>
      <c r="P1601" s="5" t="n">
        <v>0</v>
      </c>
      <c r="Q1601" s="4" t="s">
        <v>6010</v>
      </c>
      <c r="R1601" s="4" t="s">
        <v>2386</v>
      </c>
      <c r="S1601" s="5" t="n">
        <v>0</v>
      </c>
      <c r="T1601" s="5" t="n">
        <v>0.0278935185185185</v>
      </c>
      <c r="U1601" s="5" t="n">
        <v>0.0837962962962963</v>
      </c>
      <c r="V1601" s="5" t="n">
        <v>0.00706018518518519</v>
      </c>
      <c r="W1601" s="5" t="n">
        <v>0</v>
      </c>
      <c r="X1601" s="5" t="n">
        <v>0</v>
      </c>
      <c r="Y1601" s="5" t="n">
        <v>0</v>
      </c>
      <c r="Z1601" s="0" t="n">
        <v>0</v>
      </c>
      <c r="AA1601" s="0" t="n">
        <v>0</v>
      </c>
      <c r="AB1601" s="0" t="n">
        <v>0</v>
      </c>
      <c r="AC1601" s="4" t="s">
        <v>228</v>
      </c>
      <c r="AD1601" s="4" t="s">
        <v>994</v>
      </c>
      <c r="AE1601" s="4" t="s">
        <v>6011</v>
      </c>
      <c r="AF1601" s="4" t="s">
        <v>6012</v>
      </c>
      <c r="AG1601" s="5" t="n">
        <v>0.112418981481482</v>
      </c>
      <c r="AH1601" s="5" t="n">
        <v>0.0904282407407407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4" t="s">
        <v>78</v>
      </c>
      <c r="AN1601" s="0" t="n">
        <v>0</v>
      </c>
      <c r="AO1601" s="0" t="n">
        <v>0</v>
      </c>
      <c r="AP1601" s="0" t="n">
        <v>0</v>
      </c>
      <c r="AQ1601" s="0" t="n">
        <v>0</v>
      </c>
      <c r="AR1601" s="0" t="n">
        <v>0</v>
      </c>
      <c r="AS1601" s="0" t="n">
        <v>0</v>
      </c>
      <c r="AT1601" s="0" t="n">
        <v>0</v>
      </c>
      <c r="AU1601" s="0" t="n">
        <v>0</v>
      </c>
      <c r="AV1601" s="0" t="n">
        <v>0</v>
      </c>
      <c r="AW1601" s="0" t="n">
        <v>0</v>
      </c>
      <c r="AX1601" s="0" t="n">
        <v>0</v>
      </c>
      <c r="AY1601" s="0" t="n">
        <v>0</v>
      </c>
      <c r="AZ1601" s="0" t="n">
        <v>0</v>
      </c>
      <c r="BA1601" s="0" t="n">
        <v>0</v>
      </c>
      <c r="BB1601" s="0" t="n">
        <v>0</v>
      </c>
      <c r="BC1601" s="0" t="n">
        <v>0</v>
      </c>
      <c r="BD1601" s="0" t="n">
        <v>0</v>
      </c>
      <c r="BE1601" s="0" t="n">
        <v>0</v>
      </c>
      <c r="BF1601" s="0" t="n">
        <v>0</v>
      </c>
      <c r="BG1601" s="0" t="n">
        <v>0</v>
      </c>
      <c r="BH1601" s="0" t="n">
        <v>0</v>
      </c>
      <c r="BI1601" s="0" t="n">
        <v>0</v>
      </c>
      <c r="BJ1601" s="0" t="n">
        <v>0</v>
      </c>
      <c r="BK1601" s="0" t="n">
        <v>0</v>
      </c>
      <c r="BM1601" s="6" t="n">
        <f aca="false">IFERROR(VALUE(F1601),"")</f>
        <v>127.85</v>
      </c>
      <c r="BN1601" s="6" t="n">
        <f aca="false">IF(R1601="-","",IFERROR(VALUE(LEFT(Q1601,LEN(Q1601)-2)),""))</f>
        <v>37.26</v>
      </c>
      <c r="BO1601" s="6" t="n">
        <f aca="false">IF(R1601="-","",IFERROR(VALUE(LEFT(R1601,LEN(R1601)-5)),""))</f>
        <v>3.43</v>
      </c>
      <c r="BP1601" s="6" t="n">
        <f aca="false">IF(R1601="-","",IFERROR(VALUE(F1601),""))</f>
        <v>127.85</v>
      </c>
      <c r="BQ1601" s="4" t="n">
        <f aca="false">IF(R1601="-",1,0)</f>
        <v>0</v>
      </c>
    </row>
    <row r="1602" customFormat="false" ht="15" hidden="false" customHeight="false" outlineLevel="0" collapsed="false">
      <c r="A1602" s="0" t="s">
        <v>6006</v>
      </c>
      <c r="B1602" s="0" t="s">
        <v>6007</v>
      </c>
      <c r="C1602" s="0" t="s">
        <v>70</v>
      </c>
      <c r="D1602" s="0" t="s">
        <v>6013</v>
      </c>
      <c r="E1602" s="3" t="n">
        <v>46274</v>
      </c>
      <c r="F1602" s="4" t="s">
        <v>6014</v>
      </c>
      <c r="G1602" s="5" t="n">
        <v>0.880127314814815</v>
      </c>
      <c r="H1602" s="5" t="n">
        <v>0.674270833333333</v>
      </c>
      <c r="I1602" s="5" t="n">
        <v>0.00105324074074074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5" t="n">
        <v>0</v>
      </c>
      <c r="P1602" s="5" t="n">
        <v>0.00717592592592593</v>
      </c>
      <c r="Q1602" s="4" t="s">
        <v>6015</v>
      </c>
      <c r="R1602" s="4" t="s">
        <v>2386</v>
      </c>
      <c r="S1602" s="5" t="n">
        <v>0.000115740740740741</v>
      </c>
      <c r="T1602" s="5" t="n">
        <v>0.109259259259259</v>
      </c>
      <c r="U1602" s="5" t="n">
        <v>0.442280092592593</v>
      </c>
      <c r="V1602" s="5" t="n">
        <v>0.0849768518518519</v>
      </c>
      <c r="W1602" s="5" t="n">
        <v>0.000613425925925926</v>
      </c>
      <c r="X1602" s="5" t="n">
        <v>0</v>
      </c>
      <c r="Y1602" s="5" t="n">
        <v>0.000289351851851852</v>
      </c>
      <c r="Z1602" s="0" t="n">
        <v>0</v>
      </c>
      <c r="AA1602" s="0" t="n">
        <v>0</v>
      </c>
      <c r="AB1602" s="0" t="n">
        <v>0</v>
      </c>
      <c r="AC1602" s="4" t="s">
        <v>994</v>
      </c>
      <c r="AD1602" s="4" t="s">
        <v>208</v>
      </c>
      <c r="AE1602" s="4" t="s">
        <v>6016</v>
      </c>
      <c r="AF1602" s="4" t="s">
        <v>6017</v>
      </c>
      <c r="AG1602" s="5" t="n">
        <v>0.578576388888889</v>
      </c>
      <c r="AH1602" s="5" t="n">
        <v>0.328946759259259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4" t="s">
        <v>78</v>
      </c>
      <c r="AN1602" s="0" t="n">
        <v>0</v>
      </c>
      <c r="AO1602" s="0" t="n">
        <v>0</v>
      </c>
      <c r="AP1602" s="0" t="n">
        <v>0</v>
      </c>
      <c r="AQ1602" s="0" t="n">
        <v>0</v>
      </c>
      <c r="AR1602" s="0" t="n">
        <v>0</v>
      </c>
      <c r="AS1602" s="0" t="n">
        <v>0</v>
      </c>
      <c r="AT1602" s="0" t="n">
        <v>0</v>
      </c>
      <c r="AU1602" s="0" t="n">
        <v>5</v>
      </c>
      <c r="AV1602" s="0" t="n">
        <v>0</v>
      </c>
      <c r="AW1602" s="0" t="n">
        <v>1</v>
      </c>
      <c r="AX1602" s="0" t="n">
        <v>0</v>
      </c>
      <c r="AY1602" s="0" t="n">
        <v>0</v>
      </c>
      <c r="AZ1602" s="0" t="n">
        <v>0</v>
      </c>
      <c r="BA1602" s="0" t="n">
        <v>0</v>
      </c>
      <c r="BB1602" s="0" t="n">
        <v>0</v>
      </c>
      <c r="BC1602" s="0" t="n">
        <v>0</v>
      </c>
      <c r="BD1602" s="0" t="n">
        <v>0</v>
      </c>
      <c r="BE1602" s="0" t="n">
        <v>0</v>
      </c>
      <c r="BF1602" s="0" t="n">
        <v>0</v>
      </c>
      <c r="BG1602" s="0" t="n">
        <v>0</v>
      </c>
      <c r="BH1602" s="0" t="n">
        <v>0</v>
      </c>
      <c r="BI1602" s="0" t="n">
        <v>0</v>
      </c>
      <c r="BJ1602" s="0" t="n">
        <v>0</v>
      </c>
      <c r="BK1602" s="0" t="n">
        <v>0</v>
      </c>
      <c r="BM1602" s="6" t="n">
        <f aca="false">IFERROR(VALUE(F1602),"")</f>
        <v>792.5</v>
      </c>
      <c r="BN1602" s="6" t="n">
        <f aca="false">IF(R1602="-","",IFERROR(VALUE(LEFT(Q1602,LEN(Q1602)-2)),""))</f>
        <v>231.16</v>
      </c>
      <c r="BO1602" s="6" t="n">
        <f aca="false">IF(R1602="-","",IFERROR(VALUE(LEFT(R1602,LEN(R1602)-5)),""))</f>
        <v>3.43</v>
      </c>
      <c r="BP1602" s="6" t="n">
        <f aca="false">IF(R1602="-","",IFERROR(VALUE(F1602),""))</f>
        <v>792.5</v>
      </c>
      <c r="BQ1602" s="4" t="n">
        <f aca="false">IF(R1602="-",1,0)</f>
        <v>0</v>
      </c>
    </row>
    <row r="1603" customFormat="false" ht="15" hidden="false" customHeight="false" outlineLevel="0" collapsed="false">
      <c r="A1603" s="0" t="s">
        <v>6006</v>
      </c>
      <c r="B1603" s="0" t="s">
        <v>6007</v>
      </c>
      <c r="C1603" s="0" t="s">
        <v>70</v>
      </c>
      <c r="D1603" s="0" t="s">
        <v>6018</v>
      </c>
      <c r="E1603" s="3" t="n">
        <v>46275</v>
      </c>
      <c r="F1603" s="4" t="s">
        <v>6019</v>
      </c>
      <c r="G1603" s="5" t="n">
        <v>0.464444444444444</v>
      </c>
      <c r="H1603" s="5" t="n">
        <v>0.418877314814815</v>
      </c>
      <c r="I1603" s="5" t="n">
        <v>0.00508101851851852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1</v>
      </c>
      <c r="O1603" s="5" t="n">
        <v>0</v>
      </c>
      <c r="P1603" s="5" t="n">
        <v>0.00927083333333333</v>
      </c>
      <c r="Q1603" s="4" t="s">
        <v>6020</v>
      </c>
      <c r="R1603" s="4" t="s">
        <v>863</v>
      </c>
      <c r="S1603" s="5" t="n">
        <v>0.000115740740740741</v>
      </c>
      <c r="T1603" s="5" t="n">
        <v>0.125115740740741</v>
      </c>
      <c r="U1603" s="5" t="n">
        <v>0.282638888888889</v>
      </c>
      <c r="V1603" s="5" t="n">
        <v>0.0190972222222222</v>
      </c>
      <c r="W1603" s="5" t="n">
        <v>0</v>
      </c>
      <c r="X1603" s="5" t="n">
        <v>0</v>
      </c>
      <c r="Y1603" s="5" t="n">
        <v>0</v>
      </c>
      <c r="Z1603" s="0" t="n">
        <v>0</v>
      </c>
      <c r="AA1603" s="0" t="n">
        <v>0</v>
      </c>
      <c r="AB1603" s="0" t="n">
        <v>0</v>
      </c>
      <c r="AC1603" s="4" t="s">
        <v>208</v>
      </c>
      <c r="AD1603" s="4" t="s">
        <v>994</v>
      </c>
      <c r="AE1603" s="4" t="s">
        <v>6017</v>
      </c>
      <c r="AF1603" s="4" t="s">
        <v>6021</v>
      </c>
      <c r="AG1603" s="5" t="n">
        <v>0.37193287037037</v>
      </c>
      <c r="AH1603" s="5" t="n">
        <v>0.167384259259259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4" t="s">
        <v>78</v>
      </c>
      <c r="AN1603" s="0" t="n">
        <v>0</v>
      </c>
      <c r="AO1603" s="0" t="n">
        <v>0</v>
      </c>
      <c r="AP1603" s="0" t="n">
        <v>0</v>
      </c>
      <c r="AQ1603" s="0" t="n">
        <v>0</v>
      </c>
      <c r="AR1603" s="0" t="n">
        <v>0</v>
      </c>
      <c r="AS1603" s="0" t="n">
        <v>0</v>
      </c>
      <c r="AT1603" s="0" t="n">
        <v>0</v>
      </c>
      <c r="AU1603" s="0" t="n">
        <v>2</v>
      </c>
      <c r="AV1603" s="0" t="n">
        <v>0</v>
      </c>
      <c r="AW1603" s="0" t="n">
        <v>0</v>
      </c>
      <c r="AX1603" s="0" t="n">
        <v>0</v>
      </c>
      <c r="AY1603" s="0" t="n">
        <v>0</v>
      </c>
      <c r="AZ1603" s="0" t="n">
        <v>0</v>
      </c>
      <c r="BA1603" s="0" t="n">
        <v>0</v>
      </c>
      <c r="BB1603" s="0" t="n">
        <v>0</v>
      </c>
      <c r="BC1603" s="0" t="n">
        <v>0</v>
      </c>
      <c r="BD1603" s="0" t="n">
        <v>0</v>
      </c>
      <c r="BE1603" s="0" t="n">
        <v>0</v>
      </c>
      <c r="BF1603" s="0" t="n">
        <v>0</v>
      </c>
      <c r="BG1603" s="0" t="n">
        <v>0</v>
      </c>
      <c r="BH1603" s="0" t="n">
        <v>0</v>
      </c>
      <c r="BI1603" s="0" t="n">
        <v>0</v>
      </c>
      <c r="BJ1603" s="0" t="n">
        <v>0</v>
      </c>
      <c r="BK1603" s="0" t="n">
        <v>0</v>
      </c>
      <c r="BM1603" s="6" t="n">
        <f aca="false">IFERROR(VALUE(F1603),"")</f>
        <v>506.95</v>
      </c>
      <c r="BN1603" s="6" t="n">
        <f aca="false">IF(R1603="-","",IFERROR(VALUE(LEFT(Q1603,LEN(Q1603)-2)),""))</f>
        <v>155.1</v>
      </c>
      <c r="BO1603" s="6" t="n">
        <f aca="false">IF(R1603="-","",IFERROR(VALUE(LEFT(R1603,LEN(R1603)-5)),""))</f>
        <v>3.27</v>
      </c>
      <c r="BP1603" s="6" t="n">
        <f aca="false">IF(R1603="-","",IFERROR(VALUE(F1603),""))</f>
        <v>506.95</v>
      </c>
      <c r="BQ1603" s="4" t="n">
        <f aca="false">IF(R1603="-",1,0)</f>
        <v>0</v>
      </c>
    </row>
    <row r="1604" customFormat="false" ht="15" hidden="false" customHeight="false" outlineLevel="0" collapsed="false">
      <c r="A1604" s="0" t="s">
        <v>6006</v>
      </c>
      <c r="B1604" s="0" t="s">
        <v>6007</v>
      </c>
      <c r="C1604" s="0" t="s">
        <v>70</v>
      </c>
      <c r="D1604" s="0" t="s">
        <v>6022</v>
      </c>
      <c r="E1604" s="3" t="n">
        <v>46276</v>
      </c>
      <c r="F1604" s="4" t="s">
        <v>6023</v>
      </c>
      <c r="G1604" s="5" t="n">
        <v>0.730914351851852</v>
      </c>
      <c r="H1604" s="5" t="n">
        <v>0.706805555555556</v>
      </c>
      <c r="I1604" s="5" t="n">
        <v>0.00635416666666667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2</v>
      </c>
      <c r="O1604" s="5" t="n">
        <v>0</v>
      </c>
      <c r="P1604" s="5" t="n">
        <v>0.0781712962962963</v>
      </c>
      <c r="Q1604" s="4" t="s">
        <v>6024</v>
      </c>
      <c r="R1604" s="4" t="s">
        <v>1832</v>
      </c>
      <c r="S1604" s="5" t="n">
        <v>0.000231481481481482</v>
      </c>
      <c r="T1604" s="5" t="n">
        <v>0.198842592592593</v>
      </c>
      <c r="U1604" s="5" t="n">
        <v>0.48275462962963</v>
      </c>
      <c r="V1604" s="5" t="n">
        <v>0.0365740740740741</v>
      </c>
      <c r="W1604" s="5" t="n">
        <v>0</v>
      </c>
      <c r="X1604" s="5" t="n">
        <v>0</v>
      </c>
      <c r="Y1604" s="5" t="n">
        <v>0</v>
      </c>
      <c r="Z1604" s="0" t="n">
        <v>0</v>
      </c>
      <c r="AA1604" s="0" t="n">
        <v>0</v>
      </c>
      <c r="AB1604" s="0" t="n">
        <v>0</v>
      </c>
      <c r="AC1604" s="4" t="s">
        <v>994</v>
      </c>
      <c r="AD1604" s="4" t="s">
        <v>5055</v>
      </c>
      <c r="AE1604" s="4" t="s">
        <v>6025</v>
      </c>
      <c r="AF1604" s="4" t="s">
        <v>6026</v>
      </c>
      <c r="AG1604" s="5" t="n">
        <v>0.601030092592593</v>
      </c>
      <c r="AH1604" s="5" t="n">
        <v>0.246701388888889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4" t="s">
        <v>78</v>
      </c>
      <c r="AN1604" s="0" t="n">
        <v>0</v>
      </c>
      <c r="AO1604" s="0" t="n">
        <v>0</v>
      </c>
      <c r="AP1604" s="0" t="n">
        <v>0</v>
      </c>
      <c r="AQ1604" s="0" t="n">
        <v>0</v>
      </c>
      <c r="AR1604" s="0" t="n">
        <v>1</v>
      </c>
      <c r="AS1604" s="0" t="n">
        <v>0</v>
      </c>
      <c r="AT1604" s="0" t="n">
        <v>0</v>
      </c>
      <c r="AU1604" s="0" t="n">
        <v>1</v>
      </c>
      <c r="AV1604" s="0" t="n">
        <v>0</v>
      </c>
      <c r="AW1604" s="0" t="n">
        <v>1</v>
      </c>
      <c r="AX1604" s="0" t="n">
        <v>0</v>
      </c>
      <c r="AY1604" s="0" t="n">
        <v>0</v>
      </c>
      <c r="AZ1604" s="0" t="n">
        <v>0</v>
      </c>
      <c r="BA1604" s="0" t="n">
        <v>0</v>
      </c>
      <c r="BB1604" s="0" t="n">
        <v>0</v>
      </c>
      <c r="BC1604" s="0" t="n">
        <v>0</v>
      </c>
      <c r="BD1604" s="0" t="n">
        <v>0</v>
      </c>
      <c r="BE1604" s="0" t="n">
        <v>0</v>
      </c>
      <c r="BF1604" s="0" t="n">
        <v>0</v>
      </c>
      <c r="BG1604" s="0" t="n">
        <v>0</v>
      </c>
      <c r="BH1604" s="0" t="n">
        <v>0</v>
      </c>
      <c r="BI1604" s="0" t="n">
        <v>0</v>
      </c>
      <c r="BJ1604" s="0" t="n">
        <v>0</v>
      </c>
      <c r="BK1604" s="0" t="n">
        <v>0</v>
      </c>
      <c r="BM1604" s="6" t="n">
        <f aca="false">IFERROR(VALUE(F1604),"")</f>
        <v>826.11</v>
      </c>
      <c r="BN1604" s="6" t="n">
        <f aca="false">IF(R1604="-","",IFERROR(VALUE(LEFT(Q1604,LEN(Q1604)-2)),""))</f>
        <v>239.93</v>
      </c>
      <c r="BO1604" s="6" t="n">
        <f aca="false">IF(R1604="-","",IFERROR(VALUE(LEFT(R1604,LEN(R1604)-5)),""))</f>
        <v>3.44</v>
      </c>
      <c r="BP1604" s="6" t="n">
        <f aca="false">IF(R1604="-","",IFERROR(VALUE(F1604),""))</f>
        <v>826.11</v>
      </c>
      <c r="BQ1604" s="4" t="n">
        <f aca="false">IF(R1604="-",1,0)</f>
        <v>0</v>
      </c>
    </row>
    <row r="1605" customFormat="false" ht="15" hidden="false" customHeight="false" outlineLevel="0" collapsed="false">
      <c r="A1605" s="0" t="s">
        <v>6006</v>
      </c>
      <c r="B1605" s="0" t="s">
        <v>6007</v>
      </c>
      <c r="C1605" s="0" t="s">
        <v>70</v>
      </c>
      <c r="D1605" s="0" t="s">
        <v>5442</v>
      </c>
      <c r="E1605" s="3" t="n">
        <v>46277</v>
      </c>
      <c r="F1605" s="4" t="s">
        <v>6027</v>
      </c>
      <c r="G1605" s="5" t="n">
        <v>0.498865740740741</v>
      </c>
      <c r="H1605" s="5" t="n">
        <v>0.424293981481482</v>
      </c>
      <c r="I1605" s="5" t="n">
        <v>0.00231481481481482</v>
      </c>
      <c r="J1605" s="0" t="n">
        <v>0</v>
      </c>
      <c r="K1605" s="0" t="n">
        <v>1</v>
      </c>
      <c r="L1605" s="0" t="n">
        <v>0</v>
      </c>
      <c r="M1605" s="0" t="n">
        <v>0</v>
      </c>
      <c r="N1605" s="0" t="n">
        <v>1</v>
      </c>
      <c r="O1605" s="5" t="n">
        <v>0</v>
      </c>
      <c r="P1605" s="5" t="n">
        <v>0.0635300925925926</v>
      </c>
      <c r="Q1605" s="4" t="s">
        <v>6028</v>
      </c>
      <c r="R1605" s="4" t="s">
        <v>2371</v>
      </c>
      <c r="S1605" s="5" t="n">
        <v>0.000231481481481482</v>
      </c>
      <c r="T1605" s="5" t="n">
        <v>0.146064814814815</v>
      </c>
      <c r="U1605" s="5" t="n">
        <v>0.276736111111111</v>
      </c>
      <c r="V1605" s="5" t="n">
        <v>0.0202546296296296</v>
      </c>
      <c r="W1605" s="5" t="n">
        <v>0</v>
      </c>
      <c r="X1605" s="5" t="n">
        <v>0</v>
      </c>
      <c r="Y1605" s="5" t="n">
        <v>0</v>
      </c>
      <c r="Z1605" s="0" t="n">
        <v>0</v>
      </c>
      <c r="AA1605" s="0" t="n">
        <v>0</v>
      </c>
      <c r="AB1605" s="0" t="n">
        <v>0</v>
      </c>
      <c r="AC1605" s="4" t="s">
        <v>5055</v>
      </c>
      <c r="AD1605" s="4" t="s">
        <v>208</v>
      </c>
      <c r="AE1605" s="4" t="s">
        <v>6026</v>
      </c>
      <c r="AF1605" s="4" t="s">
        <v>6029</v>
      </c>
      <c r="AG1605" s="5" t="n">
        <v>0.344953703703704</v>
      </c>
      <c r="AH1605" s="5" t="n">
        <v>0.214537037037037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4" t="s">
        <v>78</v>
      </c>
      <c r="AN1605" s="0" t="n">
        <v>0</v>
      </c>
      <c r="AO1605" s="0" t="n">
        <v>0</v>
      </c>
      <c r="AP1605" s="0" t="n">
        <v>0</v>
      </c>
      <c r="AQ1605" s="0" t="n">
        <v>0</v>
      </c>
      <c r="AR1605" s="0" t="n">
        <v>0</v>
      </c>
      <c r="AS1605" s="0" t="n">
        <v>0</v>
      </c>
      <c r="AT1605" s="0" t="n">
        <v>0</v>
      </c>
      <c r="AU1605" s="0" t="n">
        <v>3</v>
      </c>
      <c r="AV1605" s="0" t="n">
        <v>0</v>
      </c>
      <c r="AW1605" s="0" t="n">
        <v>0</v>
      </c>
      <c r="AX1605" s="0" t="n">
        <v>0</v>
      </c>
      <c r="AY1605" s="0" t="n">
        <v>0</v>
      </c>
      <c r="AZ1605" s="0" t="n">
        <v>0</v>
      </c>
      <c r="BA1605" s="0" t="n">
        <v>0</v>
      </c>
      <c r="BB1605" s="0" t="n">
        <v>0</v>
      </c>
      <c r="BC1605" s="0" t="n">
        <v>0</v>
      </c>
      <c r="BD1605" s="0" t="n">
        <v>0</v>
      </c>
      <c r="BE1605" s="0" t="n">
        <v>0</v>
      </c>
      <c r="BF1605" s="0" t="n">
        <v>0</v>
      </c>
      <c r="BG1605" s="0" t="n">
        <v>0</v>
      </c>
      <c r="BH1605" s="0" t="n">
        <v>0</v>
      </c>
      <c r="BI1605" s="0" t="n">
        <v>0</v>
      </c>
      <c r="BJ1605" s="0" t="n">
        <v>0</v>
      </c>
      <c r="BK1605" s="0" t="n">
        <v>0</v>
      </c>
      <c r="BM1605" s="6" t="n">
        <f aca="false">IFERROR(VALUE(F1605),"")</f>
        <v>442.36</v>
      </c>
      <c r="BN1605" s="6" t="n">
        <f aca="false">IF(R1605="-","",IFERROR(VALUE(LEFT(Q1605,LEN(Q1605)-2)),""))</f>
        <v>133.58</v>
      </c>
      <c r="BO1605" s="6" t="n">
        <f aca="false">IF(R1605="-","",IFERROR(VALUE(LEFT(R1605,LEN(R1605)-5)),""))</f>
        <v>3.31</v>
      </c>
      <c r="BP1605" s="6" t="n">
        <f aca="false">IF(R1605="-","",IFERROR(VALUE(F1605),""))</f>
        <v>442.36</v>
      </c>
      <c r="BQ1605" s="4" t="n">
        <f aca="false">IF(R1605="-",1,0)</f>
        <v>0</v>
      </c>
    </row>
    <row r="1606" customFormat="false" ht="15" hidden="false" customHeight="false" outlineLevel="0" collapsed="false">
      <c r="A1606" s="0" t="s">
        <v>6006</v>
      </c>
      <c r="B1606" s="0" t="s">
        <v>6007</v>
      </c>
      <c r="C1606" s="0" t="s">
        <v>70</v>
      </c>
      <c r="D1606" s="0" t="s">
        <v>6030</v>
      </c>
      <c r="E1606" s="3" t="n">
        <v>46278</v>
      </c>
      <c r="F1606" s="4" t="s">
        <v>6031</v>
      </c>
      <c r="G1606" s="5" t="n">
        <v>0.615092592592593</v>
      </c>
      <c r="H1606" s="5" t="n">
        <v>0.604849537037037</v>
      </c>
      <c r="I1606" s="5" t="n">
        <v>0.0028125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2</v>
      </c>
      <c r="O1606" s="5" t="n">
        <v>0</v>
      </c>
      <c r="P1606" s="5" t="n">
        <v>0.0390046296296296</v>
      </c>
      <c r="Q1606" s="4" t="s">
        <v>6032</v>
      </c>
      <c r="R1606" s="4" t="s">
        <v>3125</v>
      </c>
      <c r="S1606" s="5" t="n">
        <v>0.000231481481481482</v>
      </c>
      <c r="T1606" s="5" t="n">
        <v>0.118287037037037</v>
      </c>
      <c r="U1606" s="5" t="n">
        <v>0.294328703703704</v>
      </c>
      <c r="V1606" s="5" t="n">
        <v>0.0195601851851852</v>
      </c>
      <c r="W1606" s="5" t="n">
        <v>0</v>
      </c>
      <c r="X1606" s="5" t="n">
        <v>0</v>
      </c>
      <c r="Y1606" s="5" t="n">
        <v>0</v>
      </c>
      <c r="Z1606" s="0" t="n">
        <v>0</v>
      </c>
      <c r="AA1606" s="0" t="n">
        <v>0</v>
      </c>
      <c r="AB1606" s="0" t="n">
        <v>0</v>
      </c>
      <c r="AC1606" s="4" t="s">
        <v>208</v>
      </c>
      <c r="AD1606" s="4" t="s">
        <v>994</v>
      </c>
      <c r="AE1606" s="4" t="s">
        <v>6029</v>
      </c>
      <c r="AF1606" s="4" t="s">
        <v>6033</v>
      </c>
      <c r="AG1606" s="5" t="n">
        <v>0.366388888888889</v>
      </c>
      <c r="AH1606" s="5" t="n">
        <v>0.265173611111111</v>
      </c>
      <c r="AI1606" s="5" t="n">
        <v>0</v>
      </c>
      <c r="AJ1606" s="5" t="n">
        <v>0</v>
      </c>
      <c r="AK1606" s="5" t="n">
        <v>0</v>
      </c>
      <c r="AL1606" s="5" t="n">
        <v>0</v>
      </c>
      <c r="AM1606" s="4" t="s">
        <v>78</v>
      </c>
      <c r="AN1606" s="0" t="n">
        <v>0</v>
      </c>
      <c r="AO1606" s="0" t="n">
        <v>0</v>
      </c>
      <c r="AP1606" s="0" t="n">
        <v>0</v>
      </c>
      <c r="AQ1606" s="0" t="n">
        <v>0</v>
      </c>
      <c r="AR1606" s="0" t="n">
        <v>0</v>
      </c>
      <c r="AS1606" s="0" t="n">
        <v>0</v>
      </c>
      <c r="AT1606" s="0" t="n">
        <v>0</v>
      </c>
      <c r="AU1606" s="0" t="n">
        <v>2</v>
      </c>
      <c r="AV1606" s="0" t="n">
        <v>0</v>
      </c>
      <c r="AW1606" s="0" t="n">
        <v>1</v>
      </c>
      <c r="AX1606" s="0" t="n">
        <v>0</v>
      </c>
      <c r="AY1606" s="0" t="n">
        <v>0</v>
      </c>
      <c r="AZ1606" s="0" t="n">
        <v>0</v>
      </c>
      <c r="BA1606" s="0" t="n">
        <v>0</v>
      </c>
      <c r="BB1606" s="0" t="n">
        <v>0</v>
      </c>
      <c r="BC1606" s="0" t="n">
        <v>0</v>
      </c>
      <c r="BD1606" s="0" t="n">
        <v>0</v>
      </c>
      <c r="BE1606" s="0" t="n">
        <v>0</v>
      </c>
      <c r="BF1606" s="0" t="n">
        <v>0</v>
      </c>
      <c r="BG1606" s="0" t="n">
        <v>0</v>
      </c>
      <c r="BH1606" s="0" t="n">
        <v>0</v>
      </c>
      <c r="BI1606" s="0" t="n">
        <v>0</v>
      </c>
      <c r="BJ1606" s="0" t="n">
        <v>0</v>
      </c>
      <c r="BK1606" s="0" t="n">
        <v>0</v>
      </c>
      <c r="BM1606" s="6" t="n">
        <f aca="false">IFERROR(VALUE(F1606),"")</f>
        <v>503.02</v>
      </c>
      <c r="BN1606" s="6" t="n">
        <f aca="false">IF(R1606="-","",IFERROR(VALUE(LEFT(Q1606,LEN(Q1606)-2)),""))</f>
        <v>142.75</v>
      </c>
      <c r="BO1606" s="6" t="n">
        <f aca="false">IF(R1606="-","",IFERROR(VALUE(LEFT(R1606,LEN(R1606)-5)),""))</f>
        <v>3.52</v>
      </c>
      <c r="BP1606" s="6" t="n">
        <f aca="false">IF(R1606="-","",IFERROR(VALUE(F1606),""))</f>
        <v>503.02</v>
      </c>
      <c r="BQ1606" s="4" t="n">
        <f aca="false">IF(R1606="-",1,0)</f>
        <v>0</v>
      </c>
    </row>
    <row r="1607" customFormat="false" ht="15" hidden="false" customHeight="false" outlineLevel="0" collapsed="false">
      <c r="A1607" s="0" t="s">
        <v>6006</v>
      </c>
      <c r="B1607" s="0" t="s">
        <v>6007</v>
      </c>
      <c r="C1607" s="0" t="s">
        <v>70</v>
      </c>
      <c r="D1607" s="0" t="s">
        <v>6013</v>
      </c>
      <c r="E1607" s="3" t="n">
        <v>46279</v>
      </c>
      <c r="F1607" s="4" t="s">
        <v>6034</v>
      </c>
      <c r="G1607" s="5" t="n">
        <v>0.733113425925926</v>
      </c>
      <c r="H1607" s="5" t="n">
        <v>0.643055555555556</v>
      </c>
      <c r="I1607" s="5" t="n">
        <v>0.0025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1</v>
      </c>
      <c r="O1607" s="5" t="n">
        <v>0</v>
      </c>
      <c r="P1607" s="5" t="n">
        <v>0.0351157407407407</v>
      </c>
      <c r="Q1607" s="4" t="s">
        <v>6035</v>
      </c>
      <c r="R1607" s="4" t="s">
        <v>937</v>
      </c>
      <c r="S1607" s="5" t="n">
        <v>0</v>
      </c>
      <c r="T1607" s="5" t="n">
        <v>0.13912037037037</v>
      </c>
      <c r="U1607" s="5" t="n">
        <v>0.484722222222222</v>
      </c>
      <c r="V1607" s="5" t="n">
        <v>0.0482638888888889</v>
      </c>
      <c r="W1607" s="5" t="n">
        <v>0</v>
      </c>
      <c r="X1607" s="5" t="n">
        <v>0</v>
      </c>
      <c r="Y1607" s="5" t="n">
        <v>0</v>
      </c>
      <c r="Z1607" s="0" t="n">
        <v>0</v>
      </c>
      <c r="AA1607" s="0" t="n">
        <v>0</v>
      </c>
      <c r="AB1607" s="0" t="n">
        <v>0</v>
      </c>
      <c r="AC1607" s="4" t="s">
        <v>994</v>
      </c>
      <c r="AD1607" s="4" t="s">
        <v>5055</v>
      </c>
      <c r="AE1607" s="4" t="s">
        <v>6036</v>
      </c>
      <c r="AF1607" s="4" t="s">
        <v>6037</v>
      </c>
      <c r="AG1607" s="5" t="n">
        <v>0.587951388888889</v>
      </c>
      <c r="AH1607" s="5" t="n">
        <v>0.21349537037037</v>
      </c>
      <c r="AI1607" s="5" t="n">
        <v>0</v>
      </c>
      <c r="AJ1607" s="5" t="n">
        <v>0</v>
      </c>
      <c r="AK1607" s="5" t="n">
        <v>0</v>
      </c>
      <c r="AL1607" s="5" t="n">
        <v>0</v>
      </c>
      <c r="AM1607" s="4" t="s">
        <v>78</v>
      </c>
      <c r="AN1607" s="0" t="n">
        <v>0</v>
      </c>
      <c r="AO1607" s="0" t="n">
        <v>0</v>
      </c>
      <c r="AP1607" s="0" t="n">
        <v>0</v>
      </c>
      <c r="AQ1607" s="0" t="n">
        <v>0</v>
      </c>
      <c r="AR1607" s="0" t="n">
        <v>0</v>
      </c>
      <c r="AS1607" s="0" t="n">
        <v>0</v>
      </c>
      <c r="AT1607" s="0" t="n">
        <v>0</v>
      </c>
      <c r="AU1607" s="0" t="n">
        <v>8</v>
      </c>
      <c r="AV1607" s="0" t="n">
        <v>0</v>
      </c>
      <c r="AW1607" s="0" t="n">
        <v>2</v>
      </c>
      <c r="AX1607" s="0" t="n">
        <v>0</v>
      </c>
      <c r="AY1607" s="0" t="n">
        <v>0</v>
      </c>
      <c r="AZ1607" s="0" t="n">
        <v>0</v>
      </c>
      <c r="BA1607" s="0" t="n">
        <v>0</v>
      </c>
      <c r="BB1607" s="0" t="n">
        <v>0</v>
      </c>
      <c r="BC1607" s="0" t="n">
        <v>0</v>
      </c>
      <c r="BD1607" s="0" t="n">
        <v>0</v>
      </c>
      <c r="BE1607" s="0" t="n">
        <v>0</v>
      </c>
      <c r="BF1607" s="0" t="n">
        <v>0</v>
      </c>
      <c r="BG1607" s="0" t="n">
        <v>0</v>
      </c>
      <c r="BH1607" s="0" t="n">
        <v>0</v>
      </c>
      <c r="BI1607" s="0" t="n">
        <v>0</v>
      </c>
      <c r="BJ1607" s="0" t="n">
        <v>0</v>
      </c>
      <c r="BK1607" s="0" t="n">
        <v>0</v>
      </c>
      <c r="BM1607" s="6" t="n">
        <f aca="false">IFERROR(VALUE(F1607),"")</f>
        <v>821.32</v>
      </c>
      <c r="BN1607" s="6" t="n">
        <f aca="false">IF(R1607="-","",IFERROR(VALUE(LEFT(Q1607,LEN(Q1607)-2)),""))</f>
        <v>246.52</v>
      </c>
      <c r="BO1607" s="6" t="n">
        <f aca="false">IF(R1607="-","",IFERROR(VALUE(LEFT(R1607,LEN(R1607)-5)),""))</f>
        <v>3.33</v>
      </c>
      <c r="BP1607" s="6" t="n">
        <f aca="false">IF(R1607="-","",IFERROR(VALUE(F1607),""))</f>
        <v>821.32</v>
      </c>
      <c r="BQ1607" s="4" t="n">
        <f aca="false">IF(R1607="-",1,0)</f>
        <v>0</v>
      </c>
    </row>
    <row r="1608" customFormat="false" ht="15" hidden="false" customHeight="false" outlineLevel="0" collapsed="false">
      <c r="A1608" s="0" t="s">
        <v>6038</v>
      </c>
      <c r="B1608" s="0" t="s">
        <v>6039</v>
      </c>
      <c r="C1608" s="0" t="s">
        <v>70</v>
      </c>
      <c r="E1608" s="3" t="n">
        <v>46273</v>
      </c>
      <c r="F1608" s="4" t="s">
        <v>6040</v>
      </c>
      <c r="G1608" s="5" t="n">
        <v>0.0829050925925926</v>
      </c>
      <c r="H1608" s="5" t="n">
        <v>0</v>
      </c>
      <c r="I1608" s="5" t="n">
        <v>0.000231481481481482</v>
      </c>
      <c r="J1608" s="0" t="n">
        <v>0</v>
      </c>
      <c r="K1608" s="0" t="n">
        <v>2</v>
      </c>
      <c r="L1608" s="0" t="n">
        <v>0</v>
      </c>
      <c r="M1608" s="0" t="n">
        <v>0</v>
      </c>
      <c r="N1608" s="0" t="n">
        <v>1</v>
      </c>
      <c r="O1608" s="5" t="n">
        <v>0</v>
      </c>
      <c r="P1608" s="5" t="n">
        <v>0</v>
      </c>
      <c r="Q1608" s="4" t="s">
        <v>6041</v>
      </c>
      <c r="R1608" s="4" t="s">
        <v>3535</v>
      </c>
      <c r="S1608" s="5" t="n">
        <v>0</v>
      </c>
      <c r="T1608" s="5" t="n">
        <v>0.0236111111111111</v>
      </c>
      <c r="U1608" s="5" t="n">
        <v>0.0217592592592593</v>
      </c>
      <c r="V1608" s="5" t="n">
        <v>0.034537037037037</v>
      </c>
      <c r="W1608" s="5" t="n">
        <v>0.000520833333333333</v>
      </c>
      <c r="X1608" s="5" t="n">
        <v>0</v>
      </c>
      <c r="Y1608" s="5" t="n">
        <v>0</v>
      </c>
      <c r="Z1608" s="0" t="n">
        <v>0</v>
      </c>
      <c r="AA1608" s="0" t="n">
        <v>0</v>
      </c>
      <c r="AB1608" s="0" t="n">
        <v>0</v>
      </c>
      <c r="AC1608" s="4" t="s">
        <v>159</v>
      </c>
      <c r="AD1608" s="4" t="s">
        <v>159</v>
      </c>
      <c r="AE1608" s="4" t="s">
        <v>6042</v>
      </c>
      <c r="AF1608" s="4" t="s">
        <v>6043</v>
      </c>
      <c r="AG1608" s="5" t="n">
        <v>0.0772337962962963</v>
      </c>
      <c r="AH1608" s="5" t="n">
        <v>0.0121412037037037</v>
      </c>
      <c r="AI1608" s="5" t="n">
        <v>0</v>
      </c>
      <c r="AJ1608" s="5" t="n">
        <v>0</v>
      </c>
      <c r="AK1608" s="5" t="n">
        <v>0</v>
      </c>
      <c r="AL1608" s="5" t="n">
        <v>0</v>
      </c>
      <c r="AM1608" s="4" t="s">
        <v>78</v>
      </c>
      <c r="AN1608" s="0" t="n">
        <v>0</v>
      </c>
      <c r="AO1608" s="0" t="n">
        <v>0</v>
      </c>
      <c r="AP1608" s="0" t="n">
        <v>0</v>
      </c>
      <c r="AQ1608" s="0" t="n">
        <v>0</v>
      </c>
      <c r="AR1608" s="0" t="n">
        <v>0</v>
      </c>
      <c r="AS1608" s="0" t="n">
        <v>0</v>
      </c>
      <c r="AT1608" s="0" t="n">
        <v>0</v>
      </c>
      <c r="AU1608" s="0" t="n">
        <v>0</v>
      </c>
      <c r="AV1608" s="0" t="n">
        <v>0</v>
      </c>
      <c r="AW1608" s="0" t="n">
        <v>0</v>
      </c>
      <c r="AX1608" s="0" t="n">
        <v>0</v>
      </c>
      <c r="AY1608" s="0" t="n">
        <v>0</v>
      </c>
      <c r="AZ1608" s="0" t="n">
        <v>0</v>
      </c>
      <c r="BA1608" s="0" t="n">
        <v>0</v>
      </c>
      <c r="BB1608" s="0" t="n">
        <v>0</v>
      </c>
      <c r="BC1608" s="0" t="n">
        <v>0</v>
      </c>
      <c r="BD1608" s="0" t="n">
        <v>0</v>
      </c>
      <c r="BE1608" s="0" t="n">
        <v>0</v>
      </c>
      <c r="BF1608" s="0" t="n">
        <v>0</v>
      </c>
      <c r="BG1608" s="0" t="n">
        <v>0</v>
      </c>
      <c r="BH1608" s="0" t="n">
        <v>0</v>
      </c>
      <c r="BI1608" s="0" t="n">
        <v>0</v>
      </c>
      <c r="BJ1608" s="0" t="n">
        <v>0</v>
      </c>
      <c r="BK1608" s="0" t="n">
        <v>0</v>
      </c>
      <c r="BM1608" s="6" t="n">
        <f aca="false">IFERROR(VALUE(F1608),"")</f>
        <v>65.58</v>
      </c>
      <c r="BN1608" s="6" t="n">
        <f aca="false">IF(R1608="-","",IFERROR(VALUE(LEFT(Q1608,LEN(Q1608)-2)),""))</f>
        <v>14.8</v>
      </c>
      <c r="BO1608" s="6" t="n">
        <f aca="false">IF(R1608="-","",IFERROR(VALUE(LEFT(R1608,LEN(R1608)-5)),""))</f>
        <v>4.43</v>
      </c>
      <c r="BP1608" s="6" t="n">
        <f aca="false">IF(R1608="-","",IFERROR(VALUE(F1608),""))</f>
        <v>65.58</v>
      </c>
      <c r="BQ1608" s="4" t="n">
        <f aca="false">IF(R1608="-",1,0)</f>
        <v>0</v>
      </c>
    </row>
    <row r="1609" customFormat="false" ht="15" hidden="false" customHeight="false" outlineLevel="0" collapsed="false">
      <c r="A1609" s="0" t="s">
        <v>6038</v>
      </c>
      <c r="B1609" s="0" t="s">
        <v>6039</v>
      </c>
      <c r="C1609" s="0" t="s">
        <v>70</v>
      </c>
      <c r="E1609" s="3" t="n">
        <v>46274</v>
      </c>
      <c r="F1609" s="4" t="s">
        <v>6044</v>
      </c>
      <c r="G1609" s="5" t="n">
        <v>0.136064814814815</v>
      </c>
      <c r="H1609" s="5" t="n">
        <v>0</v>
      </c>
      <c r="I1609" s="5" t="n">
        <v>0.000532407407407407</v>
      </c>
      <c r="J1609" s="0" t="n">
        <v>0</v>
      </c>
      <c r="K1609" s="0" t="n">
        <v>1</v>
      </c>
      <c r="L1609" s="0" t="n">
        <v>0</v>
      </c>
      <c r="M1609" s="0" t="n">
        <v>0</v>
      </c>
      <c r="N1609" s="0" t="n">
        <v>3</v>
      </c>
      <c r="O1609" s="5" t="n">
        <v>0</v>
      </c>
      <c r="P1609" s="5" t="n">
        <v>0</v>
      </c>
      <c r="Q1609" s="4" t="s">
        <v>6045</v>
      </c>
      <c r="R1609" s="4" t="s">
        <v>587</v>
      </c>
      <c r="S1609" s="5" t="n">
        <v>0</v>
      </c>
      <c r="T1609" s="5" t="n">
        <v>0.0402777777777778</v>
      </c>
      <c r="U1609" s="5" t="n">
        <v>0.0415509259259259</v>
      </c>
      <c r="V1609" s="5" t="n">
        <v>0.0510185185185185</v>
      </c>
      <c r="W1609" s="5" t="n">
        <v>0.000717592592592593</v>
      </c>
      <c r="X1609" s="5" t="n">
        <v>0</v>
      </c>
      <c r="Y1609" s="5" t="n">
        <v>0</v>
      </c>
      <c r="Z1609" s="0" t="n">
        <v>0</v>
      </c>
      <c r="AA1609" s="0" t="n">
        <v>0</v>
      </c>
      <c r="AB1609" s="0" t="n">
        <v>0</v>
      </c>
      <c r="AC1609" s="4" t="s">
        <v>159</v>
      </c>
      <c r="AD1609" s="4" t="s">
        <v>159</v>
      </c>
      <c r="AE1609" s="4" t="s">
        <v>6043</v>
      </c>
      <c r="AF1609" s="4" t="s">
        <v>6046</v>
      </c>
      <c r="AG1609" s="5" t="n">
        <v>0.124108796296296</v>
      </c>
      <c r="AH1609" s="5" t="n">
        <v>0.0505324074074074</v>
      </c>
      <c r="AI1609" s="5" t="n">
        <v>0</v>
      </c>
      <c r="AJ1609" s="5" t="n">
        <v>0</v>
      </c>
      <c r="AK1609" s="5" t="n">
        <v>0</v>
      </c>
      <c r="AL1609" s="5" t="n">
        <v>0</v>
      </c>
      <c r="AM1609" s="4" t="s">
        <v>78</v>
      </c>
      <c r="AN1609" s="0" t="n">
        <v>0</v>
      </c>
      <c r="AO1609" s="0" t="n">
        <v>0</v>
      </c>
      <c r="AP1609" s="0" t="n">
        <v>0</v>
      </c>
      <c r="AQ1609" s="0" t="n">
        <v>0</v>
      </c>
      <c r="AR1609" s="0" t="n">
        <v>0</v>
      </c>
      <c r="AS1609" s="0" t="n">
        <v>0</v>
      </c>
      <c r="AT1609" s="0" t="n">
        <v>0</v>
      </c>
      <c r="AU1609" s="0" t="n">
        <v>5</v>
      </c>
      <c r="AV1609" s="0" t="n">
        <v>0</v>
      </c>
      <c r="AW1609" s="0" t="n">
        <v>0</v>
      </c>
      <c r="AX1609" s="0" t="n">
        <v>0</v>
      </c>
      <c r="AY1609" s="0" t="n">
        <v>0</v>
      </c>
      <c r="AZ1609" s="0" t="n">
        <v>0</v>
      </c>
      <c r="BA1609" s="0" t="n">
        <v>0</v>
      </c>
      <c r="BB1609" s="0" t="n">
        <v>0</v>
      </c>
      <c r="BC1609" s="0" t="n">
        <v>0</v>
      </c>
      <c r="BD1609" s="0" t="n">
        <v>0</v>
      </c>
      <c r="BE1609" s="0" t="n">
        <v>0</v>
      </c>
      <c r="BF1609" s="0" t="n">
        <v>0</v>
      </c>
      <c r="BG1609" s="0" t="n">
        <v>0</v>
      </c>
      <c r="BH1609" s="0" t="n">
        <v>0</v>
      </c>
      <c r="BI1609" s="0" t="n">
        <v>0</v>
      </c>
      <c r="BJ1609" s="0" t="n">
        <v>0</v>
      </c>
      <c r="BK1609" s="0" t="n">
        <v>0</v>
      </c>
      <c r="BM1609" s="6" t="n">
        <f aca="false">IFERROR(VALUE(F1609),"")</f>
        <v>97.51</v>
      </c>
      <c r="BN1609" s="6" t="n">
        <f aca="false">IF(R1609="-","",IFERROR(VALUE(LEFT(Q1609,LEN(Q1609)-2)),""))</f>
        <v>22.69</v>
      </c>
      <c r="BO1609" s="6" t="n">
        <f aca="false">IF(R1609="-","",IFERROR(VALUE(LEFT(R1609,LEN(R1609)-5)),""))</f>
        <v>4.3</v>
      </c>
      <c r="BP1609" s="6" t="n">
        <f aca="false">IF(R1609="-","",IFERROR(VALUE(F1609),""))</f>
        <v>97.51</v>
      </c>
      <c r="BQ1609" s="4" t="n">
        <f aca="false">IF(R1609="-",1,0)</f>
        <v>0</v>
      </c>
    </row>
    <row r="1610" customFormat="false" ht="15" hidden="false" customHeight="false" outlineLevel="0" collapsed="false">
      <c r="A1610" s="0" t="s">
        <v>6038</v>
      </c>
      <c r="B1610" s="0" t="s">
        <v>6039</v>
      </c>
      <c r="C1610" s="0" t="s">
        <v>70</v>
      </c>
      <c r="E1610" s="3" t="n">
        <v>46275</v>
      </c>
      <c r="F1610" s="4" t="s">
        <v>6047</v>
      </c>
      <c r="G1610" s="5" t="n">
        <v>0.101331018518519</v>
      </c>
      <c r="H1610" s="5" t="n">
        <v>0</v>
      </c>
      <c r="I1610" s="5" t="n">
        <v>0.000578703703703704</v>
      </c>
      <c r="J1610" s="0" t="n">
        <v>0</v>
      </c>
      <c r="K1610" s="0" t="n">
        <v>3</v>
      </c>
      <c r="L1610" s="0" t="n">
        <v>0</v>
      </c>
      <c r="M1610" s="0" t="n">
        <v>0</v>
      </c>
      <c r="N1610" s="0" t="n">
        <v>1</v>
      </c>
      <c r="O1610" s="5" t="n">
        <v>0</v>
      </c>
      <c r="P1610" s="5" t="n">
        <v>0</v>
      </c>
      <c r="Q1610" s="4" t="s">
        <v>3567</v>
      </c>
      <c r="R1610" s="4" t="s">
        <v>6048</v>
      </c>
      <c r="S1610" s="5" t="n">
        <v>0</v>
      </c>
      <c r="T1610" s="5" t="n">
        <v>0.0311342592592593</v>
      </c>
      <c r="U1610" s="5" t="n">
        <v>0.0180555555555556</v>
      </c>
      <c r="V1610" s="5" t="n">
        <v>0.0370833333333333</v>
      </c>
      <c r="W1610" s="5" t="n">
        <v>0.000925925925925926</v>
      </c>
      <c r="X1610" s="5" t="n">
        <v>0</v>
      </c>
      <c r="Y1610" s="5" t="n">
        <v>0</v>
      </c>
      <c r="Z1610" s="0" t="n">
        <v>0</v>
      </c>
      <c r="AA1610" s="0" t="n">
        <v>0</v>
      </c>
      <c r="AB1610" s="0" t="n">
        <v>0</v>
      </c>
      <c r="AC1610" s="4" t="s">
        <v>159</v>
      </c>
      <c r="AD1610" s="4" t="s">
        <v>159</v>
      </c>
      <c r="AE1610" s="4" t="s">
        <v>6046</v>
      </c>
      <c r="AF1610" s="4" t="s">
        <v>6049</v>
      </c>
      <c r="AG1610" s="5" t="n">
        <v>0.0741782407407407</v>
      </c>
      <c r="AH1610" s="5" t="n">
        <v>0.0633680555555556</v>
      </c>
      <c r="AI1610" s="5" t="n">
        <v>0</v>
      </c>
      <c r="AJ1610" s="5" t="n">
        <v>0</v>
      </c>
      <c r="AK1610" s="5" t="n">
        <v>0</v>
      </c>
      <c r="AL1610" s="5" t="n">
        <v>0</v>
      </c>
      <c r="AM1610" s="4" t="s">
        <v>78</v>
      </c>
      <c r="AN1610" s="0" t="n">
        <v>0</v>
      </c>
      <c r="AO1610" s="0" t="n">
        <v>0</v>
      </c>
      <c r="AP1610" s="0" t="n">
        <v>0</v>
      </c>
      <c r="AQ1610" s="0" t="n">
        <v>0</v>
      </c>
      <c r="AR1610" s="0" t="n">
        <v>1</v>
      </c>
      <c r="AS1610" s="0" t="n">
        <v>0</v>
      </c>
      <c r="AT1610" s="0" t="n">
        <v>0</v>
      </c>
      <c r="AU1610" s="0" t="n">
        <v>2</v>
      </c>
      <c r="AV1610" s="0" t="n">
        <v>0</v>
      </c>
      <c r="AW1610" s="0" t="n">
        <v>0</v>
      </c>
      <c r="AX1610" s="0" t="n">
        <v>0</v>
      </c>
      <c r="AY1610" s="0" t="n">
        <v>0</v>
      </c>
      <c r="AZ1610" s="0" t="n">
        <v>0</v>
      </c>
      <c r="BA1610" s="0" t="n">
        <v>0</v>
      </c>
      <c r="BB1610" s="0" t="n">
        <v>0</v>
      </c>
      <c r="BC1610" s="0" t="n">
        <v>0</v>
      </c>
      <c r="BD1610" s="0" t="n">
        <v>0</v>
      </c>
      <c r="BE1610" s="0" t="n">
        <v>0</v>
      </c>
      <c r="BF1610" s="0" t="n">
        <v>0</v>
      </c>
      <c r="BG1610" s="0" t="n">
        <v>0</v>
      </c>
      <c r="BH1610" s="0" t="n">
        <v>0</v>
      </c>
      <c r="BI1610" s="0" t="n">
        <v>0</v>
      </c>
      <c r="BJ1610" s="0" t="n">
        <v>0</v>
      </c>
      <c r="BK1610" s="0" t="n">
        <v>0</v>
      </c>
      <c r="BM1610" s="6" t="n">
        <f aca="false">IFERROR(VALUE(F1610),"")</f>
        <v>65.56</v>
      </c>
      <c r="BN1610" s="6" t="n">
        <f aca="false">IF(R1610="-","",IFERROR(VALUE(LEFT(Q1610,LEN(Q1610)-2)),""))</f>
        <v>15.99</v>
      </c>
      <c r="BO1610" s="6" t="n">
        <f aca="false">IF(R1610="-","",IFERROR(VALUE(LEFT(R1610,LEN(R1610)-5)),""))</f>
        <v>4.1</v>
      </c>
      <c r="BP1610" s="6" t="n">
        <f aca="false">IF(R1610="-","",IFERROR(VALUE(F1610),""))</f>
        <v>65.56</v>
      </c>
      <c r="BQ1610" s="4" t="n">
        <f aca="false">IF(R1610="-",1,0)</f>
        <v>0</v>
      </c>
    </row>
    <row r="1611" customFormat="false" ht="15" hidden="false" customHeight="false" outlineLevel="0" collapsed="false">
      <c r="A1611" s="0" t="s">
        <v>6038</v>
      </c>
      <c r="B1611" s="0" t="s">
        <v>6039</v>
      </c>
      <c r="C1611" s="0" t="s">
        <v>70</v>
      </c>
      <c r="E1611" s="3" t="n">
        <v>46276</v>
      </c>
      <c r="F1611" s="4" t="s">
        <v>6050</v>
      </c>
      <c r="G1611" s="5" t="n">
        <v>0.0903703703703704</v>
      </c>
      <c r="H1611" s="5" t="n">
        <v>0</v>
      </c>
      <c r="I1611" s="5" t="n">
        <v>0.000717592592592593</v>
      </c>
      <c r="J1611" s="0" t="n">
        <v>0</v>
      </c>
      <c r="K1611" s="0" t="n">
        <v>1</v>
      </c>
      <c r="L1611" s="0" t="n">
        <v>0</v>
      </c>
      <c r="M1611" s="0" t="n">
        <v>0</v>
      </c>
      <c r="N1611" s="0" t="n">
        <v>2</v>
      </c>
      <c r="O1611" s="5" t="n">
        <v>0</v>
      </c>
      <c r="P1611" s="5" t="n">
        <v>0</v>
      </c>
      <c r="Q1611" s="4" t="s">
        <v>6051</v>
      </c>
      <c r="R1611" s="4" t="s">
        <v>6052</v>
      </c>
      <c r="S1611" s="5" t="n">
        <v>0</v>
      </c>
      <c r="T1611" s="5" t="n">
        <v>0.028125</v>
      </c>
      <c r="U1611" s="5" t="n">
        <v>0.0216435185185185</v>
      </c>
      <c r="V1611" s="5" t="n">
        <v>0.0387731481481482</v>
      </c>
      <c r="W1611" s="5" t="n">
        <v>0.000462962962962963</v>
      </c>
      <c r="X1611" s="5" t="n">
        <v>0</v>
      </c>
      <c r="Y1611" s="5" t="n">
        <v>0</v>
      </c>
      <c r="Z1611" s="0" t="n">
        <v>0</v>
      </c>
      <c r="AA1611" s="0" t="n">
        <v>0</v>
      </c>
      <c r="AB1611" s="0" t="n">
        <v>0</v>
      </c>
      <c r="AC1611" s="4" t="s">
        <v>159</v>
      </c>
      <c r="AD1611" s="4" t="s">
        <v>159</v>
      </c>
      <c r="AE1611" s="4" t="s">
        <v>6049</v>
      </c>
      <c r="AF1611" s="4" t="s">
        <v>6053</v>
      </c>
      <c r="AG1611" s="5" t="n">
        <v>0.0798611111111111</v>
      </c>
      <c r="AH1611" s="5" t="n">
        <v>0.0370138888888889</v>
      </c>
      <c r="AI1611" s="5" t="n">
        <v>0</v>
      </c>
      <c r="AJ1611" s="5" t="n">
        <v>0</v>
      </c>
      <c r="AK1611" s="5" t="n">
        <v>0</v>
      </c>
      <c r="AL1611" s="5" t="n">
        <v>0</v>
      </c>
      <c r="AM1611" s="4" t="s">
        <v>78</v>
      </c>
      <c r="AN1611" s="0" t="n">
        <v>0</v>
      </c>
      <c r="AO1611" s="0" t="n">
        <v>0</v>
      </c>
      <c r="AP1611" s="0" t="n">
        <v>0</v>
      </c>
      <c r="AQ1611" s="0" t="n">
        <v>0</v>
      </c>
      <c r="AR1611" s="0" t="n">
        <v>0</v>
      </c>
      <c r="AS1611" s="0" t="n">
        <v>0</v>
      </c>
      <c r="AT1611" s="0" t="n">
        <v>0</v>
      </c>
      <c r="AU1611" s="0" t="n">
        <v>10</v>
      </c>
      <c r="AV1611" s="0" t="n">
        <v>0</v>
      </c>
      <c r="AW1611" s="0" t="n">
        <v>0</v>
      </c>
      <c r="AX1611" s="0" t="n">
        <v>0</v>
      </c>
      <c r="AY1611" s="0" t="n">
        <v>0</v>
      </c>
      <c r="AZ1611" s="0" t="n">
        <v>0</v>
      </c>
      <c r="BA1611" s="0" t="n">
        <v>0</v>
      </c>
      <c r="BB1611" s="0" t="n">
        <v>0</v>
      </c>
      <c r="BC1611" s="0" t="n">
        <v>0</v>
      </c>
      <c r="BD1611" s="0" t="n">
        <v>0</v>
      </c>
      <c r="BE1611" s="0" t="n">
        <v>0</v>
      </c>
      <c r="BF1611" s="0" t="n">
        <v>0</v>
      </c>
      <c r="BG1611" s="0" t="n">
        <v>0</v>
      </c>
      <c r="BH1611" s="0" t="n">
        <v>0</v>
      </c>
      <c r="BI1611" s="0" t="n">
        <v>0</v>
      </c>
      <c r="BJ1611" s="0" t="n">
        <v>0</v>
      </c>
      <c r="BK1611" s="0" t="n">
        <v>0</v>
      </c>
      <c r="BM1611" s="6" t="n">
        <f aca="false">IFERROR(VALUE(F1611),"")</f>
        <v>67.92</v>
      </c>
      <c r="BN1611" s="6" t="n">
        <f aca="false">IF(R1611="-","",IFERROR(VALUE(LEFT(Q1611,LEN(Q1611)-2)),""))</f>
        <v>16.59</v>
      </c>
      <c r="BO1611" s="6" t="n">
        <f aca="false">IF(R1611="-","",IFERROR(VALUE(LEFT(R1611,LEN(R1611)-5)),""))</f>
        <v>4.09</v>
      </c>
      <c r="BP1611" s="6" t="n">
        <f aca="false">IF(R1611="-","",IFERROR(VALUE(F1611),""))</f>
        <v>67.92</v>
      </c>
      <c r="BQ1611" s="4" t="n">
        <f aca="false">IF(R1611="-",1,0)</f>
        <v>0</v>
      </c>
    </row>
    <row r="1612" customFormat="false" ht="15" hidden="false" customHeight="false" outlineLevel="0" collapsed="false">
      <c r="A1612" s="0" t="s">
        <v>6038</v>
      </c>
      <c r="B1612" s="0" t="s">
        <v>6039</v>
      </c>
      <c r="C1612" s="0" t="s">
        <v>70</v>
      </c>
      <c r="E1612" s="3" t="n">
        <v>46277</v>
      </c>
      <c r="F1612" s="4" t="s">
        <v>6054</v>
      </c>
      <c r="G1612" s="5" t="n">
        <v>0.00678240740740741</v>
      </c>
      <c r="H1612" s="5" t="n">
        <v>0</v>
      </c>
      <c r="I1612" s="5" t="n">
        <v>0.000868055555555556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1</v>
      </c>
      <c r="O1612" s="5" t="n">
        <v>0</v>
      </c>
      <c r="P1612" s="5" t="n">
        <v>0</v>
      </c>
      <c r="Q1612" s="4" t="s">
        <v>6055</v>
      </c>
      <c r="R1612" s="4" t="s">
        <v>870</v>
      </c>
      <c r="S1612" s="5" t="n">
        <v>0</v>
      </c>
      <c r="T1612" s="5" t="n">
        <v>0.003125</v>
      </c>
      <c r="U1612" s="5" t="n">
        <v>0.00219907407407407</v>
      </c>
      <c r="V1612" s="5" t="n">
        <v>0.000810185185185185</v>
      </c>
      <c r="W1612" s="5" t="n">
        <v>0</v>
      </c>
      <c r="X1612" s="5" t="n">
        <v>0</v>
      </c>
      <c r="Y1612" s="5" t="n">
        <v>0</v>
      </c>
      <c r="Z1612" s="0" t="n">
        <v>0</v>
      </c>
      <c r="AA1612" s="0" t="n">
        <v>0</v>
      </c>
      <c r="AB1612" s="0" t="n">
        <v>0</v>
      </c>
      <c r="AC1612" s="4" t="s">
        <v>159</v>
      </c>
      <c r="AD1612" s="4" t="s">
        <v>158</v>
      </c>
      <c r="AE1612" s="4" t="s">
        <v>6053</v>
      </c>
      <c r="AF1612" s="4" t="s">
        <v>6056</v>
      </c>
      <c r="AG1612" s="5" t="n">
        <v>0.00586805555555556</v>
      </c>
      <c r="AH1612" s="5" t="n">
        <v>0.0261689814814815</v>
      </c>
      <c r="AI1612" s="5" t="n">
        <v>0</v>
      </c>
      <c r="AJ1612" s="5" t="n">
        <v>0</v>
      </c>
      <c r="AK1612" s="5" t="n">
        <v>0</v>
      </c>
      <c r="AL1612" s="5" t="n">
        <v>0</v>
      </c>
      <c r="AM1612" s="4" t="s">
        <v>78</v>
      </c>
      <c r="AN1612" s="0" t="n">
        <v>0</v>
      </c>
      <c r="AO1612" s="0" t="n">
        <v>0</v>
      </c>
      <c r="AP1612" s="0" t="n">
        <v>0</v>
      </c>
      <c r="AQ1612" s="0" t="n">
        <v>0</v>
      </c>
      <c r="AR1612" s="0" t="n">
        <v>0</v>
      </c>
      <c r="AS1612" s="0" t="n">
        <v>0</v>
      </c>
      <c r="AT1612" s="0" t="n">
        <v>0</v>
      </c>
      <c r="AU1612" s="0" t="n">
        <v>0</v>
      </c>
      <c r="AV1612" s="0" t="n">
        <v>0</v>
      </c>
      <c r="AW1612" s="0" t="n">
        <v>0</v>
      </c>
      <c r="AX1612" s="0" t="n">
        <v>0</v>
      </c>
      <c r="AY1612" s="0" t="n">
        <v>0</v>
      </c>
      <c r="AZ1612" s="0" t="n">
        <v>0</v>
      </c>
      <c r="BA1612" s="0" t="n">
        <v>0</v>
      </c>
      <c r="BB1612" s="0" t="n">
        <v>0</v>
      </c>
      <c r="BC1612" s="0" t="n">
        <v>0</v>
      </c>
      <c r="BD1612" s="0" t="n">
        <v>0</v>
      </c>
      <c r="BE1612" s="0" t="n">
        <v>0</v>
      </c>
      <c r="BF1612" s="0" t="n">
        <v>0</v>
      </c>
      <c r="BG1612" s="0" t="n">
        <v>0</v>
      </c>
      <c r="BH1612" s="0" t="n">
        <v>0</v>
      </c>
      <c r="BI1612" s="0" t="n">
        <v>0</v>
      </c>
      <c r="BJ1612" s="0" t="n">
        <v>0</v>
      </c>
      <c r="BK1612" s="0" t="n">
        <v>0</v>
      </c>
      <c r="BM1612" s="6" t="n">
        <f aca="false">IFERROR(VALUE(F1612),"")</f>
        <v>2.09</v>
      </c>
      <c r="BN1612" s="6" t="n">
        <f aca="false">IF(R1612="-","",IFERROR(VALUE(LEFT(Q1612,LEN(Q1612)-2)),""))</f>
        <v>0.7</v>
      </c>
      <c r="BO1612" s="6" t="n">
        <f aca="false">IF(R1612="-","",IFERROR(VALUE(LEFT(R1612,LEN(R1612)-5)),""))</f>
        <v>2.97</v>
      </c>
      <c r="BP1612" s="6" t="n">
        <f aca="false">IF(R1612="-","",IFERROR(VALUE(F1612),""))</f>
        <v>2.09</v>
      </c>
      <c r="BQ1612" s="4" t="n">
        <f aca="false">IF(R1612="-",1,0)</f>
        <v>0</v>
      </c>
    </row>
    <row r="1613" customFormat="false" ht="15" hidden="false" customHeight="false" outlineLevel="0" collapsed="false">
      <c r="A1613" s="0" t="s">
        <v>6038</v>
      </c>
      <c r="B1613" s="0" t="s">
        <v>6039</v>
      </c>
      <c r="C1613" s="0" t="s">
        <v>70</v>
      </c>
      <c r="E1613" s="3" t="n">
        <v>46279</v>
      </c>
      <c r="F1613" s="4" t="s">
        <v>6057</v>
      </c>
      <c r="G1613" s="5" t="n">
        <v>0.0912615740740741</v>
      </c>
      <c r="H1613" s="5" t="n">
        <v>0</v>
      </c>
      <c r="I1613" s="5" t="n">
        <v>0.0009375</v>
      </c>
      <c r="J1613" s="0" t="n">
        <v>0</v>
      </c>
      <c r="K1613" s="0" t="n">
        <v>1</v>
      </c>
      <c r="L1613" s="0" t="n">
        <v>0</v>
      </c>
      <c r="M1613" s="0" t="n">
        <v>0</v>
      </c>
      <c r="N1613" s="0" t="n">
        <v>4</v>
      </c>
      <c r="O1613" s="5" t="n">
        <v>0</v>
      </c>
      <c r="P1613" s="5" t="n">
        <v>0</v>
      </c>
      <c r="Q1613" s="4" t="s">
        <v>6058</v>
      </c>
      <c r="R1613" s="4" t="s">
        <v>6059</v>
      </c>
      <c r="S1613" s="5" t="n">
        <v>0</v>
      </c>
      <c r="T1613" s="5" t="n">
        <v>0.0298611111111111</v>
      </c>
      <c r="U1613" s="5" t="n">
        <v>0.0215277777777778</v>
      </c>
      <c r="V1613" s="5" t="n">
        <v>0.0369444444444445</v>
      </c>
      <c r="W1613" s="5" t="n">
        <v>0.000590277777777778</v>
      </c>
      <c r="X1613" s="5" t="n">
        <v>0</v>
      </c>
      <c r="Y1613" s="5" t="n">
        <v>0</v>
      </c>
      <c r="Z1613" s="0" t="n">
        <v>0</v>
      </c>
      <c r="AA1613" s="0" t="n">
        <v>0</v>
      </c>
      <c r="AB1613" s="0" t="n">
        <v>0</v>
      </c>
      <c r="AC1613" s="4" t="s">
        <v>864</v>
      </c>
      <c r="AD1613" s="4" t="s">
        <v>159</v>
      </c>
      <c r="AE1613" s="4" t="s">
        <v>6056</v>
      </c>
      <c r="AF1613" s="4" t="s">
        <v>6060</v>
      </c>
      <c r="AG1613" s="5" t="n">
        <v>0.0752546296296296</v>
      </c>
      <c r="AH1613" s="5" t="n">
        <v>0.0333333333333333</v>
      </c>
      <c r="AI1613" s="5" t="n">
        <v>0</v>
      </c>
      <c r="AJ1613" s="5" t="n">
        <v>0</v>
      </c>
      <c r="AK1613" s="5" t="n">
        <v>0</v>
      </c>
      <c r="AL1613" s="5" t="n">
        <v>0</v>
      </c>
      <c r="AM1613" s="4" t="s">
        <v>78</v>
      </c>
      <c r="AN1613" s="0" t="n">
        <v>0</v>
      </c>
      <c r="AO1613" s="0" t="n">
        <v>0</v>
      </c>
      <c r="AP1613" s="0" t="n">
        <v>0</v>
      </c>
      <c r="AQ1613" s="0" t="n">
        <v>0</v>
      </c>
      <c r="AR1613" s="0" t="n">
        <v>0</v>
      </c>
      <c r="AS1613" s="0" t="n">
        <v>0</v>
      </c>
      <c r="AT1613" s="0" t="n">
        <v>0</v>
      </c>
      <c r="AU1613" s="0" t="n">
        <v>6</v>
      </c>
      <c r="AV1613" s="0" t="n">
        <v>0</v>
      </c>
      <c r="AW1613" s="0" t="n">
        <v>0</v>
      </c>
      <c r="AX1613" s="0" t="n">
        <v>0</v>
      </c>
      <c r="AY1613" s="0" t="n">
        <v>0</v>
      </c>
      <c r="AZ1613" s="0" t="n">
        <v>0</v>
      </c>
      <c r="BA1613" s="0" t="n">
        <v>0</v>
      </c>
      <c r="BB1613" s="0" t="n">
        <v>0</v>
      </c>
      <c r="BC1613" s="0" t="n">
        <v>0</v>
      </c>
      <c r="BD1613" s="0" t="n">
        <v>0</v>
      </c>
      <c r="BE1613" s="0" t="n">
        <v>0</v>
      </c>
      <c r="BF1613" s="0" t="n">
        <v>0</v>
      </c>
      <c r="BG1613" s="0" t="n">
        <v>0</v>
      </c>
      <c r="BH1613" s="0" t="n">
        <v>0</v>
      </c>
      <c r="BI1613" s="0" t="n">
        <v>0</v>
      </c>
      <c r="BJ1613" s="0" t="n">
        <v>0</v>
      </c>
      <c r="BK1613" s="0" t="n">
        <v>0</v>
      </c>
      <c r="BM1613" s="6" t="n">
        <f aca="false">IFERROR(VALUE(F1613),"")</f>
        <v>69.9</v>
      </c>
      <c r="BN1613" s="6" t="n">
        <f aca="false">IF(R1613="-","",IFERROR(VALUE(LEFT(Q1613,LEN(Q1613)-2)),""))</f>
        <v>17.33</v>
      </c>
      <c r="BO1613" s="6" t="n">
        <f aca="false">IF(R1613="-","",IFERROR(VALUE(LEFT(R1613,LEN(R1613)-5)),""))</f>
        <v>4.03</v>
      </c>
      <c r="BP1613" s="6" t="n">
        <f aca="false">IF(R1613="-","",IFERROR(VALUE(F1613),""))</f>
        <v>69.9</v>
      </c>
      <c r="BQ1613" s="4" t="n">
        <f aca="false">IF(R1613="-",1,0)</f>
        <v>0</v>
      </c>
    </row>
    <row r="1614" customFormat="false" ht="15" hidden="false" customHeight="false" outlineLevel="0" collapsed="false">
      <c r="A1614" s="0" t="s">
        <v>6061</v>
      </c>
      <c r="B1614" s="0" t="s">
        <v>6062</v>
      </c>
      <c r="C1614" s="0" t="s">
        <v>70</v>
      </c>
      <c r="E1614" s="3" t="n">
        <v>46277</v>
      </c>
      <c r="F1614" s="4" t="s">
        <v>137</v>
      </c>
      <c r="G1614" s="5" t="n">
        <v>0.00103009259259259</v>
      </c>
      <c r="H1614" s="5" t="n">
        <v>0</v>
      </c>
      <c r="I1614" s="5" t="n">
        <v>0.000115740740740741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5" t="n">
        <v>0</v>
      </c>
      <c r="P1614" s="5" t="n">
        <v>0</v>
      </c>
      <c r="Q1614" s="4" t="s">
        <v>73</v>
      </c>
      <c r="R1614" s="4" t="s">
        <v>73</v>
      </c>
      <c r="S1614" s="5" t="n">
        <v>0</v>
      </c>
      <c r="T1614" s="5" t="n">
        <v>0</v>
      </c>
      <c r="U1614" s="5" t="n">
        <v>0</v>
      </c>
      <c r="V1614" s="5" t="n">
        <v>0</v>
      </c>
      <c r="W1614" s="5" t="n">
        <v>0</v>
      </c>
      <c r="X1614" s="5" t="n">
        <v>0</v>
      </c>
      <c r="Y1614" s="5" t="n">
        <v>0</v>
      </c>
      <c r="Z1614" s="0" t="n">
        <v>0</v>
      </c>
      <c r="AA1614" s="0" t="n">
        <v>0</v>
      </c>
      <c r="AB1614" s="0" t="n">
        <v>0</v>
      </c>
      <c r="AC1614" s="4" t="s">
        <v>159</v>
      </c>
      <c r="AD1614" s="4" t="s">
        <v>158</v>
      </c>
      <c r="AE1614" s="4" t="s">
        <v>6063</v>
      </c>
      <c r="AF1614" s="4" t="s">
        <v>6064</v>
      </c>
      <c r="AG1614" s="5" t="n">
        <v>0.00100694444444444</v>
      </c>
      <c r="AH1614" s="5" t="n">
        <v>0.0209375</v>
      </c>
      <c r="AI1614" s="5" t="n">
        <v>0</v>
      </c>
      <c r="AJ1614" s="5" t="n">
        <v>0</v>
      </c>
      <c r="AK1614" s="5" t="n">
        <v>0</v>
      </c>
      <c r="AL1614" s="5" t="n">
        <v>0</v>
      </c>
      <c r="AM1614" s="4" t="s">
        <v>78</v>
      </c>
      <c r="AN1614" s="0" t="n">
        <v>0</v>
      </c>
      <c r="AO1614" s="0" t="n">
        <v>0</v>
      </c>
      <c r="AP1614" s="0" t="n">
        <v>0</v>
      </c>
      <c r="AQ1614" s="0" t="n">
        <v>0</v>
      </c>
      <c r="AR1614" s="0" t="n">
        <v>0</v>
      </c>
      <c r="AS1614" s="0" t="n">
        <v>0</v>
      </c>
      <c r="AT1614" s="0" t="n">
        <v>0</v>
      </c>
      <c r="AU1614" s="0" t="n">
        <v>0</v>
      </c>
      <c r="AV1614" s="0" t="n">
        <v>0</v>
      </c>
      <c r="AW1614" s="0" t="n">
        <v>0</v>
      </c>
      <c r="AX1614" s="0" t="n">
        <v>0</v>
      </c>
      <c r="AY1614" s="0" t="n">
        <v>0</v>
      </c>
      <c r="AZ1614" s="0" t="n">
        <v>0</v>
      </c>
      <c r="BA1614" s="0" t="n">
        <v>0</v>
      </c>
      <c r="BB1614" s="0" t="n">
        <v>0</v>
      </c>
      <c r="BC1614" s="0" t="n">
        <v>0</v>
      </c>
      <c r="BD1614" s="0" t="n">
        <v>0</v>
      </c>
      <c r="BE1614" s="0" t="n">
        <v>0</v>
      </c>
      <c r="BF1614" s="0" t="n">
        <v>0</v>
      </c>
      <c r="BG1614" s="0" t="n">
        <v>0</v>
      </c>
      <c r="BH1614" s="0" t="n">
        <v>0</v>
      </c>
      <c r="BI1614" s="0" t="n">
        <v>0</v>
      </c>
      <c r="BJ1614" s="0" t="n">
        <v>0</v>
      </c>
      <c r="BK1614" s="0" t="n">
        <v>0</v>
      </c>
      <c r="BM1614" s="6" t="n">
        <f aca="false">IFERROR(VALUE(F1614),"")</f>
        <v>0.14</v>
      </c>
      <c r="BN1614" s="6" t="str">
        <f aca="false">IF(R1614="-","",IFERROR(VALUE(LEFT(Q1614,LEN(Q1614)-2)),""))</f>
        <v/>
      </c>
      <c r="BO1614" s="6" t="str">
        <f aca="false">IF(R1614="-","",IFERROR(VALUE(LEFT(R1614,LEN(R1614)-5)),""))</f>
        <v/>
      </c>
      <c r="BP1614" s="6" t="str">
        <f aca="false">IF(R1614="-","",IFERROR(VALUE(F1614),""))</f>
        <v/>
      </c>
      <c r="BQ1614" s="4" t="n">
        <f aca="false">IF(R1614="-",1,0)</f>
        <v>1</v>
      </c>
    </row>
    <row r="1615" customFormat="false" ht="15" hidden="false" customHeight="false" outlineLevel="0" collapsed="false">
      <c r="A1615" s="0" t="s">
        <v>6061</v>
      </c>
      <c r="B1615" s="0" t="s">
        <v>6065</v>
      </c>
      <c r="C1615" s="0" t="s">
        <v>70</v>
      </c>
      <c r="D1615" s="0" t="s">
        <v>6066</v>
      </c>
      <c r="E1615" s="3" t="n">
        <v>46279</v>
      </c>
      <c r="F1615" s="4" t="s">
        <v>6067</v>
      </c>
      <c r="G1615" s="5" t="n">
        <v>0.182476851851852</v>
      </c>
      <c r="H1615" s="5" t="n">
        <v>0.18119212962963</v>
      </c>
      <c r="I1615" s="5" t="n">
        <v>0.000474537037037037</v>
      </c>
      <c r="J1615" s="0" t="n">
        <v>2</v>
      </c>
      <c r="K1615" s="0" t="n">
        <v>5</v>
      </c>
      <c r="L1615" s="0" t="n">
        <v>0</v>
      </c>
      <c r="M1615" s="0" t="n">
        <v>0</v>
      </c>
      <c r="N1615" s="0" t="n">
        <v>0</v>
      </c>
      <c r="O1615" s="5" t="n">
        <v>0</v>
      </c>
      <c r="P1615" s="5" t="n">
        <v>0</v>
      </c>
      <c r="Q1615" s="4" t="s">
        <v>73</v>
      </c>
      <c r="R1615" s="4" t="s">
        <v>73</v>
      </c>
      <c r="S1615" s="5" t="n">
        <v>0</v>
      </c>
      <c r="T1615" s="5" t="n">
        <v>0</v>
      </c>
      <c r="U1615" s="5" t="n">
        <v>0</v>
      </c>
      <c r="V1615" s="5" t="n">
        <v>0</v>
      </c>
      <c r="W1615" s="5" t="n">
        <v>0</v>
      </c>
      <c r="X1615" s="5" t="n">
        <v>0</v>
      </c>
      <c r="Y1615" s="5" t="n">
        <v>0</v>
      </c>
      <c r="Z1615" s="0" t="n">
        <v>0</v>
      </c>
      <c r="AA1615" s="0" t="n">
        <v>0</v>
      </c>
      <c r="AB1615" s="0" t="n">
        <v>0</v>
      </c>
      <c r="AC1615" s="4" t="s">
        <v>158</v>
      </c>
      <c r="AD1615" s="4" t="s">
        <v>158</v>
      </c>
      <c r="AE1615" s="4" t="s">
        <v>6064</v>
      </c>
      <c r="AF1615" s="4" t="s">
        <v>6068</v>
      </c>
      <c r="AG1615" s="5" t="n">
        <v>0.153888888888889</v>
      </c>
      <c r="AH1615" s="5" t="n">
        <v>0.0880324074074074</v>
      </c>
      <c r="AI1615" s="5" t="n">
        <v>0</v>
      </c>
      <c r="AJ1615" s="5" t="n">
        <v>0</v>
      </c>
      <c r="AK1615" s="5" t="n">
        <v>0</v>
      </c>
      <c r="AL1615" s="5" t="n">
        <v>0</v>
      </c>
      <c r="AM1615" s="4" t="s">
        <v>78</v>
      </c>
      <c r="AN1615" s="0" t="n">
        <v>0</v>
      </c>
      <c r="AO1615" s="0" t="n">
        <v>0</v>
      </c>
      <c r="AP1615" s="0" t="n">
        <v>0</v>
      </c>
      <c r="AQ1615" s="0" t="n">
        <v>0</v>
      </c>
      <c r="AR1615" s="0" t="n">
        <v>0</v>
      </c>
      <c r="AS1615" s="0" t="n">
        <v>0</v>
      </c>
      <c r="AT1615" s="0" t="n">
        <v>0</v>
      </c>
      <c r="AU1615" s="0" t="n">
        <v>0</v>
      </c>
      <c r="AV1615" s="0" t="n">
        <v>0</v>
      </c>
      <c r="AW1615" s="0" t="n">
        <v>0</v>
      </c>
      <c r="AX1615" s="0" t="n">
        <v>0</v>
      </c>
      <c r="AY1615" s="0" t="n">
        <v>0</v>
      </c>
      <c r="AZ1615" s="0" t="n">
        <v>0</v>
      </c>
      <c r="BA1615" s="0" t="n">
        <v>0</v>
      </c>
      <c r="BB1615" s="0" t="n">
        <v>0</v>
      </c>
      <c r="BC1615" s="0" t="n">
        <v>0</v>
      </c>
      <c r="BD1615" s="0" t="n">
        <v>0</v>
      </c>
      <c r="BE1615" s="0" t="n">
        <v>0</v>
      </c>
      <c r="BF1615" s="0" t="n">
        <v>0</v>
      </c>
      <c r="BG1615" s="0" t="n">
        <v>0</v>
      </c>
      <c r="BH1615" s="0" t="n">
        <v>0</v>
      </c>
      <c r="BI1615" s="0" t="n">
        <v>0</v>
      </c>
      <c r="BJ1615" s="0" t="n">
        <v>0</v>
      </c>
      <c r="BK1615" s="0" t="n">
        <v>0</v>
      </c>
      <c r="BM1615" s="6" t="n">
        <f aca="false">IFERROR(VALUE(F1615),"")</f>
        <v>141.46</v>
      </c>
      <c r="BN1615" s="6" t="str">
        <f aca="false">IF(R1615="-","",IFERROR(VALUE(LEFT(Q1615,LEN(Q1615)-2)),""))</f>
        <v/>
      </c>
      <c r="BO1615" s="6" t="str">
        <f aca="false">IF(R1615="-","",IFERROR(VALUE(LEFT(R1615,LEN(R1615)-5)),""))</f>
        <v/>
      </c>
      <c r="BP1615" s="6" t="str">
        <f aca="false">IF(R1615="-","",IFERROR(VALUE(F1615),""))</f>
        <v/>
      </c>
      <c r="BQ1615" s="4" t="n">
        <f aca="false">IF(R1615="-",1,0)</f>
        <v>1</v>
      </c>
    </row>
    <row r="1616" customFormat="false" ht="15" hidden="false" customHeight="false" outlineLevel="0" collapsed="false">
      <c r="A1616" s="0" t="s">
        <v>6069</v>
      </c>
      <c r="B1616" s="0" t="s">
        <v>6070</v>
      </c>
      <c r="C1616" s="0" t="s">
        <v>70</v>
      </c>
      <c r="E1616" s="3" t="n">
        <v>46277</v>
      </c>
      <c r="F1616" s="4" t="s">
        <v>95</v>
      </c>
      <c r="G1616" s="5" t="n">
        <v>0.911469907407407</v>
      </c>
      <c r="H1616" s="5" t="n">
        <v>0</v>
      </c>
      <c r="I1616" s="5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5" t="n">
        <v>0</v>
      </c>
      <c r="P1616" s="5" t="n">
        <v>0</v>
      </c>
      <c r="Q1616" s="4" t="s">
        <v>73</v>
      </c>
      <c r="R1616" s="4" t="s">
        <v>73</v>
      </c>
      <c r="S1616" s="5" t="n">
        <v>0</v>
      </c>
      <c r="T1616" s="5" t="n">
        <v>0</v>
      </c>
      <c r="U1616" s="5" t="n">
        <v>0</v>
      </c>
      <c r="V1616" s="5" t="n">
        <v>0</v>
      </c>
      <c r="W1616" s="5" t="n">
        <v>0</v>
      </c>
      <c r="X1616" s="5" t="n">
        <v>0</v>
      </c>
      <c r="Y1616" s="5" t="n">
        <v>0</v>
      </c>
      <c r="Z1616" s="0" t="n">
        <v>0</v>
      </c>
      <c r="AA1616" s="0" t="n">
        <v>0</v>
      </c>
      <c r="AB1616" s="0" t="n">
        <v>0</v>
      </c>
      <c r="AC1616" s="4" t="s">
        <v>159</v>
      </c>
      <c r="AD1616" s="4" t="s">
        <v>158</v>
      </c>
      <c r="AE1616" s="4" t="s">
        <v>6071</v>
      </c>
      <c r="AF1616" s="4" t="s">
        <v>6071</v>
      </c>
      <c r="AG1616" s="5" t="n">
        <v>0</v>
      </c>
      <c r="AH1616" s="5" t="n">
        <v>0.0348148148148148</v>
      </c>
      <c r="AI1616" s="5" t="n">
        <v>0</v>
      </c>
      <c r="AJ1616" s="5" t="n">
        <v>0</v>
      </c>
      <c r="AK1616" s="5" t="n">
        <v>0</v>
      </c>
      <c r="AL1616" s="5" t="n">
        <v>0</v>
      </c>
      <c r="AM1616" s="4" t="s">
        <v>78</v>
      </c>
      <c r="AN1616" s="0" t="n">
        <v>0</v>
      </c>
      <c r="AO1616" s="0" t="n">
        <v>0</v>
      </c>
      <c r="AP1616" s="0" t="n">
        <v>0</v>
      </c>
      <c r="AQ1616" s="0" t="n">
        <v>0</v>
      </c>
      <c r="AR1616" s="0" t="n">
        <v>0</v>
      </c>
      <c r="AS1616" s="0" t="n">
        <v>0</v>
      </c>
      <c r="AT1616" s="0" t="n">
        <v>0</v>
      </c>
      <c r="AU1616" s="0" t="n">
        <v>0</v>
      </c>
      <c r="AV1616" s="0" t="n">
        <v>0</v>
      </c>
      <c r="AW1616" s="0" t="n">
        <v>0</v>
      </c>
      <c r="AX1616" s="0" t="n">
        <v>0</v>
      </c>
      <c r="AY1616" s="0" t="n">
        <v>0</v>
      </c>
      <c r="AZ1616" s="0" t="n">
        <v>0</v>
      </c>
      <c r="BA1616" s="0" t="n">
        <v>0</v>
      </c>
      <c r="BB1616" s="0" t="n">
        <v>0</v>
      </c>
      <c r="BC1616" s="0" t="n">
        <v>0</v>
      </c>
      <c r="BD1616" s="0" t="n">
        <v>0</v>
      </c>
      <c r="BE1616" s="0" t="n">
        <v>0</v>
      </c>
      <c r="BF1616" s="0" t="n">
        <v>0</v>
      </c>
      <c r="BG1616" s="0" t="n">
        <v>0</v>
      </c>
      <c r="BH1616" s="0" t="n">
        <v>0</v>
      </c>
      <c r="BI1616" s="0" t="n">
        <v>0</v>
      </c>
      <c r="BJ1616" s="0" t="n">
        <v>0</v>
      </c>
      <c r="BK1616" s="0" t="n">
        <v>0</v>
      </c>
      <c r="BM1616" s="6" t="n">
        <f aca="false">IFERROR(VALUE(F1616),"")</f>
        <v>0</v>
      </c>
      <c r="BN1616" s="6" t="str">
        <f aca="false">IF(R1616="-","",IFERROR(VALUE(LEFT(Q1616,LEN(Q1616)-2)),""))</f>
        <v/>
      </c>
      <c r="BO1616" s="6" t="str">
        <f aca="false">IF(R1616="-","",IFERROR(VALUE(LEFT(R1616,LEN(R1616)-5)),""))</f>
        <v/>
      </c>
      <c r="BP1616" s="6" t="str">
        <f aca="false">IF(R1616="-","",IFERROR(VALUE(F1616),""))</f>
        <v/>
      </c>
      <c r="BQ1616" s="4" t="n">
        <f aca="false">IF(R1616="-",1,0)</f>
        <v>1</v>
      </c>
    </row>
    <row r="1617" customFormat="false" ht="15" hidden="false" customHeight="false" outlineLevel="0" collapsed="false">
      <c r="A1617" s="0" t="s">
        <v>6069</v>
      </c>
      <c r="B1617" s="0" t="s">
        <v>6072</v>
      </c>
      <c r="C1617" s="0" t="s">
        <v>70</v>
      </c>
      <c r="E1617" s="3" t="n">
        <v>46279</v>
      </c>
      <c r="F1617" s="4" t="s">
        <v>6073</v>
      </c>
      <c r="G1617" s="5" t="n">
        <v>0.193252314814815</v>
      </c>
      <c r="H1617" s="5" t="n">
        <v>0</v>
      </c>
      <c r="I1617" s="5" t="n">
        <v>0.000578703703703704</v>
      </c>
      <c r="J1617" s="0" t="n">
        <v>0</v>
      </c>
      <c r="K1617" s="0" t="n">
        <v>2</v>
      </c>
      <c r="L1617" s="0" t="n">
        <v>0</v>
      </c>
      <c r="M1617" s="0" t="n">
        <v>0</v>
      </c>
      <c r="N1617" s="0" t="n">
        <v>0</v>
      </c>
      <c r="O1617" s="5" t="n">
        <v>0</v>
      </c>
      <c r="P1617" s="5" t="n">
        <v>0</v>
      </c>
      <c r="Q1617" s="4" t="s">
        <v>73</v>
      </c>
      <c r="R1617" s="4" t="s">
        <v>73</v>
      </c>
      <c r="S1617" s="5" t="n">
        <v>0</v>
      </c>
      <c r="T1617" s="5" t="n">
        <v>0</v>
      </c>
      <c r="U1617" s="5" t="n">
        <v>0</v>
      </c>
      <c r="V1617" s="5" t="n">
        <v>0</v>
      </c>
      <c r="W1617" s="5" t="n">
        <v>0</v>
      </c>
      <c r="X1617" s="5" t="n">
        <v>0</v>
      </c>
      <c r="Y1617" s="5" t="n">
        <v>0</v>
      </c>
      <c r="Z1617" s="0" t="n">
        <v>0</v>
      </c>
      <c r="AA1617" s="0" t="n">
        <v>0</v>
      </c>
      <c r="AB1617" s="0" t="n">
        <v>0</v>
      </c>
      <c r="AC1617" s="4" t="s">
        <v>158</v>
      </c>
      <c r="AD1617" s="4" t="s">
        <v>158</v>
      </c>
      <c r="AE1617" s="4" t="s">
        <v>6071</v>
      </c>
      <c r="AF1617" s="4" t="s">
        <v>6074</v>
      </c>
      <c r="AG1617" s="5" t="n">
        <v>0.166041666666667</v>
      </c>
      <c r="AH1617" s="5" t="n">
        <v>0.16974537037037</v>
      </c>
      <c r="AI1617" s="5" t="n">
        <v>0</v>
      </c>
      <c r="AJ1617" s="5" t="n">
        <v>0</v>
      </c>
      <c r="AK1617" s="5" t="n">
        <v>0</v>
      </c>
      <c r="AL1617" s="5" t="n">
        <v>0</v>
      </c>
      <c r="AM1617" s="4" t="s">
        <v>78</v>
      </c>
      <c r="AN1617" s="0" t="n">
        <v>0</v>
      </c>
      <c r="AO1617" s="0" t="n">
        <v>0</v>
      </c>
      <c r="AP1617" s="0" t="n">
        <v>0</v>
      </c>
      <c r="AQ1617" s="0" t="n">
        <v>0</v>
      </c>
      <c r="AR1617" s="0" t="n">
        <v>0</v>
      </c>
      <c r="AS1617" s="0" t="n">
        <v>0</v>
      </c>
      <c r="AT1617" s="0" t="n">
        <v>0</v>
      </c>
      <c r="AU1617" s="0" t="n">
        <v>0</v>
      </c>
      <c r="AV1617" s="0" t="n">
        <v>0</v>
      </c>
      <c r="AW1617" s="0" t="n">
        <v>0</v>
      </c>
      <c r="AX1617" s="0" t="n">
        <v>0</v>
      </c>
      <c r="AY1617" s="0" t="n">
        <v>0</v>
      </c>
      <c r="AZ1617" s="0" t="n">
        <v>0</v>
      </c>
      <c r="BA1617" s="0" t="n">
        <v>0</v>
      </c>
      <c r="BB1617" s="0" t="n">
        <v>0</v>
      </c>
      <c r="BC1617" s="0" t="n">
        <v>0</v>
      </c>
      <c r="BD1617" s="0" t="n">
        <v>0</v>
      </c>
      <c r="BE1617" s="0" t="n">
        <v>0</v>
      </c>
      <c r="BF1617" s="0" t="n">
        <v>0</v>
      </c>
      <c r="BG1617" s="0" t="n">
        <v>0</v>
      </c>
      <c r="BH1617" s="0" t="n">
        <v>0</v>
      </c>
      <c r="BI1617" s="0" t="n">
        <v>0</v>
      </c>
      <c r="BJ1617" s="0" t="n">
        <v>0</v>
      </c>
      <c r="BK1617" s="0" t="n">
        <v>0</v>
      </c>
      <c r="BM1617" s="6" t="n">
        <f aca="false">IFERROR(VALUE(F1617),"")</f>
        <v>150.82</v>
      </c>
      <c r="BN1617" s="6" t="str">
        <f aca="false">IF(R1617="-","",IFERROR(VALUE(LEFT(Q1617,LEN(Q1617)-2)),""))</f>
        <v/>
      </c>
      <c r="BO1617" s="6" t="str">
        <f aca="false">IF(R1617="-","",IFERROR(VALUE(LEFT(R1617,LEN(R1617)-5)),""))</f>
        <v/>
      </c>
      <c r="BP1617" s="6" t="str">
        <f aca="false">IF(R1617="-","",IFERROR(VALUE(F1617),""))</f>
        <v/>
      </c>
      <c r="BQ1617" s="4" t="n">
        <f aca="false">IF(R1617="-",1,0)</f>
        <v>1</v>
      </c>
    </row>
    <row r="1618" customFormat="false" ht="15" hidden="false" customHeight="false" outlineLevel="0" collapsed="false">
      <c r="A1618" s="0" t="s">
        <v>6075</v>
      </c>
      <c r="B1618" s="0" t="s">
        <v>6076</v>
      </c>
      <c r="C1618" s="0" t="s">
        <v>70</v>
      </c>
      <c r="E1618" s="3" t="n">
        <v>46277</v>
      </c>
      <c r="F1618" s="4" t="s">
        <v>557</v>
      </c>
      <c r="G1618" s="5" t="n">
        <v>0.00104166666666667</v>
      </c>
      <c r="H1618" s="5" t="n">
        <v>0</v>
      </c>
      <c r="I1618" s="5" t="n">
        <v>4.62962962962963E-005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5" t="n">
        <v>0</v>
      </c>
      <c r="P1618" s="5" t="n">
        <v>0</v>
      </c>
      <c r="Q1618" s="4" t="s">
        <v>73</v>
      </c>
      <c r="R1618" s="4" t="s">
        <v>73</v>
      </c>
      <c r="S1618" s="5" t="n">
        <v>0</v>
      </c>
      <c r="T1618" s="5" t="n">
        <v>0</v>
      </c>
      <c r="U1618" s="5" t="n">
        <v>0</v>
      </c>
      <c r="V1618" s="5" t="n">
        <v>0</v>
      </c>
      <c r="W1618" s="5" t="n">
        <v>0</v>
      </c>
      <c r="X1618" s="5" t="n">
        <v>0</v>
      </c>
      <c r="Y1618" s="5" t="n">
        <v>0</v>
      </c>
      <c r="Z1618" s="0" t="n">
        <v>0</v>
      </c>
      <c r="AA1618" s="0" t="n">
        <v>0</v>
      </c>
      <c r="AB1618" s="0" t="n">
        <v>0</v>
      </c>
      <c r="AC1618" s="4" t="s">
        <v>159</v>
      </c>
      <c r="AD1618" s="4" t="s">
        <v>158</v>
      </c>
      <c r="AE1618" s="4" t="s">
        <v>6077</v>
      </c>
      <c r="AF1618" s="4" t="s">
        <v>6078</v>
      </c>
      <c r="AG1618" s="5" t="n">
        <v>0.00099537037037037</v>
      </c>
      <c r="AH1618" s="5" t="n">
        <v>0.000474537037037037</v>
      </c>
      <c r="AI1618" s="5" t="n">
        <v>0</v>
      </c>
      <c r="AJ1618" s="5" t="n">
        <v>0</v>
      </c>
      <c r="AK1618" s="5" t="n">
        <v>0</v>
      </c>
      <c r="AL1618" s="5" t="n">
        <v>0</v>
      </c>
      <c r="AM1618" s="4" t="s">
        <v>78</v>
      </c>
      <c r="AN1618" s="0" t="n">
        <v>0</v>
      </c>
      <c r="AO1618" s="0" t="n">
        <v>0</v>
      </c>
      <c r="AP1618" s="0" t="n">
        <v>0</v>
      </c>
      <c r="AQ1618" s="0" t="n">
        <v>0</v>
      </c>
      <c r="AR1618" s="0" t="n">
        <v>0</v>
      </c>
      <c r="AS1618" s="0" t="n">
        <v>0</v>
      </c>
      <c r="AT1618" s="0" t="n">
        <v>0</v>
      </c>
      <c r="AU1618" s="0" t="n">
        <v>0</v>
      </c>
      <c r="AV1618" s="0" t="n">
        <v>0</v>
      </c>
      <c r="AW1618" s="0" t="n">
        <v>0</v>
      </c>
      <c r="AX1618" s="0" t="n">
        <v>0</v>
      </c>
      <c r="AY1618" s="0" t="n">
        <v>0</v>
      </c>
      <c r="AZ1618" s="0" t="n">
        <v>0</v>
      </c>
      <c r="BA1618" s="0" t="n">
        <v>0</v>
      </c>
      <c r="BB1618" s="0" t="n">
        <v>0</v>
      </c>
      <c r="BC1618" s="0" t="n">
        <v>0</v>
      </c>
      <c r="BD1618" s="0" t="n">
        <v>0</v>
      </c>
      <c r="BE1618" s="0" t="n">
        <v>0</v>
      </c>
      <c r="BF1618" s="0" t="n">
        <v>0</v>
      </c>
      <c r="BG1618" s="0" t="n">
        <v>0</v>
      </c>
      <c r="BH1618" s="0" t="n">
        <v>0</v>
      </c>
      <c r="BI1618" s="0" t="n">
        <v>0</v>
      </c>
      <c r="BJ1618" s="0" t="n">
        <v>0</v>
      </c>
      <c r="BK1618" s="0" t="n">
        <v>0</v>
      </c>
      <c r="BM1618" s="6" t="n">
        <f aca="false">IFERROR(VALUE(F1618),"")</f>
        <v>0.1</v>
      </c>
      <c r="BN1618" s="6" t="str">
        <f aca="false">IF(R1618="-","",IFERROR(VALUE(LEFT(Q1618,LEN(Q1618)-2)),""))</f>
        <v/>
      </c>
      <c r="BO1618" s="6" t="str">
        <f aca="false">IF(R1618="-","",IFERROR(VALUE(LEFT(R1618,LEN(R1618)-5)),""))</f>
        <v/>
      </c>
      <c r="BP1618" s="6" t="str">
        <f aca="false">IF(R1618="-","",IFERROR(VALUE(F1618),""))</f>
        <v/>
      </c>
      <c r="BQ1618" s="4" t="n">
        <f aca="false">IF(R1618="-",1,0)</f>
        <v>1</v>
      </c>
    </row>
    <row r="1619" customFormat="false" ht="15" hidden="false" customHeight="false" outlineLevel="0" collapsed="false">
      <c r="A1619" s="0" t="s">
        <v>6075</v>
      </c>
      <c r="B1619" s="0" t="s">
        <v>6079</v>
      </c>
      <c r="C1619" s="0" t="s">
        <v>70</v>
      </c>
      <c r="E1619" s="3" t="n">
        <v>46279</v>
      </c>
      <c r="F1619" s="4" t="s">
        <v>6080</v>
      </c>
      <c r="G1619" s="5" t="n">
        <v>0.233888888888889</v>
      </c>
      <c r="H1619" s="5" t="n">
        <v>0</v>
      </c>
      <c r="I1619" s="5" t="n">
        <v>0.00430555555555556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5" t="n">
        <v>0</v>
      </c>
      <c r="P1619" s="5" t="n">
        <v>0</v>
      </c>
      <c r="Q1619" s="4" t="s">
        <v>73</v>
      </c>
      <c r="R1619" s="4" t="s">
        <v>73</v>
      </c>
      <c r="S1619" s="5" t="n">
        <v>0</v>
      </c>
      <c r="T1619" s="5" t="n">
        <v>0</v>
      </c>
      <c r="U1619" s="5" t="n">
        <v>0</v>
      </c>
      <c r="V1619" s="5" t="n">
        <v>0</v>
      </c>
      <c r="W1619" s="5" t="n">
        <v>0</v>
      </c>
      <c r="X1619" s="5" t="n">
        <v>0</v>
      </c>
      <c r="Y1619" s="5" t="n">
        <v>0</v>
      </c>
      <c r="Z1619" s="0" t="n">
        <v>0</v>
      </c>
      <c r="AA1619" s="0" t="n">
        <v>0</v>
      </c>
      <c r="AB1619" s="0" t="n">
        <v>0</v>
      </c>
      <c r="AC1619" s="4" t="s">
        <v>158</v>
      </c>
      <c r="AD1619" s="4" t="s">
        <v>158</v>
      </c>
      <c r="AE1619" s="4" t="s">
        <v>6078</v>
      </c>
      <c r="AF1619" s="4" t="s">
        <v>6081</v>
      </c>
      <c r="AG1619" s="5" t="n">
        <v>0.207372685185185</v>
      </c>
      <c r="AH1619" s="5" t="n">
        <v>0.0632060185185185</v>
      </c>
      <c r="AI1619" s="5" t="n">
        <v>0</v>
      </c>
      <c r="AJ1619" s="5" t="n">
        <v>0</v>
      </c>
      <c r="AK1619" s="5" t="n">
        <v>0</v>
      </c>
      <c r="AL1619" s="5" t="n">
        <v>0</v>
      </c>
      <c r="AM1619" s="4" t="s">
        <v>78</v>
      </c>
      <c r="AN1619" s="0" t="n">
        <v>0</v>
      </c>
      <c r="AO1619" s="0" t="n">
        <v>0</v>
      </c>
      <c r="AP1619" s="0" t="n">
        <v>0</v>
      </c>
      <c r="AQ1619" s="0" t="n">
        <v>0</v>
      </c>
      <c r="AR1619" s="0" t="n">
        <v>1</v>
      </c>
      <c r="AS1619" s="0" t="n">
        <v>0</v>
      </c>
      <c r="AT1619" s="0" t="n">
        <v>0</v>
      </c>
      <c r="AU1619" s="0" t="n">
        <v>0</v>
      </c>
      <c r="AV1619" s="0" t="n">
        <v>0</v>
      </c>
      <c r="AW1619" s="0" t="n">
        <v>0</v>
      </c>
      <c r="AX1619" s="0" t="n">
        <v>0</v>
      </c>
      <c r="AY1619" s="0" t="n">
        <v>0</v>
      </c>
      <c r="AZ1619" s="0" t="n">
        <v>0</v>
      </c>
      <c r="BA1619" s="0" t="n">
        <v>0</v>
      </c>
      <c r="BB1619" s="0" t="n">
        <v>0</v>
      </c>
      <c r="BC1619" s="0" t="n">
        <v>0</v>
      </c>
      <c r="BD1619" s="0" t="n">
        <v>0</v>
      </c>
      <c r="BE1619" s="0" t="n">
        <v>0</v>
      </c>
      <c r="BF1619" s="0" t="n">
        <v>0</v>
      </c>
      <c r="BG1619" s="0" t="n">
        <v>0</v>
      </c>
      <c r="BH1619" s="0" t="n">
        <v>0</v>
      </c>
      <c r="BI1619" s="0" t="n">
        <v>0</v>
      </c>
      <c r="BJ1619" s="0" t="n">
        <v>0</v>
      </c>
      <c r="BK1619" s="0" t="n">
        <v>0</v>
      </c>
      <c r="BM1619" s="6" t="n">
        <f aca="false">IFERROR(VALUE(F1619),"")</f>
        <v>222.82</v>
      </c>
      <c r="BN1619" s="6" t="str">
        <f aca="false">IF(R1619="-","",IFERROR(VALUE(LEFT(Q1619,LEN(Q1619)-2)),""))</f>
        <v/>
      </c>
      <c r="BO1619" s="6" t="str">
        <f aca="false">IF(R1619="-","",IFERROR(VALUE(LEFT(R1619,LEN(R1619)-5)),""))</f>
        <v/>
      </c>
      <c r="BP1619" s="6" t="str">
        <f aca="false">IF(R1619="-","",IFERROR(VALUE(F1619),""))</f>
        <v/>
      </c>
      <c r="BQ1619" s="4" t="n">
        <f aca="false">IF(R1619="-",1,0)</f>
        <v>1</v>
      </c>
    </row>
    <row r="1620" customFormat="false" ht="15" hidden="false" customHeight="false" outlineLevel="0" collapsed="false">
      <c r="A1620" s="0" t="s">
        <v>6082</v>
      </c>
      <c r="B1620" s="0" t="s">
        <v>6083</v>
      </c>
      <c r="C1620" s="0" t="s">
        <v>70</v>
      </c>
      <c r="E1620" s="3" t="n">
        <v>46277</v>
      </c>
      <c r="F1620" s="4" t="s">
        <v>557</v>
      </c>
      <c r="G1620" s="5" t="n">
        <v>0.00140046296296296</v>
      </c>
      <c r="H1620" s="5" t="n">
        <v>0</v>
      </c>
      <c r="I1620" s="5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5" t="n">
        <v>0</v>
      </c>
      <c r="P1620" s="5" t="n">
        <v>0</v>
      </c>
      <c r="Q1620" s="4" t="s">
        <v>73</v>
      </c>
      <c r="R1620" s="4" t="s">
        <v>73</v>
      </c>
      <c r="S1620" s="5" t="n">
        <v>0</v>
      </c>
      <c r="T1620" s="5" t="n">
        <v>0</v>
      </c>
      <c r="U1620" s="5" t="n">
        <v>0</v>
      </c>
      <c r="V1620" s="5" t="n">
        <v>0</v>
      </c>
      <c r="W1620" s="5" t="n">
        <v>0</v>
      </c>
      <c r="X1620" s="5" t="n">
        <v>0</v>
      </c>
      <c r="Y1620" s="5" t="n">
        <v>0</v>
      </c>
      <c r="Z1620" s="0" t="n">
        <v>0</v>
      </c>
      <c r="AA1620" s="0" t="n">
        <v>0</v>
      </c>
      <c r="AB1620" s="0" t="n">
        <v>0</v>
      </c>
      <c r="AC1620" s="4" t="s">
        <v>159</v>
      </c>
      <c r="AD1620" s="4" t="s">
        <v>158</v>
      </c>
      <c r="AE1620" s="4" t="s">
        <v>6084</v>
      </c>
      <c r="AF1620" s="4" t="s">
        <v>6085</v>
      </c>
      <c r="AG1620" s="5" t="n">
        <v>0.0009375</v>
      </c>
      <c r="AH1620" s="5" t="n">
        <v>0.0181134259259259</v>
      </c>
      <c r="AI1620" s="5" t="n">
        <v>0</v>
      </c>
      <c r="AJ1620" s="5" t="n">
        <v>0</v>
      </c>
      <c r="AK1620" s="5" t="n">
        <v>0</v>
      </c>
      <c r="AL1620" s="5" t="n">
        <v>0</v>
      </c>
      <c r="AM1620" s="4" t="s">
        <v>78</v>
      </c>
      <c r="AN1620" s="0" t="n">
        <v>0</v>
      </c>
      <c r="AO1620" s="0" t="n">
        <v>0</v>
      </c>
      <c r="AP1620" s="0" t="n">
        <v>0</v>
      </c>
      <c r="AQ1620" s="0" t="n">
        <v>0</v>
      </c>
      <c r="AR1620" s="0" t="n">
        <v>0</v>
      </c>
      <c r="AS1620" s="0" t="n">
        <v>0</v>
      </c>
      <c r="AT1620" s="0" t="n">
        <v>0</v>
      </c>
      <c r="AU1620" s="0" t="n">
        <v>0</v>
      </c>
      <c r="AV1620" s="0" t="n">
        <v>0</v>
      </c>
      <c r="AW1620" s="0" t="n">
        <v>0</v>
      </c>
      <c r="AX1620" s="0" t="n">
        <v>0</v>
      </c>
      <c r="AY1620" s="0" t="n">
        <v>0</v>
      </c>
      <c r="AZ1620" s="0" t="n">
        <v>0</v>
      </c>
      <c r="BA1620" s="0" t="n">
        <v>0</v>
      </c>
      <c r="BB1620" s="0" t="n">
        <v>0</v>
      </c>
      <c r="BC1620" s="0" t="n">
        <v>0</v>
      </c>
      <c r="BD1620" s="0" t="n">
        <v>0</v>
      </c>
      <c r="BE1620" s="0" t="n">
        <v>0</v>
      </c>
      <c r="BF1620" s="0" t="n">
        <v>0</v>
      </c>
      <c r="BG1620" s="0" t="n">
        <v>0</v>
      </c>
      <c r="BH1620" s="0" t="n">
        <v>0</v>
      </c>
      <c r="BI1620" s="0" t="n">
        <v>0</v>
      </c>
      <c r="BJ1620" s="0" t="n">
        <v>0</v>
      </c>
      <c r="BK1620" s="0" t="n">
        <v>0</v>
      </c>
      <c r="BM1620" s="6" t="n">
        <f aca="false">IFERROR(VALUE(F1620),"")</f>
        <v>0.1</v>
      </c>
      <c r="BN1620" s="6" t="str">
        <f aca="false">IF(R1620="-","",IFERROR(VALUE(LEFT(Q1620,LEN(Q1620)-2)),""))</f>
        <v/>
      </c>
      <c r="BO1620" s="6" t="str">
        <f aca="false">IF(R1620="-","",IFERROR(VALUE(LEFT(R1620,LEN(R1620)-5)),""))</f>
        <v/>
      </c>
      <c r="BP1620" s="6" t="str">
        <f aca="false">IF(R1620="-","",IFERROR(VALUE(F1620),""))</f>
        <v/>
      </c>
      <c r="BQ1620" s="4" t="n">
        <f aca="false">IF(R1620="-",1,0)</f>
        <v>1</v>
      </c>
    </row>
    <row r="1621" customFormat="false" ht="15" hidden="false" customHeight="false" outlineLevel="0" collapsed="false">
      <c r="A1621" s="0" t="s">
        <v>6082</v>
      </c>
      <c r="B1621" s="0" t="s">
        <v>6086</v>
      </c>
      <c r="C1621" s="0" t="s">
        <v>70</v>
      </c>
      <c r="D1621" s="0" t="s">
        <v>6087</v>
      </c>
      <c r="E1621" s="3" t="n">
        <v>46279</v>
      </c>
      <c r="F1621" s="4" t="s">
        <v>6088</v>
      </c>
      <c r="G1621" s="5" t="n">
        <v>0.106134259259259</v>
      </c>
      <c r="H1621" s="5" t="n">
        <v>0.0982175925925926</v>
      </c>
      <c r="I1621" s="5" t="n">
        <v>0.000243055555555556</v>
      </c>
      <c r="J1621" s="0" t="n">
        <v>0</v>
      </c>
      <c r="K1621" s="0" t="n">
        <v>1</v>
      </c>
      <c r="L1621" s="0" t="n">
        <v>0</v>
      </c>
      <c r="M1621" s="0" t="n">
        <v>0</v>
      </c>
      <c r="N1621" s="0" t="n">
        <v>0</v>
      </c>
      <c r="O1621" s="5" t="n">
        <v>0</v>
      </c>
      <c r="P1621" s="5" t="n">
        <v>0</v>
      </c>
      <c r="Q1621" s="4" t="s">
        <v>73</v>
      </c>
      <c r="R1621" s="4" t="s">
        <v>73</v>
      </c>
      <c r="S1621" s="5" t="n">
        <v>0</v>
      </c>
      <c r="T1621" s="5" t="n">
        <v>0</v>
      </c>
      <c r="U1621" s="5" t="n">
        <v>0</v>
      </c>
      <c r="V1621" s="5" t="n">
        <v>0</v>
      </c>
      <c r="W1621" s="5" t="n">
        <v>0</v>
      </c>
      <c r="X1621" s="5" t="n">
        <v>0</v>
      </c>
      <c r="Y1621" s="5" t="n">
        <v>0</v>
      </c>
      <c r="Z1621" s="0" t="n">
        <v>0</v>
      </c>
      <c r="AA1621" s="0" t="n">
        <v>0</v>
      </c>
      <c r="AB1621" s="0" t="n">
        <v>0</v>
      </c>
      <c r="AC1621" s="4" t="s">
        <v>159</v>
      </c>
      <c r="AD1621" s="4" t="s">
        <v>158</v>
      </c>
      <c r="AE1621" s="4" t="s">
        <v>6085</v>
      </c>
      <c r="AF1621" s="4" t="s">
        <v>6089</v>
      </c>
      <c r="AG1621" s="5" t="n">
        <v>0.0938425925925926</v>
      </c>
      <c r="AH1621" s="5" t="n">
        <v>0.060474537037037</v>
      </c>
      <c r="AI1621" s="5" t="n">
        <v>0</v>
      </c>
      <c r="AJ1621" s="5" t="n">
        <v>0</v>
      </c>
      <c r="AK1621" s="5" t="n">
        <v>0</v>
      </c>
      <c r="AL1621" s="5" t="n">
        <v>0</v>
      </c>
      <c r="AM1621" s="4" t="s">
        <v>78</v>
      </c>
      <c r="AN1621" s="0" t="n">
        <v>0</v>
      </c>
      <c r="AO1621" s="0" t="n">
        <v>0</v>
      </c>
      <c r="AP1621" s="0" t="n">
        <v>0</v>
      </c>
      <c r="AQ1621" s="0" t="n">
        <v>0</v>
      </c>
      <c r="AR1621" s="0" t="n">
        <v>0</v>
      </c>
      <c r="AS1621" s="0" t="n">
        <v>0</v>
      </c>
      <c r="AT1621" s="0" t="n">
        <v>0</v>
      </c>
      <c r="AU1621" s="0" t="n">
        <v>0</v>
      </c>
      <c r="AV1621" s="0" t="n">
        <v>0</v>
      </c>
      <c r="AW1621" s="0" t="n">
        <v>0</v>
      </c>
      <c r="AX1621" s="0" t="n">
        <v>0</v>
      </c>
      <c r="AY1621" s="0" t="n">
        <v>0</v>
      </c>
      <c r="AZ1621" s="0" t="n">
        <v>0</v>
      </c>
      <c r="BA1621" s="0" t="n">
        <v>0</v>
      </c>
      <c r="BB1621" s="0" t="n">
        <v>0</v>
      </c>
      <c r="BC1621" s="0" t="n">
        <v>0</v>
      </c>
      <c r="BD1621" s="0" t="n">
        <v>0</v>
      </c>
      <c r="BE1621" s="0" t="n">
        <v>0</v>
      </c>
      <c r="BF1621" s="0" t="n">
        <v>0</v>
      </c>
      <c r="BG1621" s="0" t="n">
        <v>0</v>
      </c>
      <c r="BH1621" s="0" t="n">
        <v>0</v>
      </c>
      <c r="BI1621" s="0" t="n">
        <v>0</v>
      </c>
      <c r="BJ1621" s="0" t="n">
        <v>0</v>
      </c>
      <c r="BK1621" s="0" t="n">
        <v>0</v>
      </c>
      <c r="BM1621" s="6" t="n">
        <f aca="false">IFERROR(VALUE(F1621),"")</f>
        <v>80.45</v>
      </c>
      <c r="BN1621" s="6" t="str">
        <f aca="false">IF(R1621="-","",IFERROR(VALUE(LEFT(Q1621,LEN(Q1621)-2)),""))</f>
        <v/>
      </c>
      <c r="BO1621" s="6" t="str">
        <f aca="false">IF(R1621="-","",IFERROR(VALUE(LEFT(R1621,LEN(R1621)-5)),""))</f>
        <v/>
      </c>
      <c r="BP1621" s="6" t="str">
        <f aca="false">IF(R1621="-","",IFERROR(VALUE(F1621),""))</f>
        <v/>
      </c>
      <c r="BQ1621" s="4" t="n">
        <f aca="false">IF(R1621="-",1,0)</f>
        <v>1</v>
      </c>
    </row>
    <row r="1622" customFormat="false" ht="15" hidden="false" customHeight="false" outlineLevel="0" collapsed="false">
      <c r="A1622" s="0" t="s">
        <v>6090</v>
      </c>
      <c r="B1622" s="0" t="s">
        <v>6091</v>
      </c>
      <c r="C1622" s="0" t="s">
        <v>70</v>
      </c>
      <c r="E1622" s="3" t="n">
        <v>46278</v>
      </c>
      <c r="F1622" s="4" t="s">
        <v>95</v>
      </c>
      <c r="G1622" s="5" t="n">
        <v>0.587800925925926</v>
      </c>
      <c r="H1622" s="5" t="n">
        <v>0</v>
      </c>
      <c r="I1622" s="5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5" t="n">
        <v>0</v>
      </c>
      <c r="P1622" s="5" t="n">
        <v>0</v>
      </c>
      <c r="Q1622" s="4" t="s">
        <v>73</v>
      </c>
      <c r="R1622" s="4" t="s">
        <v>73</v>
      </c>
      <c r="S1622" s="5" t="n">
        <v>0</v>
      </c>
      <c r="T1622" s="5" t="n">
        <v>0</v>
      </c>
      <c r="U1622" s="5" t="n">
        <v>0</v>
      </c>
      <c r="V1622" s="5" t="n">
        <v>0</v>
      </c>
      <c r="W1622" s="5" t="n">
        <v>0</v>
      </c>
      <c r="X1622" s="5" t="n">
        <v>0</v>
      </c>
      <c r="Y1622" s="5" t="n">
        <v>0</v>
      </c>
      <c r="Z1622" s="0" t="n">
        <v>0</v>
      </c>
      <c r="AA1622" s="0" t="n">
        <v>0</v>
      </c>
      <c r="AB1622" s="0" t="n">
        <v>0</v>
      </c>
      <c r="AC1622" s="4" t="s">
        <v>6092</v>
      </c>
      <c r="AD1622" s="4" t="s">
        <v>6092</v>
      </c>
      <c r="AE1622" s="4" t="s">
        <v>6093</v>
      </c>
      <c r="AF1622" s="4" t="s">
        <v>6093</v>
      </c>
      <c r="AG1622" s="5" t="n">
        <v>0</v>
      </c>
      <c r="AH1622" s="5" t="n">
        <v>0.00447916666666667</v>
      </c>
      <c r="AI1622" s="5" t="n">
        <v>0</v>
      </c>
      <c r="AJ1622" s="5" t="n">
        <v>0</v>
      </c>
      <c r="AK1622" s="5" t="n">
        <v>0</v>
      </c>
      <c r="AL1622" s="5" t="n">
        <v>0</v>
      </c>
      <c r="AM1622" s="4" t="s">
        <v>78</v>
      </c>
      <c r="AN1622" s="0" t="n">
        <v>0</v>
      </c>
      <c r="AO1622" s="0" t="n">
        <v>0</v>
      </c>
      <c r="AP1622" s="0" t="n">
        <v>0</v>
      </c>
      <c r="AQ1622" s="0" t="n">
        <v>0</v>
      </c>
      <c r="AR1622" s="0" t="n">
        <v>0</v>
      </c>
      <c r="AS1622" s="0" t="n">
        <v>0</v>
      </c>
      <c r="AT1622" s="0" t="n">
        <v>0</v>
      </c>
      <c r="AU1622" s="0" t="n">
        <v>0</v>
      </c>
      <c r="AV1622" s="0" t="n">
        <v>0</v>
      </c>
      <c r="AW1622" s="0" t="n">
        <v>0</v>
      </c>
      <c r="AX1622" s="0" t="n">
        <v>0</v>
      </c>
      <c r="AY1622" s="0" t="n">
        <v>0</v>
      </c>
      <c r="AZ1622" s="0" t="n">
        <v>0</v>
      </c>
      <c r="BA1622" s="0" t="n">
        <v>0</v>
      </c>
      <c r="BB1622" s="0" t="n">
        <v>0</v>
      </c>
      <c r="BC1622" s="0" t="n">
        <v>0</v>
      </c>
      <c r="BD1622" s="0" t="n">
        <v>0</v>
      </c>
      <c r="BE1622" s="0" t="n">
        <v>0</v>
      </c>
      <c r="BF1622" s="0" t="n">
        <v>0</v>
      </c>
      <c r="BG1622" s="0" t="n">
        <v>0</v>
      </c>
      <c r="BH1622" s="0" t="n">
        <v>0</v>
      </c>
      <c r="BI1622" s="0" t="n">
        <v>0</v>
      </c>
      <c r="BJ1622" s="0" t="n">
        <v>0</v>
      </c>
      <c r="BK1622" s="0" t="n">
        <v>0</v>
      </c>
      <c r="BM1622" s="6" t="n">
        <f aca="false">IFERROR(VALUE(F1622),"")</f>
        <v>0</v>
      </c>
      <c r="BN1622" s="6" t="str">
        <f aca="false">IF(R1622="-","",IFERROR(VALUE(LEFT(Q1622,LEN(Q1622)-2)),""))</f>
        <v/>
      </c>
      <c r="BO1622" s="6" t="str">
        <f aca="false">IF(R1622="-","",IFERROR(VALUE(LEFT(R1622,LEN(R1622)-5)),""))</f>
        <v/>
      </c>
      <c r="BP1622" s="6" t="str">
        <f aca="false">IF(R1622="-","",IFERROR(VALUE(F1622),""))</f>
        <v/>
      </c>
      <c r="BQ1622" s="4" t="n">
        <f aca="false">IF(R1622="-",1,0)</f>
        <v>1</v>
      </c>
    </row>
    <row r="1623" customFormat="false" ht="15" hidden="false" customHeight="false" outlineLevel="0" collapsed="false">
      <c r="A1623" s="0" t="s">
        <v>6090</v>
      </c>
      <c r="B1623" s="0" t="s">
        <v>6094</v>
      </c>
      <c r="C1623" s="0" t="s">
        <v>70</v>
      </c>
      <c r="E1623" s="3" t="n">
        <v>46279</v>
      </c>
      <c r="F1623" s="4" t="s">
        <v>6095</v>
      </c>
      <c r="G1623" s="5" t="n">
        <v>0.211446759259259</v>
      </c>
      <c r="H1623" s="5" t="n">
        <v>0</v>
      </c>
      <c r="I1623" s="5" t="n">
        <v>0.000706018518518519</v>
      </c>
      <c r="J1623" s="0" t="n">
        <v>2</v>
      </c>
      <c r="K1623" s="0" t="n">
        <v>4</v>
      </c>
      <c r="L1623" s="0" t="n">
        <v>0</v>
      </c>
      <c r="M1623" s="0" t="n">
        <v>0</v>
      </c>
      <c r="N1623" s="0" t="n">
        <v>0</v>
      </c>
      <c r="O1623" s="5" t="n">
        <v>0</v>
      </c>
      <c r="P1623" s="5" t="n">
        <v>0</v>
      </c>
      <c r="Q1623" s="4" t="s">
        <v>73</v>
      </c>
      <c r="R1623" s="4" t="s">
        <v>73</v>
      </c>
      <c r="S1623" s="5" t="n">
        <v>0</v>
      </c>
      <c r="T1623" s="5" t="n">
        <v>0</v>
      </c>
      <c r="U1623" s="5" t="n">
        <v>0</v>
      </c>
      <c r="V1623" s="5" t="n">
        <v>0</v>
      </c>
      <c r="W1623" s="5" t="n">
        <v>0</v>
      </c>
      <c r="X1623" s="5" t="n">
        <v>0</v>
      </c>
      <c r="Y1623" s="5" t="n">
        <v>0</v>
      </c>
      <c r="Z1623" s="0" t="n">
        <v>0</v>
      </c>
      <c r="AA1623" s="0" t="n">
        <v>0</v>
      </c>
      <c r="AB1623" s="0" t="n">
        <v>0</v>
      </c>
      <c r="AC1623" s="4" t="s">
        <v>159</v>
      </c>
      <c r="AD1623" s="4" t="s">
        <v>158</v>
      </c>
      <c r="AE1623" s="4" t="s">
        <v>6093</v>
      </c>
      <c r="AF1623" s="4" t="s">
        <v>6096</v>
      </c>
      <c r="AG1623" s="5" t="n">
        <v>0.199467592592593</v>
      </c>
      <c r="AH1623" s="5" t="n">
        <v>0.0775694444444444</v>
      </c>
      <c r="AI1623" s="5" t="n">
        <v>0</v>
      </c>
      <c r="AJ1623" s="5" t="n">
        <v>0</v>
      </c>
      <c r="AK1623" s="5" t="n">
        <v>0</v>
      </c>
      <c r="AL1623" s="5" t="n">
        <v>0</v>
      </c>
      <c r="AM1623" s="4" t="s">
        <v>78</v>
      </c>
      <c r="AN1623" s="0" t="n">
        <v>0</v>
      </c>
      <c r="AO1623" s="0" t="n">
        <v>0</v>
      </c>
      <c r="AP1623" s="0" t="n">
        <v>0</v>
      </c>
      <c r="AQ1623" s="0" t="n">
        <v>0</v>
      </c>
      <c r="AR1623" s="0" t="n">
        <v>0</v>
      </c>
      <c r="AS1623" s="0" t="n">
        <v>0</v>
      </c>
      <c r="AT1623" s="0" t="n">
        <v>0</v>
      </c>
      <c r="AU1623" s="0" t="n">
        <v>0</v>
      </c>
      <c r="AV1623" s="0" t="n">
        <v>0</v>
      </c>
      <c r="AW1623" s="0" t="n">
        <v>0</v>
      </c>
      <c r="AX1623" s="0" t="n">
        <v>0</v>
      </c>
      <c r="AY1623" s="0" t="n">
        <v>0</v>
      </c>
      <c r="AZ1623" s="0" t="n">
        <v>0</v>
      </c>
      <c r="BA1623" s="0" t="n">
        <v>0</v>
      </c>
      <c r="BB1623" s="0" t="n">
        <v>0</v>
      </c>
      <c r="BC1623" s="0" t="n">
        <v>0</v>
      </c>
      <c r="BD1623" s="0" t="n">
        <v>0</v>
      </c>
      <c r="BE1623" s="0" t="n">
        <v>0</v>
      </c>
      <c r="BF1623" s="0" t="n">
        <v>0</v>
      </c>
      <c r="BG1623" s="0" t="n">
        <v>0</v>
      </c>
      <c r="BH1623" s="0" t="n">
        <v>0</v>
      </c>
      <c r="BI1623" s="0" t="n">
        <v>0</v>
      </c>
      <c r="BJ1623" s="0" t="n">
        <v>0</v>
      </c>
      <c r="BK1623" s="0" t="n">
        <v>0</v>
      </c>
      <c r="BM1623" s="6" t="n">
        <f aca="false">IFERROR(VALUE(F1623),"")</f>
        <v>203.12</v>
      </c>
      <c r="BN1623" s="6" t="str">
        <f aca="false">IF(R1623="-","",IFERROR(VALUE(LEFT(Q1623,LEN(Q1623)-2)),""))</f>
        <v/>
      </c>
      <c r="BO1623" s="6" t="str">
        <f aca="false">IF(R1623="-","",IFERROR(VALUE(LEFT(R1623,LEN(R1623)-5)),""))</f>
        <v/>
      </c>
      <c r="BP1623" s="6" t="str">
        <f aca="false">IF(R1623="-","",IFERROR(VALUE(F1623),""))</f>
        <v/>
      </c>
      <c r="BQ1623" s="4" t="n">
        <f aca="false">IF(R1623="-",1,0)</f>
        <v>1</v>
      </c>
    </row>
    <row r="1624" customFormat="false" ht="15" hidden="false" customHeight="false" outlineLevel="0" collapsed="false">
      <c r="A1624" s="0" t="s">
        <v>6097</v>
      </c>
      <c r="B1624" s="0" t="s">
        <v>6098</v>
      </c>
      <c r="C1624" s="0" t="s">
        <v>70</v>
      </c>
      <c r="E1624" s="3" t="n">
        <v>46278</v>
      </c>
      <c r="F1624" s="4" t="s">
        <v>95</v>
      </c>
      <c r="G1624" s="5" t="n">
        <v>0</v>
      </c>
      <c r="H1624" s="5" t="n">
        <v>0</v>
      </c>
      <c r="I1624" s="5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5" t="n">
        <v>0</v>
      </c>
      <c r="P1624" s="5" t="n">
        <v>0</v>
      </c>
      <c r="Q1624" s="4" t="s">
        <v>73</v>
      </c>
      <c r="R1624" s="4" t="s">
        <v>73</v>
      </c>
      <c r="S1624" s="5" t="n">
        <v>0</v>
      </c>
      <c r="T1624" s="5" t="n">
        <v>0</v>
      </c>
      <c r="U1624" s="5" t="n">
        <v>0</v>
      </c>
      <c r="V1624" s="5" t="n">
        <v>0</v>
      </c>
      <c r="W1624" s="5" t="n">
        <v>0</v>
      </c>
      <c r="X1624" s="5" t="n">
        <v>0</v>
      </c>
      <c r="Y1624" s="5" t="n">
        <v>0</v>
      </c>
      <c r="Z1624" s="0" t="n">
        <v>0</v>
      </c>
      <c r="AA1624" s="0" t="n">
        <v>0</v>
      </c>
      <c r="AB1624" s="0" t="n">
        <v>0</v>
      </c>
      <c r="AC1624" s="4" t="s">
        <v>159</v>
      </c>
      <c r="AD1624" s="4" t="s">
        <v>159</v>
      </c>
      <c r="AE1624" s="4" t="s">
        <v>6099</v>
      </c>
      <c r="AF1624" s="4" t="s">
        <v>6099</v>
      </c>
      <c r="AG1624" s="5" t="n">
        <v>0</v>
      </c>
      <c r="AH1624" s="5" t="n">
        <v>0</v>
      </c>
      <c r="AI1624" s="5" t="n">
        <v>0</v>
      </c>
      <c r="AJ1624" s="5" t="n">
        <v>0</v>
      </c>
      <c r="AK1624" s="5" t="n">
        <v>0</v>
      </c>
      <c r="AL1624" s="5" t="n">
        <v>0</v>
      </c>
      <c r="AM1624" s="4" t="s">
        <v>78</v>
      </c>
      <c r="AN1624" s="0" t="n">
        <v>0</v>
      </c>
      <c r="AO1624" s="0" t="n">
        <v>0</v>
      </c>
      <c r="AP1624" s="0" t="n">
        <v>0</v>
      </c>
      <c r="AQ1624" s="0" t="n">
        <v>0</v>
      </c>
      <c r="AR1624" s="0" t="n">
        <v>0</v>
      </c>
      <c r="AS1624" s="0" t="n">
        <v>0</v>
      </c>
      <c r="AT1624" s="0" t="n">
        <v>0</v>
      </c>
      <c r="AU1624" s="0" t="n">
        <v>0</v>
      </c>
      <c r="AV1624" s="0" t="n">
        <v>0</v>
      </c>
      <c r="AW1624" s="0" t="n">
        <v>0</v>
      </c>
      <c r="AX1624" s="0" t="n">
        <v>0</v>
      </c>
      <c r="AY1624" s="0" t="n">
        <v>0</v>
      </c>
      <c r="AZ1624" s="0" t="n">
        <v>0</v>
      </c>
      <c r="BA1624" s="0" t="n">
        <v>0</v>
      </c>
      <c r="BB1624" s="0" t="n">
        <v>0</v>
      </c>
      <c r="BC1624" s="0" t="n">
        <v>0</v>
      </c>
      <c r="BD1624" s="0" t="n">
        <v>0</v>
      </c>
      <c r="BE1624" s="0" t="n">
        <v>0</v>
      </c>
      <c r="BF1624" s="0" t="n">
        <v>0</v>
      </c>
      <c r="BG1624" s="0" t="n">
        <v>0</v>
      </c>
      <c r="BH1624" s="0" t="n">
        <v>0</v>
      </c>
      <c r="BI1624" s="0" t="n">
        <v>0</v>
      </c>
      <c r="BJ1624" s="0" t="n">
        <v>0</v>
      </c>
      <c r="BK1624" s="0" t="n">
        <v>0</v>
      </c>
      <c r="BM1624" s="6" t="n">
        <f aca="false">IFERROR(VALUE(F1624),"")</f>
        <v>0</v>
      </c>
      <c r="BN1624" s="6" t="str">
        <f aca="false">IF(R1624="-","",IFERROR(VALUE(LEFT(Q1624,LEN(Q1624)-2)),""))</f>
        <v/>
      </c>
      <c r="BO1624" s="6" t="str">
        <f aca="false">IF(R1624="-","",IFERROR(VALUE(LEFT(R1624,LEN(R1624)-5)),""))</f>
        <v/>
      </c>
      <c r="BP1624" s="6" t="str">
        <f aca="false">IF(R1624="-","",IFERROR(VALUE(F1624),""))</f>
        <v/>
      </c>
      <c r="BQ1624" s="4" t="n">
        <f aca="false">IF(R1624="-",1,0)</f>
        <v>1</v>
      </c>
    </row>
    <row r="1625" customFormat="false" ht="15" hidden="false" customHeight="false" outlineLevel="0" collapsed="false">
      <c r="A1625" s="0" t="s">
        <v>6097</v>
      </c>
      <c r="B1625" s="0" t="s">
        <v>6100</v>
      </c>
      <c r="C1625" s="0" t="s">
        <v>70</v>
      </c>
      <c r="E1625" s="3" t="n">
        <v>46279</v>
      </c>
      <c r="F1625" s="4" t="s">
        <v>6101</v>
      </c>
      <c r="G1625" s="5" t="n">
        <v>0.127361111111111</v>
      </c>
      <c r="H1625" s="5" t="n">
        <v>0</v>
      </c>
      <c r="I1625" s="5" t="n">
        <v>0.000127314814814815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5" t="n">
        <v>0</v>
      </c>
      <c r="P1625" s="5" t="n">
        <v>0</v>
      </c>
      <c r="Q1625" s="4" t="s">
        <v>73</v>
      </c>
      <c r="R1625" s="4" t="s">
        <v>73</v>
      </c>
      <c r="S1625" s="5" t="n">
        <v>0</v>
      </c>
      <c r="T1625" s="5" t="n">
        <v>0</v>
      </c>
      <c r="U1625" s="5" t="n">
        <v>0</v>
      </c>
      <c r="V1625" s="5" t="n">
        <v>0</v>
      </c>
      <c r="W1625" s="5" t="n">
        <v>0</v>
      </c>
      <c r="X1625" s="5" t="n">
        <v>0</v>
      </c>
      <c r="Y1625" s="5" t="n">
        <v>0</v>
      </c>
      <c r="Z1625" s="0" t="n">
        <v>0</v>
      </c>
      <c r="AA1625" s="0" t="n">
        <v>0</v>
      </c>
      <c r="AB1625" s="0" t="n">
        <v>0</v>
      </c>
      <c r="AC1625" s="4" t="s">
        <v>5767</v>
      </c>
      <c r="AD1625" s="4" t="s">
        <v>158</v>
      </c>
      <c r="AE1625" s="4" t="s">
        <v>6099</v>
      </c>
      <c r="AF1625" s="4" t="s">
        <v>6102</v>
      </c>
      <c r="AG1625" s="5" t="n">
        <v>0.10599537037037</v>
      </c>
      <c r="AH1625" s="5" t="n">
        <v>0.104201388888889</v>
      </c>
      <c r="AI1625" s="5" t="n">
        <v>0</v>
      </c>
      <c r="AJ1625" s="5" t="n">
        <v>0</v>
      </c>
      <c r="AK1625" s="5" t="n">
        <v>0</v>
      </c>
      <c r="AL1625" s="5" t="n">
        <v>0</v>
      </c>
      <c r="AM1625" s="4" t="s">
        <v>78</v>
      </c>
      <c r="AN1625" s="0" t="n">
        <v>0</v>
      </c>
      <c r="AO1625" s="0" t="n">
        <v>0</v>
      </c>
      <c r="AP1625" s="0" t="n">
        <v>0</v>
      </c>
      <c r="AQ1625" s="0" t="n">
        <v>0</v>
      </c>
      <c r="AR1625" s="0" t="n">
        <v>0</v>
      </c>
      <c r="AS1625" s="0" t="n">
        <v>0</v>
      </c>
      <c r="AT1625" s="0" t="n">
        <v>0</v>
      </c>
      <c r="AU1625" s="0" t="n">
        <v>0</v>
      </c>
      <c r="AV1625" s="0" t="n">
        <v>0</v>
      </c>
      <c r="AW1625" s="0" t="n">
        <v>0</v>
      </c>
      <c r="AX1625" s="0" t="n">
        <v>0</v>
      </c>
      <c r="AY1625" s="0" t="n">
        <v>0</v>
      </c>
      <c r="AZ1625" s="0" t="n">
        <v>0</v>
      </c>
      <c r="BA1625" s="0" t="n">
        <v>0</v>
      </c>
      <c r="BB1625" s="0" t="n">
        <v>0</v>
      </c>
      <c r="BC1625" s="0" t="n">
        <v>0</v>
      </c>
      <c r="BD1625" s="0" t="n">
        <v>0</v>
      </c>
      <c r="BE1625" s="0" t="n">
        <v>0</v>
      </c>
      <c r="BF1625" s="0" t="n">
        <v>0</v>
      </c>
      <c r="BG1625" s="0" t="n">
        <v>0</v>
      </c>
      <c r="BH1625" s="0" t="n">
        <v>0</v>
      </c>
      <c r="BI1625" s="0" t="n">
        <v>0</v>
      </c>
      <c r="BJ1625" s="0" t="n">
        <v>0</v>
      </c>
      <c r="BK1625" s="0" t="n">
        <v>0</v>
      </c>
      <c r="BM1625" s="6" t="n">
        <f aca="false">IFERROR(VALUE(F1625),"")</f>
        <v>77.48</v>
      </c>
      <c r="BN1625" s="6" t="str">
        <f aca="false">IF(R1625="-","",IFERROR(VALUE(LEFT(Q1625,LEN(Q1625)-2)),""))</f>
        <v/>
      </c>
      <c r="BO1625" s="6" t="str">
        <f aca="false">IF(R1625="-","",IFERROR(VALUE(LEFT(R1625,LEN(R1625)-5)),""))</f>
        <v/>
      </c>
      <c r="BP1625" s="6" t="str">
        <f aca="false">IF(R1625="-","",IFERROR(VALUE(F1625),""))</f>
        <v/>
      </c>
      <c r="BQ1625" s="4" t="n">
        <f aca="false">IF(R1625="-",1,0)</f>
        <v>1</v>
      </c>
    </row>
    <row r="1626" customFormat="false" ht="15" hidden="false" customHeight="false" outlineLevel="0" collapsed="false">
      <c r="A1626" s="0" t="s">
        <v>6103</v>
      </c>
      <c r="B1626" s="0" t="s">
        <v>6104</v>
      </c>
      <c r="C1626" s="0" t="s">
        <v>70</v>
      </c>
      <c r="E1626" s="3" t="n">
        <v>46278</v>
      </c>
      <c r="F1626" s="4" t="s">
        <v>95</v>
      </c>
      <c r="G1626" s="5" t="n">
        <v>0</v>
      </c>
      <c r="H1626" s="5" t="n">
        <v>0</v>
      </c>
      <c r="I1626" s="5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5" t="n">
        <v>0</v>
      </c>
      <c r="P1626" s="5" t="n">
        <v>0</v>
      </c>
      <c r="Q1626" s="4" t="s">
        <v>73</v>
      </c>
      <c r="R1626" s="4" t="s">
        <v>73</v>
      </c>
      <c r="S1626" s="5" t="n">
        <v>0</v>
      </c>
      <c r="T1626" s="5" t="n">
        <v>0</v>
      </c>
      <c r="U1626" s="5" t="n">
        <v>0</v>
      </c>
      <c r="V1626" s="5" t="n">
        <v>0</v>
      </c>
      <c r="W1626" s="5" t="n">
        <v>0</v>
      </c>
      <c r="X1626" s="5" t="n">
        <v>0</v>
      </c>
      <c r="Y1626" s="5" t="n">
        <v>0</v>
      </c>
      <c r="Z1626" s="0" t="n">
        <v>0</v>
      </c>
      <c r="AA1626" s="0" t="n">
        <v>0</v>
      </c>
      <c r="AB1626" s="0" t="n">
        <v>0</v>
      </c>
      <c r="AC1626" s="4" t="s">
        <v>159</v>
      </c>
      <c r="AD1626" s="4" t="s">
        <v>159</v>
      </c>
      <c r="AE1626" s="4" t="s">
        <v>6105</v>
      </c>
      <c r="AF1626" s="4" t="s">
        <v>6105</v>
      </c>
      <c r="AG1626" s="5" t="n">
        <v>0</v>
      </c>
      <c r="AH1626" s="5" t="n">
        <v>0</v>
      </c>
      <c r="AI1626" s="5" t="n">
        <v>0</v>
      </c>
      <c r="AJ1626" s="5" t="n">
        <v>0</v>
      </c>
      <c r="AK1626" s="5" t="n">
        <v>0</v>
      </c>
      <c r="AL1626" s="5" t="n">
        <v>0</v>
      </c>
      <c r="AM1626" s="4" t="s">
        <v>78</v>
      </c>
      <c r="AN1626" s="0" t="n">
        <v>0</v>
      </c>
      <c r="AO1626" s="0" t="n">
        <v>0</v>
      </c>
      <c r="AP1626" s="0" t="n">
        <v>0</v>
      </c>
      <c r="AQ1626" s="0" t="n">
        <v>0</v>
      </c>
      <c r="AR1626" s="0" t="n">
        <v>0</v>
      </c>
      <c r="AS1626" s="0" t="n">
        <v>0</v>
      </c>
      <c r="AT1626" s="0" t="n">
        <v>0</v>
      </c>
      <c r="AU1626" s="0" t="n">
        <v>0</v>
      </c>
      <c r="AV1626" s="0" t="n">
        <v>0</v>
      </c>
      <c r="AW1626" s="0" t="n">
        <v>0</v>
      </c>
      <c r="AX1626" s="0" t="n">
        <v>0</v>
      </c>
      <c r="AY1626" s="0" t="n">
        <v>0</v>
      </c>
      <c r="AZ1626" s="0" t="n">
        <v>0</v>
      </c>
      <c r="BA1626" s="0" t="n">
        <v>0</v>
      </c>
      <c r="BB1626" s="0" t="n">
        <v>0</v>
      </c>
      <c r="BC1626" s="0" t="n">
        <v>0</v>
      </c>
      <c r="BD1626" s="0" t="n">
        <v>0</v>
      </c>
      <c r="BE1626" s="0" t="n">
        <v>0</v>
      </c>
      <c r="BF1626" s="0" t="n">
        <v>0</v>
      </c>
      <c r="BG1626" s="0" t="n">
        <v>0</v>
      </c>
      <c r="BH1626" s="0" t="n">
        <v>0</v>
      </c>
      <c r="BI1626" s="0" t="n">
        <v>0</v>
      </c>
      <c r="BJ1626" s="0" t="n">
        <v>0</v>
      </c>
      <c r="BK1626" s="0" t="n">
        <v>0</v>
      </c>
      <c r="BM1626" s="6" t="n">
        <f aca="false">IFERROR(VALUE(F1626),"")</f>
        <v>0</v>
      </c>
      <c r="BN1626" s="6" t="str">
        <f aca="false">IF(R1626="-","",IFERROR(VALUE(LEFT(Q1626,LEN(Q1626)-2)),""))</f>
        <v/>
      </c>
      <c r="BO1626" s="6" t="str">
        <f aca="false">IF(R1626="-","",IFERROR(VALUE(LEFT(R1626,LEN(R1626)-5)),""))</f>
        <v/>
      </c>
      <c r="BP1626" s="6" t="str">
        <f aca="false">IF(R1626="-","",IFERROR(VALUE(F1626),""))</f>
        <v/>
      </c>
      <c r="BQ1626" s="4" t="n">
        <f aca="false">IF(R1626="-",1,0)</f>
        <v>1</v>
      </c>
    </row>
    <row r="1627" customFormat="false" ht="15" hidden="false" customHeight="false" outlineLevel="0" collapsed="false">
      <c r="A1627" s="0" t="s">
        <v>6103</v>
      </c>
      <c r="B1627" s="0" t="s">
        <v>6106</v>
      </c>
      <c r="C1627" s="0" t="s">
        <v>70</v>
      </c>
      <c r="D1627" s="0" t="s">
        <v>6107</v>
      </c>
      <c r="E1627" s="3" t="n">
        <v>46279</v>
      </c>
      <c r="F1627" s="4" t="s">
        <v>6108</v>
      </c>
      <c r="G1627" s="5" t="n">
        <v>0.272905092592593</v>
      </c>
      <c r="H1627" s="5" t="n">
        <v>0.19244212962963</v>
      </c>
      <c r="I1627" s="5" t="n">
        <v>0.000925925925925926</v>
      </c>
      <c r="J1627" s="0" t="n">
        <v>0</v>
      </c>
      <c r="K1627" s="0" t="n">
        <v>3</v>
      </c>
      <c r="L1627" s="0" t="n">
        <v>0</v>
      </c>
      <c r="M1627" s="0" t="n">
        <v>0</v>
      </c>
      <c r="N1627" s="0" t="n">
        <v>0</v>
      </c>
      <c r="O1627" s="5" t="n">
        <v>0</v>
      </c>
      <c r="P1627" s="5" t="n">
        <v>0</v>
      </c>
      <c r="Q1627" s="4" t="s">
        <v>73</v>
      </c>
      <c r="R1627" s="4" t="s">
        <v>73</v>
      </c>
      <c r="S1627" s="5" t="n">
        <v>0</v>
      </c>
      <c r="T1627" s="5" t="n">
        <v>0</v>
      </c>
      <c r="U1627" s="5" t="n">
        <v>0</v>
      </c>
      <c r="V1627" s="5" t="n">
        <v>0</v>
      </c>
      <c r="W1627" s="5" t="n">
        <v>0</v>
      </c>
      <c r="X1627" s="5" t="n">
        <v>0</v>
      </c>
      <c r="Y1627" s="5" t="n">
        <v>0</v>
      </c>
      <c r="Z1627" s="0" t="n">
        <v>0</v>
      </c>
      <c r="AA1627" s="0" t="n">
        <v>0</v>
      </c>
      <c r="AB1627" s="0" t="n">
        <v>0</v>
      </c>
      <c r="AC1627" s="4" t="s">
        <v>158</v>
      </c>
      <c r="AD1627" s="4" t="s">
        <v>158</v>
      </c>
      <c r="AE1627" s="4" t="s">
        <v>6105</v>
      </c>
      <c r="AF1627" s="4" t="s">
        <v>6109</v>
      </c>
      <c r="AG1627" s="5" t="n">
        <v>0.245532407407407</v>
      </c>
      <c r="AH1627" s="5" t="n">
        <v>0.102395833333333</v>
      </c>
      <c r="AI1627" s="5" t="n">
        <v>0</v>
      </c>
      <c r="AJ1627" s="5" t="n">
        <v>0</v>
      </c>
      <c r="AK1627" s="5" t="n">
        <v>0</v>
      </c>
      <c r="AL1627" s="5" t="n">
        <v>0</v>
      </c>
      <c r="AM1627" s="4" t="s">
        <v>78</v>
      </c>
      <c r="AN1627" s="0" t="n">
        <v>0</v>
      </c>
      <c r="AO1627" s="0" t="n">
        <v>0</v>
      </c>
      <c r="AP1627" s="0" t="n">
        <v>0</v>
      </c>
      <c r="AQ1627" s="0" t="n">
        <v>0</v>
      </c>
      <c r="AR1627" s="0" t="n">
        <v>1</v>
      </c>
      <c r="AS1627" s="0" t="n">
        <v>0</v>
      </c>
      <c r="AT1627" s="0" t="n">
        <v>0</v>
      </c>
      <c r="AU1627" s="0" t="n">
        <v>0</v>
      </c>
      <c r="AV1627" s="0" t="n">
        <v>0</v>
      </c>
      <c r="AW1627" s="0" t="n">
        <v>0</v>
      </c>
      <c r="AX1627" s="0" t="n">
        <v>0</v>
      </c>
      <c r="AY1627" s="0" t="n">
        <v>0</v>
      </c>
      <c r="AZ1627" s="0" t="n">
        <v>0</v>
      </c>
      <c r="BA1627" s="0" t="n">
        <v>0</v>
      </c>
      <c r="BB1627" s="0" t="n">
        <v>0</v>
      </c>
      <c r="BC1627" s="0" t="n">
        <v>0</v>
      </c>
      <c r="BD1627" s="0" t="n">
        <v>0</v>
      </c>
      <c r="BE1627" s="0" t="n">
        <v>0</v>
      </c>
      <c r="BF1627" s="0" t="n">
        <v>0</v>
      </c>
      <c r="BG1627" s="0" t="n">
        <v>0</v>
      </c>
      <c r="BH1627" s="0" t="n">
        <v>0</v>
      </c>
      <c r="BI1627" s="0" t="n">
        <v>0</v>
      </c>
      <c r="BJ1627" s="0" t="n">
        <v>0</v>
      </c>
      <c r="BK1627" s="0" t="n">
        <v>0</v>
      </c>
      <c r="BM1627" s="6" t="n">
        <f aca="false">IFERROR(VALUE(F1627),"")</f>
        <v>280.42</v>
      </c>
      <c r="BN1627" s="6" t="str">
        <f aca="false">IF(R1627="-","",IFERROR(VALUE(LEFT(Q1627,LEN(Q1627)-2)),""))</f>
        <v/>
      </c>
      <c r="BO1627" s="6" t="str">
        <f aca="false">IF(R1627="-","",IFERROR(VALUE(LEFT(R1627,LEN(R1627)-5)),""))</f>
        <v/>
      </c>
      <c r="BP1627" s="6" t="str">
        <f aca="false">IF(R1627="-","",IFERROR(VALUE(F1627),""))</f>
        <v/>
      </c>
      <c r="BQ1627" s="4" t="n">
        <f aca="false">IF(R1627="-",1,0)</f>
        <v>1</v>
      </c>
    </row>
    <row r="1628" customFormat="false" ht="15" hidden="false" customHeight="false" outlineLevel="0" collapsed="false">
      <c r="A1628" s="0" t="s">
        <v>6110</v>
      </c>
      <c r="B1628" s="0" t="s">
        <v>6111</v>
      </c>
      <c r="C1628" s="0" t="s">
        <v>70</v>
      </c>
      <c r="E1628" s="3" t="n">
        <v>46278</v>
      </c>
      <c r="F1628" s="4" t="s">
        <v>95</v>
      </c>
      <c r="G1628" s="5" t="n">
        <v>0</v>
      </c>
      <c r="H1628" s="5" t="n">
        <v>0</v>
      </c>
      <c r="I1628" s="5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5" t="n">
        <v>0</v>
      </c>
      <c r="P1628" s="5" t="n">
        <v>0</v>
      </c>
      <c r="Q1628" s="4" t="s">
        <v>73</v>
      </c>
      <c r="R1628" s="4" t="s">
        <v>73</v>
      </c>
      <c r="S1628" s="5" t="n">
        <v>0</v>
      </c>
      <c r="T1628" s="5" t="n">
        <v>0</v>
      </c>
      <c r="U1628" s="5" t="n">
        <v>0</v>
      </c>
      <c r="V1628" s="5" t="n">
        <v>0</v>
      </c>
      <c r="W1628" s="5" t="n">
        <v>0</v>
      </c>
      <c r="X1628" s="5" t="n">
        <v>0</v>
      </c>
      <c r="Y1628" s="5" t="n">
        <v>0</v>
      </c>
      <c r="Z1628" s="0" t="n">
        <v>0</v>
      </c>
      <c r="AA1628" s="0" t="n">
        <v>0</v>
      </c>
      <c r="AB1628" s="0" t="n">
        <v>0</v>
      </c>
      <c r="AC1628" s="4" t="s">
        <v>159</v>
      </c>
      <c r="AD1628" s="4" t="s">
        <v>159</v>
      </c>
      <c r="AE1628" s="4" t="s">
        <v>6112</v>
      </c>
      <c r="AF1628" s="4" t="s">
        <v>6112</v>
      </c>
      <c r="AG1628" s="5" t="n">
        <v>0</v>
      </c>
      <c r="AH1628" s="5" t="n">
        <v>0</v>
      </c>
      <c r="AI1628" s="5" t="n">
        <v>0</v>
      </c>
      <c r="AJ1628" s="5" t="n">
        <v>0</v>
      </c>
      <c r="AK1628" s="5" t="n">
        <v>0</v>
      </c>
      <c r="AL1628" s="5" t="n">
        <v>0</v>
      </c>
      <c r="AM1628" s="4" t="s">
        <v>78</v>
      </c>
      <c r="AN1628" s="0" t="n">
        <v>0</v>
      </c>
      <c r="AO1628" s="0" t="n">
        <v>0</v>
      </c>
      <c r="AP1628" s="0" t="n">
        <v>0</v>
      </c>
      <c r="AQ1628" s="0" t="n">
        <v>0</v>
      </c>
      <c r="AR1628" s="0" t="n">
        <v>0</v>
      </c>
      <c r="AS1628" s="0" t="n">
        <v>0</v>
      </c>
      <c r="AT1628" s="0" t="n">
        <v>0</v>
      </c>
      <c r="AU1628" s="0" t="n">
        <v>0</v>
      </c>
      <c r="AV1628" s="0" t="n">
        <v>0</v>
      </c>
      <c r="AW1628" s="0" t="n">
        <v>0</v>
      </c>
      <c r="AX1628" s="0" t="n">
        <v>0</v>
      </c>
      <c r="AY1628" s="0" t="n">
        <v>0</v>
      </c>
      <c r="AZ1628" s="0" t="n">
        <v>0</v>
      </c>
      <c r="BA1628" s="0" t="n">
        <v>0</v>
      </c>
      <c r="BB1628" s="0" t="n">
        <v>0</v>
      </c>
      <c r="BC1628" s="0" t="n">
        <v>0</v>
      </c>
      <c r="BD1628" s="0" t="n">
        <v>0</v>
      </c>
      <c r="BE1628" s="0" t="n">
        <v>0</v>
      </c>
      <c r="BF1628" s="0" t="n">
        <v>0</v>
      </c>
      <c r="BG1628" s="0" t="n">
        <v>0</v>
      </c>
      <c r="BH1628" s="0" t="n">
        <v>0</v>
      </c>
      <c r="BI1628" s="0" t="n">
        <v>0</v>
      </c>
      <c r="BJ1628" s="0" t="n">
        <v>0</v>
      </c>
      <c r="BK1628" s="0" t="n">
        <v>0</v>
      </c>
      <c r="BM1628" s="6" t="n">
        <f aca="false">IFERROR(VALUE(F1628),"")</f>
        <v>0</v>
      </c>
      <c r="BN1628" s="6" t="str">
        <f aca="false">IF(R1628="-","",IFERROR(VALUE(LEFT(Q1628,LEN(Q1628)-2)),""))</f>
        <v/>
      </c>
      <c r="BO1628" s="6" t="str">
        <f aca="false">IF(R1628="-","",IFERROR(VALUE(LEFT(R1628,LEN(R1628)-5)),""))</f>
        <v/>
      </c>
      <c r="BP1628" s="6" t="str">
        <f aca="false">IF(R1628="-","",IFERROR(VALUE(F1628),""))</f>
        <v/>
      </c>
      <c r="BQ1628" s="4" t="n">
        <f aca="false">IF(R1628="-",1,0)</f>
        <v>1</v>
      </c>
    </row>
    <row r="1629" customFormat="false" ht="15" hidden="false" customHeight="false" outlineLevel="0" collapsed="false">
      <c r="A1629" s="0" t="s">
        <v>6110</v>
      </c>
      <c r="B1629" s="0" t="s">
        <v>6113</v>
      </c>
      <c r="C1629" s="0" t="s">
        <v>70</v>
      </c>
      <c r="E1629" s="3" t="n">
        <v>46279</v>
      </c>
      <c r="F1629" s="4" t="s">
        <v>6114</v>
      </c>
      <c r="G1629" s="5" t="n">
        <v>0.194710648148148</v>
      </c>
      <c r="H1629" s="5" t="n">
        <v>0</v>
      </c>
      <c r="I1629" s="5" t="n">
        <v>0.000219907407407407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5" t="n">
        <v>0</v>
      </c>
      <c r="P1629" s="5" t="n">
        <v>0</v>
      </c>
      <c r="Q1629" s="4" t="s">
        <v>73</v>
      </c>
      <c r="R1629" s="4" t="s">
        <v>73</v>
      </c>
      <c r="S1629" s="5" t="n">
        <v>0</v>
      </c>
      <c r="T1629" s="5" t="n">
        <v>0</v>
      </c>
      <c r="U1629" s="5" t="n">
        <v>0</v>
      </c>
      <c r="V1629" s="5" t="n">
        <v>0</v>
      </c>
      <c r="W1629" s="5" t="n">
        <v>0</v>
      </c>
      <c r="X1629" s="5" t="n">
        <v>0</v>
      </c>
      <c r="Y1629" s="5" t="n">
        <v>0</v>
      </c>
      <c r="Z1629" s="0" t="n">
        <v>0</v>
      </c>
      <c r="AA1629" s="0" t="n">
        <v>0</v>
      </c>
      <c r="AB1629" s="0" t="n">
        <v>0</v>
      </c>
      <c r="AC1629" s="4" t="s">
        <v>159</v>
      </c>
      <c r="AD1629" s="4" t="s">
        <v>158</v>
      </c>
      <c r="AE1629" s="4" t="s">
        <v>6112</v>
      </c>
      <c r="AF1629" s="4" t="s">
        <v>6115</v>
      </c>
      <c r="AG1629" s="5" t="n">
        <v>0.181041666666667</v>
      </c>
      <c r="AH1629" s="5" t="n">
        <v>0.0845717592592593</v>
      </c>
      <c r="AI1629" s="5" t="n">
        <v>0</v>
      </c>
      <c r="AJ1629" s="5" t="n">
        <v>0</v>
      </c>
      <c r="AK1629" s="5" t="n">
        <v>0</v>
      </c>
      <c r="AL1629" s="5" t="n">
        <v>0</v>
      </c>
      <c r="AM1629" s="4" t="s">
        <v>78</v>
      </c>
      <c r="AN1629" s="0" t="n">
        <v>0</v>
      </c>
      <c r="AO1629" s="0" t="n">
        <v>0</v>
      </c>
      <c r="AP1629" s="0" t="n">
        <v>0</v>
      </c>
      <c r="AQ1629" s="0" t="n">
        <v>0</v>
      </c>
      <c r="AR1629" s="0" t="n">
        <v>0</v>
      </c>
      <c r="AS1629" s="0" t="n">
        <v>0</v>
      </c>
      <c r="AT1629" s="0" t="n">
        <v>0</v>
      </c>
      <c r="AU1629" s="0" t="n">
        <v>0</v>
      </c>
      <c r="AV1629" s="0" t="n">
        <v>0</v>
      </c>
      <c r="AW1629" s="0" t="n">
        <v>0</v>
      </c>
      <c r="AX1629" s="0" t="n">
        <v>0</v>
      </c>
      <c r="AY1629" s="0" t="n">
        <v>0</v>
      </c>
      <c r="AZ1629" s="0" t="n">
        <v>0</v>
      </c>
      <c r="BA1629" s="0" t="n">
        <v>0</v>
      </c>
      <c r="BB1629" s="0" t="n">
        <v>0</v>
      </c>
      <c r="BC1629" s="0" t="n">
        <v>0</v>
      </c>
      <c r="BD1629" s="0" t="n">
        <v>0</v>
      </c>
      <c r="BE1629" s="0" t="n">
        <v>0</v>
      </c>
      <c r="BF1629" s="0" t="n">
        <v>0</v>
      </c>
      <c r="BG1629" s="0" t="n">
        <v>0</v>
      </c>
      <c r="BH1629" s="0" t="n">
        <v>0</v>
      </c>
      <c r="BI1629" s="0" t="n">
        <v>0</v>
      </c>
      <c r="BJ1629" s="0" t="n">
        <v>0</v>
      </c>
      <c r="BK1629" s="0" t="n">
        <v>0</v>
      </c>
      <c r="BM1629" s="6" t="n">
        <f aca="false">IFERROR(VALUE(F1629),"")</f>
        <v>152.87</v>
      </c>
      <c r="BN1629" s="6" t="str">
        <f aca="false">IF(R1629="-","",IFERROR(VALUE(LEFT(Q1629,LEN(Q1629)-2)),""))</f>
        <v/>
      </c>
      <c r="BO1629" s="6" t="str">
        <f aca="false">IF(R1629="-","",IFERROR(VALUE(LEFT(R1629,LEN(R1629)-5)),""))</f>
        <v/>
      </c>
      <c r="BP1629" s="6" t="str">
        <f aca="false">IF(R1629="-","",IFERROR(VALUE(F1629),""))</f>
        <v/>
      </c>
      <c r="BQ1629" s="4" t="n">
        <f aca="false">IF(R1629="-",1,0)</f>
        <v>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0.71"/>
    <col collapsed="false" customWidth="true" hidden="false" outlineLevel="0" max="3" min="3" style="0" width="8.43"/>
    <col collapsed="false" customWidth="true" hidden="false" outlineLevel="0" max="4" min="4" style="0" width="12.29"/>
    <col collapsed="false" customWidth="true" hidden="false" outlineLevel="0" max="5" min="5" style="0" width="7.43"/>
    <col collapsed="false" customWidth="true" hidden="false" outlineLevel="0" max="6" min="6" style="0" width="9"/>
    <col collapsed="false" customWidth="true" hidden="false" outlineLevel="0" max="7" min="7" style="0" width="26.29"/>
    <col collapsed="false" customWidth="true" hidden="false" outlineLevel="0" max="8" min="8" style="0" width="19.14"/>
    <col collapsed="false" customWidth="true" hidden="false" outlineLevel="0" max="9" min="9" style="0" width="61.43"/>
  </cols>
  <sheetData>
    <row r="1" customFormat="false" ht="28.5" hidden="false" customHeight="true" outlineLevel="0" collapsed="false">
      <c r="A1" s="9" t="s">
        <v>6116</v>
      </c>
      <c r="B1" s="9"/>
      <c r="C1" s="9"/>
      <c r="D1" s="9"/>
      <c r="E1" s="9"/>
      <c r="F1" s="9"/>
      <c r="G1" s="9"/>
      <c r="H1" s="9"/>
      <c r="I1" s="9"/>
    </row>
    <row r="2" customFormat="false" ht="15.75" hidden="false" customHeight="true" outlineLevel="0" collapsed="false">
      <c r="A2" s="10" t="s">
        <v>6117</v>
      </c>
      <c r="B2" s="10" t="s">
        <v>6118</v>
      </c>
      <c r="C2" s="10" t="s">
        <v>6119</v>
      </c>
      <c r="D2" s="10" t="s">
        <v>6120</v>
      </c>
      <c r="E2" s="10" t="s">
        <v>6121</v>
      </c>
      <c r="F2" s="10" t="s">
        <v>6122</v>
      </c>
      <c r="G2" s="10" t="s">
        <v>6123</v>
      </c>
      <c r="H2" s="10" t="s">
        <v>6124</v>
      </c>
      <c r="I2" s="10" t="s">
        <v>6125</v>
      </c>
    </row>
    <row r="3" customFormat="false" ht="15.75" hidden="false" customHeight="true" outlineLevel="0" collapsed="false">
      <c r="A3" s="11" t="s">
        <v>1280</v>
      </c>
      <c r="B3" s="12" t="s">
        <v>1279</v>
      </c>
      <c r="C3" s="13" t="s">
        <v>6126</v>
      </c>
      <c r="D3" s="13" t="s">
        <v>6127</v>
      </c>
      <c r="E3" s="13" t="s">
        <v>6128</v>
      </c>
      <c r="F3" s="13" t="n">
        <v>2015</v>
      </c>
      <c r="G3" s="11" t="s">
        <v>6129</v>
      </c>
      <c r="H3" s="13" t="s">
        <v>6130</v>
      </c>
      <c r="I3" s="13" t="s">
        <v>6131</v>
      </c>
    </row>
    <row r="4" customFormat="false" ht="15.75" hidden="false" customHeight="true" outlineLevel="0" collapsed="false">
      <c r="A4" s="11" t="s">
        <v>4058</v>
      </c>
      <c r="B4" s="12" t="s">
        <v>4057</v>
      </c>
      <c r="C4" s="13" t="s">
        <v>6126</v>
      </c>
      <c r="D4" s="13" t="s">
        <v>6127</v>
      </c>
      <c r="E4" s="13" t="s">
        <v>6132</v>
      </c>
      <c r="F4" s="13" t="n">
        <v>2014</v>
      </c>
      <c r="G4" s="11" t="s">
        <v>6129</v>
      </c>
      <c r="H4" s="13" t="s">
        <v>6133</v>
      </c>
      <c r="I4" s="13" t="s">
        <v>6134</v>
      </c>
    </row>
    <row r="5" customFormat="false" ht="15.75" hidden="false" customHeight="true" outlineLevel="0" collapsed="false">
      <c r="A5" s="11" t="s">
        <v>4085</v>
      </c>
      <c r="B5" s="12" t="s">
        <v>4084</v>
      </c>
      <c r="C5" s="13" t="s">
        <v>6126</v>
      </c>
      <c r="D5" s="13" t="s">
        <v>6127</v>
      </c>
      <c r="E5" s="13" t="s">
        <v>6128</v>
      </c>
      <c r="F5" s="13" t="n">
        <v>2014</v>
      </c>
      <c r="G5" s="11" t="s">
        <v>6129</v>
      </c>
      <c r="H5" s="13" t="s">
        <v>6130</v>
      </c>
      <c r="I5" s="13" t="s">
        <v>6135</v>
      </c>
    </row>
    <row r="6" customFormat="false" ht="15.75" hidden="false" customHeight="true" outlineLevel="0" collapsed="false">
      <c r="A6" s="11" t="s">
        <v>4126</v>
      </c>
      <c r="B6" s="12" t="s">
        <v>4125</v>
      </c>
      <c r="C6" s="13" t="s">
        <v>6126</v>
      </c>
      <c r="D6" s="13" t="s">
        <v>6127</v>
      </c>
      <c r="E6" s="13" t="s">
        <v>6132</v>
      </c>
      <c r="F6" s="13" t="n">
        <v>2014</v>
      </c>
      <c r="G6" s="11" t="s">
        <v>6129</v>
      </c>
      <c r="H6" s="13" t="s">
        <v>6130</v>
      </c>
      <c r="I6" s="13" t="s">
        <v>6136</v>
      </c>
    </row>
    <row r="7" customFormat="false" ht="15.75" hidden="false" customHeight="true" outlineLevel="0" collapsed="false">
      <c r="A7" s="11" t="s">
        <v>3982</v>
      </c>
      <c r="B7" s="12" t="s">
        <v>3981</v>
      </c>
      <c r="C7" s="13" t="s">
        <v>6126</v>
      </c>
      <c r="D7" s="13" t="s">
        <v>6127</v>
      </c>
      <c r="E7" s="13" t="s">
        <v>6128</v>
      </c>
      <c r="F7" s="13" t="n">
        <v>2024</v>
      </c>
      <c r="G7" s="11" t="s">
        <v>6129</v>
      </c>
      <c r="H7" s="13" t="s">
        <v>6133</v>
      </c>
      <c r="I7" s="13" t="s">
        <v>6137</v>
      </c>
    </row>
    <row r="8" customFormat="false" ht="15.75" hidden="false" customHeight="true" outlineLevel="0" collapsed="false">
      <c r="A8" s="11" t="s">
        <v>6138</v>
      </c>
      <c r="B8" s="12" t="s">
        <v>6139</v>
      </c>
      <c r="C8" s="13" t="s">
        <v>6126</v>
      </c>
      <c r="D8" s="13" t="s">
        <v>6127</v>
      </c>
      <c r="E8" s="13" t="s">
        <v>6128</v>
      </c>
      <c r="F8" s="13" t="n">
        <v>2016</v>
      </c>
      <c r="G8" s="11" t="s">
        <v>6129</v>
      </c>
      <c r="H8" s="13" t="s">
        <v>6140</v>
      </c>
      <c r="I8" s="13" t="s">
        <v>6141</v>
      </c>
    </row>
    <row r="9" customFormat="false" ht="15.75" hidden="false" customHeight="true" outlineLevel="0" collapsed="false">
      <c r="A9" s="11" t="s">
        <v>4433</v>
      </c>
      <c r="B9" s="12" t="s">
        <v>6142</v>
      </c>
      <c r="C9" s="13" t="s">
        <v>6126</v>
      </c>
      <c r="D9" s="13" t="s">
        <v>6127</v>
      </c>
      <c r="E9" s="13" t="s">
        <v>6128</v>
      </c>
      <c r="F9" s="13" t="n">
        <v>2016</v>
      </c>
      <c r="G9" s="11" t="s">
        <v>6129</v>
      </c>
      <c r="H9" s="13" t="s">
        <v>6140</v>
      </c>
      <c r="I9" s="13" t="s">
        <v>6141</v>
      </c>
    </row>
    <row r="10" customFormat="false" ht="15.75" hidden="false" customHeight="true" outlineLevel="0" collapsed="false">
      <c r="A10" s="11" t="s">
        <v>4674</v>
      </c>
      <c r="B10" s="12" t="s">
        <v>6143</v>
      </c>
      <c r="C10" s="13" t="s">
        <v>6126</v>
      </c>
      <c r="D10" s="13" t="s">
        <v>6127</v>
      </c>
      <c r="E10" s="13" t="s">
        <v>6128</v>
      </c>
      <c r="F10" s="13" t="n">
        <v>2016</v>
      </c>
      <c r="G10" s="11" t="s">
        <v>6129</v>
      </c>
      <c r="H10" s="13" t="s">
        <v>6140</v>
      </c>
      <c r="I10" s="13" t="s">
        <v>6141</v>
      </c>
    </row>
    <row r="11" customFormat="false" ht="15.75" hidden="false" customHeight="true" outlineLevel="0" collapsed="false">
      <c r="A11" s="11" t="s">
        <v>4275</v>
      </c>
      <c r="B11" s="12" t="s">
        <v>4274</v>
      </c>
      <c r="C11" s="13" t="s">
        <v>6126</v>
      </c>
      <c r="D11" s="13" t="s">
        <v>6127</v>
      </c>
      <c r="E11" s="13" t="s">
        <v>6128</v>
      </c>
      <c r="F11" s="13" t="n">
        <v>2016</v>
      </c>
      <c r="G11" s="11" t="s">
        <v>6129</v>
      </c>
      <c r="H11" s="13" t="s">
        <v>6140</v>
      </c>
      <c r="I11" s="13" t="s">
        <v>6141</v>
      </c>
    </row>
    <row r="12" customFormat="false" ht="15.75" hidden="false" customHeight="true" outlineLevel="0" collapsed="false">
      <c r="A12" s="11" t="s">
        <v>6144</v>
      </c>
      <c r="B12" s="12" t="s">
        <v>6145</v>
      </c>
      <c r="C12" s="13" t="s">
        <v>6126</v>
      </c>
      <c r="D12" s="13" t="s">
        <v>6127</v>
      </c>
      <c r="E12" s="13" t="s">
        <v>6132</v>
      </c>
      <c r="F12" s="13" t="n">
        <v>2016</v>
      </c>
      <c r="G12" s="11" t="s">
        <v>6129</v>
      </c>
      <c r="H12" s="13" t="s">
        <v>6140</v>
      </c>
      <c r="I12" s="13" t="s">
        <v>6146</v>
      </c>
    </row>
    <row r="13" customFormat="false" ht="15.75" hidden="false" customHeight="true" outlineLevel="0" collapsed="false">
      <c r="A13" s="11" t="s">
        <v>4407</v>
      </c>
      <c r="B13" s="12" t="s">
        <v>4406</v>
      </c>
      <c r="C13" s="13" t="s">
        <v>6126</v>
      </c>
      <c r="D13" s="13" t="s">
        <v>6127</v>
      </c>
      <c r="E13" s="13" t="s">
        <v>6132</v>
      </c>
      <c r="F13" s="13" t="n">
        <v>2016</v>
      </c>
      <c r="G13" s="11" t="s">
        <v>6129</v>
      </c>
      <c r="H13" s="13" t="s">
        <v>6130</v>
      </c>
      <c r="I13" s="13" t="s">
        <v>6147</v>
      </c>
    </row>
    <row r="14" customFormat="false" ht="15.75" hidden="false" customHeight="true" outlineLevel="0" collapsed="false">
      <c r="A14" s="11" t="s">
        <v>4350</v>
      </c>
      <c r="B14" s="12" t="s">
        <v>4349</v>
      </c>
      <c r="C14" s="13" t="s">
        <v>6126</v>
      </c>
      <c r="D14" s="13" t="s">
        <v>6127</v>
      </c>
      <c r="E14" s="13" t="s">
        <v>6128</v>
      </c>
      <c r="F14" s="13" t="n">
        <v>2016</v>
      </c>
      <c r="G14" s="11" t="s">
        <v>6129</v>
      </c>
      <c r="H14" s="13" t="s">
        <v>6133</v>
      </c>
      <c r="I14" s="13" t="s">
        <v>6148</v>
      </c>
    </row>
    <row r="15" customFormat="false" ht="15.75" hidden="false" customHeight="true" outlineLevel="0" collapsed="false">
      <c r="A15" s="11" t="s">
        <v>4375</v>
      </c>
      <c r="B15" s="12" t="s">
        <v>4374</v>
      </c>
      <c r="C15" s="13" t="s">
        <v>6126</v>
      </c>
      <c r="D15" s="13" t="s">
        <v>6127</v>
      </c>
      <c r="E15" s="13" t="s">
        <v>6128</v>
      </c>
      <c r="F15" s="13" t="n">
        <v>2016</v>
      </c>
      <c r="G15" s="11" t="s">
        <v>6129</v>
      </c>
      <c r="H15" s="13" t="s">
        <v>6133</v>
      </c>
      <c r="I15" s="13" t="s">
        <v>6148</v>
      </c>
    </row>
    <row r="16" customFormat="false" ht="15.75" hidden="false" customHeight="true" outlineLevel="0" collapsed="false">
      <c r="A16" s="11" t="s">
        <v>1530</v>
      </c>
      <c r="B16" s="12" t="s">
        <v>1529</v>
      </c>
      <c r="C16" s="13" t="s">
        <v>6126</v>
      </c>
      <c r="D16" s="13" t="s">
        <v>6127</v>
      </c>
      <c r="E16" s="13" t="s">
        <v>6128</v>
      </c>
      <c r="F16" s="13" t="n">
        <v>2012</v>
      </c>
      <c r="G16" s="11" t="s">
        <v>6129</v>
      </c>
      <c r="H16" s="13" t="s">
        <v>6130</v>
      </c>
      <c r="I16" s="13" t="s">
        <v>6149</v>
      </c>
    </row>
    <row r="17" customFormat="false" ht="15.75" hidden="false" customHeight="true" outlineLevel="0" collapsed="false">
      <c r="A17" s="11" t="s">
        <v>1852</v>
      </c>
      <c r="B17" s="12" t="s">
        <v>1851</v>
      </c>
      <c r="C17" s="13" t="s">
        <v>6126</v>
      </c>
      <c r="D17" s="13" t="s">
        <v>6127</v>
      </c>
      <c r="E17" s="13" t="s">
        <v>6128</v>
      </c>
      <c r="F17" s="13" t="n">
        <v>2013</v>
      </c>
      <c r="G17" s="11" t="s">
        <v>6129</v>
      </c>
      <c r="H17" s="13" t="s">
        <v>6140</v>
      </c>
      <c r="I17" s="13" t="s">
        <v>6150</v>
      </c>
    </row>
    <row r="18" customFormat="false" ht="15.75" hidden="false" customHeight="true" outlineLevel="0" collapsed="false">
      <c r="A18" s="11" t="s">
        <v>4739</v>
      </c>
      <c r="B18" s="12" t="s">
        <v>6151</v>
      </c>
      <c r="C18" s="13" t="s">
        <v>6126</v>
      </c>
      <c r="D18" s="13" t="s">
        <v>6127</v>
      </c>
      <c r="E18" s="13" t="s">
        <v>6132</v>
      </c>
      <c r="F18" s="13" t="n">
        <v>2014</v>
      </c>
      <c r="G18" s="11" t="s">
        <v>6129</v>
      </c>
      <c r="H18" s="13" t="s">
        <v>6133</v>
      </c>
      <c r="I18" s="13" t="s">
        <v>6152</v>
      </c>
    </row>
    <row r="19" customFormat="false" ht="15.75" hidden="false" customHeight="true" outlineLevel="0" collapsed="false">
      <c r="A19" s="11" t="s">
        <v>4702</v>
      </c>
      <c r="B19" s="12" t="s">
        <v>4701</v>
      </c>
      <c r="C19" s="13" t="s">
        <v>6126</v>
      </c>
      <c r="D19" s="13" t="s">
        <v>6127</v>
      </c>
      <c r="E19" s="13" t="s">
        <v>6128</v>
      </c>
      <c r="F19" s="13" t="n">
        <v>2021</v>
      </c>
      <c r="G19" s="11" t="s">
        <v>6129</v>
      </c>
      <c r="H19" s="13" t="s">
        <v>6130</v>
      </c>
      <c r="I19" s="13" t="s">
        <v>6153</v>
      </c>
    </row>
    <row r="20" customFormat="false" ht="15.75" hidden="false" customHeight="true" outlineLevel="0" collapsed="false">
      <c r="A20" s="11" t="s">
        <v>1632</v>
      </c>
      <c r="B20" s="12" t="s">
        <v>1631</v>
      </c>
      <c r="C20" s="13" t="s">
        <v>6126</v>
      </c>
      <c r="D20" s="13" t="s">
        <v>6127</v>
      </c>
      <c r="E20" s="13" t="s">
        <v>6128</v>
      </c>
      <c r="F20" s="13" t="n">
        <v>2014</v>
      </c>
      <c r="G20" s="11" t="s">
        <v>6129</v>
      </c>
      <c r="H20" s="13" t="s">
        <v>6130</v>
      </c>
      <c r="I20" s="13" t="s">
        <v>6154</v>
      </c>
    </row>
    <row r="21" customFormat="false" ht="15.75" hidden="false" customHeight="true" outlineLevel="0" collapsed="false">
      <c r="A21" s="11" t="s">
        <v>240</v>
      </c>
      <c r="B21" s="12" t="s">
        <v>239</v>
      </c>
      <c r="C21" s="13" t="s">
        <v>6126</v>
      </c>
      <c r="D21" s="13" t="s">
        <v>6127</v>
      </c>
      <c r="E21" s="13" t="s">
        <v>6128</v>
      </c>
      <c r="F21" s="13" t="n">
        <v>2006</v>
      </c>
      <c r="G21" s="11" t="s">
        <v>6129</v>
      </c>
      <c r="H21" s="13" t="s">
        <v>6130</v>
      </c>
      <c r="I21" s="13" t="s">
        <v>6155</v>
      </c>
    </row>
    <row r="22" customFormat="false" ht="15.75" hidden="false" customHeight="true" outlineLevel="0" collapsed="false">
      <c r="A22" s="11" t="s">
        <v>3230</v>
      </c>
      <c r="B22" s="12" t="s">
        <v>3229</v>
      </c>
      <c r="C22" s="13" t="s">
        <v>6126</v>
      </c>
      <c r="D22" s="13" t="s">
        <v>6127</v>
      </c>
      <c r="E22" s="13" t="s">
        <v>6128</v>
      </c>
      <c r="F22" s="13" t="n">
        <v>2015</v>
      </c>
      <c r="G22" s="11" t="s">
        <v>6129</v>
      </c>
      <c r="H22" s="13" t="s">
        <v>6130</v>
      </c>
      <c r="I22" s="13" t="s">
        <v>6156</v>
      </c>
    </row>
    <row r="23" customFormat="false" ht="15.75" hidden="false" customHeight="true" outlineLevel="0" collapsed="false">
      <c r="A23" s="11" t="s">
        <v>562</v>
      </c>
      <c r="B23" s="12" t="s">
        <v>6157</v>
      </c>
      <c r="C23" s="13" t="s">
        <v>6126</v>
      </c>
      <c r="D23" s="13" t="s">
        <v>6127</v>
      </c>
      <c r="E23" s="13" t="s">
        <v>6128</v>
      </c>
      <c r="F23" s="13" t="n">
        <v>2015</v>
      </c>
      <c r="G23" s="11" t="s">
        <v>6129</v>
      </c>
      <c r="H23" s="13" t="s">
        <v>6140</v>
      </c>
      <c r="I23" s="13" t="s">
        <v>6158</v>
      </c>
    </row>
    <row r="24" customFormat="false" ht="15.75" hidden="false" customHeight="true" outlineLevel="0" collapsed="false">
      <c r="A24" s="11" t="s">
        <v>1758</v>
      </c>
      <c r="B24" s="12" t="s">
        <v>1757</v>
      </c>
      <c r="C24" s="13" t="s">
        <v>6126</v>
      </c>
      <c r="D24" s="13" t="s">
        <v>6127</v>
      </c>
      <c r="E24" s="13" t="s">
        <v>6128</v>
      </c>
      <c r="F24" s="13" t="n">
        <v>2011</v>
      </c>
      <c r="G24" s="11" t="s">
        <v>6129</v>
      </c>
      <c r="H24" s="13" t="s">
        <v>6130</v>
      </c>
      <c r="I24" s="13" t="s">
        <v>6149</v>
      </c>
    </row>
    <row r="25" customFormat="false" ht="15.75" hidden="false" customHeight="true" outlineLevel="0" collapsed="false">
      <c r="A25" s="11" t="s">
        <v>740</v>
      </c>
      <c r="B25" s="12" t="s">
        <v>724</v>
      </c>
      <c r="C25" s="13" t="s">
        <v>6126</v>
      </c>
      <c r="D25" s="13" t="s">
        <v>6127</v>
      </c>
      <c r="E25" s="13" t="s">
        <v>6128</v>
      </c>
      <c r="F25" s="13" t="n">
        <v>2012</v>
      </c>
      <c r="G25" s="11" t="s">
        <v>6129</v>
      </c>
      <c r="H25" s="13" t="s">
        <v>6130</v>
      </c>
      <c r="I25" s="13" t="s">
        <v>6159</v>
      </c>
    </row>
    <row r="26" customFormat="false" ht="15.75" hidden="false" customHeight="true" outlineLevel="0" collapsed="false">
      <c r="A26" s="11" t="s">
        <v>6160</v>
      </c>
      <c r="B26" s="12" t="s">
        <v>6161</v>
      </c>
      <c r="C26" s="13" t="s">
        <v>6126</v>
      </c>
      <c r="D26" s="13" t="s">
        <v>6127</v>
      </c>
      <c r="E26" s="13" t="s">
        <v>6128</v>
      </c>
      <c r="F26" s="13" t="n">
        <v>2012</v>
      </c>
      <c r="G26" s="11" t="s">
        <v>6129</v>
      </c>
      <c r="H26" s="13" t="s">
        <v>6130</v>
      </c>
      <c r="I26" s="13" t="s">
        <v>6162</v>
      </c>
    </row>
    <row r="27" customFormat="false" ht="15.75" hidden="false" customHeight="true" outlineLevel="0" collapsed="false">
      <c r="A27" s="11" t="s">
        <v>725</v>
      </c>
      <c r="B27" s="12" t="s">
        <v>6163</v>
      </c>
      <c r="C27" s="13" t="s">
        <v>6126</v>
      </c>
      <c r="D27" s="13" t="s">
        <v>6127</v>
      </c>
      <c r="E27" s="13" t="s">
        <v>6128</v>
      </c>
      <c r="F27" s="13" t="n">
        <v>2012</v>
      </c>
      <c r="G27" s="11" t="s">
        <v>6129</v>
      </c>
      <c r="H27" s="13" t="s">
        <v>6130</v>
      </c>
      <c r="I27" s="13" t="s">
        <v>6164</v>
      </c>
    </row>
    <row r="28" customFormat="false" ht="15.75" hidden="false" customHeight="true" outlineLevel="0" collapsed="false">
      <c r="A28" s="11" t="s">
        <v>848</v>
      </c>
      <c r="B28" s="12" t="s">
        <v>847</v>
      </c>
      <c r="C28" s="13" t="s">
        <v>6126</v>
      </c>
      <c r="D28" s="13" t="s">
        <v>6127</v>
      </c>
      <c r="E28" s="13" t="s">
        <v>6128</v>
      </c>
      <c r="F28" s="13" t="n">
        <v>2012</v>
      </c>
      <c r="G28" s="11" t="s">
        <v>6129</v>
      </c>
      <c r="H28" s="13" t="s">
        <v>6130</v>
      </c>
      <c r="I28" s="13" t="s">
        <v>6149</v>
      </c>
    </row>
    <row r="29" customFormat="false" ht="15.75" hidden="false" customHeight="true" outlineLevel="0" collapsed="false">
      <c r="A29" s="11" t="s">
        <v>789</v>
      </c>
      <c r="B29" s="12" t="s">
        <v>788</v>
      </c>
      <c r="C29" s="13" t="s">
        <v>6126</v>
      </c>
      <c r="D29" s="13" t="s">
        <v>6127</v>
      </c>
      <c r="E29" s="13" t="s">
        <v>6128</v>
      </c>
      <c r="F29" s="13" t="n">
        <v>2012</v>
      </c>
      <c r="G29" s="11" t="s">
        <v>6129</v>
      </c>
      <c r="H29" s="13" t="s">
        <v>6130</v>
      </c>
      <c r="I29" s="13" t="s">
        <v>6164</v>
      </c>
    </row>
    <row r="30" customFormat="false" ht="15.75" hidden="false" customHeight="true" outlineLevel="0" collapsed="false">
      <c r="A30" s="11" t="s">
        <v>1827</v>
      </c>
      <c r="B30" s="12" t="s">
        <v>1826</v>
      </c>
      <c r="C30" s="13" t="s">
        <v>6126</v>
      </c>
      <c r="D30" s="13" t="s">
        <v>6127</v>
      </c>
      <c r="E30" s="13" t="s">
        <v>6128</v>
      </c>
      <c r="F30" s="13" t="n">
        <v>2013</v>
      </c>
      <c r="G30" s="11" t="s">
        <v>6129</v>
      </c>
      <c r="H30" s="13" t="s">
        <v>6140</v>
      </c>
      <c r="I30" s="13" t="s">
        <v>6150</v>
      </c>
    </row>
    <row r="31" customFormat="false" ht="15.75" hidden="false" customHeight="true" outlineLevel="0" collapsed="false">
      <c r="A31" s="11" t="s">
        <v>1320</v>
      </c>
      <c r="B31" s="12" t="s">
        <v>1319</v>
      </c>
      <c r="C31" s="13" t="s">
        <v>6126</v>
      </c>
      <c r="D31" s="13" t="s">
        <v>6127</v>
      </c>
      <c r="E31" s="13" t="s">
        <v>6128</v>
      </c>
      <c r="F31" s="13" t="n">
        <v>2015</v>
      </c>
      <c r="G31" s="11" t="s">
        <v>6129</v>
      </c>
      <c r="H31" s="13" t="s">
        <v>6130</v>
      </c>
      <c r="I31" s="13" t="s">
        <v>6153</v>
      </c>
    </row>
    <row r="32" customFormat="false" ht="15.75" hidden="false" customHeight="true" outlineLevel="0" collapsed="false">
      <c r="A32" s="11" t="s">
        <v>1877</v>
      </c>
      <c r="B32" s="12" t="s">
        <v>1876</v>
      </c>
      <c r="C32" s="13" t="s">
        <v>6126</v>
      </c>
      <c r="D32" s="13" t="s">
        <v>6127</v>
      </c>
      <c r="E32" s="13" t="s">
        <v>6128</v>
      </c>
      <c r="F32" s="13" t="n">
        <v>2013</v>
      </c>
      <c r="G32" s="11" t="s">
        <v>6129</v>
      </c>
      <c r="H32" s="13" t="s">
        <v>6140</v>
      </c>
      <c r="I32" s="13" t="s">
        <v>6165</v>
      </c>
    </row>
    <row r="33" customFormat="false" ht="15.75" hidden="false" customHeight="true" outlineLevel="0" collapsed="false">
      <c r="A33" s="11" t="s">
        <v>6166</v>
      </c>
      <c r="B33" s="12" t="s">
        <v>6167</v>
      </c>
      <c r="C33" s="13" t="s">
        <v>6126</v>
      </c>
      <c r="D33" s="13" t="s">
        <v>6127</v>
      </c>
      <c r="E33" s="13" t="s">
        <v>6128</v>
      </c>
      <c r="F33" s="13" t="n">
        <v>2013</v>
      </c>
      <c r="G33" s="11" t="s">
        <v>6129</v>
      </c>
      <c r="H33" s="13" t="s">
        <v>6140</v>
      </c>
      <c r="I33" s="13" t="s">
        <v>6168</v>
      </c>
    </row>
    <row r="34" customFormat="false" ht="15.75" hidden="false" customHeight="true" outlineLevel="0" collapsed="false">
      <c r="A34" s="11" t="s">
        <v>1903</v>
      </c>
      <c r="B34" s="12" t="s">
        <v>1902</v>
      </c>
      <c r="C34" s="13" t="s">
        <v>6126</v>
      </c>
      <c r="D34" s="13" t="s">
        <v>6127</v>
      </c>
      <c r="E34" s="13" t="s">
        <v>6128</v>
      </c>
      <c r="F34" s="13" t="n">
        <v>2013</v>
      </c>
      <c r="G34" s="11" t="s">
        <v>6129</v>
      </c>
      <c r="H34" s="13" t="s">
        <v>6130</v>
      </c>
      <c r="I34" s="13" t="s">
        <v>6169</v>
      </c>
    </row>
    <row r="35" customFormat="false" ht="15.75" hidden="false" customHeight="true" outlineLevel="0" collapsed="false">
      <c r="A35" s="11" t="s">
        <v>1930</v>
      </c>
      <c r="B35" s="12" t="s">
        <v>1929</v>
      </c>
      <c r="C35" s="13" t="s">
        <v>6126</v>
      </c>
      <c r="D35" s="13" t="s">
        <v>6127</v>
      </c>
      <c r="E35" s="13" t="s">
        <v>6128</v>
      </c>
      <c r="F35" s="13" t="n">
        <v>2013</v>
      </c>
      <c r="G35" s="11" t="s">
        <v>6129</v>
      </c>
      <c r="H35" s="13" t="s">
        <v>6130</v>
      </c>
      <c r="I35" s="13" t="s">
        <v>6170</v>
      </c>
    </row>
    <row r="36" customFormat="false" ht="15.75" hidden="false" customHeight="true" outlineLevel="0" collapsed="false">
      <c r="A36" s="11" t="s">
        <v>6171</v>
      </c>
      <c r="B36" s="12" t="s">
        <v>6172</v>
      </c>
      <c r="C36" s="13" t="s">
        <v>6126</v>
      </c>
      <c r="D36" s="13" t="s">
        <v>6127</v>
      </c>
      <c r="E36" s="13" t="s">
        <v>6128</v>
      </c>
      <c r="F36" s="13" t="n">
        <v>2012</v>
      </c>
      <c r="G36" s="11" t="s">
        <v>6129</v>
      </c>
      <c r="H36" s="13" t="s">
        <v>6130</v>
      </c>
      <c r="I36" s="13" t="s">
        <v>6173</v>
      </c>
    </row>
    <row r="37" customFormat="false" ht="15.75" hidden="false" customHeight="true" outlineLevel="0" collapsed="false">
      <c r="A37" s="11" t="s">
        <v>1353</v>
      </c>
      <c r="B37" s="12" t="s">
        <v>1352</v>
      </c>
      <c r="C37" s="13" t="s">
        <v>6126</v>
      </c>
      <c r="D37" s="13" t="s">
        <v>6127</v>
      </c>
      <c r="E37" s="13" t="s">
        <v>6128</v>
      </c>
      <c r="F37" s="13" t="n">
        <v>2012</v>
      </c>
      <c r="G37" s="11" t="s">
        <v>6129</v>
      </c>
      <c r="H37" s="13" t="s">
        <v>6140</v>
      </c>
      <c r="I37" s="13" t="s">
        <v>6174</v>
      </c>
    </row>
    <row r="38" customFormat="false" ht="15.75" hidden="false" customHeight="true" outlineLevel="0" collapsed="false">
      <c r="A38" s="11" t="s">
        <v>1388</v>
      </c>
      <c r="B38" s="12" t="s">
        <v>1387</v>
      </c>
      <c r="C38" s="13" t="s">
        <v>6126</v>
      </c>
      <c r="D38" s="13" t="s">
        <v>6127</v>
      </c>
      <c r="E38" s="13" t="s">
        <v>6128</v>
      </c>
      <c r="F38" s="13" t="n">
        <v>2012</v>
      </c>
      <c r="G38" s="11" t="s">
        <v>6129</v>
      </c>
      <c r="H38" s="13" t="s">
        <v>6130</v>
      </c>
      <c r="I38" s="13" t="s">
        <v>6175</v>
      </c>
    </row>
    <row r="39" customFormat="false" ht="15.75" hidden="false" customHeight="true" outlineLevel="0" collapsed="false">
      <c r="A39" s="11" t="s">
        <v>1412</v>
      </c>
      <c r="B39" s="12" t="s">
        <v>1411</v>
      </c>
      <c r="C39" s="13" t="s">
        <v>6126</v>
      </c>
      <c r="D39" s="13" t="s">
        <v>6127</v>
      </c>
      <c r="E39" s="13" t="s">
        <v>6128</v>
      </c>
      <c r="F39" s="13" t="n">
        <v>2012</v>
      </c>
      <c r="G39" s="11" t="s">
        <v>6129</v>
      </c>
      <c r="H39" s="13" t="s">
        <v>6130</v>
      </c>
      <c r="I39" s="13" t="s">
        <v>6176</v>
      </c>
    </row>
    <row r="40" customFormat="false" ht="15.75" hidden="false" customHeight="true" outlineLevel="0" collapsed="false">
      <c r="A40" s="11" t="s">
        <v>1437</v>
      </c>
      <c r="B40" s="12" t="s">
        <v>1436</v>
      </c>
      <c r="C40" s="13" t="s">
        <v>6126</v>
      </c>
      <c r="D40" s="13" t="s">
        <v>6127</v>
      </c>
      <c r="E40" s="13" t="s">
        <v>6128</v>
      </c>
      <c r="F40" s="13" t="n">
        <v>2012</v>
      </c>
      <c r="G40" s="11" t="s">
        <v>6129</v>
      </c>
      <c r="H40" s="13" t="s">
        <v>6133</v>
      </c>
      <c r="I40" s="13" t="s">
        <v>6177</v>
      </c>
    </row>
    <row r="41" customFormat="false" ht="15.75" hidden="false" customHeight="true" outlineLevel="0" collapsed="false">
      <c r="A41" s="11" t="s">
        <v>2516</v>
      </c>
      <c r="B41" s="12" t="s">
        <v>2515</v>
      </c>
      <c r="C41" s="13" t="s">
        <v>6126</v>
      </c>
      <c r="D41" s="13" t="s">
        <v>6127</v>
      </c>
      <c r="E41" s="13" t="s">
        <v>6128</v>
      </c>
      <c r="F41" s="13" t="n">
        <v>2019</v>
      </c>
      <c r="G41" s="11" t="s">
        <v>6129</v>
      </c>
      <c r="H41" s="13" t="s">
        <v>6133</v>
      </c>
      <c r="I41" s="13" t="s">
        <v>6178</v>
      </c>
    </row>
    <row r="42" customFormat="false" ht="15.75" hidden="false" customHeight="true" outlineLevel="0" collapsed="false">
      <c r="A42" s="11" t="s">
        <v>1479</v>
      </c>
      <c r="B42" s="12" t="s">
        <v>1478</v>
      </c>
      <c r="C42" s="13" t="s">
        <v>6126</v>
      </c>
      <c r="D42" s="13" t="s">
        <v>6127</v>
      </c>
      <c r="E42" s="13" t="s">
        <v>6128</v>
      </c>
      <c r="F42" s="13" t="n">
        <v>2012</v>
      </c>
      <c r="G42" s="11" t="s">
        <v>6129</v>
      </c>
      <c r="H42" s="13" t="s">
        <v>6130</v>
      </c>
      <c r="I42" s="13" t="s">
        <v>6179</v>
      </c>
    </row>
    <row r="43" customFormat="false" ht="15.75" hidden="false" customHeight="true" outlineLevel="0" collapsed="false">
      <c r="A43" s="11" t="s">
        <v>1507</v>
      </c>
      <c r="B43" s="12" t="s">
        <v>1506</v>
      </c>
      <c r="C43" s="13" t="s">
        <v>6126</v>
      </c>
      <c r="D43" s="13" t="s">
        <v>6127</v>
      </c>
      <c r="E43" s="13" t="s">
        <v>6128</v>
      </c>
      <c r="F43" s="13" t="n">
        <v>2012</v>
      </c>
      <c r="G43" s="11" t="s">
        <v>6129</v>
      </c>
      <c r="H43" s="13" t="s">
        <v>6130</v>
      </c>
      <c r="I43" s="13" t="s">
        <v>6149</v>
      </c>
    </row>
    <row r="44" customFormat="false" ht="15.75" hidden="false" customHeight="true" outlineLevel="0" collapsed="false">
      <c r="A44" s="11" t="s">
        <v>2579</v>
      </c>
      <c r="B44" s="12" t="s">
        <v>6180</v>
      </c>
      <c r="C44" s="13" t="s">
        <v>6126</v>
      </c>
      <c r="D44" s="13" t="s">
        <v>6127</v>
      </c>
      <c r="E44" s="13" t="s">
        <v>6128</v>
      </c>
      <c r="F44" s="13" t="n">
        <v>2019</v>
      </c>
      <c r="G44" s="11" t="s">
        <v>6129</v>
      </c>
      <c r="H44" s="13" t="s">
        <v>6133</v>
      </c>
      <c r="I44" s="13" t="s">
        <v>6178</v>
      </c>
    </row>
    <row r="45" customFormat="false" ht="15.75" hidden="false" customHeight="true" outlineLevel="0" collapsed="false">
      <c r="A45" s="11" t="s">
        <v>122</v>
      </c>
      <c r="B45" s="12" t="s">
        <v>121</v>
      </c>
      <c r="C45" s="13" t="s">
        <v>6126</v>
      </c>
      <c r="D45" s="13" t="s">
        <v>6127</v>
      </c>
      <c r="E45" s="13" t="s">
        <v>6128</v>
      </c>
      <c r="F45" s="13" t="n">
        <v>2013</v>
      </c>
      <c r="G45" s="11" t="s">
        <v>6129</v>
      </c>
      <c r="H45" s="13" t="s">
        <v>6140</v>
      </c>
      <c r="I45" s="13" t="s">
        <v>6181</v>
      </c>
    </row>
    <row r="46" customFormat="false" ht="15.75" hidden="false" customHeight="true" outlineLevel="0" collapsed="false">
      <c r="A46" s="11" t="s">
        <v>147</v>
      </c>
      <c r="B46" s="12" t="s">
        <v>146</v>
      </c>
      <c r="C46" s="13" t="s">
        <v>6126</v>
      </c>
      <c r="D46" s="13" t="s">
        <v>6127</v>
      </c>
      <c r="E46" s="13" t="s">
        <v>6128</v>
      </c>
      <c r="F46" s="13" t="n">
        <v>2013</v>
      </c>
      <c r="G46" s="11" t="s">
        <v>6129</v>
      </c>
      <c r="H46" s="13" t="s">
        <v>6130</v>
      </c>
      <c r="I46" s="13" t="s">
        <v>6182</v>
      </c>
    </row>
    <row r="47" customFormat="false" ht="15.75" hidden="false" customHeight="true" outlineLevel="0" collapsed="false">
      <c r="A47" s="11" t="s">
        <v>204</v>
      </c>
      <c r="B47" s="12" t="s">
        <v>203</v>
      </c>
      <c r="C47" s="13" t="s">
        <v>6126</v>
      </c>
      <c r="D47" s="13" t="s">
        <v>6127</v>
      </c>
      <c r="E47" s="13" t="s">
        <v>6128</v>
      </c>
      <c r="F47" s="13" t="n">
        <v>2013</v>
      </c>
      <c r="G47" s="11" t="s">
        <v>6129</v>
      </c>
      <c r="H47" s="13" t="s">
        <v>6130</v>
      </c>
      <c r="I47" s="13" t="s">
        <v>6183</v>
      </c>
    </row>
    <row r="48" customFormat="false" ht="15.75" hidden="false" customHeight="true" outlineLevel="0" collapsed="false">
      <c r="A48" s="11" t="s">
        <v>3281</v>
      </c>
      <c r="B48" s="12" t="s">
        <v>3280</v>
      </c>
      <c r="C48" s="13" t="s">
        <v>6126</v>
      </c>
      <c r="D48" s="13" t="s">
        <v>6127</v>
      </c>
      <c r="E48" s="13" t="s">
        <v>6128</v>
      </c>
      <c r="F48" s="13" t="n">
        <v>2023</v>
      </c>
      <c r="G48" s="11" t="s">
        <v>6129</v>
      </c>
      <c r="H48" s="13" t="s">
        <v>6130</v>
      </c>
      <c r="I48" s="13" t="s">
        <v>6153</v>
      </c>
    </row>
    <row r="49" customFormat="false" ht="15.75" hidden="false" customHeight="true" outlineLevel="0" collapsed="false">
      <c r="A49" s="11" t="s">
        <v>6184</v>
      </c>
      <c r="B49" s="12" t="s">
        <v>6185</v>
      </c>
      <c r="C49" s="13" t="s">
        <v>6126</v>
      </c>
      <c r="D49" s="13" t="s">
        <v>6127</v>
      </c>
      <c r="E49" s="13" t="s">
        <v>6128</v>
      </c>
      <c r="F49" s="13" t="n">
        <v>2012</v>
      </c>
      <c r="G49" s="11" t="s">
        <v>6129</v>
      </c>
      <c r="H49" s="13" t="s">
        <v>6130</v>
      </c>
      <c r="I49" s="13" t="s">
        <v>6186</v>
      </c>
    </row>
    <row r="50" customFormat="false" ht="15.75" hidden="false" customHeight="true" outlineLevel="0" collapsed="false">
      <c r="A50" s="11" t="s">
        <v>499</v>
      </c>
      <c r="B50" s="14" t="n">
        <v>115326</v>
      </c>
      <c r="C50" s="13" t="s">
        <v>6126</v>
      </c>
      <c r="D50" s="13" t="s">
        <v>6127</v>
      </c>
      <c r="E50" s="13" t="s">
        <v>6128</v>
      </c>
      <c r="F50" s="13" t="n">
        <v>2012</v>
      </c>
      <c r="G50" s="11" t="s">
        <v>6129</v>
      </c>
      <c r="H50" s="13" t="s">
        <v>6130</v>
      </c>
      <c r="I50" s="13" t="s">
        <v>6186</v>
      </c>
    </row>
    <row r="51" customFormat="false" ht="15.75" hidden="false" customHeight="true" outlineLevel="0" collapsed="false">
      <c r="A51" s="11" t="s">
        <v>469</v>
      </c>
      <c r="B51" s="12" t="s">
        <v>6187</v>
      </c>
      <c r="C51" s="13" t="s">
        <v>6126</v>
      </c>
      <c r="D51" s="13" t="s">
        <v>6127</v>
      </c>
      <c r="E51" s="13" t="s">
        <v>6128</v>
      </c>
      <c r="F51" s="13" t="n">
        <v>2012</v>
      </c>
      <c r="G51" s="11" t="s">
        <v>6129</v>
      </c>
      <c r="H51" s="13" t="s">
        <v>6140</v>
      </c>
      <c r="I51" s="13" t="s">
        <v>6188</v>
      </c>
    </row>
    <row r="52" customFormat="false" ht="15.75" hidden="false" customHeight="true" outlineLevel="0" collapsed="false">
      <c r="A52" s="11" t="s">
        <v>6189</v>
      </c>
      <c r="B52" s="12" t="s">
        <v>6190</v>
      </c>
      <c r="C52" s="13" t="s">
        <v>6126</v>
      </c>
      <c r="D52" s="13" t="s">
        <v>6127</v>
      </c>
      <c r="E52" s="13" t="s">
        <v>6128</v>
      </c>
      <c r="F52" s="13" t="n">
        <v>2013</v>
      </c>
      <c r="G52" s="11" t="s">
        <v>6129</v>
      </c>
      <c r="H52" s="13" t="s">
        <v>6140</v>
      </c>
      <c r="I52" s="13" t="s">
        <v>6188</v>
      </c>
    </row>
    <row r="53" customFormat="false" ht="15.75" hidden="false" customHeight="true" outlineLevel="0" collapsed="false">
      <c r="A53" s="11" t="s">
        <v>279</v>
      </c>
      <c r="B53" s="12" t="s">
        <v>278</v>
      </c>
      <c r="C53" s="13" t="s">
        <v>6126</v>
      </c>
      <c r="D53" s="13" t="s">
        <v>6127</v>
      </c>
      <c r="E53" s="13" t="s">
        <v>6128</v>
      </c>
      <c r="F53" s="13" t="n">
        <v>2012</v>
      </c>
      <c r="G53" s="11" t="s">
        <v>6129</v>
      </c>
      <c r="H53" s="13" t="s">
        <v>6130</v>
      </c>
      <c r="I53" s="13" t="s">
        <v>6191</v>
      </c>
    </row>
    <row r="54" customFormat="false" ht="15.75" hidden="false" customHeight="true" outlineLevel="0" collapsed="false">
      <c r="A54" s="11" t="s">
        <v>343</v>
      </c>
      <c r="B54" s="12" t="s">
        <v>342</v>
      </c>
      <c r="C54" s="13" t="s">
        <v>6126</v>
      </c>
      <c r="D54" s="13" t="s">
        <v>6127</v>
      </c>
      <c r="E54" s="13" t="s">
        <v>6128</v>
      </c>
      <c r="F54" s="13" t="n">
        <v>2012</v>
      </c>
      <c r="G54" s="11" t="s">
        <v>6129</v>
      </c>
      <c r="H54" s="13" t="s">
        <v>6130</v>
      </c>
      <c r="I54" s="13" t="s">
        <v>6192</v>
      </c>
    </row>
    <row r="55" customFormat="false" ht="15.75" hidden="false" customHeight="true" outlineLevel="0" collapsed="false">
      <c r="A55" s="11" t="s">
        <v>375</v>
      </c>
      <c r="B55" s="12" t="s">
        <v>374</v>
      </c>
      <c r="C55" s="13" t="s">
        <v>6126</v>
      </c>
      <c r="D55" s="13" t="s">
        <v>6127</v>
      </c>
      <c r="E55" s="13" t="s">
        <v>6128</v>
      </c>
      <c r="F55" s="13" t="n">
        <v>2012</v>
      </c>
      <c r="G55" s="11" t="s">
        <v>6129</v>
      </c>
      <c r="H55" s="13" t="s">
        <v>6130</v>
      </c>
      <c r="I55" s="13" t="s">
        <v>6193</v>
      </c>
    </row>
    <row r="56" customFormat="false" ht="15.75" hidden="false" customHeight="true" outlineLevel="0" collapsed="false">
      <c r="A56" s="11" t="s">
        <v>933</v>
      </c>
      <c r="B56" s="12" t="s">
        <v>932</v>
      </c>
      <c r="C56" s="13" t="s">
        <v>6126</v>
      </c>
      <c r="D56" s="13" t="s">
        <v>6127</v>
      </c>
      <c r="E56" s="13" t="s">
        <v>6128</v>
      </c>
      <c r="F56" s="13" t="n">
        <v>2013</v>
      </c>
      <c r="G56" s="11" t="s">
        <v>6129</v>
      </c>
      <c r="H56" s="13" t="s">
        <v>6140</v>
      </c>
      <c r="I56" s="13" t="s">
        <v>6194</v>
      </c>
    </row>
    <row r="57" customFormat="false" ht="15.75" hidden="false" customHeight="true" outlineLevel="0" collapsed="false">
      <c r="A57" s="11" t="s">
        <v>1536</v>
      </c>
      <c r="B57" s="12" t="s">
        <v>1535</v>
      </c>
      <c r="C57" s="13" t="s">
        <v>6126</v>
      </c>
      <c r="D57" s="13" t="s">
        <v>6127</v>
      </c>
      <c r="E57" s="13" t="s">
        <v>6128</v>
      </c>
      <c r="F57" s="13" t="n">
        <v>2014</v>
      </c>
      <c r="G57" s="11" t="s">
        <v>6129</v>
      </c>
      <c r="H57" s="13" t="s">
        <v>6130</v>
      </c>
      <c r="I57" s="13" t="s">
        <v>6154</v>
      </c>
    </row>
    <row r="58" customFormat="false" ht="15.75" hidden="false" customHeight="true" outlineLevel="0" collapsed="false">
      <c r="A58" s="11" t="s">
        <v>1584</v>
      </c>
      <c r="B58" s="12" t="s">
        <v>1583</v>
      </c>
      <c r="C58" s="13" t="s">
        <v>6126</v>
      </c>
      <c r="D58" s="13" t="s">
        <v>6127</v>
      </c>
      <c r="E58" s="13" t="s">
        <v>6128</v>
      </c>
      <c r="F58" s="13" t="n">
        <v>2014</v>
      </c>
      <c r="G58" s="11" t="s">
        <v>6129</v>
      </c>
      <c r="H58" s="13" t="s">
        <v>6130</v>
      </c>
      <c r="I58" s="13" t="s">
        <v>6154</v>
      </c>
    </row>
    <row r="59" customFormat="false" ht="15.75" hidden="false" customHeight="true" outlineLevel="0" collapsed="false">
      <c r="A59" s="11" t="s">
        <v>1605</v>
      </c>
      <c r="B59" s="12" t="s">
        <v>1604</v>
      </c>
      <c r="C59" s="13" t="s">
        <v>6126</v>
      </c>
      <c r="D59" s="13" t="s">
        <v>6127</v>
      </c>
      <c r="E59" s="13" t="s">
        <v>6128</v>
      </c>
      <c r="F59" s="13" t="n">
        <v>2014</v>
      </c>
      <c r="G59" s="11" t="s">
        <v>6129</v>
      </c>
      <c r="H59" s="13" t="s">
        <v>6130</v>
      </c>
      <c r="I59" s="13" t="s">
        <v>6154</v>
      </c>
    </row>
    <row r="60" customFormat="false" ht="15.75" hidden="false" customHeight="true" outlineLevel="0" collapsed="false">
      <c r="A60" s="11" t="s">
        <v>6195</v>
      </c>
      <c r="B60" s="12" t="s">
        <v>6196</v>
      </c>
      <c r="C60" s="13" t="s">
        <v>6126</v>
      </c>
      <c r="D60" s="13" t="s">
        <v>6127</v>
      </c>
      <c r="E60" s="13" t="s">
        <v>6128</v>
      </c>
      <c r="F60" s="13" t="n">
        <v>2023</v>
      </c>
      <c r="G60" s="11" t="s">
        <v>6129</v>
      </c>
      <c r="H60" s="13" t="s">
        <v>6133</v>
      </c>
      <c r="I60" s="13" t="s">
        <v>6178</v>
      </c>
    </row>
    <row r="61" customFormat="false" ht="15.75" hidden="false" customHeight="true" outlineLevel="0" collapsed="false">
      <c r="A61" s="11" t="s">
        <v>1652</v>
      </c>
      <c r="B61" s="12" t="s">
        <v>1651</v>
      </c>
      <c r="C61" s="13" t="s">
        <v>6126</v>
      </c>
      <c r="D61" s="13" t="s">
        <v>6127</v>
      </c>
      <c r="E61" s="13" t="s">
        <v>6128</v>
      </c>
      <c r="F61" s="13" t="n">
        <v>2014</v>
      </c>
      <c r="G61" s="11" t="s">
        <v>6129</v>
      </c>
      <c r="H61" s="13" t="s">
        <v>6130</v>
      </c>
      <c r="I61" s="13" t="s">
        <v>6149</v>
      </c>
    </row>
    <row r="62" customFormat="false" ht="15.75" hidden="false" customHeight="true" outlineLevel="0" collapsed="false">
      <c r="A62" s="11" t="s">
        <v>1044</v>
      </c>
      <c r="B62" s="12" t="s">
        <v>1043</v>
      </c>
      <c r="C62" s="13" t="s">
        <v>6126</v>
      </c>
      <c r="D62" s="13" t="s">
        <v>6127</v>
      </c>
      <c r="E62" s="13" t="s">
        <v>6128</v>
      </c>
      <c r="F62" s="13" t="n">
        <v>2015</v>
      </c>
      <c r="G62" s="11" t="s">
        <v>6129</v>
      </c>
      <c r="H62" s="13" t="s">
        <v>6140</v>
      </c>
      <c r="I62" s="13" t="s">
        <v>6168</v>
      </c>
    </row>
    <row r="63" customFormat="false" ht="15.75" hidden="false" customHeight="true" outlineLevel="0" collapsed="false">
      <c r="A63" s="11" t="s">
        <v>1079</v>
      </c>
      <c r="B63" s="12" t="s">
        <v>1078</v>
      </c>
      <c r="C63" s="13" t="s">
        <v>6126</v>
      </c>
      <c r="D63" s="13" t="s">
        <v>6127</v>
      </c>
      <c r="E63" s="13" t="s">
        <v>6128</v>
      </c>
      <c r="F63" s="13" t="n">
        <v>2015</v>
      </c>
      <c r="G63" s="11" t="s">
        <v>6129</v>
      </c>
      <c r="H63" s="13" t="s">
        <v>6140</v>
      </c>
      <c r="I63" s="13" t="s">
        <v>6197</v>
      </c>
    </row>
    <row r="64" customFormat="false" ht="15.75" hidden="false" customHeight="true" outlineLevel="0" collapsed="false">
      <c r="A64" s="11" t="s">
        <v>1152</v>
      </c>
      <c r="B64" s="12" t="s">
        <v>1151</v>
      </c>
      <c r="C64" s="13" t="s">
        <v>6126</v>
      </c>
      <c r="D64" s="13" t="s">
        <v>6127</v>
      </c>
      <c r="E64" s="13" t="s">
        <v>6128</v>
      </c>
      <c r="F64" s="13" t="n">
        <v>2015</v>
      </c>
      <c r="G64" s="11" t="s">
        <v>6129</v>
      </c>
      <c r="H64" s="13" t="s">
        <v>6140</v>
      </c>
      <c r="I64" s="13" t="s">
        <v>6198</v>
      </c>
    </row>
    <row r="65" customFormat="false" ht="15.75" hidden="false" customHeight="true" outlineLevel="0" collapsed="false">
      <c r="A65" s="11" t="s">
        <v>1186</v>
      </c>
      <c r="B65" s="12" t="s">
        <v>1185</v>
      </c>
      <c r="C65" s="13" t="s">
        <v>6126</v>
      </c>
      <c r="D65" s="13" t="s">
        <v>6127</v>
      </c>
      <c r="E65" s="13" t="s">
        <v>6128</v>
      </c>
      <c r="F65" s="13" t="n">
        <v>2015</v>
      </c>
      <c r="G65" s="11" t="s">
        <v>6129</v>
      </c>
      <c r="H65" s="13" t="s">
        <v>6140</v>
      </c>
      <c r="I65" s="13" t="s">
        <v>6199</v>
      </c>
    </row>
    <row r="66" customFormat="false" ht="15.75" hidden="false" customHeight="true" outlineLevel="0" collapsed="false">
      <c r="A66" s="11" t="s">
        <v>1220</v>
      </c>
      <c r="B66" s="12" t="s">
        <v>1219</v>
      </c>
      <c r="C66" s="13" t="s">
        <v>6126</v>
      </c>
      <c r="D66" s="13" t="s">
        <v>6127</v>
      </c>
      <c r="E66" s="13" t="s">
        <v>6128</v>
      </c>
      <c r="F66" s="13" t="n">
        <v>2015</v>
      </c>
      <c r="G66" s="11" t="s">
        <v>6129</v>
      </c>
      <c r="H66" s="13" t="s">
        <v>6140</v>
      </c>
      <c r="I66" s="13" t="s">
        <v>6168</v>
      </c>
    </row>
    <row r="67" customFormat="false" ht="15.75" hidden="false" customHeight="true" outlineLevel="0" collapsed="false">
      <c r="A67" s="11" t="s">
        <v>1253</v>
      </c>
      <c r="B67" s="12" t="s">
        <v>6200</v>
      </c>
      <c r="C67" s="13" t="s">
        <v>6126</v>
      </c>
      <c r="D67" s="13" t="s">
        <v>6127</v>
      </c>
      <c r="E67" s="13" t="s">
        <v>6128</v>
      </c>
      <c r="F67" s="13" t="n">
        <v>2015</v>
      </c>
      <c r="G67" s="11" t="s">
        <v>6129</v>
      </c>
      <c r="H67" s="13" t="s">
        <v>6130</v>
      </c>
      <c r="I67" s="13" t="s">
        <v>6201</v>
      </c>
    </row>
    <row r="68" customFormat="false" ht="15.75" hidden="false" customHeight="true" outlineLevel="0" collapsed="false">
      <c r="A68" s="11" t="s">
        <v>3545</v>
      </c>
      <c r="B68" s="12" t="s">
        <v>3544</v>
      </c>
      <c r="C68" s="13" t="s">
        <v>6126</v>
      </c>
      <c r="D68" s="13" t="s">
        <v>6127</v>
      </c>
      <c r="E68" s="13" t="s">
        <v>6128</v>
      </c>
      <c r="F68" s="13" t="n">
        <v>2015</v>
      </c>
      <c r="G68" s="11" t="s">
        <v>6129</v>
      </c>
      <c r="H68" s="13" t="s">
        <v>6130</v>
      </c>
      <c r="I68" s="13" t="s">
        <v>6131</v>
      </c>
    </row>
    <row r="69" customFormat="false" ht="15.75" hidden="false" customHeight="true" outlineLevel="0" collapsed="false">
      <c r="A69" s="11" t="s">
        <v>1274</v>
      </c>
      <c r="B69" s="12" t="s">
        <v>1273</v>
      </c>
      <c r="C69" s="13" t="s">
        <v>6126</v>
      </c>
      <c r="D69" s="13" t="s">
        <v>6127</v>
      </c>
      <c r="E69" s="13" t="s">
        <v>6128</v>
      </c>
      <c r="F69" s="13" t="n">
        <v>2015</v>
      </c>
      <c r="G69" s="11" t="s">
        <v>6129</v>
      </c>
      <c r="H69" s="13" t="s">
        <v>6130</v>
      </c>
      <c r="I69" s="13" t="s">
        <v>6131</v>
      </c>
    </row>
    <row r="70" customFormat="false" ht="15.75" hidden="false" customHeight="true" outlineLevel="0" collapsed="false">
      <c r="A70" s="11" t="s">
        <v>1460</v>
      </c>
      <c r="B70" s="12" t="s">
        <v>1459</v>
      </c>
      <c r="C70" s="13" t="s">
        <v>6126</v>
      </c>
      <c r="D70" s="13" t="s">
        <v>6127</v>
      </c>
      <c r="E70" s="13" t="s">
        <v>6128</v>
      </c>
      <c r="F70" s="13" t="n">
        <v>2012</v>
      </c>
      <c r="G70" s="11" t="s">
        <v>6129</v>
      </c>
      <c r="H70" s="13" t="s">
        <v>6133</v>
      </c>
      <c r="I70" s="13" t="s">
        <v>6177</v>
      </c>
    </row>
    <row r="71" customFormat="false" ht="15.75" hidden="false" customHeight="true" outlineLevel="0" collapsed="false">
      <c r="A71" s="11" t="s">
        <v>890</v>
      </c>
      <c r="B71" s="12" t="s">
        <v>889</v>
      </c>
      <c r="C71" s="13" t="s">
        <v>6126</v>
      </c>
      <c r="D71" s="13" t="s">
        <v>6127</v>
      </c>
      <c r="E71" s="13" t="s">
        <v>6128</v>
      </c>
      <c r="F71" s="13" t="n">
        <v>2013</v>
      </c>
      <c r="G71" s="11" t="s">
        <v>6129</v>
      </c>
      <c r="H71" s="13" t="s">
        <v>6133</v>
      </c>
      <c r="I71" s="13" t="s">
        <v>6202</v>
      </c>
    </row>
    <row r="72" customFormat="false" ht="15.75" hidden="false" customHeight="true" outlineLevel="0" collapsed="false">
      <c r="A72" s="11" t="s">
        <v>6203</v>
      </c>
      <c r="B72" s="12" t="s">
        <v>6204</v>
      </c>
      <c r="C72" s="13" t="s">
        <v>6126</v>
      </c>
      <c r="D72" s="13" t="s">
        <v>6127</v>
      </c>
      <c r="E72" s="13" t="s">
        <v>6128</v>
      </c>
      <c r="F72" s="13" t="n">
        <v>2015</v>
      </c>
      <c r="G72" s="11" t="s">
        <v>6129</v>
      </c>
      <c r="H72" s="13" t="s">
        <v>6140</v>
      </c>
      <c r="I72" s="13" t="s">
        <v>6205</v>
      </c>
    </row>
    <row r="73" customFormat="false" ht="15.75" hidden="false" customHeight="true" outlineLevel="0" collapsed="false">
      <c r="A73" s="11" t="s">
        <v>2104</v>
      </c>
      <c r="B73" s="12" t="s">
        <v>6206</v>
      </c>
      <c r="C73" s="13" t="s">
        <v>6126</v>
      </c>
      <c r="D73" s="13" t="s">
        <v>6127</v>
      </c>
      <c r="E73" s="13" t="s">
        <v>6128</v>
      </c>
      <c r="F73" s="13" t="n">
        <v>2015</v>
      </c>
      <c r="G73" s="11" t="s">
        <v>6129</v>
      </c>
      <c r="H73" s="13" t="s">
        <v>6130</v>
      </c>
      <c r="I73" s="13" t="s">
        <v>6207</v>
      </c>
    </row>
    <row r="74" customFormat="false" ht="15.75" hidden="false" customHeight="true" outlineLevel="0" collapsed="false">
      <c r="A74" s="11" t="s">
        <v>2072</v>
      </c>
      <c r="B74" s="12" t="s">
        <v>2071</v>
      </c>
      <c r="C74" s="13" t="s">
        <v>6126</v>
      </c>
      <c r="D74" s="13" t="s">
        <v>6127</v>
      </c>
      <c r="E74" s="13" t="s">
        <v>6128</v>
      </c>
      <c r="F74" s="13" t="n">
        <v>2015</v>
      </c>
      <c r="G74" s="11" t="s">
        <v>6129</v>
      </c>
      <c r="H74" s="13" t="s">
        <v>6130</v>
      </c>
      <c r="I74" s="13" t="s">
        <v>6149</v>
      </c>
    </row>
    <row r="75" customFormat="false" ht="15.75" hidden="false" customHeight="true" outlineLevel="0" collapsed="false">
      <c r="A75" s="11" t="s">
        <v>4112</v>
      </c>
      <c r="B75" s="12" t="s">
        <v>4111</v>
      </c>
      <c r="C75" s="13" t="s">
        <v>6126</v>
      </c>
      <c r="D75" s="13" t="s">
        <v>6127</v>
      </c>
      <c r="E75" s="13" t="s">
        <v>6128</v>
      </c>
      <c r="F75" s="13" t="n">
        <v>2014</v>
      </c>
      <c r="G75" s="11" t="s">
        <v>6129</v>
      </c>
      <c r="H75" s="13" t="s">
        <v>6130</v>
      </c>
      <c r="I75" s="15"/>
    </row>
    <row r="76" customFormat="false" ht="15.75" hidden="false" customHeight="true" outlineLevel="0" collapsed="false">
      <c r="A76" s="11" t="s">
        <v>2532</v>
      </c>
      <c r="B76" s="12" t="s">
        <v>2531</v>
      </c>
      <c r="C76" s="13" t="s">
        <v>6126</v>
      </c>
      <c r="D76" s="13" t="s">
        <v>6127</v>
      </c>
      <c r="E76" s="13" t="s">
        <v>6128</v>
      </c>
      <c r="F76" s="13" t="n">
        <v>2019</v>
      </c>
      <c r="G76" s="11" t="s">
        <v>6129</v>
      </c>
      <c r="H76" s="13" t="s">
        <v>6133</v>
      </c>
      <c r="I76" s="13" t="s">
        <v>6178</v>
      </c>
    </row>
    <row r="77" customFormat="false" ht="15.75" hidden="false" customHeight="true" outlineLevel="0" collapsed="false">
      <c r="A77" s="11" t="s">
        <v>4891</v>
      </c>
      <c r="B77" s="12" t="s">
        <v>4890</v>
      </c>
      <c r="C77" s="13" t="s">
        <v>6126</v>
      </c>
      <c r="D77" s="13" t="s">
        <v>6127</v>
      </c>
      <c r="E77" s="13" t="s">
        <v>6132</v>
      </c>
      <c r="F77" s="13" t="n">
        <v>2016</v>
      </c>
      <c r="G77" s="11" t="s">
        <v>6129</v>
      </c>
      <c r="H77" s="13" t="s">
        <v>6130</v>
      </c>
      <c r="I77" s="13" t="s">
        <v>6208</v>
      </c>
    </row>
    <row r="78" customFormat="false" ht="15.75" hidden="false" customHeight="true" outlineLevel="0" collapsed="false">
      <c r="A78" s="11" t="s">
        <v>4205</v>
      </c>
      <c r="B78" s="12" t="s">
        <v>4204</v>
      </c>
      <c r="C78" s="13" t="s">
        <v>6126</v>
      </c>
      <c r="D78" s="13" t="s">
        <v>6127</v>
      </c>
      <c r="E78" s="13" t="s">
        <v>6132</v>
      </c>
      <c r="F78" s="13" t="n">
        <v>2020</v>
      </c>
      <c r="G78" s="11" t="s">
        <v>6129</v>
      </c>
      <c r="H78" s="13" t="s">
        <v>6130</v>
      </c>
      <c r="I78" s="13" t="s">
        <v>6153</v>
      </c>
    </row>
    <row r="79" customFormat="false" ht="15.75" hidden="false" customHeight="true" outlineLevel="0" collapsed="false">
      <c r="A79" s="11" t="s">
        <v>3408</v>
      </c>
      <c r="B79" s="12" t="s">
        <v>3407</v>
      </c>
      <c r="C79" s="13" t="s">
        <v>6126</v>
      </c>
      <c r="D79" s="13" t="s">
        <v>6127</v>
      </c>
      <c r="E79" s="13" t="s">
        <v>6128</v>
      </c>
      <c r="F79" s="13" t="n">
        <v>2023</v>
      </c>
      <c r="G79" s="11" t="s">
        <v>6129</v>
      </c>
      <c r="H79" s="13" t="s">
        <v>6130</v>
      </c>
      <c r="I79" s="13" t="s">
        <v>6209</v>
      </c>
    </row>
    <row r="80" customFormat="false" ht="15.75" hidden="false" customHeight="true" outlineLevel="0" collapsed="false">
      <c r="A80" s="11" t="s">
        <v>3251</v>
      </c>
      <c r="B80" s="12" t="s">
        <v>3250</v>
      </c>
      <c r="C80" s="13" t="s">
        <v>6126</v>
      </c>
      <c r="D80" s="13" t="s">
        <v>6127</v>
      </c>
      <c r="E80" s="13" t="s">
        <v>6128</v>
      </c>
      <c r="F80" s="13" t="n">
        <v>2023</v>
      </c>
      <c r="G80" s="11" t="s">
        <v>6129</v>
      </c>
      <c r="H80" s="13" t="s">
        <v>6130</v>
      </c>
      <c r="I80" s="13" t="s">
        <v>6210</v>
      </c>
    </row>
    <row r="81" customFormat="false" ht="15.75" hidden="false" customHeight="true" outlineLevel="0" collapsed="false">
      <c r="A81" s="11" t="s">
        <v>4297</v>
      </c>
      <c r="B81" s="12" t="s">
        <v>4296</v>
      </c>
      <c r="C81" s="13" t="s">
        <v>6126</v>
      </c>
      <c r="D81" s="13" t="s">
        <v>6127</v>
      </c>
      <c r="E81" s="13" t="s">
        <v>6132</v>
      </c>
      <c r="F81" s="13" t="n">
        <v>2019</v>
      </c>
      <c r="G81" s="11" t="s">
        <v>6129</v>
      </c>
      <c r="H81" s="13" t="s">
        <v>6130</v>
      </c>
      <c r="I81" s="13" t="s">
        <v>6211</v>
      </c>
    </row>
    <row r="82" customFormat="false" ht="15.75" hidden="false" customHeight="true" outlineLevel="0" collapsed="false">
      <c r="A82" s="11" t="s">
        <v>3615</v>
      </c>
      <c r="B82" s="12" t="s">
        <v>3614</v>
      </c>
      <c r="C82" s="13" t="s">
        <v>6126</v>
      </c>
      <c r="D82" s="13" t="s">
        <v>6127</v>
      </c>
      <c r="E82" s="13" t="s">
        <v>6128</v>
      </c>
      <c r="F82" s="13" t="n">
        <v>2023</v>
      </c>
      <c r="G82" s="11" t="s">
        <v>6129</v>
      </c>
      <c r="H82" s="13" t="s">
        <v>6133</v>
      </c>
      <c r="I82" s="13" t="s">
        <v>6178</v>
      </c>
    </row>
    <row r="83" customFormat="false" ht="15.75" hidden="false" customHeight="true" outlineLevel="0" collapsed="false">
      <c r="A83" s="11" t="s">
        <v>3899</v>
      </c>
      <c r="B83" s="12" t="s">
        <v>3898</v>
      </c>
      <c r="C83" s="13" t="s">
        <v>6126</v>
      </c>
      <c r="D83" s="13" t="s">
        <v>6127</v>
      </c>
      <c r="E83" s="13" t="s">
        <v>6128</v>
      </c>
      <c r="F83" s="13" t="n">
        <v>2024</v>
      </c>
      <c r="G83" s="11" t="s">
        <v>6129</v>
      </c>
      <c r="H83" s="13" t="s">
        <v>6133</v>
      </c>
      <c r="I83" s="13" t="s">
        <v>6178</v>
      </c>
    </row>
    <row r="84" customFormat="false" ht="15.75" hidden="false" customHeight="true" outlineLevel="0" collapsed="false">
      <c r="A84" s="11" t="s">
        <v>3862</v>
      </c>
      <c r="B84" s="12" t="s">
        <v>3861</v>
      </c>
      <c r="C84" s="13" t="s">
        <v>6126</v>
      </c>
      <c r="D84" s="13" t="s">
        <v>6127</v>
      </c>
      <c r="E84" s="13" t="s">
        <v>6128</v>
      </c>
      <c r="F84" s="13" t="n">
        <v>2024</v>
      </c>
      <c r="G84" s="11" t="s">
        <v>6129</v>
      </c>
      <c r="H84" s="13" t="s">
        <v>6140</v>
      </c>
      <c r="I84" s="13" t="s">
        <v>6212</v>
      </c>
    </row>
    <row r="85" customFormat="false" ht="15.75" hidden="false" customHeight="true" outlineLevel="0" collapsed="false">
      <c r="A85" s="11" t="s">
        <v>3505</v>
      </c>
      <c r="B85" s="12" t="s">
        <v>3504</v>
      </c>
      <c r="C85" s="13" t="s">
        <v>6126</v>
      </c>
      <c r="D85" s="13" t="s">
        <v>6127</v>
      </c>
      <c r="E85" s="13" t="s">
        <v>6128</v>
      </c>
      <c r="F85" s="13" t="n">
        <v>2024</v>
      </c>
      <c r="G85" s="11" t="s">
        <v>6129</v>
      </c>
      <c r="H85" s="13" t="s">
        <v>6130</v>
      </c>
      <c r="I85" s="13" t="s">
        <v>6213</v>
      </c>
    </row>
    <row r="86" customFormat="false" ht="15.75" hidden="false" customHeight="true" outlineLevel="0" collapsed="false">
      <c r="A86" s="11" t="s">
        <v>4301</v>
      </c>
      <c r="B86" s="12" t="s">
        <v>4300</v>
      </c>
      <c r="C86" s="13" t="s">
        <v>6126</v>
      </c>
      <c r="D86" s="13" t="s">
        <v>6127</v>
      </c>
      <c r="E86" s="13" t="s">
        <v>6132</v>
      </c>
      <c r="F86" s="13" t="n">
        <v>2020</v>
      </c>
      <c r="G86" s="11" t="s">
        <v>6129</v>
      </c>
      <c r="H86" s="13" t="s">
        <v>6130</v>
      </c>
      <c r="I86" s="13" t="s">
        <v>6153</v>
      </c>
    </row>
    <row r="87" customFormat="false" ht="15.75" hidden="false" customHeight="true" outlineLevel="0" collapsed="false">
      <c r="A87" s="11" t="s">
        <v>3954</v>
      </c>
      <c r="B87" s="12" t="s">
        <v>3953</v>
      </c>
      <c r="C87" s="13" t="s">
        <v>6126</v>
      </c>
      <c r="D87" s="13" t="s">
        <v>6127</v>
      </c>
      <c r="E87" s="13" t="s">
        <v>6128</v>
      </c>
      <c r="F87" s="13" t="n">
        <v>2024</v>
      </c>
      <c r="G87" s="11" t="s">
        <v>6129</v>
      </c>
      <c r="H87" s="13" t="s">
        <v>6133</v>
      </c>
      <c r="I87" s="13" t="s">
        <v>6137</v>
      </c>
    </row>
    <row r="88" customFormat="false" ht="15.75" hidden="false" customHeight="true" outlineLevel="0" collapsed="false">
      <c r="A88" s="11" t="s">
        <v>4023</v>
      </c>
      <c r="B88" s="12" t="s">
        <v>4022</v>
      </c>
      <c r="C88" s="13" t="s">
        <v>6126</v>
      </c>
      <c r="D88" s="13" t="s">
        <v>6127</v>
      </c>
      <c r="E88" s="13" t="s">
        <v>6128</v>
      </c>
      <c r="F88" s="13" t="n">
        <v>2024</v>
      </c>
      <c r="G88" s="11" t="s">
        <v>6129</v>
      </c>
      <c r="H88" s="13" t="s">
        <v>6133</v>
      </c>
      <c r="I88" s="13" t="s">
        <v>6137</v>
      </c>
    </row>
    <row r="89" customFormat="false" ht="15.75" hidden="false" customHeight="true" outlineLevel="0" collapsed="false">
      <c r="A89" s="11" t="s">
        <v>5007</v>
      </c>
      <c r="B89" s="12" t="s">
        <v>5006</v>
      </c>
      <c r="C89" s="13" t="s">
        <v>6126</v>
      </c>
      <c r="D89" s="13" t="s">
        <v>6127</v>
      </c>
      <c r="E89" s="13" t="s">
        <v>6128</v>
      </c>
      <c r="F89" s="13" t="n">
        <v>2025</v>
      </c>
      <c r="G89" s="11" t="s">
        <v>6129</v>
      </c>
      <c r="H89" s="13" t="s">
        <v>6133</v>
      </c>
      <c r="I89" s="13" t="s">
        <v>6214</v>
      </c>
    </row>
    <row r="90" customFormat="false" ht="15.75" hidden="false" customHeight="true" outlineLevel="0" collapsed="false">
      <c r="A90" s="11" t="s">
        <v>970</v>
      </c>
      <c r="B90" s="12" t="s">
        <v>969</v>
      </c>
      <c r="C90" s="13" t="s">
        <v>6126</v>
      </c>
      <c r="D90" s="13" t="s">
        <v>6127</v>
      </c>
      <c r="E90" s="13" t="s">
        <v>6128</v>
      </c>
      <c r="F90" s="13" t="n">
        <v>2013</v>
      </c>
      <c r="G90" s="11" t="s">
        <v>6129</v>
      </c>
      <c r="H90" s="13" t="s">
        <v>6133</v>
      </c>
      <c r="I90" s="13" t="s">
        <v>6215</v>
      </c>
    </row>
    <row r="91" customFormat="false" ht="15.75" hidden="false" customHeight="true" outlineLevel="0" collapsed="false">
      <c r="A91" s="11" t="s">
        <v>974</v>
      </c>
      <c r="B91" s="12" t="s">
        <v>973</v>
      </c>
      <c r="C91" s="13" t="s">
        <v>6126</v>
      </c>
      <c r="D91" s="13" t="s">
        <v>6127</v>
      </c>
      <c r="E91" s="13" t="s">
        <v>6128</v>
      </c>
      <c r="F91" s="13" t="n">
        <v>2014</v>
      </c>
      <c r="G91" s="11" t="s">
        <v>6129</v>
      </c>
      <c r="H91" s="13" t="s">
        <v>6130</v>
      </c>
      <c r="I91" s="13" t="s">
        <v>6216</v>
      </c>
    </row>
  </sheetData>
  <autoFilter ref="A2:I91"/>
  <mergeCells count="1">
    <mergeCell ref="A1:I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40"/>
  </cols>
  <sheetData>
    <row r="2" customFormat="false" ht="17.35" hidden="false" customHeight="false" outlineLevel="0" collapsed="false">
      <c r="B2" s="16" t="s">
        <v>6217</v>
      </c>
      <c r="C2" s="16"/>
      <c r="D2" s="16"/>
      <c r="E2" s="16"/>
      <c r="F2" s="16"/>
      <c r="G2" s="16"/>
    </row>
    <row r="4" customFormat="false" ht="15" hidden="false" customHeight="false" outlineLevel="0" collapsed="false">
      <c r="B4" s="17" t="s">
        <v>6218</v>
      </c>
      <c r="D4" s="18" t="n">
        <v>6</v>
      </c>
      <c r="E4" s="19" t="s">
        <v>6219</v>
      </c>
    </row>
    <row r="6" customFormat="false" ht="15" hidden="false" customHeight="false" outlineLevel="0" collapsed="false">
      <c r="B6" s="17" t="s">
        <v>6220</v>
      </c>
    </row>
    <row r="7" customFormat="false" ht="15" hidden="false" customHeight="false" outlineLevel="0" collapsed="false">
      <c r="B7" s="20" t="s">
        <v>6221</v>
      </c>
      <c r="C7" s="20"/>
      <c r="D7" s="20"/>
      <c r="E7" s="20"/>
      <c r="F7" s="20"/>
      <c r="G7" s="20"/>
      <c r="H7" s="20"/>
    </row>
    <row r="9" customFormat="false" ht="26.85" hidden="false" customHeight="false" outlineLevel="0" collapsed="false">
      <c r="B9" s="21" t="s">
        <v>6222</v>
      </c>
      <c r="C9" s="21" t="s">
        <v>6223</v>
      </c>
      <c r="D9" s="21" t="s">
        <v>6224</v>
      </c>
      <c r="E9" s="21" t="s">
        <v>6225</v>
      </c>
      <c r="F9" s="21" t="s">
        <v>6226</v>
      </c>
      <c r="G9" s="21" t="s">
        <v>6227</v>
      </c>
    </row>
    <row r="10" customFormat="false" ht="15" hidden="false" customHeight="false" outlineLevel="0" collapsed="false">
      <c r="B10" s="22" t="s">
        <v>6128</v>
      </c>
      <c r="C10" s="22" t="s">
        <v>6133</v>
      </c>
      <c r="D10" s="22" t="n">
        <v>16</v>
      </c>
      <c r="E10" s="23" t="n">
        <v>2.59</v>
      </c>
      <c r="F10" s="24" t="n">
        <v>3.24</v>
      </c>
      <c r="G10" s="25" t="s">
        <v>6228</v>
      </c>
    </row>
    <row r="11" customFormat="false" ht="15" hidden="false" customHeight="false" outlineLevel="0" collapsed="false">
      <c r="B11" s="22" t="s">
        <v>6128</v>
      </c>
      <c r="C11" s="22" t="s">
        <v>6140</v>
      </c>
      <c r="D11" s="22" t="n">
        <v>21</v>
      </c>
      <c r="E11" s="23" t="n">
        <v>2.92</v>
      </c>
      <c r="F11" s="24" t="n">
        <v>2.84</v>
      </c>
      <c r="G11" s="25" t="s">
        <v>6228</v>
      </c>
    </row>
    <row r="12" customFormat="false" ht="15" hidden="false" customHeight="false" outlineLevel="0" collapsed="false">
      <c r="B12" s="22" t="s">
        <v>6128</v>
      </c>
      <c r="C12" s="22" t="s">
        <v>6130</v>
      </c>
      <c r="D12" s="22" t="n">
        <v>43</v>
      </c>
      <c r="E12" s="23" t="n">
        <v>3.11</v>
      </c>
      <c r="F12" s="24" t="n">
        <v>3.02</v>
      </c>
      <c r="G12" s="25" t="s">
        <v>6228</v>
      </c>
    </row>
    <row r="13" customFormat="false" ht="15" hidden="false" customHeight="false" outlineLevel="0" collapsed="false">
      <c r="B13" s="22" t="s">
        <v>6132</v>
      </c>
      <c r="C13" s="22" t="s">
        <v>6133</v>
      </c>
      <c r="D13" s="22" t="n">
        <v>2</v>
      </c>
      <c r="E13" s="23" t="n">
        <v>2.88</v>
      </c>
      <c r="F13" s="24" t="n">
        <v>2.91</v>
      </c>
      <c r="G13" s="25" t="s">
        <v>6228</v>
      </c>
    </row>
    <row r="14" customFormat="false" ht="15" hidden="false" customHeight="false" outlineLevel="0" collapsed="false">
      <c r="B14" s="22" t="s">
        <v>6132</v>
      </c>
      <c r="C14" s="22" t="s">
        <v>6140</v>
      </c>
      <c r="D14" s="22" t="n">
        <v>1</v>
      </c>
      <c r="E14" s="22" t="s">
        <v>6229</v>
      </c>
      <c r="F14" s="24"/>
      <c r="G14" s="25" t="s">
        <v>6230</v>
      </c>
    </row>
    <row r="15" customFormat="false" ht="15" hidden="false" customHeight="false" outlineLevel="0" collapsed="false">
      <c r="B15" s="22" t="s">
        <v>6132</v>
      </c>
      <c r="C15" s="22" t="s">
        <v>6130</v>
      </c>
      <c r="D15" s="22" t="n">
        <v>6</v>
      </c>
      <c r="E15" s="23" t="n">
        <v>2.41</v>
      </c>
      <c r="F15" s="24" t="n">
        <v>4.61</v>
      </c>
      <c r="G15" s="25" t="s">
        <v>6228</v>
      </c>
    </row>
  </sheetData>
  <mergeCells count="2">
    <mergeCell ref="B2:G2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4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0"/>
    <col collapsed="false" customWidth="true" hidden="false" outlineLevel="0" max="16" min="15" style="0" width="11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4"/>
  </cols>
  <sheetData>
    <row r="1" customFormat="false" ht="17.35" hidden="false" customHeight="false" outlineLevel="0" collapsed="false">
      <c r="A1" s="16" t="s">
        <v>6231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customFormat="false" ht="15" hidden="false" customHeight="false" outlineLevel="0" collapsed="false">
      <c r="A2" s="20" t="s">
        <v>6232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customFormat="false" ht="26.85" hidden="false" customHeight="false" outlineLevel="0" collapsed="false">
      <c r="A4" s="21" t="s">
        <v>6117</v>
      </c>
      <c r="B4" s="21" t="s">
        <v>6118</v>
      </c>
      <c r="C4" s="21" t="s">
        <v>6233</v>
      </c>
      <c r="D4" s="21" t="s">
        <v>6234</v>
      </c>
      <c r="E4" s="21" t="s">
        <v>6235</v>
      </c>
      <c r="F4" s="21" t="s">
        <v>6236</v>
      </c>
      <c r="G4" s="21" t="s">
        <v>6237</v>
      </c>
      <c r="H4" s="21" t="s">
        <v>6238</v>
      </c>
      <c r="I4" s="21" t="s">
        <v>6239</v>
      </c>
      <c r="J4" s="21" t="s">
        <v>6240</v>
      </c>
      <c r="K4" s="21" t="s">
        <v>6241</v>
      </c>
      <c r="L4" s="21" t="s">
        <v>6242</v>
      </c>
      <c r="M4" s="21" t="s">
        <v>6243</v>
      </c>
      <c r="N4" s="21" t="s">
        <v>6244</v>
      </c>
      <c r="O4" s="21" t="s">
        <v>6245</v>
      </c>
      <c r="P4" s="21" t="s">
        <v>6246</v>
      </c>
      <c r="Q4" s="21" t="s">
        <v>6247</v>
      </c>
      <c r="R4" s="21" t="s">
        <v>6248</v>
      </c>
      <c r="S4" s="21" t="s">
        <v>6249</v>
      </c>
    </row>
    <row r="5" customFormat="false" ht="15" hidden="false" customHeight="false" outlineLevel="0" collapsed="false">
      <c r="A5" s="26" t="s">
        <v>4739</v>
      </c>
      <c r="B5" s="26" t="s">
        <v>6151</v>
      </c>
      <c r="C5" s="26" t="s">
        <v>6132</v>
      </c>
      <c r="D5" s="26" t="s">
        <v>6133</v>
      </c>
      <c r="E5" s="26" t="s">
        <v>6250</v>
      </c>
      <c r="F5" s="26" t="n">
        <f aca="false">SUMIFS('Boletim_do_Veiculo_2026-09-08_2'!$BM:$BM,'Boletim_do_Veiculo_2026-09-08_2'!$B:$B,$A5)</f>
        <v>321.58</v>
      </c>
      <c r="G5" s="26" t="n">
        <f aca="false">SUMIFS('Boletim_do_Veiculo_2026-09-08_2'!$BP:$BP,'Boletim_do_Veiculo_2026-09-08_2'!$B:$B,$A5)</f>
        <v>321.54</v>
      </c>
      <c r="H5" s="26" t="n">
        <f aca="false">SUMIFS('Boletim_do_Veiculo_2026-09-08_2'!$BN:$BN,'Boletim_do_Veiculo_2026-09-08_2'!$B:$B,$A5)</f>
        <v>110.5</v>
      </c>
      <c r="I5" s="26" t="n">
        <f aca="false">COUNTIFS('Boletim_do_Veiculo_2026-09-08_2'!$B:$B,$A5,'Boletim_do_Veiculo_2026-09-08_2'!$R:$R,"&lt;&gt;-")</f>
        <v>4</v>
      </c>
      <c r="J5" s="26" t="n">
        <f aca="false">COUNTIFS('Boletim_do_Veiculo_2026-09-08_2'!$B:$B,$A5,'Boletim_do_Veiculo_2026-09-08_2'!$R:$R,"-")</f>
        <v>1</v>
      </c>
      <c r="K5" s="26" t="n">
        <f aca="false">IF(H5=0,"Sem dados",G5/H5)</f>
        <v>2.90986425339367</v>
      </c>
      <c r="L5" s="27" t="n">
        <f aca="false">IFERROR(INDEX(Metas!$F$10:$F$15,MATCH(1,INDEX((Metas!$B$10:$B$15=C5)*(Metas!$C$10:$C$15=D5),0),0)),"")</f>
        <v>2.91</v>
      </c>
      <c r="M5" s="28" t="n">
        <f aca="false">IF(OR(K5="Sem dados",L5="",L5=0),"",(K5-L5)/L5)</f>
        <v>-4.66483183280936E-005</v>
      </c>
      <c r="N5" s="26" t="str">
        <f aca="false">IF(K5="Sem dados","Sem dados suficientes",IF(M5="","Sem meta definida",IF(M5&gt;=0.02,"Acima da meta",IF(M5&lt;=-0.1,"Crítico: abaixo da meta",IF(M5&lt;0,"Abaixo da meta","Na meta")))))</f>
        <v>Abaixo da meta</v>
      </c>
      <c r="O5" s="29" t="n">
        <f aca="false">Metas!$D$4</f>
        <v>6</v>
      </c>
      <c r="P5" s="29" t="n">
        <f aca="false">IF(K5="Sem dados","",IFERROR(O5/K5,"Km=0 c/ consumo&gt;0 (ver nota)"))</f>
        <v>2.06195185668968</v>
      </c>
      <c r="Q5" s="29" t="n">
        <f aca="false">H5*O5</f>
        <v>663</v>
      </c>
      <c r="R5" s="30" t="n">
        <f aca="false">IF(OR(K5="Sem dados",L5="",L5=0,K5&gt;=L5),0,H5-(G5/L5))</f>
        <v>0.00515463917525949</v>
      </c>
      <c r="S5" s="29" t="n">
        <f aca="false">R5*O5</f>
        <v>0.0309278350515569</v>
      </c>
    </row>
    <row r="6" customFormat="false" ht="15" hidden="false" customHeight="false" outlineLevel="0" collapsed="false">
      <c r="A6" s="26" t="s">
        <v>4058</v>
      </c>
      <c r="B6" s="26" t="s">
        <v>4057</v>
      </c>
      <c r="C6" s="26" t="s">
        <v>6132</v>
      </c>
      <c r="D6" s="26" t="s">
        <v>6133</v>
      </c>
      <c r="E6" s="26" t="s">
        <v>6250</v>
      </c>
      <c r="F6" s="26" t="n">
        <f aca="false">SUMIFS('Boletim_do_Veiculo_2026-09-08_2'!$BM:$BM,'Boletim_do_Veiculo_2026-09-08_2'!$B:$B,$A6)</f>
        <v>0</v>
      </c>
      <c r="G6" s="26" t="n">
        <f aca="false">SUMIFS('Boletim_do_Veiculo_2026-09-08_2'!$BP:$BP,'Boletim_do_Veiculo_2026-09-08_2'!$B:$B,$A6)</f>
        <v>0</v>
      </c>
      <c r="H6" s="26" t="n">
        <f aca="false">SUMIFS('Boletim_do_Veiculo_2026-09-08_2'!$BN:$BN,'Boletim_do_Veiculo_2026-09-08_2'!$B:$B,$A6)</f>
        <v>1.08</v>
      </c>
      <c r="I6" s="26" t="n">
        <f aca="false">COUNTIFS('Boletim_do_Veiculo_2026-09-08_2'!$B:$B,$A6,'Boletim_do_Veiculo_2026-09-08_2'!$R:$R,"&lt;&gt;-")</f>
        <v>3</v>
      </c>
      <c r="J6" s="26" t="n">
        <f aca="false">COUNTIFS('Boletim_do_Veiculo_2026-09-08_2'!$B:$B,$A6,'Boletim_do_Veiculo_2026-09-08_2'!$R:$R,"-")</f>
        <v>2</v>
      </c>
      <c r="K6" s="26" t="n">
        <f aca="false">IF(H6=0,"Sem dados",G6/H6)</f>
        <v>0</v>
      </c>
      <c r="L6" s="27" t="n">
        <f aca="false">IFERROR(INDEX(Metas!$F$10:$F$15,MATCH(1,INDEX((Metas!$B$10:$B$15=C6)*(Metas!$C$10:$C$15=D6),0),0)),"")</f>
        <v>2.91</v>
      </c>
      <c r="M6" s="28" t="n">
        <f aca="false">IF(OR(K6="Sem dados",L6="",L6=0),"",(K6-L6)/L6)</f>
        <v>-1</v>
      </c>
      <c r="N6" s="26" t="str">
        <f aca="false">IF(K6="Sem dados","Sem dados suficientes",IF(M6="","Sem meta definida",IF(M6&gt;=0.02,"Acima da meta",IF(M6&lt;=-0.1,"Crítico: abaixo da meta",IF(M6&lt;0,"Abaixo da meta","Na meta")))))</f>
        <v>Crítico: abaixo da meta</v>
      </c>
      <c r="O6" s="29" t="n">
        <f aca="false">Metas!$D$4</f>
        <v>6</v>
      </c>
      <c r="P6" s="29" t="str">
        <f aca="false">IF(K6="Sem dados","",IFERROR(O6/K6,"Km=0 c/ consumo&gt;0 (ver nota)"))</f>
        <v>Km=0 c/ consumo&gt;0 (ver nota)</v>
      </c>
      <c r="Q6" s="29" t="n">
        <f aca="false">H6*O6</f>
        <v>6.48</v>
      </c>
      <c r="R6" s="30" t="n">
        <f aca="false">IF(OR(K6="Sem dados",L6="",L6=0,K6&gt;=L6),0,H6-(G6/L6))</f>
        <v>1.08</v>
      </c>
      <c r="S6" s="29" t="n">
        <f aca="false">R6*O6</f>
        <v>6.48</v>
      </c>
    </row>
    <row r="7" customFormat="false" ht="15" hidden="false" customHeight="false" outlineLevel="0" collapsed="false">
      <c r="A7" s="26" t="s">
        <v>4085</v>
      </c>
      <c r="B7" s="26" t="s">
        <v>4084</v>
      </c>
      <c r="C7" s="26" t="s">
        <v>6128</v>
      </c>
      <c r="D7" s="26" t="s">
        <v>6130</v>
      </c>
      <c r="E7" s="26" t="s">
        <v>6251</v>
      </c>
      <c r="F7" s="26" t="n">
        <f aca="false">SUMIFS('Boletim_do_Veiculo_2026-09-08_2'!$BM:$BM,'Boletim_do_Veiculo_2026-09-08_2'!$B:$B,$A7)</f>
        <v>1615.15</v>
      </c>
      <c r="G7" s="26" t="n">
        <f aca="false">SUMIFS('Boletim_do_Veiculo_2026-09-08_2'!$BP:$BP,'Boletim_do_Veiculo_2026-09-08_2'!$B:$B,$A7)</f>
        <v>1615.15</v>
      </c>
      <c r="H7" s="26" t="n">
        <f aca="false">SUMIFS('Boletim_do_Veiculo_2026-09-08_2'!$BN:$BN,'Boletim_do_Veiculo_2026-09-08_2'!$B:$B,$A7)</f>
        <v>593.39</v>
      </c>
      <c r="I7" s="26" t="n">
        <f aca="false">COUNTIFS('Boletim_do_Veiculo_2026-09-08_2'!$B:$B,$A7,'Boletim_do_Veiculo_2026-09-08_2'!$R:$R,"&lt;&gt;-")</f>
        <v>7</v>
      </c>
      <c r="J7" s="26" t="n">
        <f aca="false">COUNTIFS('Boletim_do_Veiculo_2026-09-08_2'!$B:$B,$A7,'Boletim_do_Veiculo_2026-09-08_2'!$R:$R,"-")</f>
        <v>0</v>
      </c>
      <c r="K7" s="26" t="n">
        <f aca="false">IF(H7=0,"Sem dados",G7/H7)</f>
        <v>2.72190296432363</v>
      </c>
      <c r="L7" s="27" t="n">
        <f aca="false">IFERROR(INDEX(Metas!$F$10:$F$15,MATCH(1,INDEX((Metas!$B$10:$B$15=C7)*(Metas!$C$10:$C$15=D7),0),0)),"")</f>
        <v>3.02</v>
      </c>
      <c r="M7" s="28" t="n">
        <f aca="false">IF(OR(K7="Sem dados",L7="",L7=0),"",(K7-L7)/L7)</f>
        <v>-0.0987076277074066</v>
      </c>
      <c r="N7" s="26" t="str">
        <f aca="false">IF(K7="Sem dados","Sem dados suficientes",IF(M7="","Sem meta definida",IF(M7&gt;=0.02,"Acima da meta",IF(M7&lt;=-0.1,"Crítico: abaixo da meta",IF(M7&lt;0,"Abaixo da meta","Na meta")))))</f>
        <v>Abaixo da meta</v>
      </c>
      <c r="O7" s="29" t="n">
        <f aca="false">Metas!$D$4</f>
        <v>6</v>
      </c>
      <c r="P7" s="29" t="n">
        <f aca="false">IF(K7="Sem dados","",IFERROR(O7/K7,"Km=0 c/ consumo&gt;0 (ver nota)"))</f>
        <v>2.20434015416525</v>
      </c>
      <c r="Q7" s="29" t="n">
        <f aca="false">H7*O7</f>
        <v>3560.34</v>
      </c>
      <c r="R7" s="30" t="n">
        <f aca="false">IF(OR(K7="Sem dados",L7="",L7=0,K7&gt;=L7),0,H7-(G7/L7))</f>
        <v>58.572119205298</v>
      </c>
      <c r="S7" s="29" t="n">
        <f aca="false">R7*O7</f>
        <v>351.432715231788</v>
      </c>
    </row>
    <row r="8" customFormat="false" ht="15" hidden="false" customHeight="false" outlineLevel="0" collapsed="false">
      <c r="A8" s="26" t="s">
        <v>4126</v>
      </c>
      <c r="B8" s="26" t="s">
        <v>4125</v>
      </c>
      <c r="C8" s="26" t="s">
        <v>6132</v>
      </c>
      <c r="D8" s="26" t="s">
        <v>6130</v>
      </c>
      <c r="E8" s="26" t="s">
        <v>6251</v>
      </c>
      <c r="F8" s="26" t="n">
        <f aca="false">SUMIFS('Boletim_do_Veiculo_2026-09-08_2'!$BM:$BM,'Boletim_do_Veiculo_2026-09-08_2'!$B:$B,$A8)</f>
        <v>0</v>
      </c>
      <c r="G8" s="26" t="n">
        <f aca="false">SUMIFS('Boletim_do_Veiculo_2026-09-08_2'!$BP:$BP,'Boletim_do_Veiculo_2026-09-08_2'!$B:$B,$A8)</f>
        <v>0</v>
      </c>
      <c r="H8" s="26" t="n">
        <f aca="false">SUMIFS('Boletim_do_Veiculo_2026-09-08_2'!$BN:$BN,'Boletim_do_Veiculo_2026-09-08_2'!$B:$B,$A8)</f>
        <v>1.26</v>
      </c>
      <c r="I8" s="26" t="n">
        <f aca="false">COUNTIFS('Boletim_do_Veiculo_2026-09-08_2'!$B:$B,$A8,'Boletim_do_Veiculo_2026-09-08_2'!$R:$R,"&lt;&gt;-")</f>
        <v>3</v>
      </c>
      <c r="J8" s="26" t="n">
        <f aca="false">COUNTIFS('Boletim_do_Veiculo_2026-09-08_2'!$B:$B,$A8,'Boletim_do_Veiculo_2026-09-08_2'!$R:$R,"-")</f>
        <v>0</v>
      </c>
      <c r="K8" s="26" t="n">
        <f aca="false">IF(H8=0,"Sem dados",G8/H8)</f>
        <v>0</v>
      </c>
      <c r="L8" s="27" t="n">
        <f aca="false">IFERROR(INDEX(Metas!$F$10:$F$15,MATCH(1,INDEX((Metas!$B$10:$B$15=C8)*(Metas!$C$10:$C$15=D8),0),0)),"")</f>
        <v>4.61</v>
      </c>
      <c r="M8" s="28" t="n">
        <f aca="false">IF(OR(K8="Sem dados",L8="",L8=0),"",(K8-L8)/L8)</f>
        <v>-1</v>
      </c>
      <c r="N8" s="26" t="str">
        <f aca="false">IF(K8="Sem dados","Sem dados suficientes",IF(M8="","Sem meta definida",IF(M8&gt;=0.02,"Acima da meta",IF(M8&lt;=-0.1,"Crítico: abaixo da meta",IF(M8&lt;0,"Abaixo da meta","Na meta")))))</f>
        <v>Crítico: abaixo da meta</v>
      </c>
      <c r="O8" s="29" t="n">
        <f aca="false">Metas!$D$4</f>
        <v>6</v>
      </c>
      <c r="P8" s="29" t="str">
        <f aca="false">IF(K8="Sem dados","",IFERROR(O8/K8,"Km=0 c/ consumo&gt;0 (ver nota)"))</f>
        <v>Km=0 c/ consumo&gt;0 (ver nota)</v>
      </c>
      <c r="Q8" s="29" t="n">
        <f aca="false">H8*O8</f>
        <v>7.56</v>
      </c>
      <c r="R8" s="30" t="n">
        <f aca="false">IF(OR(K8="Sem dados",L8="",L8=0,K8&gt;=L8),0,H8-(G8/L8))</f>
        <v>1.26</v>
      </c>
      <c r="S8" s="29" t="n">
        <f aca="false">R8*O8</f>
        <v>7.56</v>
      </c>
    </row>
    <row r="9" customFormat="false" ht="15" hidden="false" customHeight="false" outlineLevel="0" collapsed="false">
      <c r="A9" s="26" t="s">
        <v>4891</v>
      </c>
      <c r="B9" s="26" t="s">
        <v>4890</v>
      </c>
      <c r="C9" s="26" t="s">
        <v>6132</v>
      </c>
      <c r="D9" s="26" t="s">
        <v>6130</v>
      </c>
      <c r="E9" s="26" t="s">
        <v>6251</v>
      </c>
      <c r="F9" s="26" t="n">
        <f aca="false">SUMIFS('Boletim_do_Veiculo_2026-09-08_2'!$BM:$BM,'Boletim_do_Veiculo_2026-09-08_2'!$B:$B,$A9)</f>
        <v>1.37</v>
      </c>
      <c r="G9" s="26" t="n">
        <f aca="false">SUMIFS('Boletim_do_Veiculo_2026-09-08_2'!$BP:$BP,'Boletim_do_Veiculo_2026-09-08_2'!$B:$B,$A9)</f>
        <v>1.37</v>
      </c>
      <c r="H9" s="26" t="n">
        <f aca="false">SUMIFS('Boletim_do_Veiculo_2026-09-08_2'!$BN:$BN,'Boletim_do_Veiculo_2026-09-08_2'!$B:$B,$A9)</f>
        <v>834.42</v>
      </c>
      <c r="I9" s="26" t="n">
        <f aca="false">COUNTIFS('Boletim_do_Veiculo_2026-09-08_2'!$B:$B,$A9,'Boletim_do_Veiculo_2026-09-08_2'!$R:$R,"&lt;&gt;-")</f>
        <v>7</v>
      </c>
      <c r="J9" s="26" t="n">
        <f aca="false">COUNTIFS('Boletim_do_Veiculo_2026-09-08_2'!$B:$B,$A9,'Boletim_do_Veiculo_2026-09-08_2'!$R:$R,"-")</f>
        <v>0</v>
      </c>
      <c r="K9" s="26" t="n">
        <f aca="false">IF(H9=0,"Sem dados",G9/H9)</f>
        <v>0.00164185901584334</v>
      </c>
      <c r="L9" s="27" t="n">
        <f aca="false">IFERROR(INDEX(Metas!$F$10:$F$15,MATCH(1,INDEX((Metas!$B$10:$B$15=C9)*(Metas!$C$10:$C$15=D9),0),0)),"")</f>
        <v>4.61</v>
      </c>
      <c r="M9" s="28" t="n">
        <f aca="false">IF(OR(K9="Sem dados",L9="",L9=0),"",(K9-L9)/L9)</f>
        <v>-0.999643848369665</v>
      </c>
      <c r="N9" s="26" t="str">
        <f aca="false">IF(K9="Sem dados","Sem dados suficientes",IF(M9="","Sem meta definida",IF(M9&gt;=0.02,"Acima da meta",IF(M9&lt;=-0.1,"Crítico: abaixo da meta",IF(M9&lt;0,"Abaixo da meta","Na meta")))))</f>
        <v>Crítico: abaixo da meta</v>
      </c>
      <c r="O9" s="29" t="n">
        <f aca="false">Metas!$D$4</f>
        <v>6</v>
      </c>
      <c r="P9" s="29" t="n">
        <f aca="false">IF(K9="Sem dados","",IFERROR(O9/K9,"Km=0 c/ consumo&gt;0 (ver nota)"))</f>
        <v>3654.39416058394</v>
      </c>
      <c r="Q9" s="29" t="n">
        <f aca="false">H9*O9</f>
        <v>5006.52</v>
      </c>
      <c r="R9" s="30" t="n">
        <f aca="false">IF(OR(K9="Sem dados",L9="",L9=0,K9&gt;=L9),0,H9-(G9/L9))</f>
        <v>834.122819956616</v>
      </c>
      <c r="S9" s="29" t="n">
        <f aca="false">R9*O9</f>
        <v>5004.7369197397</v>
      </c>
    </row>
    <row r="10" customFormat="false" ht="15" hidden="false" customHeight="false" outlineLevel="0" collapsed="false">
      <c r="A10" s="26" t="s">
        <v>4433</v>
      </c>
      <c r="B10" s="26" t="s">
        <v>6142</v>
      </c>
      <c r="C10" s="26" t="s">
        <v>6128</v>
      </c>
      <c r="D10" s="26" t="s">
        <v>6140</v>
      </c>
      <c r="E10" s="26" t="s">
        <v>6251</v>
      </c>
      <c r="F10" s="26" t="n">
        <f aca="false">SUMIFS('Boletim_do_Veiculo_2026-09-08_2'!$BM:$BM,'Boletim_do_Veiculo_2026-09-08_2'!$B:$B,$A10)</f>
        <v>861.59</v>
      </c>
      <c r="G10" s="26" t="n">
        <f aca="false">SUMIFS('Boletim_do_Veiculo_2026-09-08_2'!$BP:$BP,'Boletim_do_Veiculo_2026-09-08_2'!$B:$B,$A10)</f>
        <v>861.59</v>
      </c>
      <c r="H10" s="26" t="n">
        <f aca="false">SUMIFS('Boletim_do_Veiculo_2026-09-08_2'!$BN:$BN,'Boletim_do_Veiculo_2026-09-08_2'!$B:$B,$A10)</f>
        <v>315.55</v>
      </c>
      <c r="I10" s="26" t="n">
        <f aca="false">COUNTIFS('Boletim_do_Veiculo_2026-09-08_2'!$B:$B,$A10,'Boletim_do_Veiculo_2026-09-08_2'!$R:$R,"&lt;&gt;-")</f>
        <v>7</v>
      </c>
      <c r="J10" s="26" t="n">
        <f aca="false">COUNTIFS('Boletim_do_Veiculo_2026-09-08_2'!$B:$B,$A10,'Boletim_do_Veiculo_2026-09-08_2'!$R:$R,"-")</f>
        <v>0</v>
      </c>
      <c r="K10" s="26" t="n">
        <f aca="false">IF(H10=0,"Sem dados",G10/H10)</f>
        <v>2.7304389161781</v>
      </c>
      <c r="L10" s="27" t="n">
        <f aca="false">IFERROR(INDEX(Metas!$F$10:$F$15,MATCH(1,INDEX((Metas!$B$10:$B$15=C10)*(Metas!$C$10:$C$15=D10),0),0)),"")</f>
        <v>2.84</v>
      </c>
      <c r="M10" s="28" t="n">
        <f aca="false">IF(OR(K10="Sem dados",L10="",L10=0),"",(K10-L10)/L10)</f>
        <v>-0.0385778464161613</v>
      </c>
      <c r="N10" s="26" t="str">
        <f aca="false">IF(K10="Sem dados","Sem dados suficientes",IF(M10="","Sem meta definida",IF(M10&gt;=0.02,"Acima da meta",IF(M10&lt;=-0.1,"Crítico: abaixo da meta",IF(M10&lt;0,"Abaixo da meta","Na meta")))))</f>
        <v>Abaixo da meta</v>
      </c>
      <c r="O10" s="29" t="n">
        <f aca="false">Metas!$D$4</f>
        <v>6</v>
      </c>
      <c r="P10" s="29" t="n">
        <f aca="false">IF(K10="Sem dados","",IFERROR(O10/K10,"Km=0 c/ consumo&gt;0 (ver nota)"))</f>
        <v>2.19744890261029</v>
      </c>
      <c r="Q10" s="29" t="n">
        <f aca="false">H10*O10</f>
        <v>1893.3</v>
      </c>
      <c r="R10" s="30" t="n">
        <f aca="false">IF(OR(K10="Sem dados",L10="",L10=0,K10&gt;=L10),0,H10-(G10/L10))</f>
        <v>12.1732394366197</v>
      </c>
      <c r="S10" s="29" t="n">
        <f aca="false">R10*O10</f>
        <v>73.0394366197183</v>
      </c>
    </row>
    <row r="11" customFormat="false" ht="15" hidden="false" customHeight="false" outlineLevel="0" collapsed="false">
      <c r="A11" s="26" t="s">
        <v>4674</v>
      </c>
      <c r="B11" s="26" t="s">
        <v>6143</v>
      </c>
      <c r="C11" s="26" t="s">
        <v>6128</v>
      </c>
      <c r="D11" s="26" t="s">
        <v>6140</v>
      </c>
      <c r="E11" s="26" t="s">
        <v>6251</v>
      </c>
      <c r="F11" s="26" t="n">
        <f aca="false">SUMIFS('Boletim_do_Veiculo_2026-09-08_2'!$BM:$BM,'Boletim_do_Veiculo_2026-09-08_2'!$B:$B,$A11)</f>
        <v>1738.37</v>
      </c>
      <c r="G11" s="26" t="n">
        <f aca="false">SUMIFS('Boletim_do_Veiculo_2026-09-08_2'!$BP:$BP,'Boletim_do_Veiculo_2026-09-08_2'!$B:$B,$A11)</f>
        <v>1738.37</v>
      </c>
      <c r="H11" s="26" t="n">
        <f aca="false">SUMIFS('Boletim_do_Veiculo_2026-09-08_2'!$BN:$BN,'Boletim_do_Veiculo_2026-09-08_2'!$B:$B,$A11)</f>
        <v>691.58</v>
      </c>
      <c r="I11" s="26" t="n">
        <f aca="false">COUNTIFS('Boletim_do_Veiculo_2026-09-08_2'!$B:$B,$A11,'Boletim_do_Veiculo_2026-09-08_2'!$R:$R,"&lt;&gt;-")</f>
        <v>7</v>
      </c>
      <c r="J11" s="26" t="n">
        <f aca="false">COUNTIFS('Boletim_do_Veiculo_2026-09-08_2'!$B:$B,$A11,'Boletim_do_Veiculo_2026-09-08_2'!$R:$R,"-")</f>
        <v>0</v>
      </c>
      <c r="K11" s="26" t="n">
        <f aca="false">IF(H11=0,"Sem dados",G11/H11)</f>
        <v>2.51362098383412</v>
      </c>
      <c r="L11" s="27" t="n">
        <f aca="false">IFERROR(INDEX(Metas!$F$10:$F$15,MATCH(1,INDEX((Metas!$B$10:$B$15=C11)*(Metas!$C$10:$C$15=D11),0),0)),"")</f>
        <v>2.84</v>
      </c>
      <c r="M11" s="28" t="n">
        <f aca="false">IF(OR(K11="Sem dados",L11="",L11=0),"",(K11-L11)/L11)</f>
        <v>-0.114922188790803</v>
      </c>
      <c r="N11" s="26" t="str">
        <f aca="false">IF(K11="Sem dados","Sem dados suficientes",IF(M11="","Sem meta definida",IF(M11&gt;=0.02,"Acima da meta",IF(M11&lt;=-0.1,"Crítico: abaixo da meta",IF(M11&lt;0,"Abaixo da meta","Na meta")))))</f>
        <v>Crítico: abaixo da meta</v>
      </c>
      <c r="O11" s="29" t="n">
        <f aca="false">Metas!$D$4</f>
        <v>6</v>
      </c>
      <c r="P11" s="29" t="n">
        <f aca="false">IF(K11="Sem dados","",IFERROR(O11/K11,"Km=0 c/ consumo&gt;0 (ver nota)"))</f>
        <v>2.38699471343845</v>
      </c>
      <c r="Q11" s="29" t="n">
        <f aca="false">H11*O11</f>
        <v>4149.48</v>
      </c>
      <c r="R11" s="30" t="n">
        <f aca="false">IF(OR(K11="Sem dados",L11="",L11=0,K11&gt;=L11),0,H11-(G11/L11))</f>
        <v>79.4778873239436</v>
      </c>
      <c r="S11" s="29" t="n">
        <f aca="false">R11*O11</f>
        <v>476.867323943662</v>
      </c>
    </row>
    <row r="12" customFormat="false" ht="15" hidden="false" customHeight="false" outlineLevel="0" collapsed="false">
      <c r="A12" s="26" t="s">
        <v>4275</v>
      </c>
      <c r="B12" s="26" t="s">
        <v>4274</v>
      </c>
      <c r="C12" s="26" t="s">
        <v>6128</v>
      </c>
      <c r="D12" s="26" t="s">
        <v>6140</v>
      </c>
      <c r="E12" s="26" t="s">
        <v>6252</v>
      </c>
      <c r="F12" s="26" t="n">
        <f aca="false">SUMIFS('Boletim_do_Veiculo_2026-09-08_2'!$BM:$BM,'Boletim_do_Veiculo_2026-09-08_2'!$B:$B,$A12)</f>
        <v>1171.97</v>
      </c>
      <c r="G12" s="26" t="n">
        <f aca="false">SUMIFS('Boletim_do_Veiculo_2026-09-08_2'!$BP:$BP,'Boletim_do_Veiculo_2026-09-08_2'!$B:$B,$A12)</f>
        <v>1171.97</v>
      </c>
      <c r="H12" s="26" t="n">
        <f aca="false">SUMIFS('Boletim_do_Veiculo_2026-09-08_2'!$BN:$BN,'Boletim_do_Veiculo_2026-09-08_2'!$B:$B,$A12)</f>
        <v>524.59</v>
      </c>
      <c r="I12" s="26" t="n">
        <f aca="false">COUNTIFS('Boletim_do_Veiculo_2026-09-08_2'!$B:$B,$A12,'Boletim_do_Veiculo_2026-09-08_2'!$R:$R,"&lt;&gt;-")</f>
        <v>6</v>
      </c>
      <c r="J12" s="26" t="n">
        <f aca="false">COUNTIFS('Boletim_do_Veiculo_2026-09-08_2'!$B:$B,$A12,'Boletim_do_Veiculo_2026-09-08_2'!$R:$R,"-")</f>
        <v>1</v>
      </c>
      <c r="K12" s="26" t="n">
        <f aca="false">IF(H12=0,"Sem dados",G12/H12)</f>
        <v>2.23406851064641</v>
      </c>
      <c r="L12" s="27" t="n">
        <f aca="false">IFERROR(INDEX(Metas!$F$10:$F$15,MATCH(1,INDEX((Metas!$B$10:$B$15=C12)*(Metas!$C$10:$C$15=D12),0),0)),"")</f>
        <v>2.84</v>
      </c>
      <c r="M12" s="28" t="n">
        <f aca="false">IF(OR(K12="Sem dados",L12="",L12=0),"",(K12-L12)/L12)</f>
        <v>-0.213356158223095</v>
      </c>
      <c r="N12" s="26" t="str">
        <f aca="false">IF(K12="Sem dados","Sem dados suficientes",IF(M12="","Sem meta definida",IF(M12&gt;=0.02,"Acima da meta",IF(M12&lt;=-0.1,"Crítico: abaixo da meta",IF(M12&lt;0,"Abaixo da meta","Na meta")))))</f>
        <v>Crítico: abaixo da meta</v>
      </c>
      <c r="O12" s="29" t="n">
        <f aca="false">Metas!$D$4</f>
        <v>6</v>
      </c>
      <c r="P12" s="29" t="n">
        <f aca="false">IF(K12="Sem dados","",IFERROR(O12/K12,"Km=0 c/ consumo&gt;0 (ver nota)"))</f>
        <v>2.68568308062493</v>
      </c>
      <c r="Q12" s="29" t="n">
        <f aca="false">H12*O12</f>
        <v>3147.54</v>
      </c>
      <c r="R12" s="30" t="n">
        <f aca="false">IF(OR(K12="Sem dados",L12="",L12=0,K12&gt;=L12),0,H12-(G12/L12))</f>
        <v>111.924507042254</v>
      </c>
      <c r="S12" s="29" t="n">
        <f aca="false">R12*O12</f>
        <v>671.547042253521</v>
      </c>
    </row>
    <row r="13" customFormat="false" ht="15" hidden="false" customHeight="false" outlineLevel="0" collapsed="false">
      <c r="A13" s="26" t="s">
        <v>4407</v>
      </c>
      <c r="B13" s="26" t="s">
        <v>4406</v>
      </c>
      <c r="C13" s="26" t="s">
        <v>6132</v>
      </c>
      <c r="D13" s="26" t="s">
        <v>6130</v>
      </c>
      <c r="E13" s="26" t="s">
        <v>6251</v>
      </c>
      <c r="F13" s="26" t="n">
        <f aca="false">SUMIFS('Boletim_do_Veiculo_2026-09-08_2'!$BM:$BM,'Boletim_do_Veiculo_2026-09-08_2'!$B:$B,$A13)</f>
        <v>1781.93</v>
      </c>
      <c r="G13" s="26" t="n">
        <f aca="false">SUMIFS('Boletim_do_Veiculo_2026-09-08_2'!$BP:$BP,'Boletim_do_Veiculo_2026-09-08_2'!$B:$B,$A13)</f>
        <v>1781.93</v>
      </c>
      <c r="H13" s="26" t="n">
        <f aca="false">SUMIFS('Boletim_do_Veiculo_2026-09-08_2'!$BN:$BN,'Boletim_do_Veiculo_2026-09-08_2'!$B:$B,$A13)</f>
        <v>647.53</v>
      </c>
      <c r="I13" s="26" t="n">
        <f aca="false">COUNTIFS('Boletim_do_Veiculo_2026-09-08_2'!$B:$B,$A13,'Boletim_do_Veiculo_2026-09-08_2'!$R:$R,"&lt;&gt;-")</f>
        <v>7</v>
      </c>
      <c r="J13" s="26" t="n">
        <f aca="false">COUNTIFS('Boletim_do_Veiculo_2026-09-08_2'!$B:$B,$A13,'Boletim_do_Veiculo_2026-09-08_2'!$R:$R,"-")</f>
        <v>0</v>
      </c>
      <c r="K13" s="26" t="n">
        <f aca="false">IF(H13=0,"Sem dados",G13/H13)</f>
        <v>2.75188794341575</v>
      </c>
      <c r="L13" s="27" t="n">
        <f aca="false">IFERROR(INDEX(Metas!$F$10:$F$15,MATCH(1,INDEX((Metas!$B$10:$B$15=C13)*(Metas!$C$10:$C$15=D13),0),0)),"")</f>
        <v>4.61</v>
      </c>
      <c r="M13" s="28" t="n">
        <f aca="false">IF(OR(K13="Sem dados",L13="",L13=0),"",(K13-L13)/L13)</f>
        <v>-0.403061183640835</v>
      </c>
      <c r="N13" s="26" t="str">
        <f aca="false">IF(K13="Sem dados","Sem dados suficientes",IF(M13="","Sem meta definida",IF(M13&gt;=0.02,"Acima da meta",IF(M13&lt;=-0.1,"Crítico: abaixo da meta",IF(M13&lt;0,"Abaixo da meta","Na meta")))))</f>
        <v>Crítico: abaixo da meta</v>
      </c>
      <c r="O13" s="29" t="n">
        <f aca="false">Metas!$D$4</f>
        <v>6</v>
      </c>
      <c r="P13" s="29" t="n">
        <f aca="false">IF(K13="Sem dados","",IFERROR(O13/K13,"Km=0 c/ consumo&gt;0 (ver nota)"))</f>
        <v>2.18032133697732</v>
      </c>
      <c r="Q13" s="29" t="n">
        <f aca="false">H13*O13</f>
        <v>3885.18</v>
      </c>
      <c r="R13" s="30" t="n">
        <f aca="false">IF(OR(K13="Sem dados",L13="",L13=0,K13&gt;=L13),0,H13-(G13/L13))</f>
        <v>260.99420824295</v>
      </c>
      <c r="S13" s="29" t="n">
        <f aca="false">R13*O13</f>
        <v>1565.9652494577</v>
      </c>
    </row>
    <row r="14" customFormat="false" ht="15" hidden="false" customHeight="false" outlineLevel="0" collapsed="false">
      <c r="A14" s="26" t="s">
        <v>4350</v>
      </c>
      <c r="B14" s="26" t="s">
        <v>4349</v>
      </c>
      <c r="C14" s="26" t="s">
        <v>6128</v>
      </c>
      <c r="D14" s="26" t="s">
        <v>6133</v>
      </c>
      <c r="E14" s="26" t="s">
        <v>6251</v>
      </c>
      <c r="F14" s="26" t="n">
        <f aca="false">SUMIFS('Boletim_do_Veiculo_2026-09-08_2'!$BM:$BM,'Boletim_do_Veiculo_2026-09-08_2'!$B:$B,$A14)</f>
        <v>1318.27</v>
      </c>
      <c r="G14" s="26" t="n">
        <f aca="false">SUMIFS('Boletim_do_Veiculo_2026-09-08_2'!$BP:$BP,'Boletim_do_Veiculo_2026-09-08_2'!$B:$B,$A14)</f>
        <v>1318.27</v>
      </c>
      <c r="H14" s="26" t="n">
        <f aca="false">SUMIFS('Boletim_do_Veiculo_2026-09-08_2'!$BN:$BN,'Boletim_do_Veiculo_2026-09-08_2'!$B:$B,$A14)</f>
        <v>405.69</v>
      </c>
      <c r="I14" s="26" t="n">
        <f aca="false">COUNTIFS('Boletim_do_Veiculo_2026-09-08_2'!$B:$B,$A14,'Boletim_do_Veiculo_2026-09-08_2'!$R:$R,"&lt;&gt;-")</f>
        <v>7</v>
      </c>
      <c r="J14" s="26" t="n">
        <f aca="false">COUNTIFS('Boletim_do_Veiculo_2026-09-08_2'!$B:$B,$A14,'Boletim_do_Veiculo_2026-09-08_2'!$R:$R,"-")</f>
        <v>0</v>
      </c>
      <c r="K14" s="26" t="n">
        <f aca="false">IF(H14=0,"Sem dados",G14/H14)</f>
        <v>3.24945155167739</v>
      </c>
      <c r="L14" s="27" t="n">
        <f aca="false">IFERROR(INDEX(Metas!$F$10:$F$15,MATCH(1,INDEX((Metas!$B$10:$B$15=C14)*(Metas!$C$10:$C$15=D14),0),0)),"")</f>
        <v>3.24</v>
      </c>
      <c r="M14" s="28" t="n">
        <f aca="false">IF(OR(K14="Sem dados",L14="",L14=0),"",(K14-L14)/L14)</f>
        <v>0.00291714557944104</v>
      </c>
      <c r="N14" s="26" t="str">
        <f aca="false">IF(K14="Sem dados","Sem dados suficientes",IF(M14="","Sem meta definida",IF(M14&gt;=0.02,"Acima da meta",IF(M14&lt;=-0.1,"Crítico: abaixo da meta",IF(M14&lt;0,"Abaixo da meta","Na meta")))))</f>
        <v>Na meta</v>
      </c>
      <c r="O14" s="29" t="n">
        <f aca="false">Metas!$D$4</f>
        <v>6</v>
      </c>
      <c r="P14" s="29" t="n">
        <f aca="false">IF(K14="Sem dados","",IFERROR(O14/K14,"Km=0 c/ consumo&gt;0 (ver nota)"))</f>
        <v>1.8464654433462</v>
      </c>
      <c r="Q14" s="29" t="n">
        <f aca="false">H14*O14</f>
        <v>2434.14</v>
      </c>
      <c r="R14" s="30" t="n">
        <f aca="false">IF(OR(K14="Sem dados",L14="",L14=0,K14&gt;=L14),0,H14-(G14/L14))</f>
        <v>0</v>
      </c>
      <c r="S14" s="29" t="n">
        <f aca="false">R14*O14</f>
        <v>0</v>
      </c>
    </row>
    <row r="15" customFormat="false" ht="15" hidden="false" customHeight="false" outlineLevel="0" collapsed="false">
      <c r="A15" s="26" t="s">
        <v>4375</v>
      </c>
      <c r="B15" s="26" t="s">
        <v>4374</v>
      </c>
      <c r="C15" s="26" t="s">
        <v>6128</v>
      </c>
      <c r="D15" s="26" t="s">
        <v>6133</v>
      </c>
      <c r="E15" s="26" t="s">
        <v>6251</v>
      </c>
      <c r="F15" s="26" t="n">
        <f aca="false">SUMIFS('Boletim_do_Veiculo_2026-09-08_2'!$BM:$BM,'Boletim_do_Veiculo_2026-09-08_2'!$B:$B,$A15)</f>
        <v>1320.54</v>
      </c>
      <c r="G15" s="26" t="n">
        <f aca="false">SUMIFS('Boletim_do_Veiculo_2026-09-08_2'!$BP:$BP,'Boletim_do_Veiculo_2026-09-08_2'!$B:$B,$A15)</f>
        <v>1320.54</v>
      </c>
      <c r="H15" s="26" t="n">
        <f aca="false">SUMIFS('Boletim_do_Veiculo_2026-09-08_2'!$BN:$BN,'Boletim_do_Veiculo_2026-09-08_2'!$B:$B,$A15)</f>
        <v>420.6</v>
      </c>
      <c r="I15" s="26" t="n">
        <f aca="false">COUNTIFS('Boletim_do_Veiculo_2026-09-08_2'!$B:$B,$A15,'Boletim_do_Veiculo_2026-09-08_2'!$R:$R,"&lt;&gt;-")</f>
        <v>7</v>
      </c>
      <c r="J15" s="26" t="n">
        <f aca="false">COUNTIFS('Boletim_do_Veiculo_2026-09-08_2'!$B:$B,$A15,'Boletim_do_Veiculo_2026-09-08_2'!$R:$R,"-")</f>
        <v>0</v>
      </c>
      <c r="K15" s="26" t="n">
        <f aca="false">IF(H15=0,"Sem dados",G15/H15)</f>
        <v>3.13965763195435</v>
      </c>
      <c r="L15" s="27" t="n">
        <f aca="false">IFERROR(INDEX(Metas!$F$10:$F$15,MATCH(1,INDEX((Metas!$B$10:$B$15=C15)*(Metas!$C$10:$C$15=D15),0),0)),"")</f>
        <v>3.24</v>
      </c>
      <c r="M15" s="28" t="n">
        <f aca="false">IF(OR(K15="Sem dados",L15="",L15=0),"",(K15-L15)/L15)</f>
        <v>-0.0309698666807559</v>
      </c>
      <c r="N15" s="26" t="str">
        <f aca="false">IF(K15="Sem dados","Sem dados suficientes",IF(M15="","Sem meta definida",IF(M15&gt;=0.02,"Acima da meta",IF(M15&lt;=-0.1,"Crítico: abaixo da meta",IF(M15&lt;0,"Abaixo da meta","Na meta")))))</f>
        <v>Abaixo da meta</v>
      </c>
      <c r="O15" s="29" t="n">
        <f aca="false">Metas!$D$4</f>
        <v>6</v>
      </c>
      <c r="P15" s="29" t="n">
        <f aca="false">IF(K15="Sem dados","",IFERROR(O15/K15,"Km=0 c/ consumo&gt;0 (ver nota)"))</f>
        <v>1.91103639420237</v>
      </c>
      <c r="Q15" s="29" t="n">
        <f aca="false">H15*O15</f>
        <v>2523.6</v>
      </c>
      <c r="R15" s="30" t="n">
        <f aca="false">IF(OR(K15="Sem dados",L15="",L15=0,K15&gt;=L15),0,H15-(G15/L15))</f>
        <v>13.0259259259259</v>
      </c>
      <c r="S15" s="29" t="n">
        <f aca="false">R15*O15</f>
        <v>78.1555555555557</v>
      </c>
    </row>
    <row r="16" customFormat="false" ht="15" hidden="false" customHeight="false" outlineLevel="0" collapsed="false">
      <c r="A16" s="26" t="s">
        <v>4297</v>
      </c>
      <c r="B16" s="26" t="s">
        <v>4296</v>
      </c>
      <c r="C16" s="26" t="s">
        <v>6132</v>
      </c>
      <c r="D16" s="26" t="s">
        <v>6130</v>
      </c>
      <c r="E16" s="26" t="s">
        <v>6251</v>
      </c>
      <c r="F16" s="26" t="n">
        <f aca="false">SUMIFS('Boletim_do_Veiculo_2026-09-08_2'!$BM:$BM,'Boletim_do_Veiculo_2026-09-08_2'!$B:$B,$A16)</f>
        <v>0</v>
      </c>
      <c r="G16" s="26" t="n">
        <f aca="false">SUMIFS('Boletim_do_Veiculo_2026-09-08_2'!$BP:$BP,'Boletim_do_Veiculo_2026-09-08_2'!$B:$B,$A16)</f>
        <v>0</v>
      </c>
      <c r="H16" s="26" t="n">
        <f aca="false">SUMIFS('Boletim_do_Veiculo_2026-09-08_2'!$BN:$BN,'Boletim_do_Veiculo_2026-09-08_2'!$B:$B,$A16)</f>
        <v>1.23</v>
      </c>
      <c r="I16" s="26" t="n">
        <f aca="false">COUNTIFS('Boletim_do_Veiculo_2026-09-08_2'!$B:$B,$A16,'Boletim_do_Veiculo_2026-09-08_2'!$R:$R,"&lt;&gt;-")</f>
        <v>3</v>
      </c>
      <c r="J16" s="26" t="n">
        <f aca="false">COUNTIFS('Boletim_do_Veiculo_2026-09-08_2'!$B:$B,$A16,'Boletim_do_Veiculo_2026-09-08_2'!$R:$R,"-")</f>
        <v>0</v>
      </c>
      <c r="K16" s="26" t="n">
        <f aca="false">IF(H16=0,"Sem dados",G16/H16)</f>
        <v>0</v>
      </c>
      <c r="L16" s="27" t="n">
        <f aca="false">IFERROR(INDEX(Metas!$F$10:$F$15,MATCH(1,INDEX((Metas!$B$10:$B$15=C16)*(Metas!$C$10:$C$15=D16),0),0)),"")</f>
        <v>4.61</v>
      </c>
      <c r="M16" s="28" t="n">
        <f aca="false">IF(OR(K16="Sem dados",L16="",L16=0),"",(K16-L16)/L16)</f>
        <v>-1</v>
      </c>
      <c r="N16" s="26" t="str">
        <f aca="false">IF(K16="Sem dados","Sem dados suficientes",IF(M16="","Sem meta definida",IF(M16&gt;=0.02,"Acima da meta",IF(M16&lt;=-0.1,"Crítico: abaixo da meta",IF(M16&lt;0,"Abaixo da meta","Na meta")))))</f>
        <v>Crítico: abaixo da meta</v>
      </c>
      <c r="O16" s="29" t="n">
        <f aca="false">Metas!$D$4</f>
        <v>6</v>
      </c>
      <c r="P16" s="29" t="str">
        <f aca="false">IF(K16="Sem dados","",IFERROR(O16/K16,"Km=0 c/ consumo&gt;0 (ver nota)"))</f>
        <v>Km=0 c/ consumo&gt;0 (ver nota)</v>
      </c>
      <c r="Q16" s="29" t="n">
        <f aca="false">H16*O16</f>
        <v>7.38</v>
      </c>
      <c r="R16" s="30" t="n">
        <f aca="false">IF(OR(K16="Sem dados",L16="",L16=0,K16&gt;=L16),0,H16-(G16/L16))</f>
        <v>1.23</v>
      </c>
      <c r="S16" s="29" t="n">
        <f aca="false">R16*O16</f>
        <v>7.38</v>
      </c>
    </row>
    <row r="17" customFormat="false" ht="15" hidden="false" customHeight="false" outlineLevel="0" collapsed="false">
      <c r="A17" s="26" t="s">
        <v>4205</v>
      </c>
      <c r="B17" s="26" t="s">
        <v>4204</v>
      </c>
      <c r="C17" s="26" t="s">
        <v>6132</v>
      </c>
      <c r="D17" s="26" t="s">
        <v>6130</v>
      </c>
      <c r="E17" s="26" t="s">
        <v>6251</v>
      </c>
      <c r="F17" s="26" t="n">
        <f aca="false">SUMIFS('Boletim_do_Veiculo_2026-09-08_2'!$BM:$BM,'Boletim_do_Veiculo_2026-09-08_2'!$B:$B,$A17)</f>
        <v>1775.62</v>
      </c>
      <c r="G17" s="26" t="n">
        <f aca="false">SUMIFS('Boletim_do_Veiculo_2026-09-08_2'!$BP:$BP,'Boletim_do_Veiculo_2026-09-08_2'!$B:$B,$A17)</f>
        <v>1775.62</v>
      </c>
      <c r="H17" s="26" t="n">
        <f aca="false">SUMIFS('Boletim_do_Veiculo_2026-09-08_2'!$BN:$BN,'Boletim_do_Veiculo_2026-09-08_2'!$B:$B,$A17)</f>
        <v>274.15</v>
      </c>
      <c r="I17" s="26" t="n">
        <f aca="false">COUNTIFS('Boletim_do_Veiculo_2026-09-08_2'!$B:$B,$A17,'Boletim_do_Veiculo_2026-09-08_2'!$R:$R,"&lt;&gt;-")</f>
        <v>7</v>
      </c>
      <c r="J17" s="26" t="n">
        <f aca="false">COUNTIFS('Boletim_do_Veiculo_2026-09-08_2'!$B:$B,$A17,'Boletim_do_Veiculo_2026-09-08_2'!$R:$R,"-")</f>
        <v>0</v>
      </c>
      <c r="K17" s="26" t="n">
        <f aca="false">IF(H17=0,"Sem dados",G17/H17)</f>
        <v>6.47681925952946</v>
      </c>
      <c r="L17" s="27" t="n">
        <f aca="false">IFERROR(INDEX(Metas!$F$10:$F$15,MATCH(1,INDEX((Metas!$B$10:$B$15=C17)*(Metas!$C$10:$C$15=D17),0),0)),"")</f>
        <v>4.61</v>
      </c>
      <c r="M17" s="28" t="n">
        <f aca="false">IF(OR(K17="Sem dados",L17="",L17=0),"",(K17-L17)/L17)</f>
        <v>0.404949947837192</v>
      </c>
      <c r="N17" s="26" t="str">
        <f aca="false">IF(K17="Sem dados","Sem dados suficientes",IF(M17="","Sem meta definida",IF(M17&gt;=0.02,"Acima da meta",IF(M17&lt;=-0.1,"Crítico: abaixo da meta",IF(M17&lt;0,"Abaixo da meta","Na meta")))))</f>
        <v>Acima da meta</v>
      </c>
      <c r="O17" s="29" t="n">
        <f aca="false">Metas!$D$4</f>
        <v>6</v>
      </c>
      <c r="P17" s="29" t="n">
        <f aca="false">IF(K17="Sem dados","",IFERROR(O17/K17,"Km=0 c/ consumo&gt;0 (ver nota)"))</f>
        <v>0.926380644507271</v>
      </c>
      <c r="Q17" s="29" t="n">
        <f aca="false">H17*O17</f>
        <v>1644.9</v>
      </c>
      <c r="R17" s="30" t="n">
        <f aca="false">IF(OR(K17="Sem dados",L17="",L17=0,K17&gt;=L17),0,H17-(G17/L17))</f>
        <v>0</v>
      </c>
      <c r="S17" s="29" t="n">
        <f aca="false">R17*O17</f>
        <v>0</v>
      </c>
    </row>
    <row r="18" customFormat="false" ht="15" hidden="false" customHeight="false" outlineLevel="0" collapsed="false">
      <c r="A18" s="26" t="s">
        <v>4301</v>
      </c>
      <c r="B18" s="26" t="s">
        <v>4300</v>
      </c>
      <c r="C18" s="26" t="s">
        <v>6132</v>
      </c>
      <c r="D18" s="26" t="s">
        <v>6130</v>
      </c>
      <c r="E18" s="26" t="s">
        <v>6252</v>
      </c>
      <c r="F18" s="26" t="n">
        <f aca="false">SUMIFS('Boletim_do_Veiculo_2026-09-08_2'!$BM:$BM,'Boletim_do_Veiculo_2026-09-08_2'!$B:$B,$A18)</f>
        <v>1171.38</v>
      </c>
      <c r="G18" s="26" t="n">
        <f aca="false">SUMIFS('Boletim_do_Veiculo_2026-09-08_2'!$BP:$BP,'Boletim_do_Veiculo_2026-09-08_2'!$B:$B,$A18)</f>
        <v>1030.81</v>
      </c>
      <c r="H18" s="26" t="n">
        <f aca="false">SUMIFS('Boletim_do_Veiculo_2026-09-08_2'!$BN:$BN,'Boletim_do_Veiculo_2026-09-08_2'!$B:$B,$A18)</f>
        <v>145.06</v>
      </c>
      <c r="I18" s="26" t="n">
        <f aca="false">COUNTIFS('Boletim_do_Veiculo_2026-09-08_2'!$B:$B,$A18,'Boletim_do_Veiculo_2026-09-08_2'!$R:$R,"&lt;&gt;-")</f>
        <v>6</v>
      </c>
      <c r="J18" s="26" t="n">
        <f aca="false">COUNTIFS('Boletim_do_Veiculo_2026-09-08_2'!$B:$B,$A18,'Boletim_do_Veiculo_2026-09-08_2'!$R:$R,"-")</f>
        <v>1</v>
      </c>
      <c r="K18" s="26" t="n">
        <f aca="false">IF(H18=0,"Sem dados",G18/H18)</f>
        <v>7.10609403005653</v>
      </c>
      <c r="L18" s="27" t="n">
        <f aca="false">IFERROR(INDEX(Metas!$F$10:$F$15,MATCH(1,INDEX((Metas!$B$10:$B$15=C18)*(Metas!$C$10:$C$15=D18),0),0)),"")</f>
        <v>4.61</v>
      </c>
      <c r="M18" s="28" t="n">
        <f aca="false">IF(OR(K18="Sem dados",L18="",L18=0),"",(K18-L18)/L18)</f>
        <v>0.541452067257381</v>
      </c>
      <c r="N18" s="26" t="str">
        <f aca="false">IF(K18="Sem dados","Sem dados suficientes",IF(M18="","Sem meta definida",IF(M18&gt;=0.02,"Acima da meta",IF(M18&lt;=-0.1,"Crítico: abaixo da meta",IF(M18&lt;0,"Abaixo da meta","Na meta")))))</f>
        <v>Acima da meta</v>
      </c>
      <c r="O18" s="29" t="n">
        <f aca="false">Metas!$D$4</f>
        <v>6</v>
      </c>
      <c r="P18" s="29" t="n">
        <f aca="false">IF(K18="Sem dados","",IFERROR(O18/K18,"Km=0 c/ consumo&gt;0 (ver nota)"))</f>
        <v>0.844345708714506</v>
      </c>
      <c r="Q18" s="29" t="n">
        <f aca="false">H18*O18</f>
        <v>870.36</v>
      </c>
      <c r="R18" s="30" t="n">
        <f aca="false">IF(OR(K18="Sem dados",L18="",L18=0,K18&gt;=L18),0,H18-(G18/L18))</f>
        <v>0</v>
      </c>
      <c r="S18" s="29" t="n">
        <f aca="false">R18*O18</f>
        <v>0</v>
      </c>
    </row>
    <row r="19" customFormat="false" ht="15" hidden="false" customHeight="false" outlineLevel="0" collapsed="false">
      <c r="A19" s="26" t="s">
        <v>4702</v>
      </c>
      <c r="B19" s="26" t="s">
        <v>4701</v>
      </c>
      <c r="C19" s="26" t="s">
        <v>6128</v>
      </c>
      <c r="D19" s="26" t="s">
        <v>6130</v>
      </c>
      <c r="E19" s="26" t="s">
        <v>6251</v>
      </c>
      <c r="F19" s="26" t="n">
        <f aca="false">SUMIFS('Boletim_do_Veiculo_2026-09-08_2'!$BM:$BM,'Boletim_do_Veiculo_2026-09-08_2'!$B:$B,$A19)</f>
        <v>3124.47</v>
      </c>
      <c r="G19" s="26" t="n">
        <f aca="false">SUMIFS('Boletim_do_Veiculo_2026-09-08_2'!$BP:$BP,'Boletim_do_Veiculo_2026-09-08_2'!$B:$B,$A19)</f>
        <v>3124.47</v>
      </c>
      <c r="H19" s="26" t="n">
        <f aca="false">SUMIFS('Boletim_do_Veiculo_2026-09-08_2'!$BN:$BN,'Boletim_do_Veiculo_2026-09-08_2'!$B:$B,$A19)</f>
        <v>49.76</v>
      </c>
      <c r="I19" s="26" t="n">
        <f aca="false">COUNTIFS('Boletim_do_Veiculo_2026-09-08_2'!$B:$B,$A19,'Boletim_do_Veiculo_2026-09-08_2'!$R:$R,"&lt;&gt;-")</f>
        <v>7</v>
      </c>
      <c r="J19" s="26" t="n">
        <f aca="false">COUNTIFS('Boletim_do_Veiculo_2026-09-08_2'!$B:$B,$A19,'Boletim_do_Veiculo_2026-09-08_2'!$R:$R,"-")</f>
        <v>0</v>
      </c>
      <c r="K19" s="26" t="n">
        <f aca="false">IF(H19=0,"Sem dados",G19/H19)</f>
        <v>62.7907958199357</v>
      </c>
      <c r="L19" s="27" t="n">
        <f aca="false">IFERROR(INDEX(Metas!$F$10:$F$15,MATCH(1,INDEX((Metas!$B$10:$B$15=C19)*(Metas!$C$10:$C$15=D19),0),0)),"")</f>
        <v>3.02</v>
      </c>
      <c r="M19" s="28" t="n">
        <f aca="false">IF(OR(K19="Sem dados",L19="",L19=0),"",(K19-L19)/L19)</f>
        <v>19.7916542450118</v>
      </c>
      <c r="N19" s="26" t="str">
        <f aca="false">IF(K19="Sem dados","Sem dados suficientes",IF(M19="","Sem meta definida",IF(M19&gt;=0.02,"Acima da meta",IF(M19&lt;=-0.1,"Crítico: abaixo da meta",IF(M19&lt;0,"Abaixo da meta","Na meta")))))</f>
        <v>Acima da meta</v>
      </c>
      <c r="O19" s="29" t="n">
        <f aca="false">Metas!$D$4</f>
        <v>6</v>
      </c>
      <c r="P19" s="29" t="n">
        <f aca="false">IF(K19="Sem dados","",IFERROR(O19/K19,"Km=0 c/ consumo&gt;0 (ver nota)"))</f>
        <v>0.095555406196891</v>
      </c>
      <c r="Q19" s="29" t="n">
        <f aca="false">H19*O19</f>
        <v>298.56</v>
      </c>
      <c r="R19" s="30" t="n">
        <f aca="false">IF(OR(K19="Sem dados",L19="",L19=0,K19&gt;=L19),0,H19-(G19/L19))</f>
        <v>0</v>
      </c>
      <c r="S19" s="29" t="n">
        <f aca="false">R19*O19</f>
        <v>0</v>
      </c>
    </row>
    <row r="20" customFormat="false" ht="15" hidden="false" customHeight="false" outlineLevel="0" collapsed="false">
      <c r="A20" s="26" t="s">
        <v>4112</v>
      </c>
      <c r="B20" s="26" t="s">
        <v>4111</v>
      </c>
      <c r="C20" s="26" t="s">
        <v>6128</v>
      </c>
      <c r="D20" s="26" t="s">
        <v>6130</v>
      </c>
      <c r="E20" s="26" t="s">
        <v>6253</v>
      </c>
      <c r="F20" s="26" t="n">
        <f aca="false">SUMIFS('Boletim_do_Veiculo_2026-09-08_2'!$BM:$BM,'Boletim_do_Veiculo_2026-09-08_2'!$B:$B,$A20)</f>
        <v>1046.84</v>
      </c>
      <c r="G20" s="26" t="n">
        <f aca="false">SUMIFS('Boletim_do_Veiculo_2026-09-08_2'!$BP:$BP,'Boletim_do_Veiculo_2026-09-08_2'!$B:$B,$A20)</f>
        <v>0</v>
      </c>
      <c r="H20" s="26" t="n">
        <f aca="false">SUMIFS('Boletim_do_Veiculo_2026-09-08_2'!$BN:$BN,'Boletim_do_Veiculo_2026-09-08_2'!$B:$B,$A20)</f>
        <v>0</v>
      </c>
      <c r="I20" s="26" t="n">
        <f aca="false">COUNTIFS('Boletim_do_Veiculo_2026-09-08_2'!$B:$B,$A20,'Boletim_do_Veiculo_2026-09-08_2'!$R:$R,"&lt;&gt;-")</f>
        <v>0</v>
      </c>
      <c r="J20" s="26" t="n">
        <f aca="false">COUNTIFS('Boletim_do_Veiculo_2026-09-08_2'!$B:$B,$A20,'Boletim_do_Veiculo_2026-09-08_2'!$R:$R,"-")</f>
        <v>5</v>
      </c>
      <c r="K20" s="26" t="str">
        <f aca="false">IF(H20=0,"Sem dados",G20/H20)</f>
        <v>Sem dados</v>
      </c>
      <c r="L20" s="27" t="n">
        <f aca="false">IFERROR(INDEX(Metas!$F$10:$F$15,MATCH(1,INDEX((Metas!$B$10:$B$15=C20)*(Metas!$C$10:$C$15=D20),0),0)),"")</f>
        <v>3.02</v>
      </c>
      <c r="M20" s="28" t="str">
        <f aca="false">IF(OR(K20="Sem dados",L20="",L20=0),"",(K20-L20)/L20)</f>
        <v/>
      </c>
      <c r="N20" s="26" t="str">
        <f aca="false">IF(K20="Sem dados","Sem dados suficientes",IF(M20="","Sem meta definida",IF(M20&gt;=0.02,"Acima da meta",IF(M20&lt;=-0.1,"Crítico: abaixo da meta",IF(M20&lt;0,"Abaixo da meta","Na meta")))))</f>
        <v>Sem dados suficientes</v>
      </c>
      <c r="O20" s="29" t="n">
        <f aca="false">Metas!$D$4</f>
        <v>6</v>
      </c>
      <c r="P20" s="29" t="str">
        <f aca="false">IF(K20="Sem dados","",IFERROR(O20/K20,"Km=0 c/ consumo&gt;0 (ver nota)"))</f>
        <v/>
      </c>
      <c r="Q20" s="29" t="n">
        <f aca="false">H20*O20</f>
        <v>0</v>
      </c>
      <c r="R20" s="30" t="n">
        <f aca="false">IF(OR(K20="Sem dados",L20="",L20=0,K20&gt;=L20),0,H20-(G20/L20))</f>
        <v>0</v>
      </c>
      <c r="S20" s="29" t="n">
        <f aca="false">R20*O20</f>
        <v>0</v>
      </c>
    </row>
    <row r="21" customFormat="false" ht="15" hidden="false" customHeight="false" outlineLevel="0" collapsed="false">
      <c r="A21" s="26" t="s">
        <v>240</v>
      </c>
      <c r="B21" s="26" t="s">
        <v>239</v>
      </c>
      <c r="C21" s="26" t="s">
        <v>6128</v>
      </c>
      <c r="D21" s="26" t="s">
        <v>6130</v>
      </c>
      <c r="E21" s="26" t="s">
        <v>6253</v>
      </c>
      <c r="F21" s="26" t="n">
        <f aca="false">SUMIFS('Boletim_do_Veiculo_2026-09-08_2'!$BM:$BM,'Boletim_do_Veiculo_2026-09-08_2'!$B:$B,$A21)</f>
        <v>355.11</v>
      </c>
      <c r="G21" s="26" t="n">
        <f aca="false">SUMIFS('Boletim_do_Veiculo_2026-09-08_2'!$BP:$BP,'Boletim_do_Veiculo_2026-09-08_2'!$B:$B,$A21)</f>
        <v>0</v>
      </c>
      <c r="H21" s="26" t="n">
        <f aca="false">SUMIFS('Boletim_do_Veiculo_2026-09-08_2'!$BN:$BN,'Boletim_do_Veiculo_2026-09-08_2'!$B:$B,$A21)</f>
        <v>0</v>
      </c>
      <c r="I21" s="26" t="n">
        <f aca="false">COUNTIFS('Boletim_do_Veiculo_2026-09-08_2'!$B:$B,$A21,'Boletim_do_Veiculo_2026-09-08_2'!$R:$R,"&lt;&gt;-")</f>
        <v>0</v>
      </c>
      <c r="J21" s="26" t="n">
        <f aca="false">COUNTIFS('Boletim_do_Veiculo_2026-09-08_2'!$B:$B,$A21,'Boletim_do_Veiculo_2026-09-08_2'!$R:$R,"-")</f>
        <v>6</v>
      </c>
      <c r="K21" s="26" t="str">
        <f aca="false">IF(H21=0,"Sem dados",G21/H21)</f>
        <v>Sem dados</v>
      </c>
      <c r="L21" s="27" t="n">
        <f aca="false">IFERROR(INDEX(Metas!$F$10:$F$15,MATCH(1,INDEX((Metas!$B$10:$B$15=C21)*(Metas!$C$10:$C$15=D21),0),0)),"")</f>
        <v>3.02</v>
      </c>
      <c r="M21" s="28" t="str">
        <f aca="false">IF(OR(K21="Sem dados",L21="",L21=0),"",(K21-L21)/L21)</f>
        <v/>
      </c>
      <c r="N21" s="26" t="str">
        <f aca="false">IF(K21="Sem dados","Sem dados suficientes",IF(M21="","Sem meta definida",IF(M21&gt;=0.02,"Acima da meta",IF(M21&lt;=-0.1,"Crítico: abaixo da meta",IF(M21&lt;0,"Abaixo da meta","Na meta")))))</f>
        <v>Sem dados suficientes</v>
      </c>
      <c r="O21" s="29" t="n">
        <f aca="false">Metas!$D$4</f>
        <v>6</v>
      </c>
      <c r="P21" s="29" t="str">
        <f aca="false">IF(K21="Sem dados","",IFERROR(O21/K21,"Km=0 c/ consumo&gt;0 (ver nota)"))</f>
        <v/>
      </c>
      <c r="Q21" s="29" t="n">
        <f aca="false">H21*O21</f>
        <v>0</v>
      </c>
      <c r="R21" s="30" t="n">
        <f aca="false">IF(OR(K21="Sem dados",L21="",L21=0,K21&gt;=L21),0,H21-(G21/L21))</f>
        <v>0</v>
      </c>
      <c r="S21" s="29" t="n">
        <f aca="false">R21*O21</f>
        <v>0</v>
      </c>
    </row>
    <row r="22" customFormat="false" ht="15" hidden="false" customHeight="false" outlineLevel="0" collapsed="false">
      <c r="A22" s="26" t="s">
        <v>3230</v>
      </c>
      <c r="B22" s="26" t="s">
        <v>3229</v>
      </c>
      <c r="C22" s="26" t="s">
        <v>6128</v>
      </c>
      <c r="D22" s="26" t="s">
        <v>6130</v>
      </c>
      <c r="E22" s="26" t="s">
        <v>6251</v>
      </c>
      <c r="F22" s="26" t="n">
        <f aca="false">SUMIFS('Boletim_do_Veiculo_2026-09-08_2'!$BM:$BM,'Boletim_do_Veiculo_2026-09-08_2'!$B:$B,$A22)</f>
        <v>377.56</v>
      </c>
      <c r="G22" s="26" t="n">
        <f aca="false">SUMIFS('Boletim_do_Veiculo_2026-09-08_2'!$BP:$BP,'Boletim_do_Veiculo_2026-09-08_2'!$B:$B,$A22)</f>
        <v>377.56</v>
      </c>
      <c r="H22" s="26" t="n">
        <f aca="false">SUMIFS('Boletim_do_Veiculo_2026-09-08_2'!$BN:$BN,'Boletim_do_Veiculo_2026-09-08_2'!$B:$B,$A22)</f>
        <v>125.08</v>
      </c>
      <c r="I22" s="26" t="n">
        <f aca="false">COUNTIFS('Boletim_do_Veiculo_2026-09-08_2'!$B:$B,$A22,'Boletim_do_Veiculo_2026-09-08_2'!$R:$R,"&lt;&gt;-")</f>
        <v>6</v>
      </c>
      <c r="J22" s="26" t="n">
        <f aca="false">COUNTIFS('Boletim_do_Veiculo_2026-09-08_2'!$B:$B,$A22,'Boletim_do_Veiculo_2026-09-08_2'!$R:$R,"-")</f>
        <v>0</v>
      </c>
      <c r="K22" s="26" t="n">
        <f aca="false">IF(H22=0,"Sem dados",G22/H22)</f>
        <v>3.01854812919731</v>
      </c>
      <c r="L22" s="27" t="n">
        <f aca="false">IFERROR(INDEX(Metas!$F$10:$F$15,MATCH(1,INDEX((Metas!$B$10:$B$15=C22)*(Metas!$C$10:$C$15=D22),0),0)),"")</f>
        <v>3.02</v>
      </c>
      <c r="M22" s="28" t="n">
        <f aca="false">IF(OR(K22="Sem dados",L22="",L22=0),"",(K22-L22)/L22)</f>
        <v>-0.000480751921419443</v>
      </c>
      <c r="N22" s="26" t="str">
        <f aca="false">IF(K22="Sem dados","Sem dados suficientes",IF(M22="","Sem meta definida",IF(M22&gt;=0.02,"Acima da meta",IF(M22&lt;=-0.1,"Crítico: abaixo da meta",IF(M22&lt;0,"Abaixo da meta","Na meta")))))</f>
        <v>Abaixo da meta</v>
      </c>
      <c r="O22" s="29" t="n">
        <f aca="false">Metas!$D$4</f>
        <v>6</v>
      </c>
      <c r="P22" s="29" t="n">
        <f aca="false">IF(K22="Sem dados","",IFERROR(O22/K22,"Km=0 c/ consumo&gt;0 (ver nota)"))</f>
        <v>1.98771056255959</v>
      </c>
      <c r="Q22" s="29" t="n">
        <f aca="false">H22*O22</f>
        <v>750.48</v>
      </c>
      <c r="R22" s="30" t="n">
        <f aca="false">IF(OR(K22="Sem dados",L22="",L22=0,K22&gt;=L22),0,H22-(G22/L22))</f>
        <v>0.0601324503311389</v>
      </c>
      <c r="S22" s="29" t="n">
        <f aca="false">R22*O22</f>
        <v>0.360794701986833</v>
      </c>
    </row>
    <row r="23" customFormat="false" ht="15" hidden="false" customHeight="false" outlineLevel="0" collapsed="false">
      <c r="A23" s="26" t="s">
        <v>562</v>
      </c>
      <c r="B23" s="26" t="s">
        <v>6157</v>
      </c>
      <c r="C23" s="26" t="s">
        <v>6128</v>
      </c>
      <c r="D23" s="26" t="s">
        <v>6140</v>
      </c>
      <c r="E23" s="26" t="s">
        <v>6251</v>
      </c>
      <c r="F23" s="26" t="n">
        <f aca="false">SUMIFS('Boletim_do_Veiculo_2026-09-08_2'!$BM:$BM,'Boletim_do_Veiculo_2026-09-08_2'!$B:$B,$A23)</f>
        <v>760.97</v>
      </c>
      <c r="G23" s="26" t="n">
        <f aca="false">SUMIFS('Boletim_do_Veiculo_2026-09-08_2'!$BP:$BP,'Boletim_do_Veiculo_2026-09-08_2'!$B:$B,$A23)</f>
        <v>760.97</v>
      </c>
      <c r="H23" s="26" t="n">
        <f aca="false">SUMIFS('Boletim_do_Veiculo_2026-09-08_2'!$BN:$BN,'Boletim_do_Veiculo_2026-09-08_2'!$B:$B,$A23)</f>
        <v>190.64</v>
      </c>
      <c r="I23" s="26" t="n">
        <f aca="false">COUNTIFS('Boletim_do_Veiculo_2026-09-08_2'!$B:$B,$A23,'Boletim_do_Veiculo_2026-09-08_2'!$R:$R,"&lt;&gt;-")</f>
        <v>7</v>
      </c>
      <c r="J23" s="26" t="n">
        <f aca="false">COUNTIFS('Boletim_do_Veiculo_2026-09-08_2'!$B:$B,$A23,'Boletim_do_Veiculo_2026-09-08_2'!$R:$R,"-")</f>
        <v>0</v>
      </c>
      <c r="K23" s="26" t="n">
        <f aca="false">IF(H23=0,"Sem dados",G23/H23)</f>
        <v>3.99165967268149</v>
      </c>
      <c r="L23" s="27" t="n">
        <f aca="false">IFERROR(INDEX(Metas!$F$10:$F$15,MATCH(1,INDEX((Metas!$B$10:$B$15=C23)*(Metas!$C$10:$C$15=D23),0),0)),"")</f>
        <v>2.84</v>
      </c>
      <c r="M23" s="28" t="n">
        <f aca="false">IF(OR(K23="Sem dados",L23="",L23=0),"",(K23-L23)/L23)</f>
        <v>0.405513969254047</v>
      </c>
      <c r="N23" s="26" t="str">
        <f aca="false">IF(K23="Sem dados","Sem dados suficientes",IF(M23="","Sem meta definida",IF(M23&gt;=0.02,"Acima da meta",IF(M23&lt;=-0.1,"Crítico: abaixo da meta",IF(M23&lt;0,"Abaixo da meta","Na meta")))))</f>
        <v>Acima da meta</v>
      </c>
      <c r="O23" s="29" t="n">
        <f aca="false">Metas!$D$4</f>
        <v>6</v>
      </c>
      <c r="P23" s="29" t="n">
        <f aca="false">IF(K23="Sem dados","",IFERROR(O23/K23,"Km=0 c/ consumo&gt;0 (ver nota)"))</f>
        <v>1.50313415771975</v>
      </c>
      <c r="Q23" s="29" t="n">
        <f aca="false">H23*O23</f>
        <v>1143.84</v>
      </c>
      <c r="R23" s="30" t="n">
        <f aca="false">IF(OR(K23="Sem dados",L23="",L23=0,K23&gt;=L23),0,H23-(G23/L23))</f>
        <v>0</v>
      </c>
      <c r="S23" s="29" t="n">
        <f aca="false">R23*O23</f>
        <v>0</v>
      </c>
    </row>
    <row r="24" customFormat="false" ht="15" hidden="false" customHeight="false" outlineLevel="0" collapsed="false">
      <c r="A24" s="26" t="s">
        <v>1758</v>
      </c>
      <c r="B24" s="26" t="s">
        <v>1757</v>
      </c>
      <c r="C24" s="26" t="s">
        <v>6128</v>
      </c>
      <c r="D24" s="26" t="s">
        <v>6130</v>
      </c>
      <c r="E24" s="26" t="s">
        <v>6253</v>
      </c>
      <c r="F24" s="26" t="n">
        <f aca="false">SUMIFS('Boletim_do_Veiculo_2026-09-08_2'!$BM:$BM,'Boletim_do_Veiculo_2026-09-08_2'!$B:$B,$A24)</f>
        <v>91.12</v>
      </c>
      <c r="G24" s="26" t="n">
        <f aca="false">SUMIFS('Boletim_do_Veiculo_2026-09-08_2'!$BP:$BP,'Boletim_do_Veiculo_2026-09-08_2'!$B:$B,$A24)</f>
        <v>0</v>
      </c>
      <c r="H24" s="26" t="n">
        <f aca="false">SUMIFS('Boletim_do_Veiculo_2026-09-08_2'!$BN:$BN,'Boletim_do_Veiculo_2026-09-08_2'!$B:$B,$A24)</f>
        <v>0</v>
      </c>
      <c r="I24" s="26" t="n">
        <f aca="false">COUNTIFS('Boletim_do_Veiculo_2026-09-08_2'!$B:$B,$A24,'Boletim_do_Veiculo_2026-09-08_2'!$R:$R,"&lt;&gt;-")</f>
        <v>0</v>
      </c>
      <c r="J24" s="26" t="n">
        <f aca="false">COUNTIFS('Boletim_do_Veiculo_2026-09-08_2'!$B:$B,$A24,'Boletim_do_Veiculo_2026-09-08_2'!$R:$R,"-")</f>
        <v>4</v>
      </c>
      <c r="K24" s="26" t="str">
        <f aca="false">IF(H24=0,"Sem dados",G24/H24)</f>
        <v>Sem dados</v>
      </c>
      <c r="L24" s="27" t="n">
        <f aca="false">IFERROR(INDEX(Metas!$F$10:$F$15,MATCH(1,INDEX((Metas!$B$10:$B$15=C24)*(Metas!$C$10:$C$15=D24),0),0)),"")</f>
        <v>3.02</v>
      </c>
      <c r="M24" s="28" t="str">
        <f aca="false">IF(OR(K24="Sem dados",L24="",L24=0),"",(K24-L24)/L24)</f>
        <v/>
      </c>
      <c r="N24" s="26" t="str">
        <f aca="false">IF(K24="Sem dados","Sem dados suficientes",IF(M24="","Sem meta definida",IF(M24&gt;=0.02,"Acima da meta",IF(M24&lt;=-0.1,"Crítico: abaixo da meta",IF(M24&lt;0,"Abaixo da meta","Na meta")))))</f>
        <v>Sem dados suficientes</v>
      </c>
      <c r="O24" s="29" t="n">
        <f aca="false">Metas!$D$4</f>
        <v>6</v>
      </c>
      <c r="P24" s="29" t="str">
        <f aca="false">IF(K24="Sem dados","",IFERROR(O24/K24,"Km=0 c/ consumo&gt;0 (ver nota)"))</f>
        <v/>
      </c>
      <c r="Q24" s="29" t="n">
        <f aca="false">H24*O24</f>
        <v>0</v>
      </c>
      <c r="R24" s="30" t="n">
        <f aca="false">IF(OR(K24="Sem dados",L24="",L24=0,K24&gt;=L24),0,H24-(G24/L24))</f>
        <v>0</v>
      </c>
      <c r="S24" s="29" t="n">
        <f aca="false">R24*O24</f>
        <v>0</v>
      </c>
    </row>
    <row r="25" customFormat="false" ht="15" hidden="false" customHeight="false" outlineLevel="0" collapsed="false">
      <c r="A25" s="26" t="s">
        <v>740</v>
      </c>
      <c r="B25" s="26" t="s">
        <v>724</v>
      </c>
      <c r="C25" s="26" t="s">
        <v>6128</v>
      </c>
      <c r="D25" s="26" t="s">
        <v>6130</v>
      </c>
      <c r="E25" s="26" t="s">
        <v>6252</v>
      </c>
      <c r="F25" s="26" t="n">
        <f aca="false">SUMIFS('Boletim_do_Veiculo_2026-09-08_2'!$BM:$BM,'Boletim_do_Veiculo_2026-09-08_2'!$B:$B,$A25)</f>
        <v>950.35</v>
      </c>
      <c r="G25" s="26" t="n">
        <f aca="false">SUMIFS('Boletim_do_Veiculo_2026-09-08_2'!$BP:$BP,'Boletim_do_Veiculo_2026-09-08_2'!$B:$B,$A25)</f>
        <v>950.35</v>
      </c>
      <c r="H25" s="26" t="n">
        <f aca="false">SUMIFS('Boletim_do_Veiculo_2026-09-08_2'!$BN:$BN,'Boletim_do_Veiculo_2026-09-08_2'!$B:$B,$A25)</f>
        <v>308.48</v>
      </c>
      <c r="I25" s="26" t="n">
        <f aca="false">COUNTIFS('Boletim_do_Veiculo_2026-09-08_2'!$B:$B,$A25,'Boletim_do_Veiculo_2026-09-08_2'!$R:$R,"&lt;&gt;-")</f>
        <v>4</v>
      </c>
      <c r="J25" s="26" t="n">
        <f aca="false">COUNTIFS('Boletim_do_Veiculo_2026-09-08_2'!$B:$B,$A25,'Boletim_do_Veiculo_2026-09-08_2'!$R:$R,"-")</f>
        <v>0</v>
      </c>
      <c r="K25" s="26" t="n">
        <f aca="false">IF(H25=0,"Sem dados",G25/H25)</f>
        <v>3.0807507780083</v>
      </c>
      <c r="L25" s="27" t="n">
        <f aca="false">IFERROR(INDEX(Metas!$F$10:$F$15,MATCH(1,INDEX((Metas!$B$10:$B$15=C25)*(Metas!$C$10:$C$15=D25),0),0)),"")</f>
        <v>3.02</v>
      </c>
      <c r="M25" s="28" t="n">
        <f aca="false">IF(OR(K25="Sem dados",L25="",L25=0),"",(K25-L25)/L25)</f>
        <v>0.0201161516583771</v>
      </c>
      <c r="N25" s="26" t="str">
        <f aca="false">IF(K25="Sem dados","Sem dados suficientes",IF(M25="","Sem meta definida",IF(M25&gt;=0.02,"Acima da meta",IF(M25&lt;=-0.1,"Crítico: abaixo da meta",IF(M25&lt;0,"Abaixo da meta","Na meta")))))</f>
        <v>Acima da meta</v>
      </c>
      <c r="O25" s="29" t="n">
        <f aca="false">Metas!$D$4</f>
        <v>6</v>
      </c>
      <c r="P25" s="29" t="n">
        <f aca="false">IF(K25="Sem dados","",IFERROR(O25/K25,"Km=0 c/ consumo&gt;0 (ver nota)"))</f>
        <v>1.94757720839691</v>
      </c>
      <c r="Q25" s="29" t="n">
        <f aca="false">H25*O25</f>
        <v>1850.88</v>
      </c>
      <c r="R25" s="30" t="n">
        <f aca="false">IF(OR(K25="Sem dados",L25="",L25=0,K25&gt;=L25),0,H25-(G25/L25))</f>
        <v>0</v>
      </c>
      <c r="S25" s="29" t="n">
        <f aca="false">R25*O25</f>
        <v>0</v>
      </c>
    </row>
    <row r="26" customFormat="false" ht="15" hidden="false" customHeight="false" outlineLevel="0" collapsed="false">
      <c r="A26" s="26" t="s">
        <v>848</v>
      </c>
      <c r="B26" s="26" t="s">
        <v>847</v>
      </c>
      <c r="C26" s="26" t="s">
        <v>6128</v>
      </c>
      <c r="D26" s="26" t="s">
        <v>6130</v>
      </c>
      <c r="E26" s="26" t="s">
        <v>6251</v>
      </c>
      <c r="F26" s="26" t="n">
        <f aca="false">SUMIFS('Boletim_do_Veiculo_2026-09-08_2'!$BM:$BM,'Boletim_do_Veiculo_2026-09-08_2'!$B:$B,$A26)</f>
        <v>2622.16</v>
      </c>
      <c r="G26" s="26" t="n">
        <f aca="false">SUMIFS('Boletim_do_Veiculo_2026-09-08_2'!$BP:$BP,'Boletim_do_Veiculo_2026-09-08_2'!$B:$B,$A26)</f>
        <v>2622.16</v>
      </c>
      <c r="H26" s="26" t="n">
        <f aca="false">SUMIFS('Boletim_do_Veiculo_2026-09-08_2'!$BN:$BN,'Boletim_do_Veiculo_2026-09-08_2'!$B:$B,$A26)</f>
        <v>863.2</v>
      </c>
      <c r="I26" s="26" t="n">
        <f aca="false">COUNTIFS('Boletim_do_Veiculo_2026-09-08_2'!$B:$B,$A26,'Boletim_do_Veiculo_2026-09-08_2'!$R:$R,"&lt;&gt;-")</f>
        <v>7</v>
      </c>
      <c r="J26" s="26" t="n">
        <f aca="false">COUNTIFS('Boletim_do_Veiculo_2026-09-08_2'!$B:$B,$A26,'Boletim_do_Veiculo_2026-09-08_2'!$R:$R,"-")</f>
        <v>0</v>
      </c>
      <c r="K26" s="26" t="n">
        <f aca="false">IF(H26=0,"Sem dados",G26/H26)</f>
        <v>3.03772011121409</v>
      </c>
      <c r="L26" s="27" t="n">
        <f aca="false">IFERROR(INDEX(Metas!$F$10:$F$15,MATCH(1,INDEX((Metas!$B$10:$B$15=C26)*(Metas!$C$10:$C$15=D26),0),0)),"")</f>
        <v>3.02</v>
      </c>
      <c r="M26" s="28" t="n">
        <f aca="false">IF(OR(K26="Sem dados",L26="",L26=0),"",(K26-L26)/L26)</f>
        <v>0.00586758649473065</v>
      </c>
      <c r="N26" s="26" t="str">
        <f aca="false">IF(K26="Sem dados","Sem dados suficientes",IF(M26="","Sem meta definida",IF(M26&gt;=0.02,"Acima da meta",IF(M26&lt;=-0.1,"Crítico: abaixo da meta",IF(M26&lt;0,"Abaixo da meta","Na meta")))))</f>
        <v>Na meta</v>
      </c>
      <c r="O26" s="29" t="n">
        <f aca="false">Metas!$D$4</f>
        <v>6</v>
      </c>
      <c r="P26" s="29" t="n">
        <f aca="false">IF(K26="Sem dados","",IFERROR(O26/K26,"Km=0 c/ consumo&gt;0 (ver nota)"))</f>
        <v>1.97516551240199</v>
      </c>
      <c r="Q26" s="29" t="n">
        <f aca="false">H26*O26</f>
        <v>5179.2</v>
      </c>
      <c r="R26" s="30" t="n">
        <f aca="false">IF(OR(K26="Sem dados",L26="",L26=0,K26&gt;=L26),0,H26-(G26/L26))</f>
        <v>0</v>
      </c>
      <c r="S26" s="29" t="n">
        <f aca="false">R26*O26</f>
        <v>0</v>
      </c>
    </row>
    <row r="27" customFormat="false" ht="15" hidden="false" customHeight="false" outlineLevel="0" collapsed="false">
      <c r="A27" s="26" t="s">
        <v>789</v>
      </c>
      <c r="B27" s="26" t="s">
        <v>788</v>
      </c>
      <c r="C27" s="26" t="s">
        <v>6128</v>
      </c>
      <c r="D27" s="26" t="s">
        <v>6130</v>
      </c>
      <c r="E27" s="26" t="s">
        <v>6253</v>
      </c>
      <c r="F27" s="26" t="n">
        <f aca="false">SUMIFS('Boletim_do_Veiculo_2026-09-08_2'!$BM:$BM,'Boletim_do_Veiculo_2026-09-08_2'!$B:$B,$A27)</f>
        <v>2397.48</v>
      </c>
      <c r="G27" s="26" t="n">
        <f aca="false">SUMIFS('Boletim_do_Veiculo_2026-09-08_2'!$BP:$BP,'Boletim_do_Veiculo_2026-09-08_2'!$B:$B,$A27)</f>
        <v>0</v>
      </c>
      <c r="H27" s="26" t="n">
        <f aca="false">SUMIFS('Boletim_do_Veiculo_2026-09-08_2'!$BN:$BN,'Boletim_do_Veiculo_2026-09-08_2'!$B:$B,$A27)</f>
        <v>0</v>
      </c>
      <c r="I27" s="26" t="n">
        <f aca="false">COUNTIFS('Boletim_do_Veiculo_2026-09-08_2'!$B:$B,$A27,'Boletim_do_Veiculo_2026-09-08_2'!$R:$R,"&lt;&gt;-")</f>
        <v>0</v>
      </c>
      <c r="J27" s="26" t="n">
        <f aca="false">COUNTIFS('Boletim_do_Veiculo_2026-09-08_2'!$B:$B,$A27,'Boletim_do_Veiculo_2026-09-08_2'!$R:$R,"-")</f>
        <v>7</v>
      </c>
      <c r="K27" s="26" t="str">
        <f aca="false">IF(H27=0,"Sem dados",G27/H27)</f>
        <v>Sem dados</v>
      </c>
      <c r="L27" s="27" t="n">
        <f aca="false">IFERROR(INDEX(Metas!$F$10:$F$15,MATCH(1,INDEX((Metas!$B$10:$B$15=C27)*(Metas!$C$10:$C$15=D27),0),0)),"")</f>
        <v>3.02</v>
      </c>
      <c r="M27" s="28" t="str">
        <f aca="false">IF(OR(K27="Sem dados",L27="",L27=0),"",(K27-L27)/L27)</f>
        <v/>
      </c>
      <c r="N27" s="26" t="str">
        <f aca="false">IF(K27="Sem dados","Sem dados suficientes",IF(M27="","Sem meta definida",IF(M27&gt;=0.02,"Acima da meta",IF(M27&lt;=-0.1,"Crítico: abaixo da meta",IF(M27&lt;0,"Abaixo da meta","Na meta")))))</f>
        <v>Sem dados suficientes</v>
      </c>
      <c r="O27" s="29" t="n">
        <f aca="false">Metas!$D$4</f>
        <v>6</v>
      </c>
      <c r="P27" s="29" t="str">
        <f aca="false">IF(K27="Sem dados","",IFERROR(O27/K27,"Km=0 c/ consumo&gt;0 (ver nota)"))</f>
        <v/>
      </c>
      <c r="Q27" s="29" t="n">
        <f aca="false">H27*O27</f>
        <v>0</v>
      </c>
      <c r="R27" s="30" t="n">
        <f aca="false">IF(OR(K27="Sem dados",L27="",L27=0,K27&gt;=L27),0,H27-(G27/L27))</f>
        <v>0</v>
      </c>
      <c r="S27" s="29" t="n">
        <f aca="false">R27*O27</f>
        <v>0</v>
      </c>
    </row>
    <row r="28" customFormat="false" ht="15" hidden="false" customHeight="false" outlineLevel="0" collapsed="false">
      <c r="A28" s="26" t="s">
        <v>1827</v>
      </c>
      <c r="B28" s="26" t="s">
        <v>1826</v>
      </c>
      <c r="C28" s="26" t="s">
        <v>6128</v>
      </c>
      <c r="D28" s="26" t="s">
        <v>6140</v>
      </c>
      <c r="E28" s="26" t="s">
        <v>6252</v>
      </c>
      <c r="F28" s="26" t="n">
        <f aca="false">SUMIFS('Boletim_do_Veiculo_2026-09-08_2'!$BM:$BM,'Boletim_do_Veiculo_2026-09-08_2'!$B:$B,$A28)</f>
        <v>736.69</v>
      </c>
      <c r="G28" s="26" t="n">
        <f aca="false">SUMIFS('Boletim_do_Veiculo_2026-09-08_2'!$BP:$BP,'Boletim_do_Veiculo_2026-09-08_2'!$B:$B,$A28)</f>
        <v>736.69</v>
      </c>
      <c r="H28" s="26" t="n">
        <f aca="false">SUMIFS('Boletim_do_Veiculo_2026-09-08_2'!$BN:$BN,'Boletim_do_Veiculo_2026-09-08_2'!$B:$B,$A28)</f>
        <v>120.85</v>
      </c>
      <c r="I28" s="26" t="n">
        <f aca="false">COUNTIFS('Boletim_do_Veiculo_2026-09-08_2'!$B:$B,$A28,'Boletim_do_Veiculo_2026-09-08_2'!$R:$R,"&lt;&gt;-")</f>
        <v>5</v>
      </c>
      <c r="J28" s="26" t="n">
        <f aca="false">COUNTIFS('Boletim_do_Veiculo_2026-09-08_2'!$B:$B,$A28,'Boletim_do_Veiculo_2026-09-08_2'!$R:$R,"-")</f>
        <v>1</v>
      </c>
      <c r="K28" s="26" t="n">
        <f aca="false">IF(H28=0,"Sem dados",G28/H28)</f>
        <v>6.09590401323955</v>
      </c>
      <c r="L28" s="27" t="n">
        <f aca="false">IFERROR(INDEX(Metas!$F$10:$F$15,MATCH(1,INDEX((Metas!$B$10:$B$15=C28)*(Metas!$C$10:$C$15=D28),0),0)),"")</f>
        <v>2.84</v>
      </c>
      <c r="M28" s="28" t="n">
        <f aca="false">IF(OR(K28="Sem dados",L28="",L28=0),"",(K28-L28)/L28)</f>
        <v>1.14644507508435</v>
      </c>
      <c r="N28" s="26" t="str">
        <f aca="false">IF(K28="Sem dados","Sem dados suficientes",IF(M28="","Sem meta definida",IF(M28&gt;=0.02,"Acima da meta",IF(M28&lt;=-0.1,"Crítico: abaixo da meta",IF(M28&lt;0,"Abaixo da meta","Na meta")))))</f>
        <v>Acima da meta</v>
      </c>
      <c r="O28" s="29" t="n">
        <f aca="false">Metas!$D$4</f>
        <v>6</v>
      </c>
      <c r="P28" s="29" t="n">
        <f aca="false">IF(K28="Sem dados","",IFERROR(O28/K28,"Km=0 c/ consumo&gt;0 (ver nota)"))</f>
        <v>0.984267466641328</v>
      </c>
      <c r="Q28" s="29" t="n">
        <f aca="false">H28*O28</f>
        <v>725.1</v>
      </c>
      <c r="R28" s="30" t="n">
        <f aca="false">IF(OR(K28="Sem dados",L28="",L28=0,K28&gt;=L28),0,H28-(G28/L28))</f>
        <v>0</v>
      </c>
      <c r="S28" s="29" t="n">
        <f aca="false">R28*O28</f>
        <v>0</v>
      </c>
    </row>
    <row r="29" customFormat="false" ht="15" hidden="false" customHeight="false" outlineLevel="0" collapsed="false">
      <c r="A29" s="26" t="s">
        <v>1852</v>
      </c>
      <c r="B29" s="26" t="s">
        <v>1851</v>
      </c>
      <c r="C29" s="26" t="s">
        <v>6128</v>
      </c>
      <c r="D29" s="26" t="s">
        <v>6140</v>
      </c>
      <c r="E29" s="26" t="s">
        <v>6252</v>
      </c>
      <c r="F29" s="26" t="n">
        <f aca="false">SUMIFS('Boletim_do_Veiculo_2026-09-08_2'!$BM:$BM,'Boletim_do_Veiculo_2026-09-08_2'!$B:$B,$A29)</f>
        <v>821.11</v>
      </c>
      <c r="G29" s="26" t="n">
        <f aca="false">SUMIFS('Boletim_do_Veiculo_2026-09-08_2'!$BP:$BP,'Boletim_do_Veiculo_2026-09-08_2'!$B:$B,$A29)</f>
        <v>821.11</v>
      </c>
      <c r="H29" s="26" t="n">
        <f aca="false">SUMIFS('Boletim_do_Veiculo_2026-09-08_2'!$BN:$BN,'Boletim_do_Veiculo_2026-09-08_2'!$B:$B,$A29)</f>
        <v>299.7</v>
      </c>
      <c r="I29" s="26" t="n">
        <f aca="false">COUNTIFS('Boletim_do_Veiculo_2026-09-08_2'!$B:$B,$A29,'Boletim_do_Veiculo_2026-09-08_2'!$R:$R,"&lt;&gt;-")</f>
        <v>6</v>
      </c>
      <c r="J29" s="26" t="n">
        <f aca="false">COUNTIFS('Boletim_do_Veiculo_2026-09-08_2'!$B:$B,$A29,'Boletim_do_Veiculo_2026-09-08_2'!$R:$R,"-")</f>
        <v>1</v>
      </c>
      <c r="K29" s="26" t="n">
        <f aca="false">IF(H29=0,"Sem dados",G29/H29)</f>
        <v>2.73977310643977</v>
      </c>
      <c r="L29" s="27" t="n">
        <f aca="false">IFERROR(INDEX(Metas!$F$10:$F$15,MATCH(1,INDEX((Metas!$B$10:$B$15=C29)*(Metas!$C$10:$C$15=D29),0),0)),"")</f>
        <v>2.84</v>
      </c>
      <c r="M29" s="28" t="n">
        <f aca="false">IF(OR(K29="Sem dados",L29="",L29=0),"",(K29-L29)/L29)</f>
        <v>-0.0352911597043051</v>
      </c>
      <c r="N29" s="26" t="str">
        <f aca="false">IF(K29="Sem dados","Sem dados suficientes",IF(M29="","Sem meta definida",IF(M29&gt;=0.02,"Acima da meta",IF(M29&lt;=-0.1,"Crítico: abaixo da meta",IF(M29&lt;0,"Abaixo da meta","Na meta")))))</f>
        <v>Abaixo da meta</v>
      </c>
      <c r="O29" s="29" t="n">
        <f aca="false">Metas!$D$4</f>
        <v>6</v>
      </c>
      <c r="P29" s="29" t="n">
        <f aca="false">IF(K29="Sem dados","",IFERROR(O29/K29,"Km=0 c/ consumo&gt;0 (ver nota)"))</f>
        <v>2.18996236801403</v>
      </c>
      <c r="Q29" s="29" t="n">
        <f aca="false">H29*O29</f>
        <v>1798.2</v>
      </c>
      <c r="R29" s="30" t="n">
        <f aca="false">IF(OR(K29="Sem dados",L29="",L29=0,K29&gt;=L29),0,H29-(G29/L29))</f>
        <v>10.5767605633803</v>
      </c>
      <c r="S29" s="29" t="n">
        <f aca="false">R29*O29</f>
        <v>63.4605633802817</v>
      </c>
    </row>
    <row r="30" customFormat="false" ht="15" hidden="false" customHeight="false" outlineLevel="0" collapsed="false">
      <c r="A30" s="26" t="s">
        <v>1877</v>
      </c>
      <c r="B30" s="26" t="s">
        <v>1876</v>
      </c>
      <c r="C30" s="26" t="s">
        <v>6128</v>
      </c>
      <c r="D30" s="26" t="s">
        <v>6140</v>
      </c>
      <c r="E30" s="26" t="s">
        <v>6252</v>
      </c>
      <c r="F30" s="26" t="n">
        <f aca="false">SUMIFS('Boletim_do_Veiculo_2026-09-08_2'!$BM:$BM,'Boletim_do_Veiculo_2026-09-08_2'!$B:$B,$A30)</f>
        <v>981.45</v>
      </c>
      <c r="G30" s="26" t="n">
        <f aca="false">SUMIFS('Boletim_do_Veiculo_2026-09-08_2'!$BP:$BP,'Boletim_do_Veiculo_2026-09-08_2'!$B:$B,$A30)</f>
        <v>981.45</v>
      </c>
      <c r="H30" s="26" t="n">
        <f aca="false">SUMIFS('Boletim_do_Veiculo_2026-09-08_2'!$BN:$BN,'Boletim_do_Veiculo_2026-09-08_2'!$B:$B,$A30)</f>
        <v>321.86</v>
      </c>
      <c r="I30" s="26" t="n">
        <f aca="false">COUNTIFS('Boletim_do_Veiculo_2026-09-08_2'!$B:$B,$A30,'Boletim_do_Veiculo_2026-09-08_2'!$R:$R,"&lt;&gt;-")</f>
        <v>6</v>
      </c>
      <c r="J30" s="26" t="n">
        <f aca="false">COUNTIFS('Boletim_do_Veiculo_2026-09-08_2'!$B:$B,$A30,'Boletim_do_Veiculo_2026-09-08_2'!$R:$R,"-")</f>
        <v>1</v>
      </c>
      <c r="K30" s="26" t="n">
        <f aca="false">IF(H30=0,"Sem dados",G30/H30)</f>
        <v>3.04930715217797</v>
      </c>
      <c r="L30" s="27" t="n">
        <f aca="false">IFERROR(INDEX(Metas!$F$10:$F$15,MATCH(1,INDEX((Metas!$B$10:$B$15=C30)*(Metas!$C$10:$C$15=D30),0),0)),"")</f>
        <v>2.84</v>
      </c>
      <c r="M30" s="28" t="n">
        <f aca="false">IF(OR(K30="Sem dados",L30="",L30=0),"",(K30-L30)/L30)</f>
        <v>0.0736997014711147</v>
      </c>
      <c r="N30" s="26" t="str">
        <f aca="false">IF(K30="Sem dados","Sem dados suficientes",IF(M30="","Sem meta definida",IF(M30&gt;=0.02,"Acima da meta",IF(M30&lt;=-0.1,"Crítico: abaixo da meta",IF(M30&lt;0,"Abaixo da meta","Na meta")))))</f>
        <v>Acima da meta</v>
      </c>
      <c r="O30" s="29" t="n">
        <f aca="false">Metas!$D$4</f>
        <v>6</v>
      </c>
      <c r="P30" s="29" t="n">
        <f aca="false">IF(K30="Sem dados","",IFERROR(O30/K30,"Km=0 c/ consumo&gt;0 (ver nota)"))</f>
        <v>1.96766009475776</v>
      </c>
      <c r="Q30" s="29" t="n">
        <f aca="false">H30*O30</f>
        <v>1931.16</v>
      </c>
      <c r="R30" s="30" t="n">
        <f aca="false">IF(OR(K30="Sem dados",L30="",L30=0,K30&gt;=L30),0,H30-(G30/L30))</f>
        <v>0</v>
      </c>
      <c r="S30" s="29" t="n">
        <f aca="false">R30*O30</f>
        <v>0</v>
      </c>
    </row>
    <row r="31" customFormat="false" ht="15" hidden="false" customHeight="false" outlineLevel="0" collapsed="false">
      <c r="A31" s="26" t="s">
        <v>1903</v>
      </c>
      <c r="B31" s="26" t="s">
        <v>1902</v>
      </c>
      <c r="C31" s="26" t="s">
        <v>6128</v>
      </c>
      <c r="D31" s="26" t="s">
        <v>6130</v>
      </c>
      <c r="E31" s="26" t="s">
        <v>6251</v>
      </c>
      <c r="F31" s="26" t="n">
        <f aca="false">SUMIFS('Boletim_do_Veiculo_2026-09-08_2'!$BM:$BM,'Boletim_do_Veiculo_2026-09-08_2'!$B:$B,$A31)</f>
        <v>1080.17</v>
      </c>
      <c r="G31" s="26" t="n">
        <f aca="false">SUMIFS('Boletim_do_Veiculo_2026-09-08_2'!$BP:$BP,'Boletim_do_Veiculo_2026-09-08_2'!$B:$B,$A31)</f>
        <v>1080.17</v>
      </c>
      <c r="H31" s="26" t="n">
        <f aca="false">SUMIFS('Boletim_do_Veiculo_2026-09-08_2'!$BN:$BN,'Boletim_do_Veiculo_2026-09-08_2'!$B:$B,$A31)</f>
        <v>397.46</v>
      </c>
      <c r="I31" s="26" t="n">
        <f aca="false">COUNTIFS('Boletim_do_Veiculo_2026-09-08_2'!$B:$B,$A31,'Boletim_do_Veiculo_2026-09-08_2'!$R:$R,"&lt;&gt;-")</f>
        <v>7</v>
      </c>
      <c r="J31" s="26" t="n">
        <f aca="false">COUNTIFS('Boletim_do_Veiculo_2026-09-08_2'!$B:$B,$A31,'Boletim_do_Veiculo_2026-09-08_2'!$R:$R,"-")</f>
        <v>0</v>
      </c>
      <c r="K31" s="26" t="n">
        <f aca="false">IF(H31=0,"Sem dados",G31/H31)</f>
        <v>2.71768228249384</v>
      </c>
      <c r="L31" s="27" t="n">
        <f aca="false">IFERROR(INDEX(Metas!$F$10:$F$15,MATCH(1,INDEX((Metas!$B$10:$B$15=C31)*(Metas!$C$10:$C$15=D31),0),0)),"")</f>
        <v>3.02</v>
      </c>
      <c r="M31" s="28" t="n">
        <f aca="false">IF(OR(K31="Sem dados",L31="",L31=0),"",(K31-L31)/L31)</f>
        <v>-0.10010520447224</v>
      </c>
      <c r="N31" s="26" t="str">
        <f aca="false">IF(K31="Sem dados","Sem dados suficientes",IF(M31="","Sem meta definida",IF(M31&gt;=0.02,"Acima da meta",IF(M31&lt;=-0.1,"Crítico: abaixo da meta",IF(M31&lt;0,"Abaixo da meta","Na meta")))))</f>
        <v>Crítico: abaixo da meta</v>
      </c>
      <c r="O31" s="29" t="n">
        <f aca="false">Metas!$D$4</f>
        <v>6</v>
      </c>
      <c r="P31" s="29" t="n">
        <f aca="false">IF(K31="Sem dados","",IFERROR(O31/K31,"Km=0 c/ consumo&gt;0 (ver nota)"))</f>
        <v>2.20776359276781</v>
      </c>
      <c r="Q31" s="29" t="n">
        <f aca="false">H31*O31</f>
        <v>2384.76</v>
      </c>
      <c r="R31" s="30" t="n">
        <f aca="false">IF(OR(K31="Sem dados",L31="",L31=0,K31&gt;=L31),0,H31-(G31/L31))</f>
        <v>39.7878145695365</v>
      </c>
      <c r="S31" s="29" t="n">
        <f aca="false">R31*O31</f>
        <v>238.726887417219</v>
      </c>
    </row>
    <row r="32" customFormat="false" ht="15" hidden="false" customHeight="false" outlineLevel="0" collapsed="false">
      <c r="A32" s="26" t="s">
        <v>1930</v>
      </c>
      <c r="B32" s="26" t="s">
        <v>1929</v>
      </c>
      <c r="C32" s="26" t="s">
        <v>6128</v>
      </c>
      <c r="D32" s="26" t="s">
        <v>6130</v>
      </c>
      <c r="E32" s="26" t="s">
        <v>6251</v>
      </c>
      <c r="F32" s="26" t="n">
        <f aca="false">SUMIFS('Boletim_do_Veiculo_2026-09-08_2'!$BM:$BM,'Boletim_do_Veiculo_2026-09-08_2'!$B:$B,$A32)</f>
        <v>1403.67</v>
      </c>
      <c r="G32" s="26" t="n">
        <f aca="false">SUMIFS('Boletim_do_Veiculo_2026-09-08_2'!$BP:$BP,'Boletim_do_Veiculo_2026-09-08_2'!$B:$B,$A32)</f>
        <v>1403.67</v>
      </c>
      <c r="H32" s="26" t="n">
        <f aca="false">SUMIFS('Boletim_do_Veiculo_2026-09-08_2'!$BN:$BN,'Boletim_do_Veiculo_2026-09-08_2'!$B:$B,$A32)</f>
        <v>512.78</v>
      </c>
      <c r="I32" s="26" t="n">
        <f aca="false">COUNTIFS('Boletim_do_Veiculo_2026-09-08_2'!$B:$B,$A32,'Boletim_do_Veiculo_2026-09-08_2'!$R:$R,"&lt;&gt;-")</f>
        <v>7</v>
      </c>
      <c r="J32" s="26" t="n">
        <f aca="false">COUNTIFS('Boletim_do_Veiculo_2026-09-08_2'!$B:$B,$A32,'Boletim_do_Veiculo_2026-09-08_2'!$R:$R,"-")</f>
        <v>0</v>
      </c>
      <c r="K32" s="26" t="n">
        <f aca="false">IF(H32=0,"Sem dados",G32/H32)</f>
        <v>2.73737275244744</v>
      </c>
      <c r="L32" s="27" t="n">
        <f aca="false">IFERROR(INDEX(Metas!$F$10:$F$15,MATCH(1,INDEX((Metas!$B$10:$B$15=C32)*(Metas!$C$10:$C$15=D32),0),0)),"")</f>
        <v>3.02</v>
      </c>
      <c r="M32" s="28" t="n">
        <f aca="false">IF(OR(K32="Sem dados",L32="",L32=0),"",(K32-L32)/L32)</f>
        <v>-0.0935851813087935</v>
      </c>
      <c r="N32" s="26" t="str">
        <f aca="false">IF(K32="Sem dados","Sem dados suficientes",IF(M32="","Sem meta definida",IF(M32&gt;=0.02,"Acima da meta",IF(M32&lt;=-0.1,"Crítico: abaixo da meta",IF(M32&lt;0,"Abaixo da meta","Na meta")))))</f>
        <v>Abaixo da meta</v>
      </c>
      <c r="O32" s="29" t="n">
        <f aca="false">Metas!$D$4</f>
        <v>6</v>
      </c>
      <c r="P32" s="29" t="n">
        <f aca="false">IF(K32="Sem dados","",IFERROR(O32/K32,"Km=0 c/ consumo&gt;0 (ver nota)"))</f>
        <v>2.19188270747398</v>
      </c>
      <c r="Q32" s="29" t="n">
        <f aca="false">H32*O32</f>
        <v>3076.68</v>
      </c>
      <c r="R32" s="30" t="n">
        <f aca="false">IF(OR(K32="Sem dados",L32="",L32=0,K32&gt;=L32),0,H32-(G32/L32))</f>
        <v>47.9886092715231</v>
      </c>
      <c r="S32" s="29" t="n">
        <f aca="false">R32*O32</f>
        <v>287.931655629139</v>
      </c>
    </row>
    <row r="33" customFormat="false" ht="15" hidden="false" customHeight="false" outlineLevel="0" collapsed="false">
      <c r="A33" s="26" t="s">
        <v>1353</v>
      </c>
      <c r="B33" s="26" t="s">
        <v>1352</v>
      </c>
      <c r="C33" s="26" t="s">
        <v>6128</v>
      </c>
      <c r="D33" s="26" t="s">
        <v>6140</v>
      </c>
      <c r="E33" s="26" t="s">
        <v>6251</v>
      </c>
      <c r="F33" s="26" t="n">
        <f aca="false">SUMIFS('Boletim_do_Veiculo_2026-09-08_2'!$BM:$BM,'Boletim_do_Veiculo_2026-09-08_2'!$B:$B,$A33)</f>
        <v>1555.25</v>
      </c>
      <c r="G33" s="26" t="n">
        <f aca="false">SUMIFS('Boletim_do_Veiculo_2026-09-08_2'!$BP:$BP,'Boletim_do_Veiculo_2026-09-08_2'!$B:$B,$A33)</f>
        <v>1555.25</v>
      </c>
      <c r="H33" s="26" t="n">
        <f aca="false">SUMIFS('Boletim_do_Veiculo_2026-09-08_2'!$BN:$BN,'Boletim_do_Veiculo_2026-09-08_2'!$B:$B,$A33)</f>
        <v>579.73</v>
      </c>
      <c r="I33" s="26" t="n">
        <f aca="false">COUNTIFS('Boletim_do_Veiculo_2026-09-08_2'!$B:$B,$A33,'Boletim_do_Veiculo_2026-09-08_2'!$R:$R,"&lt;&gt;-")</f>
        <v>7</v>
      </c>
      <c r="J33" s="26" t="n">
        <f aca="false">COUNTIFS('Boletim_do_Veiculo_2026-09-08_2'!$B:$B,$A33,'Boletim_do_Veiculo_2026-09-08_2'!$R:$R,"-")</f>
        <v>0</v>
      </c>
      <c r="K33" s="26" t="n">
        <f aca="false">IF(H33=0,"Sem dados",G33/H33)</f>
        <v>2.68271436703293</v>
      </c>
      <c r="L33" s="27" t="n">
        <f aca="false">IFERROR(INDEX(Metas!$F$10:$F$15,MATCH(1,INDEX((Metas!$B$10:$B$15=C33)*(Metas!$C$10:$C$15=D33),0),0)),"")</f>
        <v>2.84</v>
      </c>
      <c r="M33" s="28" t="n">
        <f aca="false">IF(OR(K33="Sem dados",L33="",L33=0),"",(K33-L33)/L33)</f>
        <v>-0.0553822651292502</v>
      </c>
      <c r="N33" s="26" t="str">
        <f aca="false">IF(K33="Sem dados","Sem dados suficientes",IF(M33="","Sem meta definida",IF(M33&gt;=0.02,"Acima da meta",IF(M33&lt;=-0.1,"Crítico: abaixo da meta",IF(M33&lt;0,"Abaixo da meta","Na meta")))))</f>
        <v>Abaixo da meta</v>
      </c>
      <c r="O33" s="29" t="n">
        <f aca="false">Metas!$D$4</f>
        <v>6</v>
      </c>
      <c r="P33" s="29" t="n">
        <f aca="false">IF(K33="Sem dados","",IFERROR(O33/K33,"Km=0 c/ consumo&gt;0 (ver nota)"))</f>
        <v>2.23654074907571</v>
      </c>
      <c r="Q33" s="29" t="n">
        <f aca="false">H33*O33</f>
        <v>3478.38</v>
      </c>
      <c r="R33" s="30" t="n">
        <f aca="false">IF(OR(K33="Sem dados",L33="",L33=0,K33&gt;=L33),0,H33-(G33/L33))</f>
        <v>32.1067605633803</v>
      </c>
      <c r="S33" s="29" t="n">
        <f aca="false">R33*O33</f>
        <v>192.640563380282</v>
      </c>
    </row>
    <row r="34" customFormat="false" ht="15" hidden="false" customHeight="false" outlineLevel="0" collapsed="false">
      <c r="A34" s="26" t="s">
        <v>1388</v>
      </c>
      <c r="B34" s="26" t="s">
        <v>1387</v>
      </c>
      <c r="C34" s="26" t="s">
        <v>6128</v>
      </c>
      <c r="D34" s="26" t="s">
        <v>6130</v>
      </c>
      <c r="E34" s="26" t="s">
        <v>6251</v>
      </c>
      <c r="F34" s="26" t="n">
        <f aca="false">SUMIFS('Boletim_do_Veiculo_2026-09-08_2'!$BM:$BM,'Boletim_do_Veiculo_2026-09-08_2'!$B:$B,$A34)</f>
        <v>1806.65</v>
      </c>
      <c r="G34" s="26" t="n">
        <f aca="false">SUMIFS('Boletim_do_Veiculo_2026-09-08_2'!$BP:$BP,'Boletim_do_Veiculo_2026-09-08_2'!$B:$B,$A34)</f>
        <v>1806.65</v>
      </c>
      <c r="H34" s="26" t="n">
        <f aca="false">SUMIFS('Boletim_do_Veiculo_2026-09-08_2'!$BN:$BN,'Boletim_do_Veiculo_2026-09-08_2'!$B:$B,$A34)</f>
        <v>538</v>
      </c>
      <c r="I34" s="26" t="n">
        <f aca="false">COUNTIFS('Boletim_do_Veiculo_2026-09-08_2'!$B:$B,$A34,'Boletim_do_Veiculo_2026-09-08_2'!$R:$R,"&lt;&gt;-")</f>
        <v>6</v>
      </c>
      <c r="J34" s="26" t="n">
        <f aca="false">COUNTIFS('Boletim_do_Veiculo_2026-09-08_2'!$B:$B,$A34,'Boletim_do_Veiculo_2026-09-08_2'!$R:$R,"-")</f>
        <v>0</v>
      </c>
      <c r="K34" s="26" t="n">
        <f aca="false">IF(H34=0,"Sem dados",G34/H34)</f>
        <v>3.35808550185874</v>
      </c>
      <c r="L34" s="27" t="n">
        <f aca="false">IFERROR(INDEX(Metas!$F$10:$F$15,MATCH(1,INDEX((Metas!$B$10:$B$15=C34)*(Metas!$C$10:$C$15=D34),0),0)),"")</f>
        <v>3.02</v>
      </c>
      <c r="M34" s="28" t="n">
        <f aca="false">IF(OR(K34="Sem dados",L34="",L34=0),"",(K34-L34)/L34)</f>
        <v>0.111948841675078</v>
      </c>
      <c r="N34" s="26" t="str">
        <f aca="false">IF(K34="Sem dados","Sem dados suficientes",IF(M34="","Sem meta definida",IF(M34&gt;=0.02,"Acima da meta",IF(M34&lt;=-0.1,"Crítico: abaixo da meta",IF(M34&lt;0,"Abaixo da meta","Na meta")))))</f>
        <v>Acima da meta</v>
      </c>
      <c r="O34" s="29" t="n">
        <f aca="false">Metas!$D$4</f>
        <v>6</v>
      </c>
      <c r="P34" s="29" t="n">
        <f aca="false">IF(K34="Sem dados","",IFERROR(O34/K34,"Km=0 c/ consumo&gt;0 (ver nota)"))</f>
        <v>1.78673234992943</v>
      </c>
      <c r="Q34" s="29" t="n">
        <f aca="false">H34*O34</f>
        <v>3228</v>
      </c>
      <c r="R34" s="30" t="n">
        <f aca="false">IF(OR(K34="Sem dados",L34="",L34=0,K34&gt;=L34),0,H34-(G34/L34))</f>
        <v>0</v>
      </c>
      <c r="S34" s="29" t="n">
        <f aca="false">R34*O34</f>
        <v>0</v>
      </c>
    </row>
    <row r="35" customFormat="false" ht="15" hidden="false" customHeight="false" outlineLevel="0" collapsed="false">
      <c r="A35" s="26" t="s">
        <v>1412</v>
      </c>
      <c r="B35" s="26" t="s">
        <v>1411</v>
      </c>
      <c r="C35" s="26" t="s">
        <v>6128</v>
      </c>
      <c r="D35" s="26" t="s">
        <v>6130</v>
      </c>
      <c r="E35" s="26" t="s">
        <v>6252</v>
      </c>
      <c r="F35" s="26" t="n">
        <f aca="false">SUMIFS('Boletim_do_Veiculo_2026-09-08_2'!$BM:$BM,'Boletim_do_Veiculo_2026-09-08_2'!$B:$B,$A35)</f>
        <v>1073.24</v>
      </c>
      <c r="G35" s="26" t="n">
        <f aca="false">SUMIFS('Boletim_do_Veiculo_2026-09-08_2'!$BP:$BP,'Boletim_do_Veiculo_2026-09-08_2'!$B:$B,$A35)</f>
        <v>1073.24</v>
      </c>
      <c r="H35" s="26" t="n">
        <f aca="false">SUMIFS('Boletim_do_Veiculo_2026-09-08_2'!$BN:$BN,'Boletim_do_Veiculo_2026-09-08_2'!$B:$B,$A35)</f>
        <v>389.16</v>
      </c>
      <c r="I35" s="26" t="n">
        <f aca="false">COUNTIFS('Boletim_do_Veiculo_2026-09-08_2'!$B:$B,$A35,'Boletim_do_Veiculo_2026-09-08_2'!$R:$R,"&lt;&gt;-")</f>
        <v>6</v>
      </c>
      <c r="J35" s="26" t="n">
        <f aca="false">COUNTIFS('Boletim_do_Veiculo_2026-09-08_2'!$B:$B,$A35,'Boletim_do_Veiculo_2026-09-08_2'!$R:$R,"-")</f>
        <v>1</v>
      </c>
      <c r="K35" s="26" t="n">
        <f aca="false">IF(H35=0,"Sem dados",G35/H35)</f>
        <v>2.75783739336006</v>
      </c>
      <c r="L35" s="27" t="n">
        <f aca="false">IFERROR(INDEX(Metas!$F$10:$F$15,MATCH(1,INDEX((Metas!$B$10:$B$15=C35)*(Metas!$C$10:$C$15=D35),0),0)),"")</f>
        <v>3.02</v>
      </c>
      <c r="M35" s="28" t="n">
        <f aca="false">IF(OR(K35="Sem dados",L35="",L35=0),"",(K35-L35)/L35)</f>
        <v>-0.0868088101456763</v>
      </c>
      <c r="N35" s="26" t="str">
        <f aca="false">IF(K35="Sem dados","Sem dados suficientes",IF(M35="","Sem meta definida",IF(M35&gt;=0.02,"Acima da meta",IF(M35&lt;=-0.1,"Crítico: abaixo da meta",IF(M35&lt;0,"Abaixo da meta","Na meta")))))</f>
        <v>Abaixo da meta</v>
      </c>
      <c r="O35" s="29" t="n">
        <f aca="false">Metas!$D$4</f>
        <v>6</v>
      </c>
      <c r="P35" s="29" t="n">
        <f aca="false">IF(K35="Sem dados","",IFERROR(O35/K35,"Km=0 c/ consumo&gt;0 (ver nota)"))</f>
        <v>2.17561775558123</v>
      </c>
      <c r="Q35" s="29" t="n">
        <f aca="false">H35*O35</f>
        <v>2334.96</v>
      </c>
      <c r="R35" s="30" t="n">
        <f aca="false">IF(OR(K35="Sem dados",L35="",L35=0,K35&gt;=L35),0,H35-(G35/L35))</f>
        <v>33.7825165562913</v>
      </c>
      <c r="S35" s="29" t="n">
        <f aca="false">R35*O35</f>
        <v>202.695099337748</v>
      </c>
    </row>
    <row r="36" customFormat="false" ht="15" hidden="false" customHeight="false" outlineLevel="0" collapsed="false">
      <c r="A36" s="26" t="s">
        <v>1437</v>
      </c>
      <c r="B36" s="26" t="s">
        <v>1436</v>
      </c>
      <c r="C36" s="26" t="s">
        <v>6128</v>
      </c>
      <c r="D36" s="26" t="s">
        <v>6133</v>
      </c>
      <c r="E36" s="26" t="s">
        <v>6251</v>
      </c>
      <c r="F36" s="26" t="n">
        <f aca="false">SUMIFS('Boletim_do_Veiculo_2026-09-08_2'!$BM:$BM,'Boletim_do_Veiculo_2026-09-08_2'!$B:$B,$A36)</f>
        <v>235.94</v>
      </c>
      <c r="G36" s="26" t="n">
        <f aca="false">SUMIFS('Boletim_do_Veiculo_2026-09-08_2'!$BP:$BP,'Boletim_do_Veiculo_2026-09-08_2'!$B:$B,$A36)</f>
        <v>235.94</v>
      </c>
      <c r="H36" s="26" t="n">
        <f aca="false">SUMIFS('Boletim_do_Veiculo_2026-09-08_2'!$BN:$BN,'Boletim_do_Veiculo_2026-09-08_2'!$B:$B,$A36)</f>
        <v>70.78</v>
      </c>
      <c r="I36" s="26" t="n">
        <f aca="false">COUNTIFS('Boletim_do_Veiculo_2026-09-08_2'!$B:$B,$A36,'Boletim_do_Veiculo_2026-09-08_2'!$R:$R,"&lt;&gt;-")</f>
        <v>5</v>
      </c>
      <c r="J36" s="26" t="n">
        <f aca="false">COUNTIFS('Boletim_do_Veiculo_2026-09-08_2'!$B:$B,$A36,'Boletim_do_Veiculo_2026-09-08_2'!$R:$R,"-")</f>
        <v>0</v>
      </c>
      <c r="K36" s="26" t="n">
        <f aca="false">IF(H36=0,"Sem dados",G36/H36)</f>
        <v>3.33342752189884</v>
      </c>
      <c r="L36" s="27" t="n">
        <f aca="false">IFERROR(INDEX(Metas!$F$10:$F$15,MATCH(1,INDEX((Metas!$B$10:$B$15=C36)*(Metas!$C$10:$C$15=D36),0),0)),"")</f>
        <v>3.24</v>
      </c>
      <c r="M36" s="28" t="n">
        <f aca="false">IF(OR(K36="Sem dados",L36="",L36=0),"",(K36-L36)/L36)</f>
        <v>0.0288356549070497</v>
      </c>
      <c r="N36" s="26" t="str">
        <f aca="false">IF(K36="Sem dados","Sem dados suficientes",IF(M36="","Sem meta definida",IF(M36&gt;=0.02,"Acima da meta",IF(M36&lt;=-0.1,"Crítico: abaixo da meta",IF(M36&lt;0,"Abaixo da meta","Na meta")))))</f>
        <v>Acima da meta</v>
      </c>
      <c r="O36" s="29" t="n">
        <f aca="false">Metas!$D$4</f>
        <v>6</v>
      </c>
      <c r="P36" s="29" t="n">
        <f aca="false">IF(K36="Sem dados","",IFERROR(O36/K36,"Km=0 c/ consumo&gt;0 (ver nota)"))</f>
        <v>1.79994913961177</v>
      </c>
      <c r="Q36" s="29" t="n">
        <f aca="false">H36*O36</f>
        <v>424.68</v>
      </c>
      <c r="R36" s="30" t="n">
        <f aca="false">IF(OR(K36="Sem dados",L36="",L36=0,K36&gt;=L36),0,H36-(G36/L36))</f>
        <v>0</v>
      </c>
      <c r="S36" s="29" t="n">
        <f aca="false">R36*O36</f>
        <v>0</v>
      </c>
    </row>
    <row r="37" customFormat="false" ht="15" hidden="false" customHeight="false" outlineLevel="0" collapsed="false">
      <c r="A37" s="26" t="s">
        <v>1460</v>
      </c>
      <c r="B37" s="26" t="s">
        <v>1459</v>
      </c>
      <c r="C37" s="26" t="s">
        <v>6128</v>
      </c>
      <c r="D37" s="26" t="s">
        <v>6133</v>
      </c>
      <c r="E37" s="26" t="s">
        <v>6253</v>
      </c>
      <c r="F37" s="26" t="n">
        <f aca="false">SUMIFS('Boletim_do_Veiculo_2026-09-08_2'!$BM:$BM,'Boletim_do_Veiculo_2026-09-08_2'!$B:$B,$A37)</f>
        <v>1677.94</v>
      </c>
      <c r="G37" s="26" t="n">
        <f aca="false">SUMIFS('Boletim_do_Veiculo_2026-09-08_2'!$BP:$BP,'Boletim_do_Veiculo_2026-09-08_2'!$B:$B,$A37)</f>
        <v>0</v>
      </c>
      <c r="H37" s="26" t="n">
        <f aca="false">SUMIFS('Boletim_do_Veiculo_2026-09-08_2'!$BN:$BN,'Boletim_do_Veiculo_2026-09-08_2'!$B:$B,$A37)</f>
        <v>0</v>
      </c>
      <c r="I37" s="26" t="n">
        <f aca="false">COUNTIFS('Boletim_do_Veiculo_2026-09-08_2'!$B:$B,$A37,'Boletim_do_Veiculo_2026-09-08_2'!$R:$R,"&lt;&gt;-")</f>
        <v>0</v>
      </c>
      <c r="J37" s="26" t="n">
        <f aca="false">COUNTIFS('Boletim_do_Veiculo_2026-09-08_2'!$B:$B,$A37,'Boletim_do_Veiculo_2026-09-08_2'!$R:$R,"-")</f>
        <v>6</v>
      </c>
      <c r="K37" s="26" t="str">
        <f aca="false">IF(H37=0,"Sem dados",G37/H37)</f>
        <v>Sem dados</v>
      </c>
      <c r="L37" s="27" t="n">
        <f aca="false">IFERROR(INDEX(Metas!$F$10:$F$15,MATCH(1,INDEX((Metas!$B$10:$B$15=C37)*(Metas!$C$10:$C$15=D37),0),0)),"")</f>
        <v>3.24</v>
      </c>
      <c r="M37" s="28" t="str">
        <f aca="false">IF(OR(K37="Sem dados",L37="",L37=0),"",(K37-L37)/L37)</f>
        <v/>
      </c>
      <c r="N37" s="26" t="str">
        <f aca="false">IF(K37="Sem dados","Sem dados suficientes",IF(M37="","Sem meta definida",IF(M37&gt;=0.02,"Acima da meta",IF(M37&lt;=-0.1,"Crítico: abaixo da meta",IF(M37&lt;0,"Abaixo da meta","Na meta")))))</f>
        <v>Sem dados suficientes</v>
      </c>
      <c r="O37" s="29" t="n">
        <f aca="false">Metas!$D$4</f>
        <v>6</v>
      </c>
      <c r="P37" s="29" t="str">
        <f aca="false">IF(K37="Sem dados","",IFERROR(O37/K37,"Km=0 c/ consumo&gt;0 (ver nota)"))</f>
        <v/>
      </c>
      <c r="Q37" s="29" t="n">
        <f aca="false">H37*O37</f>
        <v>0</v>
      </c>
      <c r="R37" s="30" t="n">
        <f aca="false">IF(OR(K37="Sem dados",L37="",L37=0,K37&gt;=L37),0,H37-(G37/L37))</f>
        <v>0</v>
      </c>
      <c r="S37" s="29" t="n">
        <f aca="false">R37*O37</f>
        <v>0</v>
      </c>
    </row>
    <row r="38" customFormat="false" ht="15" hidden="false" customHeight="false" outlineLevel="0" collapsed="false">
      <c r="A38" s="26" t="s">
        <v>1479</v>
      </c>
      <c r="B38" s="26" t="s">
        <v>1478</v>
      </c>
      <c r="C38" s="26" t="s">
        <v>6128</v>
      </c>
      <c r="D38" s="26" t="s">
        <v>6130</v>
      </c>
      <c r="E38" s="26" t="s">
        <v>6252</v>
      </c>
      <c r="F38" s="26" t="n">
        <f aca="false">SUMIFS('Boletim_do_Veiculo_2026-09-08_2'!$BM:$BM,'Boletim_do_Veiculo_2026-09-08_2'!$B:$B,$A38)</f>
        <v>1355.71</v>
      </c>
      <c r="G38" s="26" t="n">
        <f aca="false">SUMIFS('Boletim_do_Veiculo_2026-09-08_2'!$BP:$BP,'Boletim_do_Veiculo_2026-09-08_2'!$B:$B,$A38)</f>
        <v>1355.71</v>
      </c>
      <c r="H38" s="26" t="n">
        <f aca="false">SUMIFS('Boletim_do_Veiculo_2026-09-08_2'!$BN:$BN,'Boletim_do_Veiculo_2026-09-08_2'!$B:$B,$A38)</f>
        <v>424.28</v>
      </c>
      <c r="I38" s="26" t="n">
        <f aca="false">COUNTIFS('Boletim_do_Veiculo_2026-09-08_2'!$B:$B,$A38,'Boletim_do_Veiculo_2026-09-08_2'!$R:$R,"&lt;&gt;-")</f>
        <v>6</v>
      </c>
      <c r="J38" s="26" t="n">
        <f aca="false">COUNTIFS('Boletim_do_Veiculo_2026-09-08_2'!$B:$B,$A38,'Boletim_do_Veiculo_2026-09-08_2'!$R:$R,"-")</f>
        <v>1</v>
      </c>
      <c r="K38" s="26" t="n">
        <f aca="false">IF(H38=0,"Sem dados",G38/H38)</f>
        <v>3.19531912887716</v>
      </c>
      <c r="L38" s="27" t="n">
        <f aca="false">IFERROR(INDEX(Metas!$F$10:$F$15,MATCH(1,INDEX((Metas!$B$10:$B$15=C38)*(Metas!$C$10:$C$15=D38),0),0)),"")</f>
        <v>3.02</v>
      </c>
      <c r="M38" s="28" t="n">
        <f aca="false">IF(OR(K38="Sem dados",L38="",L38=0),"",(K38-L38)/L38)</f>
        <v>0.0580526916811777</v>
      </c>
      <c r="N38" s="26" t="str">
        <f aca="false">IF(K38="Sem dados","Sem dados suficientes",IF(M38="","Sem meta definida",IF(M38&gt;=0.02,"Acima da meta",IF(M38&lt;=-0.1,"Crítico: abaixo da meta",IF(M38&lt;0,"Abaixo da meta","Na meta")))))</f>
        <v>Acima da meta</v>
      </c>
      <c r="O38" s="29" t="n">
        <f aca="false">Metas!$D$4</f>
        <v>6</v>
      </c>
      <c r="P38" s="29" t="n">
        <f aca="false">IF(K38="Sem dados","",IFERROR(O38/K38,"Km=0 c/ consumo&gt;0 (ver nota)"))</f>
        <v>1.87774671574304</v>
      </c>
      <c r="Q38" s="29" t="n">
        <f aca="false">H38*O38</f>
        <v>2545.68</v>
      </c>
      <c r="R38" s="30" t="n">
        <f aca="false">IF(OR(K38="Sem dados",L38="",L38=0,K38&gt;=L38),0,H38-(G38/L38))</f>
        <v>0</v>
      </c>
      <c r="S38" s="29" t="n">
        <f aca="false">R38*O38</f>
        <v>0</v>
      </c>
    </row>
    <row r="39" customFormat="false" ht="15" hidden="false" customHeight="false" outlineLevel="0" collapsed="false">
      <c r="A39" s="26" t="s">
        <v>1507</v>
      </c>
      <c r="B39" s="26" t="s">
        <v>1506</v>
      </c>
      <c r="C39" s="26" t="s">
        <v>6128</v>
      </c>
      <c r="D39" s="26" t="s">
        <v>6130</v>
      </c>
      <c r="E39" s="26" t="s">
        <v>6252</v>
      </c>
      <c r="F39" s="26" t="n">
        <f aca="false">SUMIFS('Boletim_do_Veiculo_2026-09-08_2'!$BM:$BM,'Boletim_do_Veiculo_2026-09-08_2'!$B:$B,$A39)</f>
        <v>599.59</v>
      </c>
      <c r="G39" s="26" t="n">
        <f aca="false">SUMIFS('Boletim_do_Veiculo_2026-09-08_2'!$BP:$BP,'Boletim_do_Veiculo_2026-09-08_2'!$B:$B,$A39)</f>
        <v>599.55</v>
      </c>
      <c r="H39" s="26" t="n">
        <f aca="false">SUMIFS('Boletim_do_Veiculo_2026-09-08_2'!$BN:$BN,'Boletim_do_Veiculo_2026-09-08_2'!$B:$B,$A39)</f>
        <v>193.34</v>
      </c>
      <c r="I39" s="26" t="n">
        <f aca="false">COUNTIFS('Boletim_do_Veiculo_2026-09-08_2'!$B:$B,$A39,'Boletim_do_Veiculo_2026-09-08_2'!$R:$R,"&lt;&gt;-")</f>
        <v>5</v>
      </c>
      <c r="J39" s="26" t="n">
        <f aca="false">COUNTIFS('Boletim_do_Veiculo_2026-09-08_2'!$B:$B,$A39,'Boletim_do_Veiculo_2026-09-08_2'!$R:$R,"-")</f>
        <v>1</v>
      </c>
      <c r="K39" s="26" t="n">
        <f aca="false">IF(H39=0,"Sem dados",G39/H39)</f>
        <v>3.10101375814627</v>
      </c>
      <c r="L39" s="27" t="n">
        <f aca="false">IFERROR(INDEX(Metas!$F$10:$F$15,MATCH(1,INDEX((Metas!$B$10:$B$15=C39)*(Metas!$C$10:$C$15=D39),0),0)),"")</f>
        <v>3.02</v>
      </c>
      <c r="M39" s="28" t="n">
        <f aca="false">IF(OR(K39="Sem dados",L39="",L39=0),"",(K39-L39)/L39)</f>
        <v>0.0268257477305533</v>
      </c>
      <c r="N39" s="26" t="str">
        <f aca="false">IF(K39="Sem dados","Sem dados suficientes",IF(M39="","Sem meta definida",IF(M39&gt;=0.02,"Acima da meta",IF(M39&lt;=-0.1,"Crítico: abaixo da meta",IF(M39&lt;0,"Abaixo da meta","Na meta")))))</f>
        <v>Acima da meta</v>
      </c>
      <c r="O39" s="29" t="n">
        <f aca="false">Metas!$D$4</f>
        <v>6</v>
      </c>
      <c r="P39" s="29" t="n">
        <f aca="false">IF(K39="Sem dados","",IFERROR(O39/K39,"Km=0 c/ consumo&gt;0 (ver nota)"))</f>
        <v>1.93485113835377</v>
      </c>
      <c r="Q39" s="29" t="n">
        <f aca="false">H39*O39</f>
        <v>1160.04</v>
      </c>
      <c r="R39" s="30" t="n">
        <f aca="false">IF(OR(K39="Sem dados",L39="",L39=0,K39&gt;=L39),0,H39-(G39/L39))</f>
        <v>0</v>
      </c>
      <c r="S39" s="29" t="n">
        <f aca="false">R39*O39</f>
        <v>0</v>
      </c>
    </row>
    <row r="40" customFormat="false" ht="15" hidden="false" customHeight="false" outlineLevel="0" collapsed="false">
      <c r="A40" s="26" t="s">
        <v>1530</v>
      </c>
      <c r="B40" s="26" t="s">
        <v>1529</v>
      </c>
      <c r="C40" s="26" t="s">
        <v>6128</v>
      </c>
      <c r="D40" s="26" t="s">
        <v>6130</v>
      </c>
      <c r="E40" s="26" t="s">
        <v>6251</v>
      </c>
      <c r="F40" s="26" t="n">
        <f aca="false">SUMIFS('Boletim_do_Veiculo_2026-09-08_2'!$BM:$BM,'Boletim_do_Veiculo_2026-09-08_2'!$B:$B,$A40)</f>
        <v>0.81</v>
      </c>
      <c r="G40" s="26" t="n">
        <f aca="false">SUMIFS('Boletim_do_Veiculo_2026-09-08_2'!$BP:$BP,'Boletim_do_Veiculo_2026-09-08_2'!$B:$B,$A40)</f>
        <v>0.81</v>
      </c>
      <c r="H40" s="26" t="n">
        <f aca="false">SUMIFS('Boletim_do_Veiculo_2026-09-08_2'!$BN:$BN,'Boletim_do_Veiculo_2026-09-08_2'!$B:$B,$A40)</f>
        <v>0.2</v>
      </c>
      <c r="I40" s="26" t="n">
        <f aca="false">COUNTIFS('Boletim_do_Veiculo_2026-09-08_2'!$B:$B,$A40,'Boletim_do_Veiculo_2026-09-08_2'!$R:$R,"&lt;&gt;-")</f>
        <v>1</v>
      </c>
      <c r="J40" s="26" t="n">
        <f aca="false">COUNTIFS('Boletim_do_Veiculo_2026-09-08_2'!$B:$B,$A40,'Boletim_do_Veiculo_2026-09-08_2'!$R:$R,"-")</f>
        <v>0</v>
      </c>
      <c r="K40" s="26" t="n">
        <f aca="false">IF(H40=0,"Sem dados",G40/H40)</f>
        <v>4.05</v>
      </c>
      <c r="L40" s="27" t="n">
        <f aca="false">IFERROR(INDEX(Metas!$F$10:$F$15,MATCH(1,INDEX((Metas!$B$10:$B$15=C40)*(Metas!$C$10:$C$15=D40),0),0)),"")</f>
        <v>3.02</v>
      </c>
      <c r="M40" s="28" t="n">
        <f aca="false">IF(OR(K40="Sem dados",L40="",L40=0),"",(K40-L40)/L40)</f>
        <v>0.341059602649007</v>
      </c>
      <c r="N40" s="26" t="str">
        <f aca="false">IF(K40="Sem dados","Sem dados suficientes",IF(M40="","Sem meta definida",IF(M40&gt;=0.02,"Acima da meta",IF(M40&lt;=-0.1,"Crítico: abaixo da meta",IF(M40&lt;0,"Abaixo da meta","Na meta")))))</f>
        <v>Acima da meta</v>
      </c>
      <c r="O40" s="29" t="n">
        <f aca="false">Metas!$D$4</f>
        <v>6</v>
      </c>
      <c r="P40" s="29" t="n">
        <f aca="false">IF(K40="Sem dados","",IFERROR(O40/K40,"Km=0 c/ consumo&gt;0 (ver nota)"))</f>
        <v>1.48148148148148</v>
      </c>
      <c r="Q40" s="29" t="n">
        <f aca="false">H40*O40</f>
        <v>1.2</v>
      </c>
      <c r="R40" s="30" t="n">
        <f aca="false">IF(OR(K40="Sem dados",L40="",L40=0,K40&gt;=L40),0,H40-(G40/L40))</f>
        <v>0</v>
      </c>
      <c r="S40" s="29" t="n">
        <f aca="false">R40*O40</f>
        <v>0</v>
      </c>
    </row>
    <row r="41" customFormat="false" ht="15" hidden="false" customHeight="false" outlineLevel="0" collapsed="false">
      <c r="A41" s="26" t="s">
        <v>122</v>
      </c>
      <c r="B41" s="26" t="s">
        <v>121</v>
      </c>
      <c r="C41" s="26" t="s">
        <v>6128</v>
      </c>
      <c r="D41" s="26" t="s">
        <v>6140</v>
      </c>
      <c r="E41" s="26" t="s">
        <v>6252</v>
      </c>
      <c r="F41" s="26" t="n">
        <f aca="false">SUMIFS('Boletim_do_Veiculo_2026-09-08_2'!$BM:$BM,'Boletim_do_Veiculo_2026-09-08_2'!$B:$B,$A41)</f>
        <v>508.44</v>
      </c>
      <c r="G41" s="26" t="n">
        <f aca="false">SUMIFS('Boletim_do_Veiculo_2026-09-08_2'!$BP:$BP,'Boletim_do_Veiculo_2026-09-08_2'!$B:$B,$A41)</f>
        <v>508.44</v>
      </c>
      <c r="H41" s="26" t="n">
        <f aca="false">SUMIFS('Boletim_do_Veiculo_2026-09-08_2'!$BN:$BN,'Boletim_do_Veiculo_2026-09-08_2'!$B:$B,$A41)</f>
        <v>85.92</v>
      </c>
      <c r="I41" s="26" t="n">
        <f aca="false">COUNTIFS('Boletim_do_Veiculo_2026-09-08_2'!$B:$B,$A41,'Boletim_do_Veiculo_2026-09-08_2'!$R:$R,"&lt;&gt;-")</f>
        <v>5</v>
      </c>
      <c r="J41" s="26" t="n">
        <f aca="false">COUNTIFS('Boletim_do_Veiculo_2026-09-08_2'!$B:$B,$A41,'Boletim_do_Veiculo_2026-09-08_2'!$R:$R,"-")</f>
        <v>1</v>
      </c>
      <c r="K41" s="26" t="n">
        <f aca="false">IF(H41=0,"Sem dados",G41/H41)</f>
        <v>5.91759776536313</v>
      </c>
      <c r="L41" s="27" t="n">
        <f aca="false">IFERROR(INDEX(Metas!$F$10:$F$15,MATCH(1,INDEX((Metas!$B$10:$B$15=C41)*(Metas!$C$10:$C$15=D41),0),0)),"")</f>
        <v>2.84</v>
      </c>
      <c r="M41" s="28" t="n">
        <f aca="false">IF(OR(K41="Sem dados",L41="",L41=0),"",(K41-L41)/L41)</f>
        <v>1.08366118498702</v>
      </c>
      <c r="N41" s="26" t="str">
        <f aca="false">IF(K41="Sem dados","Sem dados suficientes",IF(M41="","Sem meta definida",IF(M41&gt;=0.02,"Acima da meta",IF(M41&lt;=-0.1,"Crítico: abaixo da meta",IF(M41&lt;0,"Abaixo da meta","Na meta")))))</f>
        <v>Acima da meta</v>
      </c>
      <c r="O41" s="29" t="n">
        <f aca="false">Metas!$D$4</f>
        <v>6</v>
      </c>
      <c r="P41" s="29" t="n">
        <f aca="false">IF(K41="Sem dados","",IFERROR(O41/K41,"Km=0 c/ consumo&gt;0 (ver nota)"))</f>
        <v>1.01392494689639</v>
      </c>
      <c r="Q41" s="29" t="n">
        <f aca="false">H41*O41</f>
        <v>515.52</v>
      </c>
      <c r="R41" s="30" t="n">
        <f aca="false">IF(OR(K41="Sem dados",L41="",L41=0,K41&gt;=L41),0,H41-(G41/L41))</f>
        <v>0</v>
      </c>
      <c r="S41" s="29" t="n">
        <f aca="false">R41*O41</f>
        <v>0</v>
      </c>
    </row>
    <row r="42" customFormat="false" ht="15" hidden="false" customHeight="false" outlineLevel="0" collapsed="false">
      <c r="A42" s="26" t="s">
        <v>147</v>
      </c>
      <c r="B42" s="26" t="s">
        <v>146</v>
      </c>
      <c r="C42" s="26" t="s">
        <v>6128</v>
      </c>
      <c r="D42" s="26" t="s">
        <v>6130</v>
      </c>
      <c r="E42" s="26" t="s">
        <v>6251</v>
      </c>
      <c r="F42" s="26" t="n">
        <f aca="false">SUMIFS('Boletim_do_Veiculo_2026-09-08_2'!$BM:$BM,'Boletim_do_Veiculo_2026-09-08_2'!$B:$B,$A42)</f>
        <v>650.76</v>
      </c>
      <c r="G42" s="26" t="n">
        <f aca="false">SUMIFS('Boletim_do_Veiculo_2026-09-08_2'!$BP:$BP,'Boletim_do_Veiculo_2026-09-08_2'!$B:$B,$A42)</f>
        <v>650.76</v>
      </c>
      <c r="H42" s="26" t="n">
        <f aca="false">SUMIFS('Boletim_do_Veiculo_2026-09-08_2'!$BN:$BN,'Boletim_do_Veiculo_2026-09-08_2'!$B:$B,$A42)</f>
        <v>124.73</v>
      </c>
      <c r="I42" s="26" t="n">
        <f aca="false">COUNTIFS('Boletim_do_Veiculo_2026-09-08_2'!$B:$B,$A42,'Boletim_do_Veiculo_2026-09-08_2'!$R:$R,"&lt;&gt;-")</f>
        <v>6</v>
      </c>
      <c r="J42" s="26" t="n">
        <f aca="false">COUNTIFS('Boletim_do_Veiculo_2026-09-08_2'!$B:$B,$A42,'Boletim_do_Veiculo_2026-09-08_2'!$R:$R,"-")</f>
        <v>0</v>
      </c>
      <c r="K42" s="26" t="n">
        <f aca="false">IF(H42=0,"Sem dados",G42/H42)</f>
        <v>5.21734947486571</v>
      </c>
      <c r="L42" s="27" t="n">
        <f aca="false">IFERROR(INDEX(Metas!$F$10:$F$15,MATCH(1,INDEX((Metas!$B$10:$B$15=C42)*(Metas!$C$10:$C$15=D42),0),0)),"")</f>
        <v>3.02</v>
      </c>
      <c r="M42" s="28" t="n">
        <f aca="false">IF(OR(K42="Sem dados",L42="",L42=0),"",(K42-L42)/L42)</f>
        <v>0.727599163862818</v>
      </c>
      <c r="N42" s="26" t="str">
        <f aca="false">IF(K42="Sem dados","Sem dados suficientes",IF(M42="","Sem meta definida",IF(M42&gt;=0.02,"Acima da meta",IF(M42&lt;=-0.1,"Crítico: abaixo da meta",IF(M42&lt;0,"Abaixo da meta","Na meta")))))</f>
        <v>Acima da meta</v>
      </c>
      <c r="O42" s="29" t="n">
        <f aca="false">Metas!$D$4</f>
        <v>6</v>
      </c>
      <c r="P42" s="29" t="n">
        <f aca="false">IF(K42="Sem dados","",IFERROR(O42/K42,"Km=0 c/ consumo&gt;0 (ver nota)"))</f>
        <v>1.15000921998894</v>
      </c>
      <c r="Q42" s="29" t="n">
        <f aca="false">H42*O42</f>
        <v>748.38</v>
      </c>
      <c r="R42" s="30" t="n">
        <f aca="false">IF(OR(K42="Sem dados",L42="",L42=0,K42&gt;=L42),0,H42-(G42/L42))</f>
        <v>0</v>
      </c>
      <c r="S42" s="29" t="n">
        <f aca="false">R42*O42</f>
        <v>0</v>
      </c>
    </row>
    <row r="43" customFormat="false" ht="15" hidden="false" customHeight="false" outlineLevel="0" collapsed="false">
      <c r="A43" s="26" t="s">
        <v>204</v>
      </c>
      <c r="B43" s="26" t="s">
        <v>203</v>
      </c>
      <c r="C43" s="26" t="s">
        <v>6128</v>
      </c>
      <c r="D43" s="26" t="s">
        <v>6130</v>
      </c>
      <c r="E43" s="26" t="s">
        <v>6251</v>
      </c>
      <c r="F43" s="26" t="n">
        <f aca="false">SUMIFS('Boletim_do_Veiculo_2026-09-08_2'!$BM:$BM,'Boletim_do_Veiculo_2026-09-08_2'!$B:$B,$A43)</f>
        <v>6.76</v>
      </c>
      <c r="G43" s="26" t="n">
        <f aca="false">SUMIFS('Boletim_do_Veiculo_2026-09-08_2'!$BP:$BP,'Boletim_do_Veiculo_2026-09-08_2'!$B:$B,$A43)</f>
        <v>6.76</v>
      </c>
      <c r="H43" s="26" t="n">
        <f aca="false">SUMIFS('Boletim_do_Veiculo_2026-09-08_2'!$BN:$BN,'Boletim_do_Veiculo_2026-09-08_2'!$B:$B,$A43)</f>
        <v>1.94</v>
      </c>
      <c r="I43" s="26" t="n">
        <f aca="false">COUNTIFS('Boletim_do_Veiculo_2026-09-08_2'!$B:$B,$A43,'Boletim_do_Veiculo_2026-09-08_2'!$R:$R,"&lt;&gt;-")</f>
        <v>3</v>
      </c>
      <c r="J43" s="26" t="n">
        <f aca="false">COUNTIFS('Boletim_do_Veiculo_2026-09-08_2'!$B:$B,$A43,'Boletim_do_Veiculo_2026-09-08_2'!$R:$R,"-")</f>
        <v>0</v>
      </c>
      <c r="K43" s="26" t="n">
        <f aca="false">IF(H43=0,"Sem dados",G43/H43)</f>
        <v>3.48453608247423</v>
      </c>
      <c r="L43" s="27" t="n">
        <f aca="false">IFERROR(INDEX(Metas!$F$10:$F$15,MATCH(1,INDEX((Metas!$B$10:$B$15=C43)*(Metas!$C$10:$C$15=D43),0),0)),"")</f>
        <v>3.02</v>
      </c>
      <c r="M43" s="28" t="n">
        <f aca="false">IF(OR(K43="Sem dados",L43="",L43=0),"",(K43-L43)/L43)</f>
        <v>0.153819894859015</v>
      </c>
      <c r="N43" s="26" t="str">
        <f aca="false">IF(K43="Sem dados","Sem dados suficientes",IF(M43="","Sem meta definida",IF(M43&gt;=0.02,"Acima da meta",IF(M43&lt;=-0.1,"Crítico: abaixo da meta",IF(M43&lt;0,"Abaixo da meta","Na meta")))))</f>
        <v>Acima da meta</v>
      </c>
      <c r="O43" s="29" t="n">
        <f aca="false">Metas!$D$4</f>
        <v>6</v>
      </c>
      <c r="P43" s="29" t="n">
        <f aca="false">IF(K43="Sem dados","",IFERROR(O43/K43,"Km=0 c/ consumo&gt;0 (ver nota)"))</f>
        <v>1.72189349112426</v>
      </c>
      <c r="Q43" s="29" t="n">
        <f aca="false">H43*O43</f>
        <v>11.64</v>
      </c>
      <c r="R43" s="30" t="n">
        <f aca="false">IF(OR(K43="Sem dados",L43="",L43=0,K43&gt;=L43),0,H43-(G43/L43))</f>
        <v>0</v>
      </c>
      <c r="S43" s="29" t="n">
        <f aca="false">R43*O43</f>
        <v>0</v>
      </c>
    </row>
    <row r="44" customFormat="false" ht="15" hidden="false" customHeight="false" outlineLevel="0" collapsed="false">
      <c r="A44" s="26" t="s">
        <v>890</v>
      </c>
      <c r="B44" s="26" t="s">
        <v>889</v>
      </c>
      <c r="C44" s="26" t="s">
        <v>6128</v>
      </c>
      <c r="D44" s="26" t="s">
        <v>6133</v>
      </c>
      <c r="E44" s="26" t="s">
        <v>6251</v>
      </c>
      <c r="F44" s="26" t="n">
        <f aca="false">SUMIFS('Boletim_do_Veiculo_2026-09-08_2'!$BM:$BM,'Boletim_do_Veiculo_2026-09-08_2'!$B:$B,$A44)</f>
        <v>0</v>
      </c>
      <c r="G44" s="26" t="n">
        <f aca="false">SUMIFS('Boletim_do_Veiculo_2026-09-08_2'!$BP:$BP,'Boletim_do_Veiculo_2026-09-08_2'!$B:$B,$A44)</f>
        <v>0</v>
      </c>
      <c r="H44" s="26" t="n">
        <f aca="false">SUMIFS('Boletim_do_Veiculo_2026-09-08_2'!$BN:$BN,'Boletim_do_Veiculo_2026-09-08_2'!$B:$B,$A44)</f>
        <v>856.5</v>
      </c>
      <c r="I44" s="26" t="n">
        <f aca="false">COUNTIFS('Boletim_do_Veiculo_2026-09-08_2'!$B:$B,$A44,'Boletim_do_Veiculo_2026-09-08_2'!$R:$R,"&lt;&gt;-")</f>
        <v>7</v>
      </c>
      <c r="J44" s="26" t="n">
        <f aca="false">COUNTIFS('Boletim_do_Veiculo_2026-09-08_2'!$B:$B,$A44,'Boletim_do_Veiculo_2026-09-08_2'!$R:$R,"-")</f>
        <v>0</v>
      </c>
      <c r="K44" s="26" t="n">
        <f aca="false">IF(H44=0,"Sem dados",G44/H44)</f>
        <v>0</v>
      </c>
      <c r="L44" s="27" t="n">
        <f aca="false">IFERROR(INDEX(Metas!$F$10:$F$15,MATCH(1,INDEX((Metas!$B$10:$B$15=C44)*(Metas!$C$10:$C$15=D44),0),0)),"")</f>
        <v>3.24</v>
      </c>
      <c r="M44" s="28" t="n">
        <f aca="false">IF(OR(K44="Sem dados",L44="",L44=0),"",(K44-L44)/L44)</f>
        <v>-1</v>
      </c>
      <c r="N44" s="26" t="str">
        <f aca="false">IF(K44="Sem dados","Sem dados suficientes",IF(M44="","Sem meta definida",IF(M44&gt;=0.02,"Acima da meta",IF(M44&lt;=-0.1,"Crítico: abaixo da meta",IF(M44&lt;0,"Abaixo da meta","Na meta")))))</f>
        <v>Crítico: abaixo da meta</v>
      </c>
      <c r="O44" s="29" t="n">
        <f aca="false">Metas!$D$4</f>
        <v>6</v>
      </c>
      <c r="P44" s="29" t="str">
        <f aca="false">IF(K44="Sem dados","",IFERROR(O44/K44,"Km=0 c/ consumo&gt;0 (ver nota)"))</f>
        <v>Km=0 c/ consumo&gt;0 (ver nota)</v>
      </c>
      <c r="Q44" s="29" t="n">
        <f aca="false">H44*O44</f>
        <v>5139</v>
      </c>
      <c r="R44" s="30" t="n">
        <f aca="false">IF(OR(K44="Sem dados",L44="",L44=0,K44&gt;=L44),0,H44-(G44/L44))</f>
        <v>856.5</v>
      </c>
      <c r="S44" s="29" t="n">
        <f aca="false">R44*O44</f>
        <v>5139</v>
      </c>
    </row>
    <row r="45" customFormat="false" ht="15" hidden="false" customHeight="false" outlineLevel="0" collapsed="false">
      <c r="A45" s="26" t="s">
        <v>499</v>
      </c>
      <c r="B45" s="26" t="s">
        <v>6254</v>
      </c>
      <c r="C45" s="26" t="s">
        <v>6128</v>
      </c>
      <c r="D45" s="26" t="s">
        <v>6130</v>
      </c>
      <c r="E45" s="26" t="s">
        <v>6251</v>
      </c>
      <c r="F45" s="26" t="n">
        <f aca="false">SUMIFS('Boletim_do_Veiculo_2026-09-08_2'!$BM:$BM,'Boletim_do_Veiculo_2026-09-08_2'!$B:$B,$A45)</f>
        <v>2321.75</v>
      </c>
      <c r="G45" s="26" t="n">
        <f aca="false">SUMIFS('Boletim_do_Veiculo_2026-09-08_2'!$BP:$BP,'Boletim_do_Veiculo_2026-09-08_2'!$B:$B,$A45)</f>
        <v>2321.75</v>
      </c>
      <c r="H45" s="26" t="n">
        <f aca="false">SUMIFS('Boletim_do_Veiculo_2026-09-08_2'!$BN:$BN,'Boletim_do_Veiculo_2026-09-08_2'!$B:$B,$A45)</f>
        <v>840.44</v>
      </c>
      <c r="I45" s="26" t="n">
        <f aca="false">COUNTIFS('Boletim_do_Veiculo_2026-09-08_2'!$B:$B,$A45,'Boletim_do_Veiculo_2026-09-08_2'!$R:$R,"&lt;&gt;-")</f>
        <v>7</v>
      </c>
      <c r="J45" s="26" t="n">
        <f aca="false">COUNTIFS('Boletim_do_Veiculo_2026-09-08_2'!$B:$B,$A45,'Boletim_do_Veiculo_2026-09-08_2'!$R:$R,"-")</f>
        <v>0</v>
      </c>
      <c r="K45" s="26" t="n">
        <f aca="false">IF(H45=0,"Sem dados",G45/H45)</f>
        <v>2.76254104992623</v>
      </c>
      <c r="L45" s="27" t="n">
        <f aca="false">IFERROR(INDEX(Metas!$F$10:$F$15,MATCH(1,INDEX((Metas!$B$10:$B$15=C45)*(Metas!$C$10:$C$15=D45),0),0)),"")</f>
        <v>3.02</v>
      </c>
      <c r="M45" s="28" t="n">
        <f aca="false">IF(OR(K45="Sem dados",L45="",L45=0),"",(K45-L45)/L45)</f>
        <v>-0.0852513079714472</v>
      </c>
      <c r="N45" s="26" t="str">
        <f aca="false">IF(K45="Sem dados","Sem dados suficientes",IF(M45="","Sem meta definida",IF(M45&gt;=0.02,"Acima da meta",IF(M45&lt;=-0.1,"Crítico: abaixo da meta",IF(M45&lt;0,"Abaixo da meta","Na meta")))))</f>
        <v>Abaixo da meta</v>
      </c>
      <c r="O45" s="29" t="n">
        <f aca="false">Metas!$D$4</f>
        <v>6</v>
      </c>
      <c r="P45" s="29" t="n">
        <f aca="false">IF(K45="Sem dados","",IFERROR(O45/K45,"Km=0 c/ consumo&gt;0 (ver nota)"))</f>
        <v>2.17191342737159</v>
      </c>
      <c r="Q45" s="29" t="n">
        <f aca="false">H45*O45</f>
        <v>5042.64</v>
      </c>
      <c r="R45" s="30" t="n">
        <f aca="false">IF(OR(K45="Sem dados",L45="",L45=0,K45&gt;=L45),0,H45-(G45/L45))</f>
        <v>71.6486092715231</v>
      </c>
      <c r="S45" s="29" t="n">
        <f aca="false">R45*O45</f>
        <v>429.891655629139</v>
      </c>
    </row>
    <row r="46" customFormat="false" ht="15" hidden="false" customHeight="false" outlineLevel="0" collapsed="false">
      <c r="A46" s="26" t="s">
        <v>469</v>
      </c>
      <c r="B46" s="26" t="s">
        <v>6187</v>
      </c>
      <c r="C46" s="26" t="s">
        <v>6128</v>
      </c>
      <c r="D46" s="26" t="s">
        <v>6140</v>
      </c>
      <c r="E46" s="26" t="s">
        <v>6252</v>
      </c>
      <c r="F46" s="26" t="n">
        <f aca="false">SUMIFS('Boletim_do_Veiculo_2026-09-08_2'!$BM:$BM,'Boletim_do_Veiculo_2026-09-08_2'!$B:$B,$A46)</f>
        <v>1809.79</v>
      </c>
      <c r="G46" s="26" t="n">
        <f aca="false">SUMIFS('Boletim_do_Veiculo_2026-09-08_2'!$BP:$BP,'Boletim_do_Veiculo_2026-09-08_2'!$B:$B,$A46)</f>
        <v>1809.79</v>
      </c>
      <c r="H46" s="26" t="n">
        <f aca="false">SUMIFS('Boletim_do_Veiculo_2026-09-08_2'!$BN:$BN,'Boletim_do_Veiculo_2026-09-08_2'!$B:$B,$A46)</f>
        <v>637.87</v>
      </c>
      <c r="I46" s="26" t="n">
        <f aca="false">COUNTIFS('Boletim_do_Veiculo_2026-09-08_2'!$B:$B,$A46,'Boletim_do_Veiculo_2026-09-08_2'!$R:$R,"&lt;&gt;-")</f>
        <v>6</v>
      </c>
      <c r="J46" s="26" t="n">
        <f aca="false">COUNTIFS('Boletim_do_Veiculo_2026-09-08_2'!$B:$B,$A46,'Boletim_do_Veiculo_2026-09-08_2'!$R:$R,"-")</f>
        <v>1</v>
      </c>
      <c r="K46" s="26" t="n">
        <f aca="false">IF(H46=0,"Sem dados",G46/H46)</f>
        <v>2.83723956292034</v>
      </c>
      <c r="L46" s="27" t="n">
        <f aca="false">IFERROR(INDEX(Metas!$F$10:$F$15,MATCH(1,INDEX((Metas!$B$10:$B$15=C46)*(Metas!$C$10:$C$15=D46),0),0)),"")</f>
        <v>2.84</v>
      </c>
      <c r="M46" s="28" t="n">
        <f aca="false">IF(OR(K46="Sem dados",L46="",L46=0),"",(K46-L46)/L46)</f>
        <v>-0.000971984887202625</v>
      </c>
      <c r="N46" s="26" t="str">
        <f aca="false">IF(K46="Sem dados","Sem dados suficientes",IF(M46="","Sem meta definida",IF(M46&gt;=0.02,"Acima da meta",IF(M46&lt;=-0.1,"Crítico: abaixo da meta",IF(M46&lt;0,"Abaixo da meta","Na meta")))))</f>
        <v>Abaixo da meta</v>
      </c>
      <c r="O46" s="29" t="n">
        <f aca="false">Metas!$D$4</f>
        <v>6</v>
      </c>
      <c r="P46" s="29" t="n">
        <f aca="false">IF(K46="Sem dados","",IFERROR(O46/K46,"Km=0 c/ consumo&gt;0 (ver nota)"))</f>
        <v>2.11473154343874</v>
      </c>
      <c r="Q46" s="29" t="n">
        <f aca="false">H46*O46</f>
        <v>3827.22</v>
      </c>
      <c r="R46" s="30" t="n">
        <f aca="false">IF(OR(K46="Sem dados",L46="",L46=0,K46&gt;=L46),0,H46-(G46/L46))</f>
        <v>0.620000000000005</v>
      </c>
      <c r="S46" s="29" t="n">
        <f aca="false">R46*O46</f>
        <v>3.72000000000003</v>
      </c>
    </row>
    <row r="47" customFormat="false" ht="15" hidden="false" customHeight="false" outlineLevel="0" collapsed="false">
      <c r="A47" s="26" t="s">
        <v>279</v>
      </c>
      <c r="B47" s="26" t="s">
        <v>278</v>
      </c>
      <c r="C47" s="26" t="s">
        <v>6128</v>
      </c>
      <c r="D47" s="26" t="s">
        <v>6130</v>
      </c>
      <c r="E47" s="26" t="s">
        <v>6251</v>
      </c>
      <c r="F47" s="26" t="n">
        <f aca="false">SUMIFS('Boletim_do_Veiculo_2026-09-08_2'!$BM:$BM,'Boletim_do_Veiculo_2026-09-08_2'!$B:$B,$A47)</f>
        <v>2141.2</v>
      </c>
      <c r="G47" s="26" t="n">
        <f aca="false">SUMIFS('Boletim_do_Veiculo_2026-09-08_2'!$BP:$BP,'Boletim_do_Veiculo_2026-09-08_2'!$B:$B,$A47)</f>
        <v>2141.2</v>
      </c>
      <c r="H47" s="26" t="n">
        <f aca="false">SUMIFS('Boletim_do_Veiculo_2026-09-08_2'!$BN:$BN,'Boletim_do_Veiculo_2026-09-08_2'!$B:$B,$A47)</f>
        <v>851.2</v>
      </c>
      <c r="I47" s="26" t="n">
        <f aca="false">COUNTIFS('Boletim_do_Veiculo_2026-09-08_2'!$B:$B,$A47,'Boletim_do_Veiculo_2026-09-08_2'!$R:$R,"&lt;&gt;-")</f>
        <v>7</v>
      </c>
      <c r="J47" s="26" t="n">
        <f aca="false">COUNTIFS('Boletim_do_Veiculo_2026-09-08_2'!$B:$B,$A47,'Boletim_do_Veiculo_2026-09-08_2'!$R:$R,"-")</f>
        <v>0</v>
      </c>
      <c r="K47" s="26" t="n">
        <f aca="false">IF(H47=0,"Sem dados",G47/H47)</f>
        <v>2.51550751879699</v>
      </c>
      <c r="L47" s="27" t="n">
        <f aca="false">IFERROR(INDEX(Metas!$F$10:$F$15,MATCH(1,INDEX((Metas!$B$10:$B$15=C47)*(Metas!$C$10:$C$15=D47),0),0)),"")</f>
        <v>3.02</v>
      </c>
      <c r="M47" s="28" t="n">
        <f aca="false">IF(OR(K47="Sem dados",L47="",L47=0),"",(K47-L47)/L47)</f>
        <v>-0.167050490464572</v>
      </c>
      <c r="N47" s="26" t="str">
        <f aca="false">IF(K47="Sem dados","Sem dados suficientes",IF(M47="","Sem meta definida",IF(M47&gt;=0.02,"Acima da meta",IF(M47&lt;=-0.1,"Crítico: abaixo da meta",IF(M47&lt;0,"Abaixo da meta","Na meta")))))</f>
        <v>Crítico: abaixo da meta</v>
      </c>
      <c r="O47" s="29" t="n">
        <f aca="false">Metas!$D$4</f>
        <v>6</v>
      </c>
      <c r="P47" s="29" t="n">
        <f aca="false">IF(K47="Sem dados","",IFERROR(O47/K47,"Km=0 c/ consumo&gt;0 (ver nota)"))</f>
        <v>2.38520455819167</v>
      </c>
      <c r="Q47" s="29" t="n">
        <f aca="false">H47*O47</f>
        <v>5107.2</v>
      </c>
      <c r="R47" s="30" t="n">
        <f aca="false">IF(OR(K47="Sem dados",L47="",L47=0,K47&gt;=L47),0,H47-(G47/L47))</f>
        <v>142.193377483444</v>
      </c>
      <c r="S47" s="29" t="n">
        <f aca="false">R47*O47</f>
        <v>853.160264900663</v>
      </c>
    </row>
    <row r="48" customFormat="false" ht="15" hidden="false" customHeight="false" outlineLevel="0" collapsed="false">
      <c r="A48" s="26" t="s">
        <v>343</v>
      </c>
      <c r="B48" s="26" t="s">
        <v>342</v>
      </c>
      <c r="C48" s="26" t="s">
        <v>6128</v>
      </c>
      <c r="D48" s="26" t="s">
        <v>6130</v>
      </c>
      <c r="E48" s="26" t="s">
        <v>6251</v>
      </c>
      <c r="F48" s="26" t="n">
        <f aca="false">SUMIFS('Boletim_do_Veiculo_2026-09-08_2'!$BM:$BM,'Boletim_do_Veiculo_2026-09-08_2'!$B:$B,$A48)</f>
        <v>2108.58</v>
      </c>
      <c r="G48" s="26" t="n">
        <f aca="false">SUMIFS('Boletim_do_Veiculo_2026-09-08_2'!$BP:$BP,'Boletim_do_Veiculo_2026-09-08_2'!$B:$B,$A48)</f>
        <v>2108.58</v>
      </c>
      <c r="H48" s="26" t="n">
        <f aca="false">SUMIFS('Boletim_do_Veiculo_2026-09-08_2'!$BN:$BN,'Boletim_do_Veiculo_2026-09-08_2'!$B:$B,$A48)</f>
        <v>676.76</v>
      </c>
      <c r="I48" s="26" t="n">
        <f aca="false">COUNTIFS('Boletim_do_Veiculo_2026-09-08_2'!$B:$B,$A48,'Boletim_do_Veiculo_2026-09-08_2'!$R:$R,"&lt;&gt;-")</f>
        <v>7</v>
      </c>
      <c r="J48" s="26" t="n">
        <f aca="false">COUNTIFS('Boletim_do_Veiculo_2026-09-08_2'!$B:$B,$A48,'Boletim_do_Veiculo_2026-09-08_2'!$R:$R,"-")</f>
        <v>0</v>
      </c>
      <c r="K48" s="26" t="n">
        <f aca="false">IF(H48=0,"Sem dados",G48/H48)</f>
        <v>3.11569832732431</v>
      </c>
      <c r="L48" s="27" t="n">
        <f aca="false">IFERROR(INDEX(Metas!$F$10:$F$15,MATCH(1,INDEX((Metas!$B$10:$B$15=C48)*(Metas!$C$10:$C$15=D48),0),0)),"")</f>
        <v>3.02</v>
      </c>
      <c r="M48" s="28" t="n">
        <f aca="false">IF(OR(K48="Sem dados",L48="",L48=0),"",(K48-L48)/L48)</f>
        <v>0.0316881878557318</v>
      </c>
      <c r="N48" s="26" t="str">
        <f aca="false">IF(K48="Sem dados","Sem dados suficientes",IF(M48="","Sem meta definida",IF(M48&gt;=0.02,"Acima da meta",IF(M48&lt;=-0.1,"Crítico: abaixo da meta",IF(M48&lt;0,"Abaixo da meta","Na meta")))))</f>
        <v>Acima da meta</v>
      </c>
      <c r="O48" s="29" t="n">
        <f aca="false">Metas!$D$4</f>
        <v>6</v>
      </c>
      <c r="P48" s="29" t="n">
        <f aca="false">IF(K48="Sem dados","",IFERROR(O48/K48,"Km=0 c/ consumo&gt;0 (ver nota)"))</f>
        <v>1.92573200921947</v>
      </c>
      <c r="Q48" s="29" t="n">
        <f aca="false">H48*O48</f>
        <v>4060.56</v>
      </c>
      <c r="R48" s="30" t="n">
        <f aca="false">IF(OR(K48="Sem dados",L48="",L48=0,K48&gt;=L48),0,H48-(G48/L48))</f>
        <v>0</v>
      </c>
      <c r="S48" s="29" t="n">
        <f aca="false">R48*O48</f>
        <v>0</v>
      </c>
    </row>
    <row r="49" customFormat="false" ht="15" hidden="false" customHeight="false" outlineLevel="0" collapsed="false">
      <c r="A49" s="26" t="s">
        <v>375</v>
      </c>
      <c r="B49" s="26" t="s">
        <v>374</v>
      </c>
      <c r="C49" s="26" t="s">
        <v>6128</v>
      </c>
      <c r="D49" s="26" t="s">
        <v>6130</v>
      </c>
      <c r="E49" s="26" t="s">
        <v>6251</v>
      </c>
      <c r="F49" s="26" t="n">
        <f aca="false">SUMIFS('Boletim_do_Veiculo_2026-09-08_2'!$BM:$BM,'Boletim_do_Veiculo_2026-09-08_2'!$B:$B,$A49)</f>
        <v>2216.13</v>
      </c>
      <c r="G49" s="26" t="n">
        <f aca="false">SUMIFS('Boletim_do_Veiculo_2026-09-08_2'!$BP:$BP,'Boletim_do_Veiculo_2026-09-08_2'!$B:$B,$A49)</f>
        <v>2216.13</v>
      </c>
      <c r="H49" s="26" t="n">
        <f aca="false">SUMIFS('Boletim_do_Veiculo_2026-09-08_2'!$BN:$BN,'Boletim_do_Veiculo_2026-09-08_2'!$B:$B,$A49)</f>
        <v>772.96</v>
      </c>
      <c r="I49" s="26" t="n">
        <f aca="false">COUNTIFS('Boletim_do_Veiculo_2026-09-08_2'!$B:$B,$A49,'Boletim_do_Veiculo_2026-09-08_2'!$R:$R,"&lt;&gt;-")</f>
        <v>7</v>
      </c>
      <c r="J49" s="26" t="n">
        <f aca="false">COUNTIFS('Boletim_do_Veiculo_2026-09-08_2'!$B:$B,$A49,'Boletim_do_Veiculo_2026-09-08_2'!$R:$R,"-")</f>
        <v>0</v>
      </c>
      <c r="K49" s="26" t="n">
        <f aca="false">IF(H49=0,"Sem dados",G49/H49)</f>
        <v>2.8670694473194</v>
      </c>
      <c r="L49" s="27" t="n">
        <f aca="false">IFERROR(INDEX(Metas!$F$10:$F$15,MATCH(1,INDEX((Metas!$B$10:$B$15=C49)*(Metas!$C$10:$C$15=D49),0),0)),"")</f>
        <v>3.02</v>
      </c>
      <c r="M49" s="28" t="n">
        <f aca="false">IF(OR(K49="Sem dados",L49="",L49=0),"",(K49-L49)/L49)</f>
        <v>-0.0506392558545048</v>
      </c>
      <c r="N49" s="26" t="str">
        <f aca="false">IF(K49="Sem dados","Sem dados suficientes",IF(M49="","Sem meta definida",IF(M49&gt;=0.02,"Acima da meta",IF(M49&lt;=-0.1,"Crítico: abaixo da meta",IF(M49&lt;0,"Abaixo da meta","Na meta")))))</f>
        <v>Abaixo da meta</v>
      </c>
      <c r="O49" s="29" t="n">
        <f aca="false">Metas!$D$4</f>
        <v>6</v>
      </c>
      <c r="P49" s="29" t="n">
        <f aca="false">IF(K49="Sem dados","",IFERROR(O49/K49,"Km=0 c/ consumo&gt;0 (ver nota)"))</f>
        <v>2.09272921714881</v>
      </c>
      <c r="Q49" s="29" t="n">
        <f aca="false">H49*O49</f>
        <v>4637.76</v>
      </c>
      <c r="R49" s="30" t="n">
        <f aca="false">IF(OR(K49="Sem dados",L49="",L49=0,K49&gt;=L49),0,H49-(G49/L49))</f>
        <v>39.1421192052981</v>
      </c>
      <c r="S49" s="29" t="n">
        <f aca="false">R49*O49</f>
        <v>234.852715231788</v>
      </c>
    </row>
    <row r="50" customFormat="false" ht="15" hidden="false" customHeight="false" outlineLevel="0" collapsed="false">
      <c r="A50" s="26" t="s">
        <v>933</v>
      </c>
      <c r="B50" s="26" t="s">
        <v>932</v>
      </c>
      <c r="C50" s="26" t="s">
        <v>6128</v>
      </c>
      <c r="D50" s="26" t="s">
        <v>6140</v>
      </c>
      <c r="E50" s="26" t="s">
        <v>6251</v>
      </c>
      <c r="F50" s="26" t="n">
        <f aca="false">SUMIFS('Boletim_do_Veiculo_2026-09-08_2'!$BM:$BM,'Boletim_do_Veiculo_2026-09-08_2'!$B:$B,$A50)</f>
        <v>3636.71</v>
      </c>
      <c r="G50" s="26" t="n">
        <f aca="false">SUMIFS('Boletim_do_Veiculo_2026-09-08_2'!$BP:$BP,'Boletim_do_Veiculo_2026-09-08_2'!$B:$B,$A50)</f>
        <v>3636.71</v>
      </c>
      <c r="H50" s="26" t="n">
        <f aca="false">SUMIFS('Boletim_do_Veiculo_2026-09-08_2'!$BN:$BN,'Boletim_do_Veiculo_2026-09-08_2'!$B:$B,$A50)</f>
        <v>1110.56</v>
      </c>
      <c r="I50" s="26" t="n">
        <f aca="false">COUNTIFS('Boletim_do_Veiculo_2026-09-08_2'!$B:$B,$A50,'Boletim_do_Veiculo_2026-09-08_2'!$R:$R,"&lt;&gt;-")</f>
        <v>7</v>
      </c>
      <c r="J50" s="26" t="n">
        <f aca="false">COUNTIFS('Boletim_do_Veiculo_2026-09-08_2'!$B:$B,$A50,'Boletim_do_Veiculo_2026-09-08_2'!$R:$R,"-")</f>
        <v>0</v>
      </c>
      <c r="K50" s="26" t="n">
        <f aca="false">IF(H50=0,"Sem dados",G50/H50)</f>
        <v>3.27466323296355</v>
      </c>
      <c r="L50" s="27" t="n">
        <f aca="false">IFERROR(INDEX(Metas!$F$10:$F$15,MATCH(1,INDEX((Metas!$B$10:$B$15=C50)*(Metas!$C$10:$C$15=D50),0),0)),"")</f>
        <v>2.84</v>
      </c>
      <c r="M50" s="28" t="n">
        <f aca="false">IF(OR(K50="Sem dados",L50="",L50=0),"",(K50-L50)/L50)</f>
        <v>0.153050434142095</v>
      </c>
      <c r="N50" s="26" t="str">
        <f aca="false">IF(K50="Sem dados","Sem dados suficientes",IF(M50="","Sem meta definida",IF(M50&gt;=0.02,"Acima da meta",IF(M50&lt;=-0.1,"Crítico: abaixo da meta",IF(M50&lt;0,"Abaixo da meta","Na meta")))))</f>
        <v>Acima da meta</v>
      </c>
      <c r="O50" s="29" t="n">
        <f aca="false">Metas!$D$4</f>
        <v>6</v>
      </c>
      <c r="P50" s="29" t="n">
        <f aca="false">IF(K50="Sem dados","",IFERROR(O50/K50,"Km=0 c/ consumo&gt;0 (ver nota)"))</f>
        <v>1.8322494782372</v>
      </c>
      <c r="Q50" s="29" t="n">
        <f aca="false">H50*O50</f>
        <v>6663.36</v>
      </c>
      <c r="R50" s="30" t="n">
        <f aca="false">IF(OR(K50="Sem dados",L50="",L50=0,K50&gt;=L50),0,H50-(G50/L50))</f>
        <v>0</v>
      </c>
      <c r="S50" s="29" t="n">
        <f aca="false">R50*O50</f>
        <v>0</v>
      </c>
    </row>
    <row r="51" customFormat="false" ht="15" hidden="false" customHeight="false" outlineLevel="0" collapsed="false">
      <c r="A51" s="26" t="s">
        <v>970</v>
      </c>
      <c r="B51" s="26" t="s">
        <v>969</v>
      </c>
      <c r="C51" s="26" t="s">
        <v>6128</v>
      </c>
      <c r="D51" s="26" t="s">
        <v>6133</v>
      </c>
      <c r="E51" s="26" t="s">
        <v>6251</v>
      </c>
      <c r="F51" s="26" t="n">
        <f aca="false">SUMIFS('Boletim_do_Veiculo_2026-09-08_2'!$BM:$BM,'Boletim_do_Veiculo_2026-09-08_2'!$B:$B,$A51)</f>
        <v>0</v>
      </c>
      <c r="G51" s="26" t="n">
        <f aca="false">SUMIFS('Boletim_do_Veiculo_2026-09-08_2'!$BP:$BP,'Boletim_do_Veiculo_2026-09-08_2'!$B:$B,$A51)</f>
        <v>0</v>
      </c>
      <c r="H51" s="26" t="n">
        <f aca="false">SUMIFS('Boletim_do_Veiculo_2026-09-08_2'!$BN:$BN,'Boletim_do_Veiculo_2026-09-08_2'!$B:$B,$A51)</f>
        <v>0.5</v>
      </c>
      <c r="I51" s="26" t="n">
        <f aca="false">COUNTIFS('Boletim_do_Veiculo_2026-09-08_2'!$B:$B,$A51,'Boletim_do_Veiculo_2026-09-08_2'!$R:$R,"&lt;&gt;-")</f>
        <v>1</v>
      </c>
      <c r="J51" s="26" t="n">
        <f aca="false">COUNTIFS('Boletim_do_Veiculo_2026-09-08_2'!$B:$B,$A51,'Boletim_do_Veiculo_2026-09-08_2'!$R:$R,"-")</f>
        <v>0</v>
      </c>
      <c r="K51" s="26" t="n">
        <f aca="false">IF(H51=0,"Sem dados",G51/H51)</f>
        <v>0</v>
      </c>
      <c r="L51" s="27" t="n">
        <f aca="false">IFERROR(INDEX(Metas!$F$10:$F$15,MATCH(1,INDEX((Metas!$B$10:$B$15=C51)*(Metas!$C$10:$C$15=D51),0),0)),"")</f>
        <v>3.24</v>
      </c>
      <c r="M51" s="28" t="n">
        <f aca="false">IF(OR(K51="Sem dados",L51="",L51=0),"",(K51-L51)/L51)</f>
        <v>-1</v>
      </c>
      <c r="N51" s="26" t="str">
        <f aca="false">IF(K51="Sem dados","Sem dados suficientes",IF(M51="","Sem meta definida",IF(M51&gt;=0.02,"Acima da meta",IF(M51&lt;=-0.1,"Crítico: abaixo da meta",IF(M51&lt;0,"Abaixo da meta","Na meta")))))</f>
        <v>Crítico: abaixo da meta</v>
      </c>
      <c r="O51" s="29" t="n">
        <f aca="false">Metas!$D$4</f>
        <v>6</v>
      </c>
      <c r="P51" s="29" t="str">
        <f aca="false">IF(K51="Sem dados","",IFERROR(O51/K51,"Km=0 c/ consumo&gt;0 (ver nota)"))</f>
        <v>Km=0 c/ consumo&gt;0 (ver nota)</v>
      </c>
      <c r="Q51" s="29" t="n">
        <f aca="false">H51*O51</f>
        <v>3</v>
      </c>
      <c r="R51" s="30" t="n">
        <f aca="false">IF(OR(K51="Sem dados",L51="",L51=0,K51&gt;=L51),0,H51-(G51/L51))</f>
        <v>0.5</v>
      </c>
      <c r="S51" s="29" t="n">
        <f aca="false">R51*O51</f>
        <v>3</v>
      </c>
    </row>
    <row r="52" customFormat="false" ht="15" hidden="false" customHeight="false" outlineLevel="0" collapsed="false">
      <c r="A52" s="26" t="s">
        <v>974</v>
      </c>
      <c r="B52" s="26" t="s">
        <v>973</v>
      </c>
      <c r="C52" s="26" t="s">
        <v>6128</v>
      </c>
      <c r="D52" s="26" t="s">
        <v>6130</v>
      </c>
      <c r="E52" s="26" t="s">
        <v>6251</v>
      </c>
      <c r="F52" s="26" t="n">
        <f aca="false">SUMIFS('Boletim_do_Veiculo_2026-09-08_2'!$BM:$BM,'Boletim_do_Veiculo_2026-09-08_2'!$B:$B,$A52)</f>
        <v>2154.69</v>
      </c>
      <c r="G52" s="26" t="n">
        <f aca="false">SUMIFS('Boletim_do_Veiculo_2026-09-08_2'!$BP:$BP,'Boletim_do_Veiculo_2026-09-08_2'!$B:$B,$A52)</f>
        <v>2154.69</v>
      </c>
      <c r="H52" s="26" t="n">
        <f aca="false">SUMIFS('Boletim_do_Veiculo_2026-09-08_2'!$BN:$BN,'Boletim_do_Veiculo_2026-09-08_2'!$B:$B,$A52)</f>
        <v>907.23</v>
      </c>
      <c r="I52" s="26" t="n">
        <f aca="false">COUNTIFS('Boletim_do_Veiculo_2026-09-08_2'!$B:$B,$A52,'Boletim_do_Veiculo_2026-09-08_2'!$R:$R,"&lt;&gt;-")</f>
        <v>7</v>
      </c>
      <c r="J52" s="26" t="n">
        <f aca="false">COUNTIFS('Boletim_do_Veiculo_2026-09-08_2'!$B:$B,$A52,'Boletim_do_Veiculo_2026-09-08_2'!$R:$R,"-")</f>
        <v>0</v>
      </c>
      <c r="K52" s="26" t="n">
        <f aca="false">IF(H52=0,"Sem dados",G52/H52)</f>
        <v>2.37502066730598</v>
      </c>
      <c r="L52" s="27" t="n">
        <f aca="false">IFERROR(INDEX(Metas!$F$10:$F$15,MATCH(1,INDEX((Metas!$B$10:$B$15=C52)*(Metas!$C$10:$C$15=D52),0),0)),"")</f>
        <v>3.02</v>
      </c>
      <c r="M52" s="28" t="n">
        <f aca="false">IF(OR(K52="Sem dados",L52="",L52=0),"",(K52-L52)/L52)</f>
        <v>-0.213569315461598</v>
      </c>
      <c r="N52" s="26" t="str">
        <f aca="false">IF(K52="Sem dados","Sem dados suficientes",IF(M52="","Sem meta definida",IF(M52&gt;=0.02,"Acima da meta",IF(M52&lt;=-0.1,"Crítico: abaixo da meta",IF(M52&lt;0,"Abaixo da meta","Na meta")))))</f>
        <v>Crítico: abaixo da meta</v>
      </c>
      <c r="O52" s="29" t="n">
        <f aca="false">Metas!$D$4</f>
        <v>6</v>
      </c>
      <c r="P52" s="29" t="n">
        <f aca="false">IF(K52="Sem dados","",IFERROR(O52/K52,"Km=0 c/ consumo&gt;0 (ver nota)"))</f>
        <v>2.52629380560545</v>
      </c>
      <c r="Q52" s="29" t="n">
        <f aca="false">H52*O52</f>
        <v>5443.38</v>
      </c>
      <c r="R52" s="30" t="n">
        <f aca="false">IF(OR(K52="Sem dados",L52="",L52=0,K52&gt;=L52),0,H52-(G52/L52))</f>
        <v>193.756490066225</v>
      </c>
      <c r="S52" s="29" t="n">
        <f aca="false">R52*O52</f>
        <v>1162.53894039735</v>
      </c>
    </row>
    <row r="53" customFormat="false" ht="15" hidden="false" customHeight="false" outlineLevel="0" collapsed="false">
      <c r="A53" s="26" t="s">
        <v>1536</v>
      </c>
      <c r="B53" s="26" t="s">
        <v>1535</v>
      </c>
      <c r="C53" s="26" t="s">
        <v>6128</v>
      </c>
      <c r="D53" s="26" t="s">
        <v>6130</v>
      </c>
      <c r="E53" s="26" t="s">
        <v>6251</v>
      </c>
      <c r="F53" s="26" t="n">
        <f aca="false">SUMIFS('Boletim_do_Veiculo_2026-09-08_2'!$BM:$BM,'Boletim_do_Veiculo_2026-09-08_2'!$B:$B,$A53)</f>
        <v>1916.25</v>
      </c>
      <c r="G53" s="26" t="n">
        <f aca="false">SUMIFS('Boletim_do_Veiculo_2026-09-08_2'!$BP:$BP,'Boletim_do_Veiculo_2026-09-08_2'!$B:$B,$A53)</f>
        <v>1916.25</v>
      </c>
      <c r="H53" s="26" t="n">
        <f aca="false">SUMIFS('Boletim_do_Veiculo_2026-09-08_2'!$BN:$BN,'Boletim_do_Veiculo_2026-09-08_2'!$B:$B,$A53)</f>
        <v>683.36</v>
      </c>
      <c r="I53" s="26" t="n">
        <f aca="false">COUNTIFS('Boletim_do_Veiculo_2026-09-08_2'!$B:$B,$A53,'Boletim_do_Veiculo_2026-09-08_2'!$R:$R,"&lt;&gt;-")</f>
        <v>6</v>
      </c>
      <c r="J53" s="26" t="n">
        <f aca="false">COUNTIFS('Boletim_do_Veiculo_2026-09-08_2'!$B:$B,$A53,'Boletim_do_Veiculo_2026-09-08_2'!$R:$R,"-")</f>
        <v>0</v>
      </c>
      <c r="K53" s="26" t="n">
        <f aca="false">IF(H53=0,"Sem dados",G53/H53)</f>
        <v>2.80415886209319</v>
      </c>
      <c r="L53" s="27" t="n">
        <f aca="false">IFERROR(INDEX(Metas!$F$10:$F$15,MATCH(1,INDEX((Metas!$B$10:$B$15=C53)*(Metas!$C$10:$C$15=D53),0),0)),"")</f>
        <v>3.02</v>
      </c>
      <c r="M53" s="28" t="n">
        <f aca="false">IF(OR(K53="Sem dados",L53="",L53=0),"",(K53-L53)/L53)</f>
        <v>-0.0714705754658322</v>
      </c>
      <c r="N53" s="26" t="str">
        <f aca="false">IF(K53="Sem dados","Sem dados suficientes",IF(M53="","Sem meta definida",IF(M53&gt;=0.02,"Acima da meta",IF(M53&lt;=-0.1,"Crítico: abaixo da meta",IF(M53&lt;0,"Abaixo da meta","Na meta")))))</f>
        <v>Abaixo da meta</v>
      </c>
      <c r="O53" s="29" t="n">
        <f aca="false">Metas!$D$4</f>
        <v>6</v>
      </c>
      <c r="P53" s="29" t="n">
        <f aca="false">IF(K53="Sem dados","",IFERROR(O53/K53,"Km=0 c/ consumo&gt;0 (ver nota)"))</f>
        <v>2.13967906066536</v>
      </c>
      <c r="Q53" s="29" t="n">
        <f aca="false">H53*O53</f>
        <v>4100.16</v>
      </c>
      <c r="R53" s="30" t="n">
        <f aca="false">IF(OR(K53="Sem dados",L53="",L53=0,K53&gt;=L53),0,H53-(G53/L53))</f>
        <v>48.8401324503311</v>
      </c>
      <c r="S53" s="29" t="n">
        <f aca="false">R53*O53</f>
        <v>293.040794701987</v>
      </c>
    </row>
    <row r="54" customFormat="false" ht="15" hidden="false" customHeight="false" outlineLevel="0" collapsed="false">
      <c r="A54" s="26" t="s">
        <v>1584</v>
      </c>
      <c r="B54" s="26" t="s">
        <v>1583</v>
      </c>
      <c r="C54" s="26" t="s">
        <v>6128</v>
      </c>
      <c r="D54" s="26" t="s">
        <v>6130</v>
      </c>
      <c r="E54" s="26" t="s">
        <v>6251</v>
      </c>
      <c r="F54" s="26" t="n">
        <f aca="false">SUMIFS('Boletim_do_Veiculo_2026-09-08_2'!$BM:$BM,'Boletim_do_Veiculo_2026-09-08_2'!$B:$B,$A54)</f>
        <v>883.1</v>
      </c>
      <c r="G54" s="26" t="n">
        <f aca="false">SUMIFS('Boletim_do_Veiculo_2026-09-08_2'!$BP:$BP,'Boletim_do_Veiculo_2026-09-08_2'!$B:$B,$A54)</f>
        <v>883.1</v>
      </c>
      <c r="H54" s="26" t="n">
        <f aca="false">SUMIFS('Boletim_do_Veiculo_2026-09-08_2'!$BN:$BN,'Boletim_do_Veiculo_2026-09-08_2'!$B:$B,$A54)</f>
        <v>304.24</v>
      </c>
      <c r="I54" s="26" t="n">
        <f aca="false">COUNTIFS('Boletim_do_Veiculo_2026-09-08_2'!$B:$B,$A54,'Boletim_do_Veiculo_2026-09-08_2'!$R:$R,"&lt;&gt;-")</f>
        <v>6</v>
      </c>
      <c r="J54" s="26" t="n">
        <f aca="false">COUNTIFS('Boletim_do_Veiculo_2026-09-08_2'!$B:$B,$A54,'Boletim_do_Veiculo_2026-09-08_2'!$R:$R,"-")</f>
        <v>0</v>
      </c>
      <c r="K54" s="26" t="n">
        <f aca="false">IF(H54=0,"Sem dados",G54/H54)</f>
        <v>2.90264265053905</v>
      </c>
      <c r="L54" s="27" t="n">
        <f aca="false">IFERROR(INDEX(Metas!$F$10:$F$15,MATCH(1,INDEX((Metas!$B$10:$B$15=C54)*(Metas!$C$10:$C$15=D54),0),0)),"")</f>
        <v>3.02</v>
      </c>
      <c r="M54" s="28" t="n">
        <f aca="false">IF(OR(K54="Sem dados",L54="",L54=0),"",(K54-L54)/L54)</f>
        <v>-0.0388600494903814</v>
      </c>
      <c r="N54" s="26" t="str">
        <f aca="false">IF(K54="Sem dados","Sem dados suficientes",IF(M54="","Sem meta definida",IF(M54&gt;=0.02,"Acima da meta",IF(M54&lt;=-0.1,"Crítico: abaixo da meta",IF(M54&lt;0,"Abaixo da meta","Na meta")))))</f>
        <v>Abaixo da meta</v>
      </c>
      <c r="O54" s="29" t="n">
        <f aca="false">Metas!$D$4</f>
        <v>6</v>
      </c>
      <c r="P54" s="29" t="n">
        <f aca="false">IF(K54="Sem dados","",IFERROR(O54/K54,"Km=0 c/ consumo&gt;0 (ver nota)"))</f>
        <v>2.06708187068282</v>
      </c>
      <c r="Q54" s="29" t="n">
        <f aca="false">H54*O54</f>
        <v>1825.44</v>
      </c>
      <c r="R54" s="30" t="n">
        <f aca="false">IF(OR(K54="Sem dados",L54="",L54=0,K54&gt;=L54),0,H54-(G54/L54))</f>
        <v>11.8227814569536</v>
      </c>
      <c r="S54" s="29" t="n">
        <f aca="false">R54*O54</f>
        <v>70.9366887417218</v>
      </c>
    </row>
    <row r="55" customFormat="false" ht="15" hidden="false" customHeight="false" outlineLevel="0" collapsed="false">
      <c r="A55" s="26" t="s">
        <v>1605</v>
      </c>
      <c r="B55" s="26" t="s">
        <v>1604</v>
      </c>
      <c r="C55" s="26" t="s">
        <v>6128</v>
      </c>
      <c r="D55" s="26" t="s">
        <v>6130</v>
      </c>
      <c r="E55" s="26" t="s">
        <v>6251</v>
      </c>
      <c r="F55" s="26" t="n">
        <f aca="false">SUMIFS('Boletim_do_Veiculo_2026-09-08_2'!$BM:$BM,'Boletim_do_Veiculo_2026-09-08_2'!$B:$B,$A55)</f>
        <v>909.98</v>
      </c>
      <c r="G55" s="26" t="n">
        <f aca="false">SUMIFS('Boletim_do_Veiculo_2026-09-08_2'!$BP:$BP,'Boletim_do_Veiculo_2026-09-08_2'!$B:$B,$A55)</f>
        <v>909.98</v>
      </c>
      <c r="H55" s="26" t="n">
        <f aca="false">SUMIFS('Boletim_do_Veiculo_2026-09-08_2'!$BN:$BN,'Boletim_do_Veiculo_2026-09-08_2'!$B:$B,$A55)</f>
        <v>350.27</v>
      </c>
      <c r="I55" s="26" t="n">
        <f aca="false">COUNTIFS('Boletim_do_Veiculo_2026-09-08_2'!$B:$B,$A55,'Boletim_do_Veiculo_2026-09-08_2'!$R:$R,"&lt;&gt;-")</f>
        <v>6</v>
      </c>
      <c r="J55" s="26" t="n">
        <f aca="false">COUNTIFS('Boletim_do_Veiculo_2026-09-08_2'!$B:$B,$A55,'Boletim_do_Veiculo_2026-09-08_2'!$R:$R,"-")</f>
        <v>0</v>
      </c>
      <c r="K55" s="26" t="n">
        <f aca="false">IF(H55=0,"Sem dados",G55/H55)</f>
        <v>2.59793873297742</v>
      </c>
      <c r="L55" s="27" t="n">
        <f aca="false">IFERROR(INDEX(Metas!$F$10:$F$15,MATCH(1,INDEX((Metas!$B$10:$B$15=C55)*(Metas!$C$10:$C$15=D55),0),0)),"")</f>
        <v>3.02</v>
      </c>
      <c r="M55" s="28" t="n">
        <f aca="false">IF(OR(K55="Sem dados",L55="",L55=0),"",(K55-L55)/L55)</f>
        <v>-0.139755386431319</v>
      </c>
      <c r="N55" s="26" t="str">
        <f aca="false">IF(K55="Sem dados","Sem dados suficientes",IF(M55="","Sem meta definida",IF(M55&gt;=0.02,"Acima da meta",IF(M55&lt;=-0.1,"Crítico: abaixo da meta",IF(M55&lt;0,"Abaixo da meta","Na meta")))))</f>
        <v>Crítico: abaixo da meta</v>
      </c>
      <c r="O55" s="29" t="n">
        <f aca="false">Metas!$D$4</f>
        <v>6</v>
      </c>
      <c r="P55" s="29" t="n">
        <f aca="false">IF(K55="Sem dados","",IFERROR(O55/K55,"Km=0 c/ consumo&gt;0 (ver nota)"))</f>
        <v>2.30952328622607</v>
      </c>
      <c r="Q55" s="29" t="n">
        <f aca="false">H55*O55</f>
        <v>2101.62</v>
      </c>
      <c r="R55" s="30" t="n">
        <f aca="false">IF(OR(K55="Sem dados",L55="",L55=0,K55&gt;=L55),0,H55-(G55/L55))</f>
        <v>48.952119205298</v>
      </c>
      <c r="S55" s="29" t="n">
        <f aca="false">R55*O55</f>
        <v>293.712715231788</v>
      </c>
    </row>
    <row r="56" customFormat="false" ht="15" hidden="false" customHeight="false" outlineLevel="0" collapsed="false">
      <c r="A56" s="26" t="s">
        <v>1632</v>
      </c>
      <c r="B56" s="26" t="s">
        <v>1631</v>
      </c>
      <c r="C56" s="26" t="s">
        <v>6128</v>
      </c>
      <c r="D56" s="26" t="s">
        <v>6130</v>
      </c>
      <c r="E56" s="26" t="s">
        <v>6253</v>
      </c>
      <c r="F56" s="26" t="n">
        <f aca="false">SUMIFS('Boletim_do_Veiculo_2026-09-08_2'!$BM:$BM,'Boletim_do_Veiculo_2026-09-08_2'!$B:$B,$A56)</f>
        <v>810.56</v>
      </c>
      <c r="G56" s="26" t="n">
        <f aca="false">SUMIFS('Boletim_do_Veiculo_2026-09-08_2'!$BP:$BP,'Boletim_do_Veiculo_2026-09-08_2'!$B:$B,$A56)</f>
        <v>0</v>
      </c>
      <c r="H56" s="26" t="n">
        <f aca="false">SUMIFS('Boletim_do_Veiculo_2026-09-08_2'!$BN:$BN,'Boletim_do_Veiculo_2026-09-08_2'!$B:$B,$A56)</f>
        <v>0</v>
      </c>
      <c r="I56" s="26" t="n">
        <f aca="false">COUNTIFS('Boletim_do_Veiculo_2026-09-08_2'!$B:$B,$A56,'Boletim_do_Veiculo_2026-09-08_2'!$R:$R,"&lt;&gt;-")</f>
        <v>0</v>
      </c>
      <c r="J56" s="26" t="n">
        <f aca="false">COUNTIFS('Boletim_do_Veiculo_2026-09-08_2'!$B:$B,$A56,'Boletim_do_Veiculo_2026-09-08_2'!$R:$R,"-")</f>
        <v>6</v>
      </c>
      <c r="K56" s="26" t="str">
        <f aca="false">IF(H56=0,"Sem dados",G56/H56)</f>
        <v>Sem dados</v>
      </c>
      <c r="L56" s="27" t="n">
        <f aca="false">IFERROR(INDEX(Metas!$F$10:$F$15,MATCH(1,INDEX((Metas!$B$10:$B$15=C56)*(Metas!$C$10:$C$15=D56),0),0)),"")</f>
        <v>3.02</v>
      </c>
      <c r="M56" s="28" t="str">
        <f aca="false">IF(OR(K56="Sem dados",L56="",L56=0),"",(K56-L56)/L56)</f>
        <v/>
      </c>
      <c r="N56" s="26" t="str">
        <f aca="false">IF(K56="Sem dados","Sem dados suficientes",IF(M56="","Sem meta definida",IF(M56&gt;=0.02,"Acima da meta",IF(M56&lt;=-0.1,"Crítico: abaixo da meta",IF(M56&lt;0,"Abaixo da meta","Na meta")))))</f>
        <v>Sem dados suficientes</v>
      </c>
      <c r="O56" s="29" t="n">
        <f aca="false">Metas!$D$4</f>
        <v>6</v>
      </c>
      <c r="P56" s="29" t="str">
        <f aca="false">IF(K56="Sem dados","",IFERROR(O56/K56,"Km=0 c/ consumo&gt;0 (ver nota)"))</f>
        <v/>
      </c>
      <c r="Q56" s="29" t="n">
        <f aca="false">H56*O56</f>
        <v>0</v>
      </c>
      <c r="R56" s="30" t="n">
        <f aca="false">IF(OR(K56="Sem dados",L56="",L56=0,K56&gt;=L56),0,H56-(G56/L56))</f>
        <v>0</v>
      </c>
      <c r="S56" s="29" t="n">
        <f aca="false">R56*O56</f>
        <v>0</v>
      </c>
    </row>
    <row r="57" customFormat="false" ht="15" hidden="false" customHeight="false" outlineLevel="0" collapsed="false">
      <c r="A57" s="26" t="s">
        <v>1652</v>
      </c>
      <c r="B57" s="26" t="s">
        <v>1651</v>
      </c>
      <c r="C57" s="26" t="s">
        <v>6128</v>
      </c>
      <c r="D57" s="26" t="s">
        <v>6130</v>
      </c>
      <c r="E57" s="26" t="s">
        <v>6251</v>
      </c>
      <c r="F57" s="26" t="n">
        <f aca="false">SUMIFS('Boletim_do_Veiculo_2026-09-08_2'!$BM:$BM,'Boletim_do_Veiculo_2026-09-08_2'!$B:$B,$A57)</f>
        <v>602.6</v>
      </c>
      <c r="G57" s="26" t="n">
        <f aca="false">SUMIFS('Boletim_do_Veiculo_2026-09-08_2'!$BP:$BP,'Boletim_do_Veiculo_2026-09-08_2'!$B:$B,$A57)</f>
        <v>602.6</v>
      </c>
      <c r="H57" s="26" t="n">
        <f aca="false">SUMIFS('Boletim_do_Veiculo_2026-09-08_2'!$BN:$BN,'Boletim_do_Veiculo_2026-09-08_2'!$B:$B,$A57)</f>
        <v>227.25</v>
      </c>
      <c r="I57" s="26" t="n">
        <f aca="false">COUNTIFS('Boletim_do_Veiculo_2026-09-08_2'!$B:$B,$A57,'Boletim_do_Veiculo_2026-09-08_2'!$R:$R,"&lt;&gt;-")</f>
        <v>7</v>
      </c>
      <c r="J57" s="26" t="n">
        <f aca="false">COUNTIFS('Boletim_do_Veiculo_2026-09-08_2'!$B:$B,$A57,'Boletim_do_Veiculo_2026-09-08_2'!$R:$R,"-")</f>
        <v>0</v>
      </c>
      <c r="K57" s="26" t="n">
        <f aca="false">IF(H57=0,"Sem dados",G57/H57)</f>
        <v>2.65170517051705</v>
      </c>
      <c r="L57" s="27" t="n">
        <f aca="false">IFERROR(INDEX(Metas!$F$10:$F$15,MATCH(1,INDEX((Metas!$B$10:$B$15=C57)*(Metas!$C$10:$C$15=D57),0),0)),"")</f>
        <v>3.02</v>
      </c>
      <c r="M57" s="28" t="n">
        <f aca="false">IF(OR(K57="Sem dados",L57="",L57=0),"",(K57-L57)/L57)</f>
        <v>-0.121951930292367</v>
      </c>
      <c r="N57" s="26" t="str">
        <f aca="false">IF(K57="Sem dados","Sem dados suficientes",IF(M57="","Sem meta definida",IF(M57&gt;=0.02,"Acima da meta",IF(M57&lt;=-0.1,"Crítico: abaixo da meta",IF(M57&lt;0,"Abaixo da meta","Na meta")))))</f>
        <v>Crítico: abaixo da meta</v>
      </c>
      <c r="O57" s="29" t="n">
        <f aca="false">Metas!$D$4</f>
        <v>6</v>
      </c>
      <c r="P57" s="29" t="n">
        <f aca="false">IF(K57="Sem dados","",IFERROR(O57/K57,"Km=0 c/ consumo&gt;0 (ver nota)"))</f>
        <v>2.26269498838367</v>
      </c>
      <c r="Q57" s="29" t="n">
        <f aca="false">H57*O57</f>
        <v>1363.5</v>
      </c>
      <c r="R57" s="30" t="n">
        <f aca="false">IF(OR(K57="Sem dados",L57="",L57=0,K57&gt;=L57),0,H57-(G57/L57))</f>
        <v>27.7135761589404</v>
      </c>
      <c r="S57" s="29" t="n">
        <f aca="false">R57*O57</f>
        <v>166.281456953642</v>
      </c>
    </row>
    <row r="58" customFormat="false" ht="15" hidden="false" customHeight="false" outlineLevel="0" collapsed="false">
      <c r="A58" s="26" t="s">
        <v>1044</v>
      </c>
      <c r="B58" s="26" t="s">
        <v>1043</v>
      </c>
      <c r="C58" s="26" t="s">
        <v>6128</v>
      </c>
      <c r="D58" s="26" t="s">
        <v>6140</v>
      </c>
      <c r="E58" s="26" t="s">
        <v>6251</v>
      </c>
      <c r="F58" s="26" t="n">
        <f aca="false">SUMIFS('Boletim_do_Veiculo_2026-09-08_2'!$BM:$BM,'Boletim_do_Veiculo_2026-09-08_2'!$B:$B,$A58)</f>
        <v>2292.68</v>
      </c>
      <c r="G58" s="26" t="n">
        <f aca="false">SUMIFS('Boletim_do_Veiculo_2026-09-08_2'!$BP:$BP,'Boletim_do_Veiculo_2026-09-08_2'!$B:$B,$A58)</f>
        <v>2292.68</v>
      </c>
      <c r="H58" s="26" t="n">
        <f aca="false">SUMIFS('Boletim_do_Veiculo_2026-09-08_2'!$BN:$BN,'Boletim_do_Veiculo_2026-09-08_2'!$B:$B,$A58)</f>
        <v>743.62</v>
      </c>
      <c r="I58" s="26" t="n">
        <f aca="false">COUNTIFS('Boletim_do_Veiculo_2026-09-08_2'!$B:$B,$A58,'Boletim_do_Veiculo_2026-09-08_2'!$R:$R,"&lt;&gt;-")</f>
        <v>7</v>
      </c>
      <c r="J58" s="26" t="n">
        <f aca="false">COUNTIFS('Boletim_do_Veiculo_2026-09-08_2'!$B:$B,$A58,'Boletim_do_Veiculo_2026-09-08_2'!$R:$R,"-")</f>
        <v>0</v>
      </c>
      <c r="K58" s="26" t="n">
        <f aca="false">IF(H58=0,"Sem dados",G58/H58)</f>
        <v>3.08313385869127</v>
      </c>
      <c r="L58" s="27" t="n">
        <f aca="false">IFERROR(INDEX(Metas!$F$10:$F$15,MATCH(1,INDEX((Metas!$B$10:$B$15=C58)*(Metas!$C$10:$C$15=D58),0),0)),"")</f>
        <v>2.84</v>
      </c>
      <c r="M58" s="28" t="n">
        <f aca="false">IF(OR(K58="Sem dados",L58="",L58=0),"",(K58-L58)/L58)</f>
        <v>0.0856105136236858</v>
      </c>
      <c r="N58" s="26" t="str">
        <f aca="false">IF(K58="Sem dados","Sem dados suficientes",IF(M58="","Sem meta definida",IF(M58&gt;=0.02,"Acima da meta",IF(M58&lt;=-0.1,"Crítico: abaixo da meta",IF(M58&lt;0,"Abaixo da meta","Na meta")))))</f>
        <v>Acima da meta</v>
      </c>
      <c r="O58" s="29" t="n">
        <f aca="false">Metas!$D$4</f>
        <v>6</v>
      </c>
      <c r="P58" s="29" t="n">
        <f aca="false">IF(K58="Sem dados","",IFERROR(O58/K58,"Km=0 c/ consumo&gt;0 (ver nota)"))</f>
        <v>1.94607184604916</v>
      </c>
      <c r="Q58" s="29" t="n">
        <f aca="false">H58*O58</f>
        <v>4461.72</v>
      </c>
      <c r="R58" s="30" t="n">
        <f aca="false">IF(OR(K58="Sem dados",L58="",L58=0,K58&gt;=L58),0,H58-(G58/L58))</f>
        <v>0</v>
      </c>
      <c r="S58" s="29" t="n">
        <f aca="false">R58*O58</f>
        <v>0</v>
      </c>
    </row>
    <row r="59" customFormat="false" ht="15" hidden="false" customHeight="false" outlineLevel="0" collapsed="false">
      <c r="A59" s="26" t="s">
        <v>1079</v>
      </c>
      <c r="B59" s="26" t="s">
        <v>1078</v>
      </c>
      <c r="C59" s="26" t="s">
        <v>6128</v>
      </c>
      <c r="D59" s="26" t="s">
        <v>6140</v>
      </c>
      <c r="E59" s="26" t="s">
        <v>6251</v>
      </c>
      <c r="F59" s="26" t="n">
        <f aca="false">SUMIFS('Boletim_do_Veiculo_2026-09-08_2'!$BM:$BM,'Boletim_do_Veiculo_2026-09-08_2'!$B:$B,$A59)</f>
        <v>2539.8</v>
      </c>
      <c r="G59" s="26" t="n">
        <f aca="false">SUMIFS('Boletim_do_Veiculo_2026-09-08_2'!$BP:$BP,'Boletim_do_Veiculo_2026-09-08_2'!$B:$B,$A59)</f>
        <v>2539.8</v>
      </c>
      <c r="H59" s="26" t="n">
        <f aca="false">SUMIFS('Boletim_do_Veiculo_2026-09-08_2'!$BN:$BN,'Boletim_do_Veiculo_2026-09-08_2'!$B:$B,$A59)</f>
        <v>1041.97</v>
      </c>
      <c r="I59" s="26" t="n">
        <f aca="false">COUNTIFS('Boletim_do_Veiculo_2026-09-08_2'!$B:$B,$A59,'Boletim_do_Veiculo_2026-09-08_2'!$R:$R,"&lt;&gt;-")</f>
        <v>7</v>
      </c>
      <c r="J59" s="26" t="n">
        <f aca="false">COUNTIFS('Boletim_do_Veiculo_2026-09-08_2'!$B:$B,$A59,'Boletim_do_Veiculo_2026-09-08_2'!$R:$R,"-")</f>
        <v>0</v>
      </c>
      <c r="K59" s="26" t="n">
        <f aca="false">IF(H59=0,"Sem dados",G59/H59)</f>
        <v>2.43749820052401</v>
      </c>
      <c r="L59" s="27" t="n">
        <f aca="false">IFERROR(INDEX(Metas!$F$10:$F$15,MATCH(1,INDEX((Metas!$B$10:$B$15=C59)*(Metas!$C$10:$C$15=D59),0),0)),"")</f>
        <v>2.84</v>
      </c>
      <c r="M59" s="28" t="n">
        <f aca="false">IF(OR(K59="Sem dados",L59="",L59=0),"",(K59-L59)/L59)</f>
        <v>-0.141725985730983</v>
      </c>
      <c r="N59" s="26" t="str">
        <f aca="false">IF(K59="Sem dados","Sem dados suficientes",IF(M59="","Sem meta definida",IF(M59&gt;=0.02,"Acima da meta",IF(M59&lt;=-0.1,"Crítico: abaixo da meta",IF(M59&lt;0,"Abaixo da meta","Na meta")))))</f>
        <v>Crítico: abaixo da meta</v>
      </c>
      <c r="O59" s="29" t="n">
        <f aca="false">Metas!$D$4</f>
        <v>6</v>
      </c>
      <c r="P59" s="29" t="n">
        <f aca="false">IF(K59="Sem dados","",IFERROR(O59/K59,"Km=0 c/ consumo&gt;0 (ver nota)"))</f>
        <v>2.46154027876211</v>
      </c>
      <c r="Q59" s="29" t="n">
        <f aca="false">H59*O59</f>
        <v>6251.82</v>
      </c>
      <c r="R59" s="30" t="n">
        <f aca="false">IF(OR(K59="Sem dados",L59="",L59=0,K59&gt;=L59),0,H59-(G59/L59))</f>
        <v>147.674225352113</v>
      </c>
      <c r="S59" s="29" t="n">
        <f aca="false">R59*O59</f>
        <v>886.045352112677</v>
      </c>
    </row>
    <row r="60" customFormat="false" ht="15" hidden="false" customHeight="false" outlineLevel="0" collapsed="false">
      <c r="A60" s="26" t="s">
        <v>1152</v>
      </c>
      <c r="B60" s="26" t="s">
        <v>1151</v>
      </c>
      <c r="C60" s="26" t="s">
        <v>6128</v>
      </c>
      <c r="D60" s="26" t="s">
        <v>6140</v>
      </c>
      <c r="E60" s="26" t="s">
        <v>6251</v>
      </c>
      <c r="F60" s="26" t="n">
        <f aca="false">SUMIFS('Boletim_do_Veiculo_2026-09-08_2'!$BM:$BM,'Boletim_do_Veiculo_2026-09-08_2'!$B:$B,$A60)</f>
        <v>1149.39</v>
      </c>
      <c r="G60" s="26" t="n">
        <f aca="false">SUMIFS('Boletim_do_Veiculo_2026-09-08_2'!$BP:$BP,'Boletim_do_Veiculo_2026-09-08_2'!$B:$B,$A60)</f>
        <v>1149.39</v>
      </c>
      <c r="H60" s="26" t="n">
        <f aca="false">SUMIFS('Boletim_do_Veiculo_2026-09-08_2'!$BN:$BN,'Boletim_do_Veiculo_2026-09-08_2'!$B:$B,$A60)</f>
        <v>442.07</v>
      </c>
      <c r="I60" s="26" t="n">
        <f aca="false">COUNTIFS('Boletim_do_Veiculo_2026-09-08_2'!$B:$B,$A60,'Boletim_do_Veiculo_2026-09-08_2'!$R:$R,"&lt;&gt;-")</f>
        <v>7</v>
      </c>
      <c r="J60" s="26" t="n">
        <f aca="false">COUNTIFS('Boletim_do_Veiculo_2026-09-08_2'!$B:$B,$A60,'Boletim_do_Veiculo_2026-09-08_2'!$R:$R,"-")</f>
        <v>0</v>
      </c>
      <c r="K60" s="26" t="n">
        <f aca="false">IF(H60=0,"Sem dados",G60/H60)</f>
        <v>2.60001809668152</v>
      </c>
      <c r="L60" s="27" t="n">
        <f aca="false">IFERROR(INDEX(Metas!$F$10:$F$15,MATCH(1,INDEX((Metas!$B$10:$B$15=C60)*(Metas!$C$10:$C$15=D60),0),0)),"")</f>
        <v>2.84</v>
      </c>
      <c r="M60" s="28" t="n">
        <f aca="false">IF(OR(K60="Sem dados",L60="",L60=0),"",(K60-L60)/L60)</f>
        <v>-0.0845006701825628</v>
      </c>
      <c r="N60" s="26" t="str">
        <f aca="false">IF(K60="Sem dados","Sem dados suficientes",IF(M60="","Sem meta definida",IF(M60&gt;=0.02,"Acima da meta",IF(M60&lt;=-0.1,"Crítico: abaixo da meta",IF(M60&lt;0,"Abaixo da meta","Na meta")))))</f>
        <v>Abaixo da meta</v>
      </c>
      <c r="O60" s="29" t="n">
        <f aca="false">Metas!$D$4</f>
        <v>6</v>
      </c>
      <c r="P60" s="29" t="n">
        <f aca="false">IF(K60="Sem dados","",IFERROR(O60/K60,"Km=0 c/ consumo&gt;0 (ver nota)"))</f>
        <v>2.30767624566074</v>
      </c>
      <c r="Q60" s="29" t="n">
        <f aca="false">H60*O60</f>
        <v>2652.42</v>
      </c>
      <c r="R60" s="30" t="n">
        <f aca="false">IF(OR(K60="Sem dados",L60="",L60=0,K60&gt;=L60),0,H60-(G60/L60))</f>
        <v>37.3552112676056</v>
      </c>
      <c r="S60" s="29" t="n">
        <f aca="false">R60*O60</f>
        <v>224.131267605633</v>
      </c>
    </row>
    <row r="61" customFormat="false" ht="15" hidden="false" customHeight="false" outlineLevel="0" collapsed="false">
      <c r="A61" s="26" t="s">
        <v>1186</v>
      </c>
      <c r="B61" s="26" t="s">
        <v>1185</v>
      </c>
      <c r="C61" s="26" t="s">
        <v>6128</v>
      </c>
      <c r="D61" s="26" t="s">
        <v>6140</v>
      </c>
      <c r="E61" s="26" t="s">
        <v>6251</v>
      </c>
      <c r="F61" s="26" t="n">
        <f aca="false">SUMIFS('Boletim_do_Veiculo_2026-09-08_2'!$BM:$BM,'Boletim_do_Veiculo_2026-09-08_2'!$B:$B,$A61)</f>
        <v>2630.41</v>
      </c>
      <c r="G61" s="26" t="n">
        <f aca="false">SUMIFS('Boletim_do_Veiculo_2026-09-08_2'!$BP:$BP,'Boletim_do_Veiculo_2026-09-08_2'!$B:$B,$A61)</f>
        <v>2630.41</v>
      </c>
      <c r="H61" s="26" t="n">
        <f aca="false">SUMIFS('Boletim_do_Veiculo_2026-09-08_2'!$BN:$BN,'Boletim_do_Veiculo_2026-09-08_2'!$B:$B,$A61)</f>
        <v>932.96</v>
      </c>
      <c r="I61" s="26" t="n">
        <f aca="false">COUNTIFS('Boletim_do_Veiculo_2026-09-08_2'!$B:$B,$A61,'Boletim_do_Veiculo_2026-09-08_2'!$R:$R,"&lt;&gt;-")</f>
        <v>7</v>
      </c>
      <c r="J61" s="26" t="n">
        <f aca="false">COUNTIFS('Boletim_do_Veiculo_2026-09-08_2'!$B:$B,$A61,'Boletim_do_Veiculo_2026-09-08_2'!$R:$R,"-")</f>
        <v>0</v>
      </c>
      <c r="K61" s="26" t="n">
        <f aca="false">IF(H61=0,"Sem dados",G61/H61)</f>
        <v>2.81942419825073</v>
      </c>
      <c r="L61" s="27" t="n">
        <f aca="false">IFERROR(INDEX(Metas!$F$10:$F$15,MATCH(1,INDEX((Metas!$B$10:$B$15=C61)*(Metas!$C$10:$C$15=D61),0),0)),"")</f>
        <v>2.84</v>
      </c>
      <c r="M61" s="28" t="n">
        <f aca="false">IF(OR(K61="Sem dados",L61="",L61=0),"",(K61-L61)/L61)</f>
        <v>-0.00724500061594064</v>
      </c>
      <c r="N61" s="26" t="str">
        <f aca="false">IF(K61="Sem dados","Sem dados suficientes",IF(M61="","Sem meta definida",IF(M61&gt;=0.02,"Acima da meta",IF(M61&lt;=-0.1,"Crítico: abaixo da meta",IF(M61&lt;0,"Abaixo da meta","Na meta")))))</f>
        <v>Abaixo da meta</v>
      </c>
      <c r="O61" s="29" t="n">
        <f aca="false">Metas!$D$4</f>
        <v>6</v>
      </c>
      <c r="P61" s="29" t="n">
        <f aca="false">IF(K61="Sem dados","",IFERROR(O61/K61,"Km=0 c/ consumo&gt;0 (ver nota)"))</f>
        <v>2.12809409939895</v>
      </c>
      <c r="Q61" s="29" t="n">
        <f aca="false">H61*O61</f>
        <v>5597.76</v>
      </c>
      <c r="R61" s="30" t="n">
        <f aca="false">IF(OR(K61="Sem dados",L61="",L61=0,K61&gt;=L61),0,H61-(G61/L61))</f>
        <v>6.75929577464797</v>
      </c>
      <c r="S61" s="29" t="n">
        <f aca="false">R61*O61</f>
        <v>40.5557746478878</v>
      </c>
    </row>
    <row r="62" customFormat="false" ht="15" hidden="false" customHeight="false" outlineLevel="0" collapsed="false">
      <c r="A62" s="26" t="s">
        <v>1220</v>
      </c>
      <c r="B62" s="26" t="s">
        <v>1219</v>
      </c>
      <c r="C62" s="26" t="s">
        <v>6128</v>
      </c>
      <c r="D62" s="26" t="s">
        <v>6140</v>
      </c>
      <c r="E62" s="26" t="s">
        <v>6251</v>
      </c>
      <c r="F62" s="26" t="n">
        <f aca="false">SUMIFS('Boletim_do_Veiculo_2026-09-08_2'!$BM:$BM,'Boletim_do_Veiculo_2026-09-08_2'!$B:$B,$A62)</f>
        <v>3398.83</v>
      </c>
      <c r="G62" s="26" t="n">
        <f aca="false">SUMIFS('Boletim_do_Veiculo_2026-09-08_2'!$BP:$BP,'Boletim_do_Veiculo_2026-09-08_2'!$B:$B,$A62)</f>
        <v>3398.83</v>
      </c>
      <c r="H62" s="26" t="n">
        <f aca="false">SUMIFS('Boletim_do_Veiculo_2026-09-08_2'!$BN:$BN,'Boletim_do_Veiculo_2026-09-08_2'!$B:$B,$A62)</f>
        <v>1177.99</v>
      </c>
      <c r="I62" s="26" t="n">
        <f aca="false">COUNTIFS('Boletim_do_Veiculo_2026-09-08_2'!$B:$B,$A62,'Boletim_do_Veiculo_2026-09-08_2'!$R:$R,"&lt;&gt;-")</f>
        <v>7</v>
      </c>
      <c r="J62" s="26" t="n">
        <f aca="false">COUNTIFS('Boletim_do_Veiculo_2026-09-08_2'!$B:$B,$A62,'Boletim_do_Veiculo_2026-09-08_2'!$R:$R,"-")</f>
        <v>0</v>
      </c>
      <c r="K62" s="26" t="n">
        <f aca="false">IF(H62=0,"Sem dados",G62/H62)</f>
        <v>2.88527916196233</v>
      </c>
      <c r="L62" s="27" t="n">
        <f aca="false">IFERROR(INDEX(Metas!$F$10:$F$15,MATCH(1,INDEX((Metas!$B$10:$B$15=C62)*(Metas!$C$10:$C$15=D62),0),0)),"")</f>
        <v>2.84</v>
      </c>
      <c r="M62" s="28" t="n">
        <f aca="false">IF(OR(K62="Sem dados",L62="",L62=0),"",(K62-L62)/L62)</f>
        <v>0.0159433668881428</v>
      </c>
      <c r="N62" s="26" t="str">
        <f aca="false">IF(K62="Sem dados","Sem dados suficientes",IF(M62="","Sem meta definida",IF(M62&gt;=0.02,"Acima da meta",IF(M62&lt;=-0.1,"Crítico: abaixo da meta",IF(M62&lt;0,"Abaixo da meta","Na meta")))))</f>
        <v>Na meta</v>
      </c>
      <c r="O62" s="29" t="n">
        <f aca="false">Metas!$D$4</f>
        <v>6</v>
      </c>
      <c r="P62" s="29" t="n">
        <f aca="false">IF(K62="Sem dados","",IFERROR(O62/K62,"Km=0 c/ consumo&gt;0 (ver nota)"))</f>
        <v>2.07952148239247</v>
      </c>
      <c r="Q62" s="29" t="n">
        <f aca="false">H62*O62</f>
        <v>7067.94</v>
      </c>
      <c r="R62" s="30" t="n">
        <f aca="false">IF(OR(K62="Sem dados",L62="",L62=0,K62&gt;=L62),0,H62-(G62/L62))</f>
        <v>0</v>
      </c>
      <c r="S62" s="29" t="n">
        <f aca="false">R62*O62</f>
        <v>0</v>
      </c>
    </row>
    <row r="63" customFormat="false" ht="15" hidden="false" customHeight="false" outlineLevel="0" collapsed="false">
      <c r="A63" s="26" t="s">
        <v>1253</v>
      </c>
      <c r="B63" s="26" t="s">
        <v>6200</v>
      </c>
      <c r="C63" s="26" t="s">
        <v>6128</v>
      </c>
      <c r="D63" s="26" t="s">
        <v>6130</v>
      </c>
      <c r="E63" s="26" t="s">
        <v>6251</v>
      </c>
      <c r="F63" s="26" t="n">
        <f aca="false">SUMIFS('Boletim_do_Veiculo_2026-09-08_2'!$BM:$BM,'Boletim_do_Veiculo_2026-09-08_2'!$B:$B,$A63)</f>
        <v>1332.88</v>
      </c>
      <c r="G63" s="26" t="n">
        <f aca="false">SUMIFS('Boletim_do_Veiculo_2026-09-08_2'!$BP:$BP,'Boletim_do_Veiculo_2026-09-08_2'!$B:$B,$A63)</f>
        <v>1332.88</v>
      </c>
      <c r="H63" s="26" t="n">
        <f aca="false">SUMIFS('Boletim_do_Veiculo_2026-09-08_2'!$BN:$BN,'Boletim_do_Veiculo_2026-09-08_2'!$B:$B,$A63)</f>
        <v>472.05</v>
      </c>
      <c r="I63" s="26" t="n">
        <f aca="false">COUNTIFS('Boletim_do_Veiculo_2026-09-08_2'!$B:$B,$A63,'Boletim_do_Veiculo_2026-09-08_2'!$R:$R,"&lt;&gt;-")</f>
        <v>5</v>
      </c>
      <c r="J63" s="26" t="n">
        <f aca="false">COUNTIFS('Boletim_do_Veiculo_2026-09-08_2'!$B:$B,$A63,'Boletim_do_Veiculo_2026-09-08_2'!$R:$R,"-")</f>
        <v>0</v>
      </c>
      <c r="K63" s="26" t="n">
        <f aca="false">IF(H63=0,"Sem dados",G63/H63)</f>
        <v>2.82359919500053</v>
      </c>
      <c r="L63" s="27" t="n">
        <f aca="false">IFERROR(INDEX(Metas!$F$10:$F$15,MATCH(1,INDEX((Metas!$B$10:$B$15=C63)*(Metas!$C$10:$C$15=D63),0),0)),"")</f>
        <v>3.02</v>
      </c>
      <c r="M63" s="28" t="n">
        <f aca="false">IF(OR(K63="Sem dados",L63="",L63=0),"",(K63-L63)/L63)</f>
        <v>-0.0650333791388975</v>
      </c>
      <c r="N63" s="26" t="str">
        <f aca="false">IF(K63="Sem dados","Sem dados suficientes",IF(M63="","Sem meta definida",IF(M63&gt;=0.02,"Acima da meta",IF(M63&lt;=-0.1,"Crítico: abaixo da meta",IF(M63&lt;0,"Abaixo da meta","Na meta")))))</f>
        <v>Abaixo da meta</v>
      </c>
      <c r="O63" s="29" t="n">
        <f aca="false">Metas!$D$4</f>
        <v>6</v>
      </c>
      <c r="P63" s="29" t="n">
        <f aca="false">IF(K63="Sem dados","",IFERROR(O63/K63,"Km=0 c/ consumo&gt;0 (ver nota)"))</f>
        <v>2.12494748214393</v>
      </c>
      <c r="Q63" s="29" t="n">
        <f aca="false">H63*O63</f>
        <v>2832.3</v>
      </c>
      <c r="R63" s="30" t="n">
        <f aca="false">IF(OR(K63="Sem dados",L63="",L63=0,K63&gt;=L63),0,H63-(G63/L63))</f>
        <v>30.6990066225166</v>
      </c>
      <c r="S63" s="29" t="n">
        <f aca="false">R63*O63</f>
        <v>184.194039735099</v>
      </c>
    </row>
    <row r="64" customFormat="false" ht="15" hidden="false" customHeight="false" outlineLevel="0" collapsed="false">
      <c r="A64" s="26" t="s">
        <v>3545</v>
      </c>
      <c r="B64" s="26" t="s">
        <v>3544</v>
      </c>
      <c r="C64" s="26" t="s">
        <v>6128</v>
      </c>
      <c r="D64" s="26" t="s">
        <v>6130</v>
      </c>
      <c r="E64" s="26" t="s">
        <v>6250</v>
      </c>
      <c r="F64" s="26" t="n">
        <f aca="false">SUMIFS('Boletim_do_Veiculo_2026-09-08_2'!$BM:$BM,'Boletim_do_Veiculo_2026-09-08_2'!$B:$B,$A64)</f>
        <v>1632.55</v>
      </c>
      <c r="G64" s="26" t="n">
        <f aca="false">SUMIFS('Boletim_do_Veiculo_2026-09-08_2'!$BP:$BP,'Boletim_do_Veiculo_2026-09-08_2'!$B:$B,$A64)</f>
        <v>1632.55</v>
      </c>
      <c r="H64" s="26" t="n">
        <f aca="false">SUMIFS('Boletim_do_Veiculo_2026-09-08_2'!$BN:$BN,'Boletim_do_Veiculo_2026-09-08_2'!$B:$B,$A64)</f>
        <v>536.28</v>
      </c>
      <c r="I64" s="26" t="n">
        <f aca="false">COUNTIFS('Boletim_do_Veiculo_2026-09-08_2'!$B:$B,$A64,'Boletim_do_Veiculo_2026-09-08_2'!$R:$R,"&lt;&gt;-")</f>
        <v>4</v>
      </c>
      <c r="J64" s="26" t="n">
        <f aca="false">COUNTIFS('Boletim_do_Veiculo_2026-09-08_2'!$B:$B,$A64,'Boletim_do_Veiculo_2026-09-08_2'!$R:$R,"-")</f>
        <v>2</v>
      </c>
      <c r="K64" s="26" t="n">
        <f aca="false">IF(H64=0,"Sem dados",G64/H64)</f>
        <v>3.04421197881704</v>
      </c>
      <c r="L64" s="27" t="n">
        <f aca="false">IFERROR(INDEX(Metas!$F$10:$F$15,MATCH(1,INDEX((Metas!$B$10:$B$15=C64)*(Metas!$C$10:$C$15=D64),0),0)),"")</f>
        <v>3.02</v>
      </c>
      <c r="M64" s="28" t="n">
        <f aca="false">IF(OR(K64="Sem dados",L64="",L64=0),"",(K64-L64)/L64)</f>
        <v>0.00801721152881989</v>
      </c>
      <c r="N64" s="26" t="str">
        <f aca="false">IF(K64="Sem dados","Sem dados suficientes",IF(M64="","Sem meta definida",IF(M64&gt;=0.02,"Acima da meta",IF(M64&lt;=-0.1,"Crítico: abaixo da meta",IF(M64&lt;0,"Abaixo da meta","Na meta")))))</f>
        <v>Na meta</v>
      </c>
      <c r="O64" s="29" t="n">
        <f aca="false">Metas!$D$4</f>
        <v>6</v>
      </c>
      <c r="P64" s="29" t="n">
        <f aca="false">IF(K64="Sem dados","",IFERROR(O64/K64,"Km=0 c/ consumo&gt;0 (ver nota)"))</f>
        <v>1.97095341643441</v>
      </c>
      <c r="Q64" s="29" t="n">
        <f aca="false">H64*O64</f>
        <v>3217.68</v>
      </c>
      <c r="R64" s="30" t="n">
        <f aca="false">IF(OR(K64="Sem dados",L64="",L64=0,K64&gt;=L64),0,H64-(G64/L64))</f>
        <v>0</v>
      </c>
      <c r="S64" s="29" t="n">
        <f aca="false">R64*O64</f>
        <v>0</v>
      </c>
    </row>
    <row r="65" customFormat="false" ht="15" hidden="false" customHeight="false" outlineLevel="0" collapsed="false">
      <c r="A65" s="26" t="s">
        <v>1274</v>
      </c>
      <c r="B65" s="26" t="s">
        <v>1273</v>
      </c>
      <c r="C65" s="26" t="s">
        <v>6128</v>
      </c>
      <c r="D65" s="26" t="s">
        <v>6130</v>
      </c>
      <c r="E65" s="26" t="s">
        <v>6250</v>
      </c>
      <c r="F65" s="26" t="n">
        <f aca="false">SUMIFS('Boletim_do_Veiculo_2026-09-08_2'!$BM:$BM,'Boletim_do_Veiculo_2026-09-08_2'!$B:$B,$A65)</f>
        <v>0</v>
      </c>
      <c r="G65" s="26" t="n">
        <f aca="false">SUMIFS('Boletim_do_Veiculo_2026-09-08_2'!$BP:$BP,'Boletim_do_Veiculo_2026-09-08_2'!$B:$B,$A65)</f>
        <v>0</v>
      </c>
      <c r="H65" s="26" t="n">
        <f aca="false">SUMIFS('Boletim_do_Veiculo_2026-09-08_2'!$BN:$BN,'Boletim_do_Veiculo_2026-09-08_2'!$B:$B,$A65)</f>
        <v>7.79</v>
      </c>
      <c r="I65" s="26" t="n">
        <f aca="false">COUNTIFS('Boletim_do_Veiculo_2026-09-08_2'!$B:$B,$A65,'Boletim_do_Veiculo_2026-09-08_2'!$R:$R,"&lt;&gt;-")</f>
        <v>2</v>
      </c>
      <c r="J65" s="26" t="n">
        <f aca="false">COUNTIFS('Boletim_do_Veiculo_2026-09-08_2'!$B:$B,$A65,'Boletim_do_Veiculo_2026-09-08_2'!$R:$R,"-")</f>
        <v>1</v>
      </c>
      <c r="K65" s="26" t="n">
        <f aca="false">IF(H65=0,"Sem dados",G65/H65)</f>
        <v>0</v>
      </c>
      <c r="L65" s="27" t="n">
        <f aca="false">IFERROR(INDEX(Metas!$F$10:$F$15,MATCH(1,INDEX((Metas!$B$10:$B$15=C65)*(Metas!$C$10:$C$15=D65),0),0)),"")</f>
        <v>3.02</v>
      </c>
      <c r="M65" s="28" t="n">
        <f aca="false">IF(OR(K65="Sem dados",L65="",L65=0),"",(K65-L65)/L65)</f>
        <v>-1</v>
      </c>
      <c r="N65" s="26" t="str">
        <f aca="false">IF(K65="Sem dados","Sem dados suficientes",IF(M65="","Sem meta definida",IF(M65&gt;=0.02,"Acima da meta",IF(M65&lt;=-0.1,"Crítico: abaixo da meta",IF(M65&lt;0,"Abaixo da meta","Na meta")))))</f>
        <v>Crítico: abaixo da meta</v>
      </c>
      <c r="O65" s="29" t="n">
        <f aca="false">Metas!$D$4</f>
        <v>6</v>
      </c>
      <c r="P65" s="29" t="str">
        <f aca="false">IF(K65="Sem dados","",IFERROR(O65/K65,"Km=0 c/ consumo&gt;0 (ver nota)"))</f>
        <v>Km=0 c/ consumo&gt;0 (ver nota)</v>
      </c>
      <c r="Q65" s="29" t="n">
        <f aca="false">H65*O65</f>
        <v>46.74</v>
      </c>
      <c r="R65" s="30" t="n">
        <f aca="false">IF(OR(K65="Sem dados",L65="",L65=0,K65&gt;=L65),0,H65-(G65/L65))</f>
        <v>7.79</v>
      </c>
      <c r="S65" s="29" t="n">
        <f aca="false">R65*O65</f>
        <v>46.74</v>
      </c>
    </row>
    <row r="66" customFormat="false" ht="15" hidden="false" customHeight="false" outlineLevel="0" collapsed="false">
      <c r="A66" s="26" t="s">
        <v>1280</v>
      </c>
      <c r="B66" s="26" t="s">
        <v>1279</v>
      </c>
      <c r="C66" s="26" t="s">
        <v>6128</v>
      </c>
      <c r="D66" s="26" t="s">
        <v>6130</v>
      </c>
      <c r="E66" s="26" t="s">
        <v>6253</v>
      </c>
      <c r="F66" s="26" t="n">
        <f aca="false">SUMIFS('Boletim_do_Veiculo_2026-09-08_2'!$BM:$BM,'Boletim_do_Veiculo_2026-09-08_2'!$B:$B,$A66)</f>
        <v>2893.78</v>
      </c>
      <c r="G66" s="26" t="n">
        <f aca="false">SUMIFS('Boletim_do_Veiculo_2026-09-08_2'!$BP:$BP,'Boletim_do_Veiculo_2026-09-08_2'!$B:$B,$A66)</f>
        <v>0</v>
      </c>
      <c r="H66" s="26" t="n">
        <f aca="false">SUMIFS('Boletim_do_Veiculo_2026-09-08_2'!$BN:$BN,'Boletim_do_Veiculo_2026-09-08_2'!$B:$B,$A66)</f>
        <v>0</v>
      </c>
      <c r="I66" s="26" t="n">
        <f aca="false">COUNTIFS('Boletim_do_Veiculo_2026-09-08_2'!$B:$B,$A66,'Boletim_do_Veiculo_2026-09-08_2'!$R:$R,"&lt;&gt;-")</f>
        <v>0</v>
      </c>
      <c r="J66" s="26" t="n">
        <f aca="false">COUNTIFS('Boletim_do_Veiculo_2026-09-08_2'!$B:$B,$A66,'Boletim_do_Veiculo_2026-09-08_2'!$R:$R,"-")</f>
        <v>7</v>
      </c>
      <c r="K66" s="26" t="str">
        <f aca="false">IF(H66=0,"Sem dados",G66/H66)</f>
        <v>Sem dados</v>
      </c>
      <c r="L66" s="27" t="n">
        <f aca="false">IFERROR(INDEX(Metas!$F$10:$F$15,MATCH(1,INDEX((Metas!$B$10:$B$15=C66)*(Metas!$C$10:$C$15=D66),0),0)),"")</f>
        <v>3.02</v>
      </c>
      <c r="M66" s="28" t="str">
        <f aca="false">IF(OR(K66="Sem dados",L66="",L66=0),"",(K66-L66)/L66)</f>
        <v/>
      </c>
      <c r="N66" s="26" t="str">
        <f aca="false">IF(K66="Sem dados","Sem dados suficientes",IF(M66="","Sem meta definida",IF(M66&gt;=0.02,"Acima da meta",IF(M66&lt;=-0.1,"Crítico: abaixo da meta",IF(M66&lt;0,"Abaixo da meta","Na meta")))))</f>
        <v>Sem dados suficientes</v>
      </c>
      <c r="O66" s="29" t="n">
        <f aca="false">Metas!$D$4</f>
        <v>6</v>
      </c>
      <c r="P66" s="29" t="str">
        <f aca="false">IF(K66="Sem dados","",IFERROR(O66/K66,"Km=0 c/ consumo&gt;0 (ver nota)"))</f>
        <v/>
      </c>
      <c r="Q66" s="29" t="n">
        <f aca="false">H66*O66</f>
        <v>0</v>
      </c>
      <c r="R66" s="30" t="n">
        <f aca="false">IF(OR(K66="Sem dados",L66="",L66=0,K66&gt;=L66),0,H66-(G66/L66))</f>
        <v>0</v>
      </c>
      <c r="S66" s="29" t="n">
        <f aca="false">R66*O66</f>
        <v>0</v>
      </c>
    </row>
    <row r="67" customFormat="false" ht="15" hidden="false" customHeight="false" outlineLevel="0" collapsed="false">
      <c r="A67" s="26" t="s">
        <v>1320</v>
      </c>
      <c r="B67" s="26" t="s">
        <v>1319</v>
      </c>
      <c r="C67" s="26" t="s">
        <v>6128</v>
      </c>
      <c r="D67" s="26" t="s">
        <v>6130</v>
      </c>
      <c r="E67" s="26" t="s">
        <v>6251</v>
      </c>
      <c r="F67" s="26" t="n">
        <f aca="false">SUMIFS('Boletim_do_Veiculo_2026-09-08_2'!$BM:$BM,'Boletim_do_Veiculo_2026-09-08_2'!$B:$B,$A67)</f>
        <v>3435.27</v>
      </c>
      <c r="G67" s="26" t="n">
        <f aca="false">SUMIFS('Boletim_do_Veiculo_2026-09-08_2'!$BP:$BP,'Boletim_do_Veiculo_2026-09-08_2'!$B:$B,$A67)</f>
        <v>3435.27</v>
      </c>
      <c r="H67" s="26" t="n">
        <f aca="false">SUMIFS('Boletim_do_Veiculo_2026-09-08_2'!$BN:$BN,'Boletim_do_Veiculo_2026-09-08_2'!$B:$B,$A67)</f>
        <v>1120.2</v>
      </c>
      <c r="I67" s="26" t="n">
        <f aca="false">COUNTIFS('Boletim_do_Veiculo_2026-09-08_2'!$B:$B,$A67,'Boletim_do_Veiculo_2026-09-08_2'!$R:$R,"&lt;&gt;-")</f>
        <v>7</v>
      </c>
      <c r="J67" s="26" t="n">
        <f aca="false">COUNTIFS('Boletim_do_Veiculo_2026-09-08_2'!$B:$B,$A67,'Boletim_do_Veiculo_2026-09-08_2'!$R:$R,"-")</f>
        <v>0</v>
      </c>
      <c r="K67" s="26" t="n">
        <f aca="false">IF(H67=0,"Sem dados",G67/H67)</f>
        <v>3.06665773968934</v>
      </c>
      <c r="L67" s="27" t="n">
        <f aca="false">IFERROR(INDEX(Metas!$F$10:$F$15,MATCH(1,INDEX((Metas!$B$10:$B$15=C67)*(Metas!$C$10:$C$15=D67),0),0)),"")</f>
        <v>3.02</v>
      </c>
      <c r="M67" s="28" t="n">
        <f aca="false">IF(OR(K67="Sem dados",L67="",L67=0),"",(K67-L67)/L67)</f>
        <v>0.0154495826785898</v>
      </c>
      <c r="N67" s="26" t="str">
        <f aca="false">IF(K67="Sem dados","Sem dados suficientes",IF(M67="","Sem meta definida",IF(M67&gt;=0.02,"Acima da meta",IF(M67&lt;=-0.1,"Crítico: abaixo da meta",IF(M67&lt;0,"Abaixo da meta","Na meta")))))</f>
        <v>Na meta</v>
      </c>
      <c r="O67" s="29" t="n">
        <f aca="false">Metas!$D$4</f>
        <v>6</v>
      </c>
      <c r="P67" s="29" t="n">
        <f aca="false">IF(K67="Sem dados","",IFERROR(O67/K67,"Km=0 c/ consumo&gt;0 (ver nota)"))</f>
        <v>1.9565274345248</v>
      </c>
      <c r="Q67" s="29" t="n">
        <f aca="false">H67*O67</f>
        <v>6721.2</v>
      </c>
      <c r="R67" s="30" t="n">
        <f aca="false">IF(OR(K67="Sem dados",L67="",L67=0,K67&gt;=L67),0,H67-(G67/L67))</f>
        <v>0</v>
      </c>
      <c r="S67" s="29" t="n">
        <f aca="false">R67*O67</f>
        <v>0</v>
      </c>
    </row>
    <row r="68" customFormat="false" ht="15" hidden="false" customHeight="false" outlineLevel="0" collapsed="false">
      <c r="A68" s="26" t="s">
        <v>2104</v>
      </c>
      <c r="B68" s="26" t="s">
        <v>6206</v>
      </c>
      <c r="C68" s="26" t="s">
        <v>6128</v>
      </c>
      <c r="D68" s="26" t="s">
        <v>6130</v>
      </c>
      <c r="E68" s="26" t="s">
        <v>6251</v>
      </c>
      <c r="F68" s="26" t="n">
        <f aca="false">SUMIFS('Boletim_do_Veiculo_2026-09-08_2'!$BM:$BM,'Boletim_do_Veiculo_2026-09-08_2'!$B:$B,$A68)</f>
        <v>2023.52</v>
      </c>
      <c r="G68" s="26" t="n">
        <f aca="false">SUMIFS('Boletim_do_Veiculo_2026-09-08_2'!$BP:$BP,'Boletim_do_Veiculo_2026-09-08_2'!$B:$B,$A68)</f>
        <v>2023.52</v>
      </c>
      <c r="H68" s="26" t="n">
        <f aca="false">SUMIFS('Boletim_do_Veiculo_2026-09-08_2'!$BN:$BN,'Boletim_do_Veiculo_2026-09-08_2'!$B:$B,$A68)</f>
        <v>655.39</v>
      </c>
      <c r="I68" s="26" t="n">
        <f aca="false">COUNTIFS('Boletim_do_Veiculo_2026-09-08_2'!$B:$B,$A68,'Boletim_do_Veiculo_2026-09-08_2'!$R:$R,"&lt;&gt;-")</f>
        <v>7</v>
      </c>
      <c r="J68" s="26" t="n">
        <f aca="false">COUNTIFS('Boletim_do_Veiculo_2026-09-08_2'!$B:$B,$A68,'Boletim_do_Veiculo_2026-09-08_2'!$R:$R,"-")</f>
        <v>0</v>
      </c>
      <c r="K68" s="26" t="n">
        <f aca="false">IF(H68=0,"Sem dados",G68/H68)</f>
        <v>3.08750514960558</v>
      </c>
      <c r="L68" s="27" t="n">
        <f aca="false">IFERROR(INDEX(Metas!$F$10:$F$15,MATCH(1,INDEX((Metas!$B$10:$B$15=C68)*(Metas!$C$10:$C$15=D68),0),0)),"")</f>
        <v>3.02</v>
      </c>
      <c r="M68" s="28" t="n">
        <f aca="false">IF(OR(K68="Sem dados",L68="",L68=0),"",(K68-L68)/L68)</f>
        <v>0.0223526985448935</v>
      </c>
      <c r="N68" s="26" t="str">
        <f aca="false">IF(K68="Sem dados","Sem dados suficientes",IF(M68="","Sem meta definida",IF(M68&gt;=0.02,"Acima da meta",IF(M68&lt;=-0.1,"Crítico: abaixo da meta",IF(M68&lt;0,"Abaixo da meta","Na meta")))))</f>
        <v>Acima da meta</v>
      </c>
      <c r="O68" s="29" t="n">
        <f aca="false">Metas!$D$4</f>
        <v>6</v>
      </c>
      <c r="P68" s="29" t="n">
        <f aca="false">IF(K68="Sem dados","",IFERROR(O68/K68,"Km=0 c/ consumo&gt;0 (ver nota)"))</f>
        <v>1.94331659682138</v>
      </c>
      <c r="Q68" s="29" t="n">
        <f aca="false">H68*O68</f>
        <v>3932.34</v>
      </c>
      <c r="R68" s="30" t="n">
        <f aca="false">IF(OR(K68="Sem dados",L68="",L68=0,K68&gt;=L68),0,H68-(G68/L68))</f>
        <v>0</v>
      </c>
      <c r="S68" s="29" t="n">
        <f aca="false">R68*O68</f>
        <v>0</v>
      </c>
    </row>
    <row r="69" customFormat="false" ht="15" hidden="false" customHeight="false" outlineLevel="0" collapsed="false">
      <c r="A69" s="26" t="s">
        <v>2072</v>
      </c>
      <c r="B69" s="26" t="s">
        <v>2071</v>
      </c>
      <c r="C69" s="26" t="s">
        <v>6128</v>
      </c>
      <c r="D69" s="26" t="s">
        <v>6130</v>
      </c>
      <c r="E69" s="26" t="s">
        <v>6253</v>
      </c>
      <c r="F69" s="26" t="n">
        <f aca="false">SUMIFS('Boletim_do_Veiculo_2026-09-08_2'!$BM:$BM,'Boletim_do_Veiculo_2026-09-08_2'!$B:$B,$A69)</f>
        <v>1233.75</v>
      </c>
      <c r="G69" s="26" t="n">
        <f aca="false">SUMIFS('Boletim_do_Veiculo_2026-09-08_2'!$BP:$BP,'Boletim_do_Veiculo_2026-09-08_2'!$B:$B,$A69)</f>
        <v>0</v>
      </c>
      <c r="H69" s="26" t="n">
        <f aca="false">SUMIFS('Boletim_do_Veiculo_2026-09-08_2'!$BN:$BN,'Boletim_do_Veiculo_2026-09-08_2'!$B:$B,$A69)</f>
        <v>0</v>
      </c>
      <c r="I69" s="26" t="n">
        <f aca="false">COUNTIFS('Boletim_do_Veiculo_2026-09-08_2'!$B:$B,$A69,'Boletim_do_Veiculo_2026-09-08_2'!$R:$R,"&lt;&gt;-")</f>
        <v>0</v>
      </c>
      <c r="J69" s="26" t="n">
        <f aca="false">COUNTIFS('Boletim_do_Veiculo_2026-09-08_2'!$B:$B,$A69,'Boletim_do_Veiculo_2026-09-08_2'!$R:$R,"-")</f>
        <v>5</v>
      </c>
      <c r="K69" s="26" t="str">
        <f aca="false">IF(H69=0,"Sem dados",G69/H69)</f>
        <v>Sem dados</v>
      </c>
      <c r="L69" s="27" t="n">
        <f aca="false">IFERROR(INDEX(Metas!$F$10:$F$15,MATCH(1,INDEX((Metas!$B$10:$B$15=C69)*(Metas!$C$10:$C$15=D69),0),0)),"")</f>
        <v>3.02</v>
      </c>
      <c r="M69" s="28" t="str">
        <f aca="false">IF(OR(K69="Sem dados",L69="",L69=0),"",(K69-L69)/L69)</f>
        <v/>
      </c>
      <c r="N69" s="26" t="str">
        <f aca="false">IF(K69="Sem dados","Sem dados suficientes",IF(M69="","Sem meta definida",IF(M69&gt;=0.02,"Acima da meta",IF(M69&lt;=-0.1,"Crítico: abaixo da meta",IF(M69&lt;0,"Abaixo da meta","Na meta")))))</f>
        <v>Sem dados suficientes</v>
      </c>
      <c r="O69" s="29" t="n">
        <f aca="false">Metas!$D$4</f>
        <v>6</v>
      </c>
      <c r="P69" s="29" t="str">
        <f aca="false">IF(K69="Sem dados","",IFERROR(O69/K69,"Km=0 c/ consumo&gt;0 (ver nota)"))</f>
        <v/>
      </c>
      <c r="Q69" s="29" t="n">
        <f aca="false">H69*O69</f>
        <v>0</v>
      </c>
      <c r="R69" s="30" t="n">
        <f aca="false">IF(OR(K69="Sem dados",L69="",L69=0,K69&gt;=L69),0,H69-(G69/L69))</f>
        <v>0</v>
      </c>
      <c r="S69" s="29" t="n">
        <f aca="false">R69*O69</f>
        <v>0</v>
      </c>
    </row>
    <row r="70" customFormat="false" ht="15" hidden="false" customHeight="false" outlineLevel="0" collapsed="false">
      <c r="A70" s="26" t="s">
        <v>2516</v>
      </c>
      <c r="B70" s="26" t="s">
        <v>2515</v>
      </c>
      <c r="C70" s="26" t="s">
        <v>6128</v>
      </c>
      <c r="D70" s="26" t="s">
        <v>6133</v>
      </c>
      <c r="E70" s="26" t="s">
        <v>6252</v>
      </c>
      <c r="F70" s="26" t="n">
        <f aca="false">SUMIFS('Boletim_do_Veiculo_2026-09-08_2'!$BM:$BM,'Boletim_do_Veiculo_2026-09-08_2'!$B:$B,$A70)</f>
        <v>59.53</v>
      </c>
      <c r="G70" s="26" t="n">
        <f aca="false">SUMIFS('Boletim_do_Veiculo_2026-09-08_2'!$BP:$BP,'Boletim_do_Veiculo_2026-09-08_2'!$B:$B,$A70)</f>
        <v>59.53</v>
      </c>
      <c r="H70" s="26" t="n">
        <f aca="false">SUMIFS('Boletim_do_Veiculo_2026-09-08_2'!$BN:$BN,'Boletim_do_Veiculo_2026-09-08_2'!$B:$B,$A70)</f>
        <v>25.22</v>
      </c>
      <c r="I70" s="26" t="n">
        <f aca="false">COUNTIFS('Boletim_do_Veiculo_2026-09-08_2'!$B:$B,$A70,'Boletim_do_Veiculo_2026-09-08_2'!$R:$R,"&lt;&gt;-")</f>
        <v>5</v>
      </c>
      <c r="J70" s="26" t="n">
        <f aca="false">COUNTIFS('Boletim_do_Veiculo_2026-09-08_2'!$B:$B,$A70,'Boletim_do_Veiculo_2026-09-08_2'!$R:$R,"-")</f>
        <v>1</v>
      </c>
      <c r="K70" s="26" t="n">
        <f aca="false">IF(H70=0,"Sem dados",G70/H70)</f>
        <v>2.36042823156225</v>
      </c>
      <c r="L70" s="27" t="n">
        <f aca="false">IFERROR(INDEX(Metas!$F$10:$F$15,MATCH(1,INDEX((Metas!$B$10:$B$15=C70)*(Metas!$C$10:$C$15=D70),0),0)),"")</f>
        <v>3.24</v>
      </c>
      <c r="M70" s="28" t="n">
        <f aca="false">IF(OR(K70="Sem dados",L70="",L70=0),"",(K70-L70)/L70)</f>
        <v>-0.271472768036342</v>
      </c>
      <c r="N70" s="26" t="str">
        <f aca="false">IF(K70="Sem dados","Sem dados suficientes",IF(M70="","Sem meta definida",IF(M70&gt;=0.02,"Acima da meta",IF(M70&lt;=-0.1,"Crítico: abaixo da meta",IF(M70&lt;0,"Abaixo da meta","Na meta")))))</f>
        <v>Crítico: abaixo da meta</v>
      </c>
      <c r="O70" s="29" t="n">
        <f aca="false">Metas!$D$4</f>
        <v>6</v>
      </c>
      <c r="P70" s="29" t="n">
        <f aca="false">IF(K70="Sem dados","",IFERROR(O70/K70,"Km=0 c/ consumo&gt;0 (ver nota)"))</f>
        <v>2.54191164118932</v>
      </c>
      <c r="Q70" s="29" t="n">
        <f aca="false">H70*O70</f>
        <v>151.32</v>
      </c>
      <c r="R70" s="30" t="n">
        <f aca="false">IF(OR(K70="Sem dados",L70="",L70=0,K70&gt;=L70),0,H70-(G70/L70))</f>
        <v>6.84654320987655</v>
      </c>
      <c r="S70" s="29" t="n">
        <f aca="false">R70*O70</f>
        <v>41.0792592592593</v>
      </c>
    </row>
    <row r="71" customFormat="false" ht="15" hidden="false" customHeight="false" outlineLevel="0" collapsed="false">
      <c r="A71" s="26" t="s">
        <v>2532</v>
      </c>
      <c r="B71" s="26" t="s">
        <v>2531</v>
      </c>
      <c r="C71" s="26" t="s">
        <v>6128</v>
      </c>
      <c r="D71" s="26" t="s">
        <v>6133</v>
      </c>
      <c r="E71" s="26" t="s">
        <v>6251</v>
      </c>
      <c r="F71" s="26" t="n">
        <f aca="false">SUMIFS('Boletim_do_Veiculo_2026-09-08_2'!$BM:$BM,'Boletim_do_Veiculo_2026-09-08_2'!$B:$B,$A71)</f>
        <v>317.45</v>
      </c>
      <c r="G71" s="26" t="n">
        <f aca="false">SUMIFS('Boletim_do_Veiculo_2026-09-08_2'!$BP:$BP,'Boletim_do_Veiculo_2026-09-08_2'!$B:$B,$A71)</f>
        <v>317.45</v>
      </c>
      <c r="H71" s="26" t="n">
        <f aca="false">SUMIFS('Boletim_do_Veiculo_2026-09-08_2'!$BN:$BN,'Boletim_do_Veiculo_2026-09-08_2'!$B:$B,$A71)</f>
        <v>98.1</v>
      </c>
      <c r="I71" s="26" t="n">
        <f aca="false">COUNTIFS('Boletim_do_Veiculo_2026-09-08_2'!$B:$B,$A71,'Boletim_do_Veiculo_2026-09-08_2'!$R:$R,"&lt;&gt;-")</f>
        <v>6</v>
      </c>
      <c r="J71" s="26" t="n">
        <f aca="false">COUNTIFS('Boletim_do_Veiculo_2026-09-08_2'!$B:$B,$A71,'Boletim_do_Veiculo_2026-09-08_2'!$R:$R,"-")</f>
        <v>0</v>
      </c>
      <c r="K71" s="26" t="n">
        <f aca="false">IF(H71=0,"Sem dados",G71/H71)</f>
        <v>3.23598369011213</v>
      </c>
      <c r="L71" s="27" t="n">
        <f aca="false">IFERROR(INDEX(Metas!$F$10:$F$15,MATCH(1,INDEX((Metas!$B$10:$B$15=C71)*(Metas!$C$10:$C$15=D71),0),0)),"")</f>
        <v>3.24</v>
      </c>
      <c r="M71" s="28" t="n">
        <f aca="false">IF(OR(K71="Sem dados",L71="",L71=0),"",(K71-L71)/L71)</f>
        <v>-0.00123960181724384</v>
      </c>
      <c r="N71" s="26" t="str">
        <f aca="false">IF(K71="Sem dados","Sem dados suficientes",IF(M71="","Sem meta definida",IF(M71&gt;=0.02,"Acima da meta",IF(M71&lt;=-0.1,"Crítico: abaixo da meta",IF(M71&lt;0,"Abaixo da meta","Na meta")))))</f>
        <v>Abaixo da meta</v>
      </c>
      <c r="O71" s="29" t="n">
        <f aca="false">Metas!$D$4</f>
        <v>6</v>
      </c>
      <c r="P71" s="29" t="n">
        <f aca="false">IF(K71="Sem dados","",IFERROR(O71/K71,"Km=0 c/ consumo&gt;0 (ver nota)"))</f>
        <v>1.85415025988345</v>
      </c>
      <c r="Q71" s="29" t="n">
        <f aca="false">H71*O71</f>
        <v>588.6</v>
      </c>
      <c r="R71" s="30" t="n">
        <f aca="false">IF(OR(K71="Sem dados",L71="",L71=0,K71&gt;=L71),0,H71-(G71/L71))</f>
        <v>0.121604938271616</v>
      </c>
      <c r="S71" s="29" t="n">
        <f aca="false">R71*O71</f>
        <v>0.729629629629699</v>
      </c>
    </row>
    <row r="72" customFormat="false" ht="15" hidden="false" customHeight="false" outlineLevel="0" collapsed="false">
      <c r="A72" s="26" t="s">
        <v>2579</v>
      </c>
      <c r="B72" s="26" t="s">
        <v>6180</v>
      </c>
      <c r="C72" s="26" t="s">
        <v>6128</v>
      </c>
      <c r="D72" s="26" t="s">
        <v>6133</v>
      </c>
      <c r="E72" s="26" t="s">
        <v>6253</v>
      </c>
      <c r="F72" s="26" t="n">
        <f aca="false">SUMIFS('Boletim_do_Veiculo_2026-09-08_2'!$BM:$BM,'Boletim_do_Veiculo_2026-09-08_2'!$B:$B,$A72)</f>
        <v>0</v>
      </c>
      <c r="G72" s="26" t="n">
        <f aca="false">SUMIFS('Boletim_do_Veiculo_2026-09-08_2'!$BP:$BP,'Boletim_do_Veiculo_2026-09-08_2'!$B:$B,$A72)</f>
        <v>0</v>
      </c>
      <c r="H72" s="26" t="n">
        <f aca="false">SUMIFS('Boletim_do_Veiculo_2026-09-08_2'!$BN:$BN,'Boletim_do_Veiculo_2026-09-08_2'!$B:$B,$A72)</f>
        <v>0</v>
      </c>
      <c r="I72" s="26" t="n">
        <f aca="false">COUNTIFS('Boletim_do_Veiculo_2026-09-08_2'!$B:$B,$A72,'Boletim_do_Veiculo_2026-09-08_2'!$R:$R,"&lt;&gt;-")</f>
        <v>0</v>
      </c>
      <c r="J72" s="26" t="n">
        <f aca="false">COUNTIFS('Boletim_do_Veiculo_2026-09-08_2'!$B:$B,$A72,'Boletim_do_Veiculo_2026-09-08_2'!$R:$R,"-")</f>
        <v>1</v>
      </c>
      <c r="K72" s="26" t="str">
        <f aca="false">IF(H72=0,"Sem dados",G72/H72)</f>
        <v>Sem dados</v>
      </c>
      <c r="L72" s="27" t="n">
        <f aca="false">IFERROR(INDEX(Metas!$F$10:$F$15,MATCH(1,INDEX((Metas!$B$10:$B$15=C72)*(Metas!$C$10:$C$15=D72),0),0)),"")</f>
        <v>3.24</v>
      </c>
      <c r="M72" s="28" t="str">
        <f aca="false">IF(OR(K72="Sem dados",L72="",L72=0),"",(K72-L72)/L72)</f>
        <v/>
      </c>
      <c r="N72" s="26" t="str">
        <f aca="false">IF(K72="Sem dados","Sem dados suficientes",IF(M72="","Sem meta definida",IF(M72&gt;=0.02,"Acima da meta",IF(M72&lt;=-0.1,"Crítico: abaixo da meta",IF(M72&lt;0,"Abaixo da meta","Na meta")))))</f>
        <v>Sem dados suficientes</v>
      </c>
      <c r="O72" s="29" t="n">
        <f aca="false">Metas!$D$4</f>
        <v>6</v>
      </c>
      <c r="P72" s="29" t="str">
        <f aca="false">IF(K72="Sem dados","",IFERROR(O72/K72,"Km=0 c/ consumo&gt;0 (ver nota)"))</f>
        <v/>
      </c>
      <c r="Q72" s="29" t="n">
        <f aca="false">H72*O72</f>
        <v>0</v>
      </c>
      <c r="R72" s="30" t="n">
        <f aca="false">IF(OR(K72="Sem dados",L72="",L72=0,K72&gt;=L72),0,H72-(G72/L72))</f>
        <v>0</v>
      </c>
      <c r="S72" s="29" t="n">
        <f aca="false">R72*O72</f>
        <v>0</v>
      </c>
    </row>
    <row r="73" customFormat="false" ht="15" hidden="false" customHeight="false" outlineLevel="0" collapsed="false">
      <c r="A73" s="26" t="s">
        <v>3281</v>
      </c>
      <c r="B73" s="26" t="s">
        <v>3280</v>
      </c>
      <c r="C73" s="26" t="s">
        <v>6128</v>
      </c>
      <c r="D73" s="26" t="s">
        <v>6130</v>
      </c>
      <c r="E73" s="26" t="s">
        <v>6255</v>
      </c>
      <c r="F73" s="26" t="n">
        <f aca="false">SUMIFS('Boletim_do_Veiculo_2026-09-08_2'!$BM:$BM,'Boletim_do_Veiculo_2026-09-08_2'!$B:$B,$A73)</f>
        <v>185.58</v>
      </c>
      <c r="G73" s="26" t="n">
        <f aca="false">SUMIFS('Boletim_do_Veiculo_2026-09-08_2'!$BP:$BP,'Boletim_do_Veiculo_2026-09-08_2'!$B:$B,$A73)</f>
        <v>185.05</v>
      </c>
      <c r="H73" s="26" t="n">
        <f aca="false">SUMIFS('Boletim_do_Veiculo_2026-09-08_2'!$BN:$BN,'Boletim_do_Veiculo_2026-09-08_2'!$B:$B,$A73)</f>
        <v>75.01</v>
      </c>
      <c r="I73" s="26" t="n">
        <f aca="false">COUNTIFS('Boletim_do_Veiculo_2026-09-08_2'!$B:$B,$A73,'Boletim_do_Veiculo_2026-09-08_2'!$R:$R,"&lt;&gt;-")</f>
        <v>2</v>
      </c>
      <c r="J73" s="26" t="n">
        <f aca="false">COUNTIFS('Boletim_do_Veiculo_2026-09-08_2'!$B:$B,$A73,'Boletim_do_Veiculo_2026-09-08_2'!$R:$R,"-")</f>
        <v>4</v>
      </c>
      <c r="K73" s="26" t="n">
        <f aca="false">IF(H73=0,"Sem dados",G73/H73)</f>
        <v>2.46700439941341</v>
      </c>
      <c r="L73" s="27" t="n">
        <f aca="false">IFERROR(INDEX(Metas!$F$10:$F$15,MATCH(1,INDEX((Metas!$B$10:$B$15=C73)*(Metas!$C$10:$C$15=D73),0),0)),"")</f>
        <v>3.02</v>
      </c>
      <c r="M73" s="28" t="n">
        <f aca="false">IF(OR(K73="Sem dados",L73="",L73=0),"",(K73-L73)/L73)</f>
        <v>-0.183111126022049</v>
      </c>
      <c r="N73" s="26" t="str">
        <f aca="false">IF(K73="Sem dados","Sem dados suficientes",IF(M73="","Sem meta definida",IF(M73&gt;=0.02,"Acima da meta",IF(M73&lt;=-0.1,"Crítico: abaixo da meta",IF(M73&lt;0,"Abaixo da meta","Na meta")))))</f>
        <v>Crítico: abaixo da meta</v>
      </c>
      <c r="O73" s="29" t="n">
        <f aca="false">Metas!$D$4</f>
        <v>6</v>
      </c>
      <c r="P73" s="29" t="n">
        <f aca="false">IF(K73="Sem dados","",IFERROR(O73/K73,"Km=0 c/ consumo&gt;0 (ver nota)"))</f>
        <v>2.43209943258579</v>
      </c>
      <c r="Q73" s="29" t="n">
        <f aca="false">H73*O73</f>
        <v>450.06</v>
      </c>
      <c r="R73" s="30" t="n">
        <f aca="false">IF(OR(K73="Sem dados",L73="",L73=0,K73&gt;=L73),0,H73-(G73/L73))</f>
        <v>13.7351655629139</v>
      </c>
      <c r="S73" s="29" t="n">
        <f aca="false">R73*O73</f>
        <v>82.4109933774834</v>
      </c>
    </row>
    <row r="74" customFormat="false" ht="15" hidden="false" customHeight="false" outlineLevel="0" collapsed="false">
      <c r="A74" s="26" t="s">
        <v>3408</v>
      </c>
      <c r="B74" s="26" t="s">
        <v>3407</v>
      </c>
      <c r="C74" s="26" t="s">
        <v>6128</v>
      </c>
      <c r="D74" s="26" t="s">
        <v>6130</v>
      </c>
      <c r="E74" s="26" t="s">
        <v>6251</v>
      </c>
      <c r="F74" s="26" t="n">
        <f aca="false">SUMIFS('Boletim_do_Veiculo_2026-09-08_2'!$BM:$BM,'Boletim_do_Veiculo_2026-09-08_2'!$B:$B,$A74)</f>
        <v>1911.53</v>
      </c>
      <c r="G74" s="26" t="n">
        <f aca="false">SUMIFS('Boletim_do_Veiculo_2026-09-08_2'!$BP:$BP,'Boletim_do_Veiculo_2026-09-08_2'!$B:$B,$A74)</f>
        <v>1911.53</v>
      </c>
      <c r="H74" s="26" t="n">
        <f aca="false">SUMIFS('Boletim_do_Veiculo_2026-09-08_2'!$BN:$BN,'Boletim_do_Veiculo_2026-09-08_2'!$B:$B,$A74)</f>
        <v>613.01</v>
      </c>
      <c r="I74" s="26" t="n">
        <f aca="false">COUNTIFS('Boletim_do_Veiculo_2026-09-08_2'!$B:$B,$A74,'Boletim_do_Veiculo_2026-09-08_2'!$R:$R,"&lt;&gt;-")</f>
        <v>7</v>
      </c>
      <c r="J74" s="26" t="n">
        <f aca="false">COUNTIFS('Boletim_do_Veiculo_2026-09-08_2'!$B:$B,$A74,'Boletim_do_Veiculo_2026-09-08_2'!$R:$R,"-")</f>
        <v>0</v>
      </c>
      <c r="K74" s="26" t="n">
        <f aca="false">IF(H74=0,"Sem dados",G74/H74)</f>
        <v>3.11826887000212</v>
      </c>
      <c r="L74" s="27" t="n">
        <f aca="false">IFERROR(INDEX(Metas!$F$10:$F$15,MATCH(1,INDEX((Metas!$B$10:$B$15=C74)*(Metas!$C$10:$C$15=D74),0),0)),"")</f>
        <v>3.02</v>
      </c>
      <c r="M74" s="28" t="n">
        <f aca="false">IF(OR(K74="Sem dados",L74="",L74=0),"",(K74-L74)/L74)</f>
        <v>0.0325393609278545</v>
      </c>
      <c r="N74" s="26" t="str">
        <f aca="false">IF(K74="Sem dados","Sem dados suficientes",IF(M74="","Sem meta definida",IF(M74&gt;=0.02,"Acima da meta",IF(M74&lt;=-0.1,"Crítico: abaixo da meta",IF(M74&lt;0,"Abaixo da meta","Na meta")))))</f>
        <v>Acima da meta</v>
      </c>
      <c r="O74" s="29" t="n">
        <f aca="false">Metas!$D$4</f>
        <v>6</v>
      </c>
      <c r="P74" s="29" t="n">
        <f aca="false">IF(K74="Sem dados","",IFERROR(O74/K74,"Km=0 c/ consumo&gt;0 (ver nota)"))</f>
        <v>1.92414453343657</v>
      </c>
      <c r="Q74" s="29" t="n">
        <f aca="false">H74*O74</f>
        <v>3678.06</v>
      </c>
      <c r="R74" s="30" t="n">
        <f aca="false">IF(OR(K74="Sem dados",L74="",L74=0,K74&gt;=L74),0,H74-(G74/L74))</f>
        <v>0</v>
      </c>
      <c r="S74" s="29" t="n">
        <f aca="false">R74*O74</f>
        <v>0</v>
      </c>
    </row>
    <row r="75" customFormat="false" ht="15" hidden="false" customHeight="false" outlineLevel="0" collapsed="false">
      <c r="A75" s="26" t="s">
        <v>3251</v>
      </c>
      <c r="B75" s="26" t="s">
        <v>3250</v>
      </c>
      <c r="C75" s="26" t="s">
        <v>6128</v>
      </c>
      <c r="D75" s="26" t="s">
        <v>6130</v>
      </c>
      <c r="E75" s="26" t="s">
        <v>6251</v>
      </c>
      <c r="F75" s="26" t="n">
        <f aca="false">SUMIFS('Boletim_do_Veiculo_2026-09-08_2'!$BM:$BM,'Boletim_do_Veiculo_2026-09-08_2'!$B:$B,$A75)</f>
        <v>2613.25</v>
      </c>
      <c r="G75" s="26" t="n">
        <f aca="false">SUMIFS('Boletim_do_Veiculo_2026-09-08_2'!$BP:$BP,'Boletim_do_Veiculo_2026-09-08_2'!$B:$B,$A75)</f>
        <v>2613.25</v>
      </c>
      <c r="H75" s="26" t="n">
        <f aca="false">SUMIFS('Boletim_do_Veiculo_2026-09-08_2'!$BN:$BN,'Boletim_do_Veiculo_2026-09-08_2'!$B:$B,$A75)</f>
        <v>930.5</v>
      </c>
      <c r="I75" s="26" t="n">
        <f aca="false">COUNTIFS('Boletim_do_Veiculo_2026-09-08_2'!$B:$B,$A75,'Boletim_do_Veiculo_2026-09-08_2'!$R:$R,"&lt;&gt;-")</f>
        <v>7</v>
      </c>
      <c r="J75" s="26" t="n">
        <f aca="false">COUNTIFS('Boletim_do_Veiculo_2026-09-08_2'!$B:$B,$A75,'Boletim_do_Veiculo_2026-09-08_2'!$R:$R,"-")</f>
        <v>0</v>
      </c>
      <c r="K75" s="26" t="n">
        <f aca="false">IF(H75=0,"Sem dados",G75/H75)</f>
        <v>2.80843632455669</v>
      </c>
      <c r="L75" s="27" t="n">
        <f aca="false">IFERROR(INDEX(Metas!$F$10:$F$15,MATCH(1,INDEX((Metas!$B$10:$B$15=C75)*(Metas!$C$10:$C$15=D75),0),0)),"")</f>
        <v>3.02</v>
      </c>
      <c r="M75" s="28" t="n">
        <f aca="false">IF(OR(K75="Sem dados",L75="",L75=0),"",(K75-L75)/L75)</f>
        <v>-0.070054197166659</v>
      </c>
      <c r="N75" s="26" t="str">
        <f aca="false">IF(K75="Sem dados","Sem dados suficientes",IF(M75="","Sem meta definida",IF(M75&gt;=0.02,"Acima da meta",IF(M75&lt;=-0.1,"Crítico: abaixo da meta",IF(M75&lt;0,"Abaixo da meta","Na meta")))))</f>
        <v>Abaixo da meta</v>
      </c>
      <c r="O75" s="29" t="n">
        <f aca="false">Metas!$D$4</f>
        <v>6</v>
      </c>
      <c r="P75" s="29" t="n">
        <f aca="false">IF(K75="Sem dados","",IFERROR(O75/K75,"Km=0 c/ consumo&gt;0 (ver nota)"))</f>
        <v>2.13642016645939</v>
      </c>
      <c r="Q75" s="29" t="n">
        <f aca="false">H75*O75</f>
        <v>5583</v>
      </c>
      <c r="R75" s="30" t="n">
        <f aca="false">IF(OR(K75="Sem dados",L75="",L75=0,K75&gt;=L75),0,H75-(G75/L75))</f>
        <v>65.1854304635762</v>
      </c>
      <c r="S75" s="29" t="n">
        <f aca="false">R75*O75</f>
        <v>391.112582781457</v>
      </c>
    </row>
    <row r="76" customFormat="false" ht="15" hidden="false" customHeight="false" outlineLevel="0" collapsed="false">
      <c r="A76" s="26" t="s">
        <v>3615</v>
      </c>
      <c r="B76" s="26" t="s">
        <v>3614</v>
      </c>
      <c r="C76" s="26" t="s">
        <v>6128</v>
      </c>
      <c r="D76" s="26" t="s">
        <v>6133</v>
      </c>
      <c r="E76" s="26" t="s">
        <v>6251</v>
      </c>
      <c r="F76" s="26" t="n">
        <f aca="false">SUMIFS('Boletim_do_Veiculo_2026-09-08_2'!$BM:$BM,'Boletim_do_Veiculo_2026-09-08_2'!$B:$B,$A76)</f>
        <v>505.1</v>
      </c>
      <c r="G76" s="26" t="n">
        <f aca="false">SUMIFS('Boletim_do_Veiculo_2026-09-08_2'!$BP:$BP,'Boletim_do_Veiculo_2026-09-08_2'!$B:$B,$A76)</f>
        <v>505.1</v>
      </c>
      <c r="H76" s="26" t="n">
        <f aca="false">SUMIFS('Boletim_do_Veiculo_2026-09-08_2'!$BN:$BN,'Boletim_do_Veiculo_2026-09-08_2'!$B:$B,$A76)</f>
        <v>97.53</v>
      </c>
      <c r="I76" s="26" t="n">
        <f aca="false">COUNTIFS('Boletim_do_Veiculo_2026-09-08_2'!$B:$B,$A76,'Boletim_do_Veiculo_2026-09-08_2'!$R:$R,"&lt;&gt;-")</f>
        <v>6</v>
      </c>
      <c r="J76" s="26" t="n">
        <f aca="false">COUNTIFS('Boletim_do_Veiculo_2026-09-08_2'!$B:$B,$A76,'Boletim_do_Veiculo_2026-09-08_2'!$R:$R,"-")</f>
        <v>0</v>
      </c>
      <c r="K76" s="26" t="n">
        <f aca="false">IF(H76=0,"Sem dados",G76/H76)</f>
        <v>5.17891930687993</v>
      </c>
      <c r="L76" s="27" t="n">
        <f aca="false">IFERROR(INDEX(Metas!$F$10:$F$15,MATCH(1,INDEX((Metas!$B$10:$B$15=C76)*(Metas!$C$10:$C$15=D76),0),0)),"")</f>
        <v>3.24</v>
      </c>
      <c r="M76" s="28" t="n">
        <f aca="false">IF(OR(K76="Sem dados",L76="",L76=0),"",(K76-L76)/L76)</f>
        <v>0.598431884839486</v>
      </c>
      <c r="N76" s="26" t="str">
        <f aca="false">IF(K76="Sem dados","Sem dados suficientes",IF(M76="","Sem meta definida",IF(M76&gt;=0.02,"Acima da meta",IF(M76&lt;=-0.1,"Crítico: abaixo da meta",IF(M76&lt;0,"Abaixo da meta","Na meta")))))</f>
        <v>Acima da meta</v>
      </c>
      <c r="O76" s="29" t="n">
        <f aca="false">Metas!$D$4</f>
        <v>6</v>
      </c>
      <c r="P76" s="29" t="n">
        <f aca="false">IF(K76="Sem dados","",IFERROR(O76/K76,"Km=0 c/ consumo&gt;0 (ver nota)"))</f>
        <v>1.15854286279945</v>
      </c>
      <c r="Q76" s="29" t="n">
        <f aca="false">H76*O76</f>
        <v>585.18</v>
      </c>
      <c r="R76" s="30" t="n">
        <f aca="false">IF(OR(K76="Sem dados",L76="",L76=0,K76&gt;=L76),0,H76-(G76/L76))</f>
        <v>0</v>
      </c>
      <c r="S76" s="29" t="n">
        <f aca="false">R76*O76</f>
        <v>0</v>
      </c>
    </row>
    <row r="77" customFormat="false" ht="15" hidden="false" customHeight="false" outlineLevel="0" collapsed="false">
      <c r="A77" s="26" t="s">
        <v>3899</v>
      </c>
      <c r="B77" s="26" t="s">
        <v>3898</v>
      </c>
      <c r="C77" s="26" t="s">
        <v>6128</v>
      </c>
      <c r="D77" s="26" t="s">
        <v>6133</v>
      </c>
      <c r="E77" s="26" t="s">
        <v>6251</v>
      </c>
      <c r="F77" s="26" t="n">
        <f aca="false">SUMIFS('Boletim_do_Veiculo_2026-09-08_2'!$BM:$BM,'Boletim_do_Veiculo_2026-09-08_2'!$B:$B,$A77)</f>
        <v>896.6</v>
      </c>
      <c r="G77" s="26" t="n">
        <f aca="false">SUMIFS('Boletim_do_Veiculo_2026-09-08_2'!$BP:$BP,'Boletim_do_Veiculo_2026-09-08_2'!$B:$B,$A77)</f>
        <v>896.6</v>
      </c>
      <c r="H77" s="26" t="n">
        <f aca="false">SUMIFS('Boletim_do_Veiculo_2026-09-08_2'!$BN:$BN,'Boletim_do_Veiculo_2026-09-08_2'!$B:$B,$A77)</f>
        <v>209.74</v>
      </c>
      <c r="I77" s="26" t="n">
        <f aca="false">COUNTIFS('Boletim_do_Veiculo_2026-09-08_2'!$B:$B,$A77,'Boletim_do_Veiculo_2026-09-08_2'!$R:$R,"&lt;&gt;-")</f>
        <v>7</v>
      </c>
      <c r="J77" s="26" t="n">
        <f aca="false">COUNTIFS('Boletim_do_Veiculo_2026-09-08_2'!$B:$B,$A77,'Boletim_do_Veiculo_2026-09-08_2'!$R:$R,"-")</f>
        <v>0</v>
      </c>
      <c r="K77" s="26" t="n">
        <f aca="false">IF(H77=0,"Sem dados",G77/H77)</f>
        <v>4.27481643940116</v>
      </c>
      <c r="L77" s="27" t="n">
        <f aca="false">IFERROR(INDEX(Metas!$F$10:$F$15,MATCH(1,INDEX((Metas!$B$10:$B$15=C77)*(Metas!$C$10:$C$15=D77),0),0)),"")</f>
        <v>3.24</v>
      </c>
      <c r="M77" s="28" t="n">
        <f aca="false">IF(OR(K77="Sem dados",L77="",L77=0),"",(K77-L77)/L77)</f>
        <v>0.31938778993863</v>
      </c>
      <c r="N77" s="26" t="str">
        <f aca="false">IF(K77="Sem dados","Sem dados suficientes",IF(M77="","Sem meta definida",IF(M77&gt;=0.02,"Acima da meta",IF(M77&lt;=-0.1,"Crítico: abaixo da meta",IF(M77&lt;0,"Abaixo da meta","Na meta")))))</f>
        <v>Acima da meta</v>
      </c>
      <c r="O77" s="29" t="n">
        <f aca="false">Metas!$D$4</f>
        <v>6</v>
      </c>
      <c r="P77" s="29" t="n">
        <f aca="false">IF(K77="Sem dados","",IFERROR(O77/K77,"Km=0 c/ consumo&gt;0 (ver nota)"))</f>
        <v>1.40356903859023</v>
      </c>
      <c r="Q77" s="29" t="n">
        <f aca="false">H77*O77</f>
        <v>1258.44</v>
      </c>
      <c r="R77" s="30" t="n">
        <f aca="false">IF(OR(K77="Sem dados",L77="",L77=0,K77&gt;=L77),0,H77-(G77/L77))</f>
        <v>0</v>
      </c>
      <c r="S77" s="29" t="n">
        <f aca="false">R77*O77</f>
        <v>0</v>
      </c>
    </row>
    <row r="78" customFormat="false" ht="15" hidden="false" customHeight="false" outlineLevel="0" collapsed="false">
      <c r="A78" s="26" t="s">
        <v>3862</v>
      </c>
      <c r="B78" s="26" t="s">
        <v>3861</v>
      </c>
      <c r="C78" s="26" t="s">
        <v>6128</v>
      </c>
      <c r="D78" s="26" t="s">
        <v>6140</v>
      </c>
      <c r="E78" s="26" t="s">
        <v>6251</v>
      </c>
      <c r="F78" s="26" t="n">
        <f aca="false">SUMIFS('Boletim_do_Veiculo_2026-09-08_2'!$BM:$BM,'Boletim_do_Veiculo_2026-09-08_2'!$B:$B,$A78)</f>
        <v>1730.44</v>
      </c>
      <c r="G78" s="26" t="n">
        <f aca="false">SUMIFS('Boletim_do_Veiculo_2026-09-08_2'!$BP:$BP,'Boletim_do_Veiculo_2026-09-08_2'!$B:$B,$A78)</f>
        <v>1730.44</v>
      </c>
      <c r="H78" s="26" t="n">
        <f aca="false">SUMIFS('Boletim_do_Veiculo_2026-09-08_2'!$BN:$BN,'Boletim_do_Veiculo_2026-09-08_2'!$B:$B,$A78)</f>
        <v>498.43</v>
      </c>
      <c r="I78" s="26" t="n">
        <f aca="false">COUNTIFS('Boletim_do_Veiculo_2026-09-08_2'!$B:$B,$A78,'Boletim_do_Veiculo_2026-09-08_2'!$R:$R,"&lt;&gt;-")</f>
        <v>7</v>
      </c>
      <c r="J78" s="26" t="n">
        <f aca="false">COUNTIFS('Boletim_do_Veiculo_2026-09-08_2'!$B:$B,$A78,'Boletim_do_Veiculo_2026-09-08_2'!$R:$R,"-")</f>
        <v>0</v>
      </c>
      <c r="K78" s="26" t="n">
        <f aca="false">IF(H78=0,"Sem dados",G78/H78)</f>
        <v>3.47178139357583</v>
      </c>
      <c r="L78" s="27" t="n">
        <f aca="false">IFERROR(INDEX(Metas!$F$10:$F$15,MATCH(1,INDEX((Metas!$B$10:$B$15=C78)*(Metas!$C$10:$C$15=D78),0),0)),"")</f>
        <v>2.84</v>
      </c>
      <c r="M78" s="28" t="n">
        <f aca="false">IF(OR(K78="Sem dados",L78="",L78=0),"",(K78-L78)/L78)</f>
        <v>0.222458237174588</v>
      </c>
      <c r="N78" s="26" t="str">
        <f aca="false">IF(K78="Sem dados","Sem dados suficientes",IF(M78="","Sem meta definida",IF(M78&gt;=0.02,"Acima da meta",IF(M78&lt;=-0.1,"Crítico: abaixo da meta",IF(M78&lt;0,"Abaixo da meta","Na meta")))))</f>
        <v>Acima da meta</v>
      </c>
      <c r="O78" s="29" t="n">
        <f aca="false">Metas!$D$4</f>
        <v>6</v>
      </c>
      <c r="P78" s="29" t="n">
        <f aca="false">IF(K78="Sem dados","",IFERROR(O78/K78,"Km=0 c/ consumo&gt;0 (ver nota)"))</f>
        <v>1.72821941240378</v>
      </c>
      <c r="Q78" s="29" t="n">
        <f aca="false">H78*O78</f>
        <v>2990.58</v>
      </c>
      <c r="R78" s="30" t="n">
        <f aca="false">IF(OR(K78="Sem dados",L78="",L78=0,K78&gt;=L78),0,H78-(G78/L78))</f>
        <v>0</v>
      </c>
      <c r="S78" s="29" t="n">
        <f aca="false">R78*O78</f>
        <v>0</v>
      </c>
    </row>
    <row r="79" customFormat="false" ht="15" hidden="false" customHeight="false" outlineLevel="0" collapsed="false">
      <c r="A79" s="26" t="s">
        <v>3505</v>
      </c>
      <c r="B79" s="26" t="s">
        <v>3504</v>
      </c>
      <c r="C79" s="26" t="s">
        <v>6128</v>
      </c>
      <c r="D79" s="26" t="s">
        <v>6130</v>
      </c>
      <c r="E79" s="26" t="s">
        <v>6251</v>
      </c>
      <c r="F79" s="26" t="n">
        <f aca="false">SUMIFS('Boletim_do_Veiculo_2026-09-08_2'!$BM:$BM,'Boletim_do_Veiculo_2026-09-08_2'!$B:$B,$A79)</f>
        <v>1421.55</v>
      </c>
      <c r="G79" s="26" t="n">
        <f aca="false">SUMIFS('Boletim_do_Veiculo_2026-09-08_2'!$BP:$BP,'Boletim_do_Veiculo_2026-09-08_2'!$B:$B,$A79)</f>
        <v>1421.55</v>
      </c>
      <c r="H79" s="26" t="n">
        <f aca="false">SUMIFS('Boletim_do_Veiculo_2026-09-08_2'!$BN:$BN,'Boletim_do_Veiculo_2026-09-08_2'!$B:$B,$A79)</f>
        <v>379.21</v>
      </c>
      <c r="I79" s="26" t="n">
        <f aca="false">COUNTIFS('Boletim_do_Veiculo_2026-09-08_2'!$B:$B,$A79,'Boletim_do_Veiculo_2026-09-08_2'!$R:$R,"&lt;&gt;-")</f>
        <v>7</v>
      </c>
      <c r="J79" s="26" t="n">
        <f aca="false">COUNTIFS('Boletim_do_Veiculo_2026-09-08_2'!$B:$B,$A79,'Boletim_do_Veiculo_2026-09-08_2'!$R:$R,"-")</f>
        <v>0</v>
      </c>
      <c r="K79" s="26" t="n">
        <f aca="false">IF(H79=0,"Sem dados",G79/H79)</f>
        <v>3.74871443263627</v>
      </c>
      <c r="L79" s="27" t="n">
        <f aca="false">IFERROR(INDEX(Metas!$F$10:$F$15,MATCH(1,INDEX((Metas!$B$10:$B$15=C79)*(Metas!$C$10:$C$15=D79),0),0)),"")</f>
        <v>3.02</v>
      </c>
      <c r="M79" s="28" t="n">
        <f aca="false">IF(OR(K79="Sem dados",L79="",L79=0),"",(K79-L79)/L79)</f>
        <v>0.241296169747109</v>
      </c>
      <c r="N79" s="26" t="str">
        <f aca="false">IF(K79="Sem dados","Sem dados suficientes",IF(M79="","Sem meta definida",IF(M79&gt;=0.02,"Acima da meta",IF(M79&lt;=-0.1,"Crítico: abaixo da meta",IF(M79&lt;0,"Abaixo da meta","Na meta")))))</f>
        <v>Acima da meta</v>
      </c>
      <c r="O79" s="29" t="n">
        <f aca="false">Metas!$D$4</f>
        <v>6</v>
      </c>
      <c r="P79" s="29" t="n">
        <f aca="false">IF(K79="Sem dados","",IFERROR(O79/K79,"Km=0 c/ consumo&gt;0 (ver nota)"))</f>
        <v>1.60054869684499</v>
      </c>
      <c r="Q79" s="29" t="n">
        <f aca="false">H79*O79</f>
        <v>2275.26</v>
      </c>
      <c r="R79" s="30" t="n">
        <f aca="false">IF(OR(K79="Sem dados",L79="",L79=0,K79&gt;=L79),0,H79-(G79/L79))</f>
        <v>0</v>
      </c>
      <c r="S79" s="29" t="n">
        <f aca="false">R79*O79</f>
        <v>0</v>
      </c>
    </row>
    <row r="80" customFormat="false" ht="15" hidden="false" customHeight="false" outlineLevel="0" collapsed="false">
      <c r="A80" s="26" t="s">
        <v>3982</v>
      </c>
      <c r="B80" s="26" t="s">
        <v>3981</v>
      </c>
      <c r="C80" s="26" t="s">
        <v>6128</v>
      </c>
      <c r="D80" s="26" t="s">
        <v>6133</v>
      </c>
      <c r="E80" s="26" t="s">
        <v>6253</v>
      </c>
      <c r="F80" s="26" t="n">
        <f aca="false">SUMIFS('Boletim_do_Veiculo_2026-09-08_2'!$BM:$BM,'Boletim_do_Veiculo_2026-09-08_2'!$B:$B,$A80)</f>
        <v>1177.59</v>
      </c>
      <c r="G80" s="26" t="n">
        <f aca="false">SUMIFS('Boletim_do_Veiculo_2026-09-08_2'!$BP:$BP,'Boletim_do_Veiculo_2026-09-08_2'!$B:$B,$A80)</f>
        <v>0</v>
      </c>
      <c r="H80" s="26" t="n">
        <f aca="false">SUMIFS('Boletim_do_Veiculo_2026-09-08_2'!$BN:$BN,'Boletim_do_Veiculo_2026-09-08_2'!$B:$B,$A80)</f>
        <v>0</v>
      </c>
      <c r="I80" s="26" t="n">
        <f aca="false">COUNTIFS('Boletim_do_Veiculo_2026-09-08_2'!$B:$B,$A80,'Boletim_do_Veiculo_2026-09-08_2'!$R:$R,"&lt;&gt;-")</f>
        <v>0</v>
      </c>
      <c r="J80" s="26" t="n">
        <f aca="false">COUNTIFS('Boletim_do_Veiculo_2026-09-08_2'!$B:$B,$A80,'Boletim_do_Veiculo_2026-09-08_2'!$R:$R,"-")</f>
        <v>6</v>
      </c>
      <c r="K80" s="26" t="str">
        <f aca="false">IF(H80=0,"Sem dados",G80/H80)</f>
        <v>Sem dados</v>
      </c>
      <c r="L80" s="27" t="n">
        <f aca="false">IFERROR(INDEX(Metas!$F$10:$F$15,MATCH(1,INDEX((Metas!$B$10:$B$15=C80)*(Metas!$C$10:$C$15=D80),0),0)),"")</f>
        <v>3.24</v>
      </c>
      <c r="M80" s="28" t="str">
        <f aca="false">IF(OR(K80="Sem dados",L80="",L80=0),"",(K80-L80)/L80)</f>
        <v/>
      </c>
      <c r="N80" s="26" t="str">
        <f aca="false">IF(K80="Sem dados","Sem dados suficientes",IF(M80="","Sem meta definida",IF(M80&gt;=0.02,"Acima da meta",IF(M80&lt;=-0.1,"Crítico: abaixo da meta",IF(M80&lt;0,"Abaixo da meta","Na meta")))))</f>
        <v>Sem dados suficientes</v>
      </c>
      <c r="O80" s="29" t="n">
        <f aca="false">Metas!$D$4</f>
        <v>6</v>
      </c>
      <c r="P80" s="29" t="str">
        <f aca="false">IF(K80="Sem dados","",IFERROR(O80/K80,"Km=0 c/ consumo&gt;0 (ver nota)"))</f>
        <v/>
      </c>
      <c r="Q80" s="29" t="n">
        <f aca="false">H80*O80</f>
        <v>0</v>
      </c>
      <c r="R80" s="30" t="n">
        <f aca="false">IF(OR(K80="Sem dados",L80="",L80=0,K80&gt;=L80),0,H80-(G80/L80))</f>
        <v>0</v>
      </c>
      <c r="S80" s="29" t="n">
        <f aca="false">R80*O80</f>
        <v>0</v>
      </c>
    </row>
    <row r="81" customFormat="false" ht="15" hidden="false" customHeight="false" outlineLevel="0" collapsed="false">
      <c r="A81" s="26" t="s">
        <v>3954</v>
      </c>
      <c r="B81" s="26" t="s">
        <v>3953</v>
      </c>
      <c r="C81" s="26" t="s">
        <v>6128</v>
      </c>
      <c r="D81" s="26" t="s">
        <v>6133</v>
      </c>
      <c r="E81" s="26" t="s">
        <v>6251</v>
      </c>
      <c r="F81" s="26" t="n">
        <f aca="false">SUMIFS('Boletim_do_Veiculo_2026-09-08_2'!$BM:$BM,'Boletim_do_Veiculo_2026-09-08_2'!$B:$B,$A81)</f>
        <v>0.1</v>
      </c>
      <c r="G81" s="26" t="n">
        <f aca="false">SUMIFS('Boletim_do_Veiculo_2026-09-08_2'!$BP:$BP,'Boletim_do_Veiculo_2026-09-08_2'!$B:$B,$A81)</f>
        <v>0.1</v>
      </c>
      <c r="H81" s="26" t="n">
        <f aca="false">SUMIFS('Boletim_do_Veiculo_2026-09-08_2'!$BN:$BN,'Boletim_do_Veiculo_2026-09-08_2'!$B:$B,$A81)</f>
        <v>0.51</v>
      </c>
      <c r="I81" s="26" t="n">
        <f aca="false">COUNTIFS('Boletim_do_Veiculo_2026-09-08_2'!$B:$B,$A81,'Boletim_do_Veiculo_2026-09-08_2'!$R:$R,"&lt;&gt;-")</f>
        <v>2</v>
      </c>
      <c r="J81" s="26" t="n">
        <f aca="false">COUNTIFS('Boletim_do_Veiculo_2026-09-08_2'!$B:$B,$A81,'Boletim_do_Veiculo_2026-09-08_2'!$R:$R,"-")</f>
        <v>0</v>
      </c>
      <c r="K81" s="26" t="n">
        <f aca="false">IF(H81=0,"Sem dados",G81/H81)</f>
        <v>0.196078431372549</v>
      </c>
      <c r="L81" s="27" t="n">
        <f aca="false">IFERROR(INDEX(Metas!$F$10:$F$15,MATCH(1,INDEX((Metas!$B$10:$B$15=C81)*(Metas!$C$10:$C$15=D81),0),0)),"")</f>
        <v>3.24</v>
      </c>
      <c r="M81" s="28" t="n">
        <f aca="false">IF(OR(K81="Sem dados",L81="",L81=0),"",(K81-L81)/L81)</f>
        <v>-0.939481965625756</v>
      </c>
      <c r="N81" s="26" t="str">
        <f aca="false">IF(K81="Sem dados","Sem dados suficientes",IF(M81="","Sem meta definida",IF(M81&gt;=0.02,"Acima da meta",IF(M81&lt;=-0.1,"Crítico: abaixo da meta",IF(M81&lt;0,"Abaixo da meta","Na meta")))))</f>
        <v>Crítico: abaixo da meta</v>
      </c>
      <c r="O81" s="29" t="n">
        <f aca="false">Metas!$D$4</f>
        <v>6</v>
      </c>
      <c r="P81" s="29" t="n">
        <f aca="false">IF(K81="Sem dados","",IFERROR(O81/K81,"Km=0 c/ consumo&gt;0 (ver nota)"))</f>
        <v>30.6</v>
      </c>
      <c r="Q81" s="29" t="n">
        <f aca="false">H81*O81</f>
        <v>3.06</v>
      </c>
      <c r="R81" s="30" t="n">
        <f aca="false">IF(OR(K81="Sem dados",L81="",L81=0,K81&gt;=L81),0,H81-(G81/L81))</f>
        <v>0.479135802469136</v>
      </c>
      <c r="S81" s="29" t="n">
        <f aca="false">R81*O81</f>
        <v>2.87481481481481</v>
      </c>
    </row>
    <row r="82" customFormat="false" ht="15" hidden="false" customHeight="false" outlineLevel="0" collapsed="false">
      <c r="A82" s="26" t="s">
        <v>4023</v>
      </c>
      <c r="B82" s="26" t="s">
        <v>4022</v>
      </c>
      <c r="C82" s="26" t="s">
        <v>6128</v>
      </c>
      <c r="D82" s="26" t="s">
        <v>6133</v>
      </c>
      <c r="E82" s="26" t="s">
        <v>6251</v>
      </c>
      <c r="F82" s="26" t="n">
        <f aca="false">SUMIFS('Boletim_do_Veiculo_2026-09-08_2'!$BM:$BM,'Boletim_do_Veiculo_2026-09-08_2'!$B:$B,$A82)</f>
        <v>714.53</v>
      </c>
      <c r="G82" s="26" t="n">
        <f aca="false">SUMIFS('Boletim_do_Veiculo_2026-09-08_2'!$BP:$BP,'Boletim_do_Veiculo_2026-09-08_2'!$B:$B,$A82)</f>
        <v>714.53</v>
      </c>
      <c r="H82" s="26" t="n">
        <f aca="false">SUMIFS('Boletim_do_Veiculo_2026-09-08_2'!$BN:$BN,'Boletim_do_Veiculo_2026-09-08_2'!$B:$B,$A82)</f>
        <v>269.99</v>
      </c>
      <c r="I82" s="26" t="n">
        <f aca="false">COUNTIFS('Boletim_do_Veiculo_2026-09-08_2'!$B:$B,$A82,'Boletim_do_Veiculo_2026-09-08_2'!$R:$R,"&lt;&gt;-")</f>
        <v>5</v>
      </c>
      <c r="J82" s="26" t="n">
        <f aca="false">COUNTIFS('Boletim_do_Veiculo_2026-09-08_2'!$B:$B,$A82,'Boletim_do_Veiculo_2026-09-08_2'!$R:$R,"-")</f>
        <v>0</v>
      </c>
      <c r="K82" s="26" t="n">
        <f aca="false">IF(H82=0,"Sem dados",G82/H82)</f>
        <v>2.64650542612689</v>
      </c>
      <c r="L82" s="27" t="n">
        <f aca="false">IFERROR(INDEX(Metas!$F$10:$F$15,MATCH(1,INDEX((Metas!$B$10:$B$15=C82)*(Metas!$C$10:$C$15=D82),0),0)),"")</f>
        <v>3.24</v>
      </c>
      <c r="M82" s="28" t="n">
        <f aca="false">IF(OR(K82="Sem dados",L82="",L82=0),"",(K82-L82)/L82)</f>
        <v>-0.183177337615156</v>
      </c>
      <c r="N82" s="26" t="str">
        <f aca="false">IF(K82="Sem dados","Sem dados suficientes",IF(M82="","Sem meta definida",IF(M82&gt;=0.02,"Acima da meta",IF(M82&lt;=-0.1,"Crítico: abaixo da meta",IF(M82&lt;0,"Abaixo da meta","Na meta")))))</f>
        <v>Crítico: abaixo da meta</v>
      </c>
      <c r="O82" s="29" t="n">
        <f aca="false">Metas!$D$4</f>
        <v>6</v>
      </c>
      <c r="P82" s="29" t="n">
        <f aca="false">IF(K82="Sem dados","",IFERROR(O82/K82,"Km=0 c/ consumo&gt;0 (ver nota)"))</f>
        <v>2.26714063790184</v>
      </c>
      <c r="Q82" s="29" t="n">
        <f aca="false">H82*O82</f>
        <v>1619.94</v>
      </c>
      <c r="R82" s="30" t="n">
        <f aca="false">IF(OR(K82="Sem dados",L82="",L82=0,K82&gt;=L82),0,H82-(G82/L82))</f>
        <v>49.4560493827161</v>
      </c>
      <c r="S82" s="29" t="n">
        <f aca="false">R82*O82</f>
        <v>296.736296296297</v>
      </c>
    </row>
    <row r="83" customFormat="false" ht="15" hidden="false" customHeight="false" outlineLevel="0" collapsed="false">
      <c r="A83" s="26" t="s">
        <v>5007</v>
      </c>
      <c r="B83" s="26" t="s">
        <v>5006</v>
      </c>
      <c r="C83" s="26" t="s">
        <v>6128</v>
      </c>
      <c r="D83" s="26" t="s">
        <v>6133</v>
      </c>
      <c r="E83" s="26" t="s">
        <v>6251</v>
      </c>
      <c r="F83" s="26" t="n">
        <f aca="false">SUMIFS('Boletim_do_Veiculo_2026-09-08_2'!$BM:$BM,'Boletim_do_Veiculo_2026-09-08_2'!$B:$B,$A83)</f>
        <v>2975.85</v>
      </c>
      <c r="G83" s="26" t="n">
        <f aca="false">SUMIFS('Boletim_do_Veiculo_2026-09-08_2'!$BP:$BP,'Boletim_do_Veiculo_2026-09-08_2'!$B:$B,$A83)</f>
        <v>2975.85</v>
      </c>
      <c r="H83" s="26" t="n">
        <f aca="false">SUMIFS('Boletim_do_Veiculo_2026-09-08_2'!$BN:$BN,'Boletim_do_Veiculo_2026-09-08_2'!$B:$B,$A83)</f>
        <v>760.89</v>
      </c>
      <c r="I83" s="26" t="n">
        <f aca="false">COUNTIFS('Boletim_do_Veiculo_2026-09-08_2'!$B:$B,$A83,'Boletim_do_Veiculo_2026-09-08_2'!$R:$R,"&lt;&gt;-")</f>
        <v>7</v>
      </c>
      <c r="J83" s="26" t="n">
        <f aca="false">COUNTIFS('Boletim_do_Veiculo_2026-09-08_2'!$B:$B,$A83,'Boletim_do_Veiculo_2026-09-08_2'!$R:$R,"-")</f>
        <v>0</v>
      </c>
      <c r="K83" s="26" t="n">
        <f aca="false">IF(H83=0,"Sem dados",G83/H83)</f>
        <v>3.91101210424634</v>
      </c>
      <c r="L83" s="27" t="n">
        <f aca="false">IFERROR(INDEX(Metas!$F$10:$F$15,MATCH(1,INDEX((Metas!$B$10:$B$15=C83)*(Metas!$C$10:$C$15=D83),0),0)),"")</f>
        <v>3.24</v>
      </c>
      <c r="M83" s="28" t="n">
        <f aca="false">IF(OR(K83="Sem dados",L83="",L83=0),"",(K83-L83)/L83)</f>
        <v>0.2071025013106</v>
      </c>
      <c r="N83" s="26" t="str">
        <f aca="false">IF(K83="Sem dados","Sem dados suficientes",IF(M83="","Sem meta definida",IF(M83&gt;=0.02,"Acima da meta",IF(M83&lt;=-0.1,"Crítico: abaixo da meta",IF(M83&lt;0,"Abaixo da meta","Na meta")))))</f>
        <v>Acima da meta</v>
      </c>
      <c r="O83" s="29" t="n">
        <f aca="false">Metas!$D$4</f>
        <v>6</v>
      </c>
      <c r="P83" s="29" t="n">
        <f aca="false">IF(K83="Sem dados","",IFERROR(O83/K83,"Km=0 c/ consumo&gt;0 (ver nota)"))</f>
        <v>1.53412974444276</v>
      </c>
      <c r="Q83" s="29" t="n">
        <f aca="false">H83*O83</f>
        <v>4565.34</v>
      </c>
      <c r="R83" s="30" t="n">
        <f aca="false">IF(OR(K83="Sem dados",L83="",L83=0,K83&gt;=L83),0,H83-(G83/L83))</f>
        <v>0</v>
      </c>
      <c r="S83" s="29" t="n">
        <f aca="false">R83*O83</f>
        <v>0</v>
      </c>
    </row>
  </sheetData>
  <mergeCells count="2">
    <mergeCell ref="A1:S1"/>
    <mergeCell ref="A2:S2"/>
  </mergeCells>
  <conditionalFormatting sqref="N5:N83">
    <cfRule type="cellIs" priority="2" operator="equal" aboveAverage="0" equalAverage="0" bottom="0" percent="0" rank="0" text="" dxfId="2">
      <formula>"Crítico: abaixo da meta"</formula>
    </cfRule>
    <cfRule type="cellIs" priority="3" operator="equal" aboveAverage="0" equalAverage="0" bottom="0" percent="0" rank="0" text="" dxfId="3">
      <formula>"Na meta"</formula>
    </cfRule>
    <cfRule type="cellIs" priority="4" operator="equal" aboveAverage="0" equalAverage="0" bottom="0" percent="0" rank="0" text="" dxfId="3">
      <formula>"Acima da meta"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4"/>
  </cols>
  <sheetData>
    <row r="2" customFormat="false" ht="17.35" hidden="false" customHeight="false" outlineLevel="0" collapsed="false">
      <c r="B2" s="16" t="s">
        <v>6256</v>
      </c>
      <c r="C2" s="16"/>
      <c r="D2" s="16"/>
      <c r="E2" s="16"/>
      <c r="F2" s="16"/>
      <c r="G2" s="16"/>
      <c r="H2" s="16"/>
      <c r="I2" s="16"/>
      <c r="J2" s="16"/>
    </row>
    <row r="3" customFormat="false" ht="15" hidden="false" customHeight="false" outlineLevel="0" collapsed="false">
      <c r="B3" s="31" t="s">
        <v>6257</v>
      </c>
      <c r="C3" s="31"/>
      <c r="D3" s="31"/>
      <c r="E3" s="31"/>
      <c r="F3" s="31"/>
      <c r="G3" s="31"/>
      <c r="H3" s="31"/>
      <c r="I3" s="31"/>
      <c r="J3" s="31"/>
    </row>
    <row r="5" customFormat="false" ht="15" hidden="false" customHeight="false" outlineLevel="0" collapsed="false">
      <c r="B5" s="32" t="s">
        <v>6258</v>
      </c>
      <c r="C5" s="32"/>
      <c r="D5" s="32"/>
      <c r="F5" s="32" t="s">
        <v>6236</v>
      </c>
      <c r="G5" s="32"/>
      <c r="H5" s="32"/>
    </row>
    <row r="6" customFormat="false" ht="24.45" hidden="false" customHeight="false" outlineLevel="0" collapsed="false">
      <c r="B6" s="33" t="n">
        <f aca="false">COUNTA(Analise_Consumo!A5:A83)</f>
        <v>79</v>
      </c>
      <c r="C6" s="33"/>
      <c r="D6" s="33"/>
      <c r="F6" s="34" t="n">
        <f aca="false">SUM(Analise_Consumo!F5:F83)</f>
        <v>99881.31</v>
      </c>
      <c r="G6" s="34"/>
      <c r="H6" s="34"/>
    </row>
    <row r="9" customFormat="false" ht="15" hidden="false" customHeight="false" outlineLevel="0" collapsed="false">
      <c r="B9" s="32" t="s">
        <v>6237</v>
      </c>
      <c r="C9" s="32"/>
      <c r="D9" s="32"/>
      <c r="F9" s="32" t="s">
        <v>6259</v>
      </c>
      <c r="G9" s="32"/>
      <c r="H9" s="32"/>
    </row>
    <row r="10" customFormat="false" ht="24.45" hidden="false" customHeight="false" outlineLevel="0" collapsed="false">
      <c r="B10" s="34" t="n">
        <f aca="false">SUM(Analise_Consumo!G5:G83)</f>
        <v>88055.96</v>
      </c>
      <c r="C10" s="34"/>
      <c r="D10" s="34"/>
      <c r="F10" s="34" t="n">
        <f aca="false">SUM(Analise_Consumo!H5:H83)</f>
        <v>29872.12</v>
      </c>
      <c r="G10" s="34"/>
      <c r="H10" s="34"/>
    </row>
    <row r="13" customFormat="false" ht="15" hidden="false" customHeight="false" outlineLevel="0" collapsed="false">
      <c r="B13" s="32" t="s">
        <v>6260</v>
      </c>
      <c r="C13" s="32"/>
      <c r="D13" s="32"/>
      <c r="F13" s="32" t="s">
        <v>6261</v>
      </c>
      <c r="G13" s="32"/>
      <c r="H13" s="32"/>
    </row>
    <row r="14" customFormat="false" ht="24.45" hidden="false" customHeight="false" outlineLevel="0" collapsed="false">
      <c r="B14" s="35" t="n">
        <f aca="false">IFERROR(SUM(Analise_Consumo!G5:G83)/SUM(Analise_Consumo!H5:H83),"")</f>
        <v>2.94776400201927</v>
      </c>
      <c r="C14" s="35"/>
      <c r="D14" s="35"/>
      <c r="F14" s="36" t="n">
        <f aca="false">SUM(Analise_Consumo!Q5:Q83)</f>
        <v>179232.72</v>
      </c>
      <c r="G14" s="36"/>
      <c r="H14" s="36"/>
    </row>
    <row r="17" customFormat="false" ht="15" hidden="false" customHeight="false" outlineLevel="0" collapsed="false">
      <c r="B17" s="32" t="s">
        <v>6262</v>
      </c>
      <c r="C17" s="32"/>
      <c r="D17" s="32"/>
      <c r="F17" s="32" t="s">
        <v>6263</v>
      </c>
      <c r="G17" s="32"/>
      <c r="H17" s="32"/>
    </row>
    <row r="18" customFormat="false" ht="24.45" hidden="false" customHeight="false" outlineLevel="0" collapsed="false">
      <c r="B18" s="37" t="n">
        <f aca="false">SUM(Analise_Consumo!R5:R83)</f>
        <v>3345.95932942194</v>
      </c>
      <c r="C18" s="37"/>
      <c r="D18" s="37"/>
      <c r="F18" s="36" t="n">
        <f aca="false">SUM(Analise_Consumo!S5:S83)</f>
        <v>20075.7559765317</v>
      </c>
      <c r="G18" s="36"/>
      <c r="H18" s="36"/>
    </row>
    <row r="22" customFormat="false" ht="15" hidden="false" customHeight="false" outlineLevel="0" collapsed="false">
      <c r="B22" s="38" t="s">
        <v>6264</v>
      </c>
      <c r="C22" s="38"/>
      <c r="D22" s="38"/>
      <c r="E22" s="38"/>
      <c r="F22" s="38"/>
    </row>
    <row r="23" customFormat="false" ht="15" hidden="false" customHeight="false" outlineLevel="0" collapsed="false">
      <c r="B23" s="21" t="s">
        <v>6265</v>
      </c>
      <c r="C23" s="21" t="s">
        <v>6266</v>
      </c>
      <c r="D23" s="21" t="s">
        <v>6267</v>
      </c>
    </row>
    <row r="24" customFormat="false" ht="15" hidden="false" customHeight="false" outlineLevel="0" collapsed="false">
      <c r="B24" s="39" t="s">
        <v>6251</v>
      </c>
      <c r="C24" s="39" t="n">
        <f aca="false">COUNTIF(Analise_Consumo!E5:E83,B24)</f>
        <v>52</v>
      </c>
      <c r="D24" s="40" t="n">
        <f aca="false">IFERROR(C24/COUNTA(Analise_Consumo!A5:A83),0)</f>
        <v>0.658227848101266</v>
      </c>
    </row>
    <row r="25" customFormat="false" ht="15" hidden="false" customHeight="false" outlineLevel="0" collapsed="false">
      <c r="B25" s="39" t="s">
        <v>6252</v>
      </c>
      <c r="C25" s="39" t="n">
        <f aca="false">COUNTIF(Analise_Consumo!E5:E83,B25)</f>
        <v>12</v>
      </c>
      <c r="D25" s="40" t="n">
        <f aca="false">IFERROR(C25/COUNTA(Analise_Consumo!A5:A83),0)</f>
        <v>0.151898734177215</v>
      </c>
    </row>
    <row r="26" customFormat="false" ht="15" hidden="false" customHeight="false" outlineLevel="0" collapsed="false">
      <c r="B26" s="39" t="s">
        <v>6255</v>
      </c>
      <c r="C26" s="39" t="n">
        <f aca="false">COUNTIF(Analise_Consumo!E5:E83,B26)</f>
        <v>1</v>
      </c>
      <c r="D26" s="40" t="n">
        <f aca="false">IFERROR(C26/COUNTA(Analise_Consumo!A5:A83),0)</f>
        <v>0.0126582278481013</v>
      </c>
    </row>
    <row r="27" customFormat="false" ht="15" hidden="false" customHeight="false" outlineLevel="0" collapsed="false">
      <c r="B27" s="39" t="s">
        <v>6250</v>
      </c>
      <c r="C27" s="39" t="n">
        <f aca="false">COUNTIF(Analise_Consumo!E5:E83,B27)</f>
        <v>4</v>
      </c>
      <c r="D27" s="40" t="n">
        <f aca="false">IFERROR(C27/COUNTA(Analise_Consumo!A5:A83),0)</f>
        <v>0.0506329113924051</v>
      </c>
    </row>
    <row r="28" customFormat="false" ht="15" hidden="false" customHeight="false" outlineLevel="0" collapsed="false">
      <c r="B28" s="39" t="s">
        <v>6253</v>
      </c>
      <c r="C28" s="39" t="n">
        <f aca="false">COUNTIF(Analise_Consumo!E5:E83,B28)</f>
        <v>10</v>
      </c>
      <c r="D28" s="40" t="n">
        <f aca="false">IFERROR(C28/COUNTA(Analise_Consumo!A5:A83),0)</f>
        <v>0.126582278481013</v>
      </c>
    </row>
    <row r="29" customFormat="false" ht="15" hidden="false" customHeight="false" outlineLevel="0" collapsed="false">
      <c r="B29" s="39" t="s">
        <v>6268</v>
      </c>
      <c r="C29" s="39" t="n">
        <f aca="false">COUNTIF(Analise_Consumo!E5:E83,B29)</f>
        <v>0</v>
      </c>
      <c r="D29" s="40" t="n">
        <f aca="false">IFERROR(C29/COUNTA(Analise_Consumo!A5:A83),0)</f>
        <v>0</v>
      </c>
    </row>
    <row r="32" customFormat="false" ht="15" hidden="false" customHeight="false" outlineLevel="0" collapsed="false">
      <c r="B32" s="38" t="s">
        <v>6269</v>
      </c>
      <c r="C32" s="38"/>
      <c r="D32" s="38"/>
      <c r="E32" s="38"/>
      <c r="F32" s="38"/>
      <c r="G32" s="38"/>
    </row>
    <row r="33" customFormat="false" ht="26.85" hidden="false" customHeight="false" outlineLevel="0" collapsed="false">
      <c r="B33" s="21" t="s">
        <v>6270</v>
      </c>
      <c r="C33" s="21" t="s">
        <v>6271</v>
      </c>
      <c r="D33" s="21" t="s">
        <v>6237</v>
      </c>
      <c r="E33" s="21" t="s">
        <v>6272</v>
      </c>
      <c r="F33" s="21" t="s">
        <v>6273</v>
      </c>
      <c r="G33" s="21" t="s">
        <v>6274</v>
      </c>
    </row>
    <row r="34" customFormat="false" ht="15" hidden="false" customHeight="false" outlineLevel="0" collapsed="false">
      <c r="B34" s="39" t="s">
        <v>6133</v>
      </c>
      <c r="C34" s="39" t="n">
        <f aca="false">COUNTIF(Analise_Consumo!D5:D83,B34)</f>
        <v>17</v>
      </c>
      <c r="D34" s="39" t="n">
        <f aca="false">SUMIFS(Analise_Consumo!G5:G83,Analise_Consumo!D5:D83,B34)</f>
        <v>8665.45</v>
      </c>
      <c r="E34" s="39" t="n">
        <f aca="false">SUMIFS(Analise_Consumo!H5:H83,Analise_Consumo!D5:D83,B34)</f>
        <v>3327.63</v>
      </c>
      <c r="F34" s="41" t="n">
        <f aca="false">IFERROR(D34/E34,"")</f>
        <v>2.60409059901491</v>
      </c>
      <c r="G34" s="42" t="n">
        <f aca="false">SUMIFS(Analise_Consumo!Q5:Q83,Analise_Consumo!D5:D83,B34)</f>
        <v>19965.78</v>
      </c>
    </row>
    <row r="35" customFormat="false" ht="15" hidden="false" customHeight="false" outlineLevel="0" collapsed="false">
      <c r="B35" s="39" t="s">
        <v>6140</v>
      </c>
      <c r="C35" s="39" t="n">
        <f aca="false">COUNTIF(Analise_Consumo!D5:D83,B35)</f>
        <v>17</v>
      </c>
      <c r="D35" s="39" t="n">
        <f aca="false">SUMIFS(Analise_Consumo!G5:G83,Analise_Consumo!D5:D83,B35)</f>
        <v>28323.89</v>
      </c>
      <c r="E35" s="39" t="n">
        <f aca="false">SUMIFS(Analise_Consumo!H5:H83,Analise_Consumo!D5:D83,B35)</f>
        <v>9715.89</v>
      </c>
      <c r="F35" s="41" t="n">
        <f aca="false">IFERROR(D35/E35,"")</f>
        <v>2.91521311995093</v>
      </c>
      <c r="G35" s="42" t="n">
        <f aca="false">SUMIFS(Analise_Consumo!Q5:Q83,Analise_Consumo!D5:D83,B35)</f>
        <v>58295.34</v>
      </c>
    </row>
    <row r="36" customFormat="false" ht="15" hidden="false" customHeight="false" outlineLevel="0" collapsed="false">
      <c r="B36" s="39" t="s">
        <v>6130</v>
      </c>
      <c r="C36" s="39" t="n">
        <f aca="false">COUNTIF(Analise_Consumo!D5:D83,B36)</f>
        <v>45</v>
      </c>
      <c r="D36" s="39" t="n">
        <f aca="false">SUMIFS(Analise_Consumo!G5:G83,Analise_Consumo!D5:D83,B36)</f>
        <v>51066.62</v>
      </c>
      <c r="E36" s="39" t="n">
        <f aca="false">SUMIFS(Analise_Consumo!H5:H83,Analise_Consumo!D5:D83,B36)</f>
        <v>16828.6</v>
      </c>
      <c r="F36" s="41" t="n">
        <f aca="false">IFERROR(D36/E36,"")</f>
        <v>3.03451386330414</v>
      </c>
      <c r="G36" s="42" t="n">
        <f aca="false">SUMIFS(Analise_Consumo!Q5:Q83,Analise_Consumo!D5:D83,B36)</f>
        <v>100971.6</v>
      </c>
    </row>
    <row r="39" customFormat="false" ht="15" hidden="false" customHeight="false" outlineLevel="0" collapsed="false">
      <c r="B39" s="38" t="s">
        <v>6275</v>
      </c>
      <c r="C39" s="38"/>
      <c r="D39" s="38"/>
      <c r="E39" s="38"/>
      <c r="F39" s="38"/>
      <c r="G39" s="38"/>
      <c r="H39" s="38"/>
    </row>
    <row r="40" customFormat="false" ht="26.85" hidden="false" customHeight="false" outlineLevel="0" collapsed="false">
      <c r="B40" s="21" t="s">
        <v>6276</v>
      </c>
      <c r="C40" s="21" t="s">
        <v>6117</v>
      </c>
      <c r="D40" s="21" t="s">
        <v>6118</v>
      </c>
      <c r="E40" s="21" t="s">
        <v>6270</v>
      </c>
      <c r="F40" s="21" t="s">
        <v>6241</v>
      </c>
      <c r="G40" s="21" t="s">
        <v>6277</v>
      </c>
      <c r="H40" s="21" t="s">
        <v>6249</v>
      </c>
      <c r="I40" s="21" t="s">
        <v>6244</v>
      </c>
    </row>
    <row r="41" customFormat="false" ht="15" hidden="false" customHeight="false" outlineLevel="0" collapsed="false">
      <c r="B41" s="39" t="n">
        <v>1</v>
      </c>
      <c r="C41" s="39" t="str">
        <f aca="false">IFERROR(INDEX(Analise_Consumo!$A$5:$A$83,MATCH(1,INDEX((Analise_Consumo!$S$5:$S$83=H41)*(COUNTIF($C$41:$C41,Analise_Consumo!$A$5:$A$83)=0),0),0)),"")</f>
        <v>R7045</v>
      </c>
      <c r="D41" s="39" t="str">
        <f aca="false">IFERROR(INDEX(Analise_Consumo!$B$5:$B$83,MATCH(1,INDEX((Analise_Consumo!$S$5:$S$83=H41)*(COUNTIF($C$41:$C41,Analise_Consumo!$A$5:$A$83)=0),0),0)),"")</f>
        <v/>
      </c>
      <c r="E41" s="39" t="str">
        <f aca="false">IFERROR(INDEX(Analise_Consumo!$D$5:$D$83,MATCH(1,INDEX((Analise_Consumo!$S$5:$S$83=H41)*(COUNTIF($C$41:$C41,Analise_Consumo!$A$5:$A$83)=0),0),0)),"")</f>
        <v/>
      </c>
      <c r="F41" s="41" t="str">
        <f aca="false">IFERROR(INDEX(Analise_Consumo!$K$5:$K$83,MATCH(1,INDEX((Analise_Consumo!$S$5:$S$83=H41)*(COUNTIF($C$41:$C41,Analise_Consumo!$A$5:$A$83)=0),0),0)),"")</f>
        <v/>
      </c>
      <c r="G41" s="41" t="str">
        <f aca="false">IFERROR(INDEX(Analise_Consumo!$L$5:$L$83,MATCH(1,INDEX((Analise_Consumo!$S$5:$S$83=H41)*(COUNTIF($C$41:$C41,Analise_Consumo!$A$5:$A$83)=0),0),0)),"")</f>
        <v/>
      </c>
      <c r="H41" s="42" t="n">
        <f aca="false">IFERROR(LARGE(Analise_Consumo!$S$5:$S$83,1),"")</f>
        <v>5139</v>
      </c>
      <c r="I41" s="39" t="str">
        <f aca="false">IFERROR(INDEX(Analise_Consumo!$N$5:$N$83,MATCH(1,INDEX((Analise_Consumo!$S$5:$S$83=H41)*(COUNTIF($C$41:$C41,Analise_Consumo!$A$5:$A$83)=0),0),0)),"")</f>
        <v/>
      </c>
    </row>
    <row r="42" customFormat="false" ht="15" hidden="false" customHeight="false" outlineLevel="0" collapsed="false">
      <c r="B42" s="39" t="n">
        <v>2</v>
      </c>
      <c r="C42" s="39" t="str">
        <f aca="false">IFERROR(INDEX(Analise_Consumo!$A$5:$A$83,MATCH(1,INDEX((Analise_Consumo!$S$5:$S$83=H42)*(COUNTIF($C$41:$C42,Analise_Consumo!$A$5:$A$83)=0),0),0)),"")</f>
        <v>R10295</v>
      </c>
      <c r="D42" s="39" t="str">
        <f aca="false">IFERROR(INDEX(Analise_Consumo!$B$5:$B$83,MATCH(1,INDEX((Analise_Consumo!$S$5:$S$83=H42)*(COUNTIF($C$41:$C42,Analise_Consumo!$A$5:$A$83)=0),0),0)),"")</f>
        <v/>
      </c>
      <c r="E42" s="39" t="str">
        <f aca="false">IFERROR(INDEX(Analise_Consumo!$D$5:$D$83,MATCH(1,INDEX((Analise_Consumo!$S$5:$S$83=H42)*(COUNTIF($C$41:$C42,Analise_Consumo!$A$5:$A$83)=0),0),0)),"")</f>
        <v/>
      </c>
      <c r="F42" s="41" t="str">
        <f aca="false">IFERROR(INDEX(Analise_Consumo!$K$5:$K$83,MATCH(1,INDEX((Analise_Consumo!$S$5:$S$83=H42)*(COUNTIF($C$41:$C42,Analise_Consumo!$A$5:$A$83)=0),0),0)),"")</f>
        <v/>
      </c>
      <c r="G42" s="41" t="str">
        <f aca="false">IFERROR(INDEX(Analise_Consumo!$L$5:$L$83,MATCH(1,INDEX((Analise_Consumo!$S$5:$S$83=H42)*(COUNTIF($C$41:$C42,Analise_Consumo!$A$5:$A$83)=0),0),0)),"")</f>
        <v/>
      </c>
      <c r="H42" s="42" t="n">
        <f aca="false">IFERROR(LARGE(Analise_Consumo!$S$5:$S$83,2),"")</f>
        <v>5004.7369197397</v>
      </c>
      <c r="I42" s="39" t="str">
        <f aca="false">IFERROR(INDEX(Analise_Consumo!$N$5:$N$83,MATCH(1,INDEX((Analise_Consumo!$S$5:$S$83=H42)*(COUNTIF($C$41:$C42,Analise_Consumo!$A$5:$A$83)=0),0),0)),"")</f>
        <v/>
      </c>
    </row>
    <row r="43" customFormat="false" ht="15" hidden="false" customHeight="false" outlineLevel="0" collapsed="false">
      <c r="B43" s="39" t="n">
        <v>3</v>
      </c>
      <c r="C43" s="39" t="str">
        <f aca="false">IFERROR(INDEX(Analise_Consumo!$A$5:$A$83,MATCH(1,INDEX((Analise_Consumo!$S$5:$S$83=H43)*(COUNTIF($C$41:$C43,Analise_Consumo!$A$5:$A$83)=0),0),0)),"")</f>
        <v>R10405</v>
      </c>
      <c r="D43" s="39" t="str">
        <f aca="false">IFERROR(INDEX(Analise_Consumo!$B$5:$B$83,MATCH(1,INDEX((Analise_Consumo!$S$5:$S$83=H43)*(COUNTIF($C$41:$C43,Analise_Consumo!$A$5:$A$83)=0),0),0)),"")</f>
        <v/>
      </c>
      <c r="E43" s="39" t="str">
        <f aca="false">IFERROR(INDEX(Analise_Consumo!$D$5:$D$83,MATCH(1,INDEX((Analise_Consumo!$S$5:$S$83=H43)*(COUNTIF($C$41:$C43,Analise_Consumo!$A$5:$A$83)=0),0),0)),"")</f>
        <v/>
      </c>
      <c r="F43" s="41" t="str">
        <f aca="false">IFERROR(INDEX(Analise_Consumo!$K$5:$K$83,MATCH(1,INDEX((Analise_Consumo!$S$5:$S$83=H43)*(COUNTIF($C$41:$C43,Analise_Consumo!$A$5:$A$83)=0),0),0)),"")</f>
        <v/>
      </c>
      <c r="G43" s="41" t="str">
        <f aca="false">IFERROR(INDEX(Analise_Consumo!$L$5:$L$83,MATCH(1,INDEX((Analise_Consumo!$S$5:$S$83=H43)*(COUNTIF($C$41:$C43,Analise_Consumo!$A$5:$A$83)=0),0),0)),"")</f>
        <v/>
      </c>
      <c r="H43" s="42" t="n">
        <f aca="false">IFERROR(LARGE(Analise_Consumo!$S$5:$S$83,3),"")</f>
        <v>1565.9652494577</v>
      </c>
      <c r="I43" s="39" t="str">
        <f aca="false">IFERROR(INDEX(Analise_Consumo!$N$5:$N$83,MATCH(1,INDEX((Analise_Consumo!$S$5:$S$83=H43)*(COUNTIF($C$41:$C43,Analise_Consumo!$A$5:$A$83)=0),0),0)),"")</f>
        <v/>
      </c>
    </row>
    <row r="44" customFormat="false" ht="15" hidden="false" customHeight="false" outlineLevel="0" collapsed="false">
      <c r="B44" s="39" t="n">
        <v>4</v>
      </c>
      <c r="C44" s="39" t="str">
        <f aca="false">IFERROR(INDEX(Analise_Consumo!$A$5:$A$83,MATCH(1,INDEX((Analise_Consumo!$S$5:$S$83=H44)*(COUNTIF($C$41:$C44,Analise_Consumo!$A$5:$A$83)=0),0),0)),"")</f>
        <v>R7245</v>
      </c>
      <c r="D44" s="39" t="str">
        <f aca="false">IFERROR(INDEX(Analise_Consumo!$B$5:$B$83,MATCH(1,INDEX((Analise_Consumo!$S$5:$S$83=H44)*(COUNTIF($C$41:$C44,Analise_Consumo!$A$5:$A$83)=0),0),0)),"")</f>
        <v/>
      </c>
      <c r="E44" s="39" t="str">
        <f aca="false">IFERROR(INDEX(Analise_Consumo!$D$5:$D$83,MATCH(1,INDEX((Analise_Consumo!$S$5:$S$83=H44)*(COUNTIF($C$41:$C44,Analise_Consumo!$A$5:$A$83)=0),0),0)),"")</f>
        <v/>
      </c>
      <c r="F44" s="41" t="str">
        <f aca="false">IFERROR(INDEX(Analise_Consumo!$K$5:$K$83,MATCH(1,INDEX((Analise_Consumo!$S$5:$S$83=H44)*(COUNTIF($C$41:$C44,Analise_Consumo!$A$5:$A$83)=0),0),0)),"")</f>
        <v/>
      </c>
      <c r="G44" s="41" t="str">
        <f aca="false">IFERROR(INDEX(Analise_Consumo!$L$5:$L$83,MATCH(1,INDEX((Analise_Consumo!$S$5:$S$83=H44)*(COUNTIF($C$41:$C44,Analise_Consumo!$A$5:$A$83)=0),0),0)),"")</f>
        <v/>
      </c>
      <c r="H44" s="42" t="n">
        <f aca="false">IFERROR(LARGE(Analise_Consumo!$S$5:$S$83,4),"")</f>
        <v>1162.53894039735</v>
      </c>
      <c r="I44" s="39" t="str">
        <f aca="false">IFERROR(INDEX(Analise_Consumo!$N$5:$N$83,MATCH(1,INDEX((Analise_Consumo!$S$5:$S$83=H44)*(COUNTIF($C$41:$C44,Analise_Consumo!$A$5:$A$83)=0),0),0)),"")</f>
        <v/>
      </c>
    </row>
    <row r="45" customFormat="false" ht="15" hidden="false" customHeight="false" outlineLevel="0" collapsed="false">
      <c r="B45" s="39" t="n">
        <v>5</v>
      </c>
      <c r="C45" s="39" t="str">
        <f aca="false">IFERROR(INDEX(Analise_Consumo!$A$5:$A$83,MATCH(1,INDEX((Analise_Consumo!$S$5:$S$83=H45)*(COUNTIF($C$41:$C45,Analise_Consumo!$A$5:$A$83)=0),0),0)),"")</f>
        <v>R7485</v>
      </c>
      <c r="D45" s="39" t="str">
        <f aca="false">IFERROR(INDEX(Analise_Consumo!$B$5:$B$83,MATCH(1,INDEX((Analise_Consumo!$S$5:$S$83=H45)*(COUNTIF($C$41:$C45,Analise_Consumo!$A$5:$A$83)=0),0),0)),"")</f>
        <v/>
      </c>
      <c r="E45" s="39" t="str">
        <f aca="false">IFERROR(INDEX(Analise_Consumo!$D$5:$D$83,MATCH(1,INDEX((Analise_Consumo!$S$5:$S$83=H45)*(COUNTIF($C$41:$C45,Analise_Consumo!$A$5:$A$83)=0),0),0)),"")</f>
        <v/>
      </c>
      <c r="F45" s="41" t="str">
        <f aca="false">IFERROR(INDEX(Analise_Consumo!$K$5:$K$83,MATCH(1,INDEX((Analise_Consumo!$S$5:$S$83=H45)*(COUNTIF($C$41:$C45,Analise_Consumo!$A$5:$A$83)=0),0),0)),"")</f>
        <v/>
      </c>
      <c r="G45" s="41" t="str">
        <f aca="false">IFERROR(INDEX(Analise_Consumo!$L$5:$L$83,MATCH(1,INDEX((Analise_Consumo!$S$5:$S$83=H45)*(COUNTIF($C$41:$C45,Analise_Consumo!$A$5:$A$83)=0),0),0)),"")</f>
        <v/>
      </c>
      <c r="H45" s="42" t="n">
        <f aca="false">IFERROR(LARGE(Analise_Consumo!$S$5:$S$83,5),"")</f>
        <v>886.045352112677</v>
      </c>
      <c r="I45" s="39" t="str">
        <f aca="false">IFERROR(INDEX(Analise_Consumo!$N$5:$N$83,MATCH(1,INDEX((Analise_Consumo!$S$5:$S$83=H45)*(COUNTIF($C$41:$C45,Analise_Consumo!$A$5:$A$83)=0),0),0)),"")</f>
        <v/>
      </c>
    </row>
    <row r="46" customFormat="false" ht="15" hidden="false" customHeight="false" outlineLevel="0" collapsed="false">
      <c r="B46" s="39" t="n">
        <v>6</v>
      </c>
      <c r="C46" s="39" t="str">
        <f aca="false">IFERROR(INDEX(Analise_Consumo!$A$5:$A$83,MATCH(1,INDEX((Analise_Consumo!$S$5:$S$83=H46)*(COUNTIF($C$41:$C46,Analise_Consumo!$A$5:$A$83)=0),0),0)),"")</f>
        <v>R7125</v>
      </c>
      <c r="D46" s="39" t="str">
        <f aca="false">IFERROR(INDEX(Analise_Consumo!$B$5:$B$83,MATCH(1,INDEX((Analise_Consumo!$S$5:$S$83=H46)*(COUNTIF($C$41:$C46,Analise_Consumo!$A$5:$A$83)=0),0),0)),"")</f>
        <v/>
      </c>
      <c r="E46" s="39" t="str">
        <f aca="false">IFERROR(INDEX(Analise_Consumo!$D$5:$D$83,MATCH(1,INDEX((Analise_Consumo!$S$5:$S$83=H46)*(COUNTIF($C$41:$C46,Analise_Consumo!$A$5:$A$83)=0),0),0)),"")</f>
        <v/>
      </c>
      <c r="F46" s="41" t="str">
        <f aca="false">IFERROR(INDEX(Analise_Consumo!$K$5:$K$83,MATCH(1,INDEX((Analise_Consumo!$S$5:$S$83=H46)*(COUNTIF($C$41:$C46,Analise_Consumo!$A$5:$A$83)=0),0),0)),"")</f>
        <v/>
      </c>
      <c r="G46" s="41" t="str">
        <f aca="false">IFERROR(INDEX(Analise_Consumo!$L$5:$L$83,MATCH(1,INDEX((Analise_Consumo!$S$5:$S$83=H46)*(COUNTIF($C$41:$C46,Analise_Consumo!$A$5:$A$83)=0),0),0)),"")</f>
        <v/>
      </c>
      <c r="H46" s="42" t="n">
        <f aca="false">IFERROR(LARGE(Analise_Consumo!$S$5:$S$83,6),"")</f>
        <v>853.160264900663</v>
      </c>
      <c r="I46" s="39" t="str">
        <f aca="false">IFERROR(INDEX(Analise_Consumo!$N$5:$N$83,MATCH(1,INDEX((Analise_Consumo!$S$5:$S$83=H46)*(COUNTIF($C$41:$C46,Analise_Consumo!$A$5:$A$83)=0),0),0)),"")</f>
        <v/>
      </c>
    </row>
    <row r="47" customFormat="false" ht="15" hidden="false" customHeight="false" outlineLevel="0" collapsed="false">
      <c r="B47" s="39" t="n">
        <v>7</v>
      </c>
      <c r="C47" s="39" t="str">
        <f aca="false">IFERROR(INDEX(Analise_Consumo!$A$5:$A$83,MATCH(1,INDEX((Analise_Consumo!$S$5:$S$83=H47)*(COUNTIF($C$41:$C47,Analise_Consumo!$A$5:$A$83)=0),0),0)),"")</f>
        <v>R10375</v>
      </c>
      <c r="D47" s="39" t="str">
        <f aca="false">IFERROR(INDEX(Analise_Consumo!$B$5:$B$83,MATCH(1,INDEX((Analise_Consumo!$S$5:$S$83=H47)*(COUNTIF($C$41:$C47,Analise_Consumo!$A$5:$A$83)=0),0),0)),"")</f>
        <v/>
      </c>
      <c r="E47" s="39" t="str">
        <f aca="false">IFERROR(INDEX(Analise_Consumo!$D$5:$D$83,MATCH(1,INDEX((Analise_Consumo!$S$5:$S$83=H47)*(COUNTIF($C$41:$C47,Analise_Consumo!$A$5:$A$83)=0),0),0)),"")</f>
        <v/>
      </c>
      <c r="F47" s="41" t="str">
        <f aca="false">IFERROR(INDEX(Analise_Consumo!$K$5:$K$83,MATCH(1,INDEX((Analise_Consumo!$S$5:$S$83=H47)*(COUNTIF($C$41:$C47,Analise_Consumo!$A$5:$A$83)=0),0),0)),"")</f>
        <v/>
      </c>
      <c r="G47" s="41" t="str">
        <f aca="false">IFERROR(INDEX(Analise_Consumo!$L$5:$L$83,MATCH(1,INDEX((Analise_Consumo!$S$5:$S$83=H47)*(COUNTIF($C$41:$C47,Analise_Consumo!$A$5:$A$83)=0),0),0)),"")</f>
        <v/>
      </c>
      <c r="H47" s="42" t="n">
        <f aca="false">IFERROR(LARGE(Analise_Consumo!$S$5:$S$83,7),"")</f>
        <v>671.547042253521</v>
      </c>
      <c r="I47" s="39" t="str">
        <f aca="false">IFERROR(INDEX(Analise_Consumo!$N$5:$N$83,MATCH(1,INDEX((Analise_Consumo!$S$5:$S$83=H47)*(COUNTIF($C$41:$C47,Analise_Consumo!$A$5:$A$83)=0),0),0)),"")</f>
        <v/>
      </c>
    </row>
    <row r="48" customFormat="false" ht="15" hidden="false" customHeight="false" outlineLevel="0" collapsed="false">
      <c r="B48" s="39" t="n">
        <v>8</v>
      </c>
      <c r="C48" s="39" t="str">
        <f aca="false">IFERROR(INDEX(Analise_Consumo!$A$5:$A$83,MATCH(1,INDEX((Analise_Consumo!$S$5:$S$83=H48)*(COUNTIF($C$41:$C48,Analise_Consumo!$A$5:$A$83)=0),0),0)),"")</f>
        <v>R10365</v>
      </c>
      <c r="D48" s="39" t="str">
        <f aca="false">IFERROR(INDEX(Analise_Consumo!$B$5:$B$83,MATCH(1,INDEX((Analise_Consumo!$S$5:$S$83=H48)*(COUNTIF($C$41:$C48,Analise_Consumo!$A$5:$A$83)=0),0),0)),"")</f>
        <v/>
      </c>
      <c r="E48" s="39" t="str">
        <f aca="false">IFERROR(INDEX(Analise_Consumo!$D$5:$D$83,MATCH(1,INDEX((Analise_Consumo!$S$5:$S$83=H48)*(COUNTIF($C$41:$C48,Analise_Consumo!$A$5:$A$83)=0),0),0)),"")</f>
        <v/>
      </c>
      <c r="F48" s="41" t="str">
        <f aca="false">IFERROR(INDEX(Analise_Consumo!$K$5:$K$83,MATCH(1,INDEX((Analise_Consumo!$S$5:$S$83=H48)*(COUNTIF($C$41:$C48,Analise_Consumo!$A$5:$A$83)=0),0),0)),"")</f>
        <v/>
      </c>
      <c r="G48" s="41" t="str">
        <f aca="false">IFERROR(INDEX(Analise_Consumo!$L$5:$L$83,MATCH(1,INDEX((Analise_Consumo!$S$5:$S$83=H48)*(COUNTIF($C$41:$C48,Analise_Consumo!$A$5:$A$83)=0),0),0)),"")</f>
        <v/>
      </c>
      <c r="H48" s="42" t="n">
        <f aca="false">IFERROR(LARGE(Analise_Consumo!$S$5:$S$83,8),"")</f>
        <v>476.867323943662</v>
      </c>
      <c r="I48" s="39" t="str">
        <f aca="false">IFERROR(INDEX(Analise_Consumo!$N$5:$N$83,MATCH(1,INDEX((Analise_Consumo!$S$5:$S$83=H48)*(COUNTIF($C$41:$C48,Analise_Consumo!$A$5:$A$83)=0),0),0)),"")</f>
        <v/>
      </c>
    </row>
    <row r="49" customFormat="false" ht="15" hidden="false" customHeight="false" outlineLevel="0" collapsed="false">
      <c r="B49" s="39" t="n">
        <v>9</v>
      </c>
      <c r="C49" s="39" t="str">
        <f aca="false">IFERROR(INDEX(Analise_Consumo!$A$5:$A$83,MATCH(1,INDEX((Analise_Consumo!$S$5:$S$83=H49)*(COUNTIF($C$41:$C49,Analise_Consumo!$A$5:$A$83)=0),0),0)),"")</f>
        <v>R7085</v>
      </c>
      <c r="D49" s="39" t="str">
        <f aca="false">IFERROR(INDEX(Analise_Consumo!$B$5:$B$83,MATCH(1,INDEX((Analise_Consumo!$S$5:$S$83=H49)*(COUNTIF($C$41:$C49,Analise_Consumo!$A$5:$A$83)=0),0),0)),"")</f>
        <v/>
      </c>
      <c r="E49" s="39" t="str">
        <f aca="false">IFERROR(INDEX(Analise_Consumo!$D$5:$D$83,MATCH(1,INDEX((Analise_Consumo!$S$5:$S$83=H49)*(COUNTIF($C$41:$C49,Analise_Consumo!$A$5:$A$83)=0),0),0)),"")</f>
        <v/>
      </c>
      <c r="F49" s="41" t="str">
        <f aca="false">IFERROR(INDEX(Analise_Consumo!$K$5:$K$83,MATCH(1,INDEX((Analise_Consumo!$S$5:$S$83=H49)*(COUNTIF($C$41:$C49,Analise_Consumo!$A$5:$A$83)=0),0),0)),"")</f>
        <v/>
      </c>
      <c r="G49" s="41" t="str">
        <f aca="false">IFERROR(INDEX(Analise_Consumo!$L$5:$L$83,MATCH(1,INDEX((Analise_Consumo!$S$5:$S$83=H49)*(COUNTIF($C$41:$C49,Analise_Consumo!$A$5:$A$83)=0),0),0)),"")</f>
        <v/>
      </c>
      <c r="H49" s="42" t="n">
        <f aca="false">IFERROR(LARGE(Analise_Consumo!$S$5:$S$83,9),"")</f>
        <v>429.891655629139</v>
      </c>
      <c r="I49" s="39" t="str">
        <f aca="false">IFERROR(INDEX(Analise_Consumo!$N$5:$N$83,MATCH(1,INDEX((Analise_Consumo!$S$5:$S$83=H49)*(COUNTIF($C$41:$C49,Analise_Consumo!$A$5:$A$83)=0),0),0)),"")</f>
        <v/>
      </c>
    </row>
    <row r="50" customFormat="false" ht="15" hidden="false" customHeight="false" outlineLevel="0" collapsed="false">
      <c r="B50" s="39" t="n">
        <v>10</v>
      </c>
      <c r="C50" s="39" t="str">
        <f aca="false">IFERROR(INDEX(Analise_Consumo!$A$5:$A$83,MATCH(1,INDEX((Analise_Consumo!$S$5:$S$83=H50)*(COUNTIF($C$41:$C50,Analise_Consumo!$A$5:$A$83)=0),0),0)),"")</f>
        <v>R8525</v>
      </c>
      <c r="D50" s="39" t="str">
        <f aca="false">IFERROR(INDEX(Analise_Consumo!$B$5:$B$83,MATCH(1,INDEX((Analise_Consumo!$S$5:$S$83=H50)*(COUNTIF($C$41:$C50,Analise_Consumo!$A$5:$A$83)=0),0),0)),"")</f>
        <v/>
      </c>
      <c r="E50" s="39" t="str">
        <f aca="false">IFERROR(INDEX(Analise_Consumo!$D$5:$D$83,MATCH(1,INDEX((Analise_Consumo!$S$5:$S$83=H50)*(COUNTIF($C$41:$C50,Analise_Consumo!$A$5:$A$83)=0),0),0)),"")</f>
        <v/>
      </c>
      <c r="F50" s="41" t="str">
        <f aca="false">IFERROR(INDEX(Analise_Consumo!$K$5:$K$83,MATCH(1,INDEX((Analise_Consumo!$S$5:$S$83=H50)*(COUNTIF($C$41:$C50,Analise_Consumo!$A$5:$A$83)=0),0),0)),"")</f>
        <v/>
      </c>
      <c r="G50" s="41" t="str">
        <f aca="false">IFERROR(INDEX(Analise_Consumo!$L$5:$L$83,MATCH(1,INDEX((Analise_Consumo!$S$5:$S$83=H50)*(COUNTIF($C$41:$C50,Analise_Consumo!$A$5:$A$83)=0),0),0)),"")</f>
        <v/>
      </c>
      <c r="H50" s="42" t="n">
        <f aca="false">IFERROR(LARGE(Analise_Consumo!$S$5:$S$83,10),"")</f>
        <v>391.112582781457</v>
      </c>
      <c r="I50" s="39" t="str">
        <f aca="false">IFERROR(INDEX(Analise_Consumo!$N$5:$N$83,MATCH(1,INDEX((Analise_Consumo!$S$5:$S$83=H50)*(COUNTIF($C$41:$C50,Analise_Consumo!$A$5:$A$83)=0),0),0)),"")</f>
        <v/>
      </c>
    </row>
  </sheetData>
  <mergeCells count="21">
    <mergeCell ref="B2:J2"/>
    <mergeCell ref="B3:J3"/>
    <mergeCell ref="B5:D5"/>
    <mergeCell ref="F5:H5"/>
    <mergeCell ref="B6:D6"/>
    <mergeCell ref="F6:H6"/>
    <mergeCell ref="B9:D9"/>
    <mergeCell ref="F9:H9"/>
    <mergeCell ref="B10:D10"/>
    <mergeCell ref="F10:H10"/>
    <mergeCell ref="B13:D13"/>
    <mergeCell ref="F13:H13"/>
    <mergeCell ref="B14:D14"/>
    <mergeCell ref="F14:H14"/>
    <mergeCell ref="B17:D17"/>
    <mergeCell ref="F17:H17"/>
    <mergeCell ref="B18:D18"/>
    <mergeCell ref="F18:H18"/>
    <mergeCell ref="B22:F22"/>
    <mergeCell ref="B32:G32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13"/>
    <col collapsed="false" customWidth="true" hidden="false" outlineLevel="0" max="10" min="8" style="0" width="10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60"/>
  </cols>
  <sheetData>
    <row r="1" customFormat="false" ht="30" hidden="false" customHeight="true" outlineLevel="0" collapsed="false">
      <c r="A1" s="21" t="s">
        <v>6118</v>
      </c>
      <c r="B1" s="21" t="s">
        <v>6117</v>
      </c>
      <c r="C1" s="21" t="s">
        <v>6278</v>
      </c>
      <c r="D1" s="21" t="s">
        <v>6270</v>
      </c>
      <c r="E1" s="21" t="s">
        <v>6265</v>
      </c>
      <c r="F1" s="21" t="s">
        <v>6279</v>
      </c>
      <c r="G1" s="21" t="s">
        <v>6280</v>
      </c>
      <c r="H1" s="21" t="s">
        <v>6281</v>
      </c>
      <c r="I1" s="21" t="s">
        <v>6282</v>
      </c>
      <c r="J1" s="21" t="s">
        <v>6240</v>
      </c>
      <c r="K1" s="21" t="s">
        <v>6283</v>
      </c>
      <c r="L1" s="21" t="s">
        <v>6284</v>
      </c>
      <c r="M1" s="21" t="s">
        <v>6285</v>
      </c>
      <c r="N1" s="21" t="s">
        <v>6286</v>
      </c>
    </row>
    <row r="2" customFormat="false" ht="35.05" hidden="false" customHeight="false" outlineLevel="0" collapsed="false">
      <c r="A2" s="43" t="s">
        <v>6151</v>
      </c>
      <c r="B2" s="43" t="s">
        <v>4739</v>
      </c>
      <c r="C2" s="43" t="s">
        <v>6129</v>
      </c>
      <c r="D2" s="43" t="s">
        <v>6133</v>
      </c>
      <c r="E2" s="44" t="s">
        <v>6250</v>
      </c>
      <c r="F2" s="43" t="s">
        <v>6287</v>
      </c>
      <c r="G2" s="43" t="s">
        <v>6288</v>
      </c>
      <c r="H2" s="43" t="n">
        <v>5</v>
      </c>
      <c r="I2" s="43" t="n">
        <v>4</v>
      </c>
      <c r="J2" s="43" t="n">
        <v>1</v>
      </c>
      <c r="K2" s="43" t="s">
        <v>6289</v>
      </c>
      <c r="L2" s="43" t="n">
        <v>0</v>
      </c>
      <c r="M2" s="43" t="s">
        <v>6290</v>
      </c>
      <c r="N2" s="43" t="s">
        <v>6291</v>
      </c>
    </row>
    <row r="3" customFormat="false" ht="35.05" hidden="false" customHeight="false" outlineLevel="0" collapsed="false">
      <c r="A3" s="43" t="s">
        <v>4057</v>
      </c>
      <c r="B3" s="43" t="s">
        <v>4058</v>
      </c>
      <c r="C3" s="43" t="s">
        <v>6129</v>
      </c>
      <c r="D3" s="43" t="s">
        <v>6133</v>
      </c>
      <c r="E3" s="44" t="s">
        <v>6250</v>
      </c>
      <c r="F3" s="43" t="s">
        <v>6287</v>
      </c>
      <c r="G3" s="43" t="s">
        <v>6288</v>
      </c>
      <c r="H3" s="43" t="n">
        <v>5</v>
      </c>
      <c r="I3" s="43" t="n">
        <v>3</v>
      </c>
      <c r="J3" s="43" t="n">
        <v>2</v>
      </c>
      <c r="K3" s="43" t="s">
        <v>6289</v>
      </c>
      <c r="L3" s="43" t="n">
        <v>0</v>
      </c>
      <c r="M3" s="43"/>
      <c r="N3" s="43" t="s">
        <v>6292</v>
      </c>
    </row>
    <row r="4" customFormat="false" ht="15" hidden="false" customHeight="false" outlineLevel="0" collapsed="false">
      <c r="A4" s="43" t="s">
        <v>4084</v>
      </c>
      <c r="B4" s="43" t="s">
        <v>4085</v>
      </c>
      <c r="C4" s="43" t="s">
        <v>6129</v>
      </c>
      <c r="D4" s="43" t="s">
        <v>6130</v>
      </c>
      <c r="E4" s="45" t="s">
        <v>6251</v>
      </c>
      <c r="F4" s="43" t="s">
        <v>6287</v>
      </c>
      <c r="G4" s="43" t="s">
        <v>6288</v>
      </c>
      <c r="H4" s="43" t="n">
        <v>7</v>
      </c>
      <c r="I4" s="43" t="n">
        <v>7</v>
      </c>
      <c r="J4" s="43" t="n">
        <v>0</v>
      </c>
      <c r="K4" s="43" t="s">
        <v>6293</v>
      </c>
      <c r="L4" s="43" t="n">
        <v>0</v>
      </c>
      <c r="M4" s="43"/>
      <c r="N4" s="43" t="s">
        <v>6294</v>
      </c>
    </row>
    <row r="5" customFormat="false" ht="35.05" hidden="false" customHeight="false" outlineLevel="0" collapsed="false">
      <c r="A5" s="43" t="s">
        <v>4125</v>
      </c>
      <c r="B5" s="43" t="s">
        <v>4126</v>
      </c>
      <c r="C5" s="43" t="s">
        <v>6129</v>
      </c>
      <c r="D5" s="43" t="s">
        <v>6130</v>
      </c>
      <c r="E5" s="45" t="s">
        <v>6251</v>
      </c>
      <c r="F5" s="43" t="s">
        <v>6295</v>
      </c>
      <c r="G5" s="43" t="s">
        <v>6288</v>
      </c>
      <c r="H5" s="43" t="n">
        <v>3</v>
      </c>
      <c r="I5" s="43" t="n">
        <v>3</v>
      </c>
      <c r="J5" s="43" t="n">
        <v>0</v>
      </c>
      <c r="K5" s="43" t="s">
        <v>6293</v>
      </c>
      <c r="L5" s="43" t="n">
        <v>0</v>
      </c>
      <c r="M5" s="43"/>
      <c r="N5" s="43" t="s">
        <v>6296</v>
      </c>
    </row>
    <row r="6" customFormat="false" ht="15" hidden="false" customHeight="false" outlineLevel="0" collapsed="false">
      <c r="A6" s="43" t="s">
        <v>4890</v>
      </c>
      <c r="B6" s="43" t="s">
        <v>4891</v>
      </c>
      <c r="C6" s="43" t="s">
        <v>6129</v>
      </c>
      <c r="D6" s="43" t="s">
        <v>6130</v>
      </c>
      <c r="E6" s="45" t="s">
        <v>6251</v>
      </c>
      <c r="F6" s="43" t="s">
        <v>6287</v>
      </c>
      <c r="G6" s="43" t="s">
        <v>6288</v>
      </c>
      <c r="H6" s="43" t="n">
        <v>7</v>
      </c>
      <c r="I6" s="43" t="n">
        <v>7</v>
      </c>
      <c r="J6" s="43" t="n">
        <v>0</v>
      </c>
      <c r="K6" s="43" t="s">
        <v>6293</v>
      </c>
      <c r="L6" s="43" t="n">
        <v>0</v>
      </c>
      <c r="M6" s="43"/>
      <c r="N6" s="43" t="s">
        <v>6294</v>
      </c>
    </row>
    <row r="7" customFormat="false" ht="23.85" hidden="false" customHeight="false" outlineLevel="0" collapsed="false">
      <c r="A7" s="43" t="s">
        <v>6142</v>
      </c>
      <c r="B7" s="43" t="s">
        <v>4433</v>
      </c>
      <c r="C7" s="43" t="s">
        <v>6129</v>
      </c>
      <c r="D7" s="43" t="s">
        <v>6140</v>
      </c>
      <c r="E7" s="45" t="s">
        <v>6251</v>
      </c>
      <c r="F7" s="43" t="s">
        <v>6287</v>
      </c>
      <c r="G7" s="43" t="s">
        <v>6288</v>
      </c>
      <c r="H7" s="43" t="n">
        <v>7</v>
      </c>
      <c r="I7" s="43" t="n">
        <v>7</v>
      </c>
      <c r="J7" s="43" t="n">
        <v>0</v>
      </c>
      <c r="K7" s="43" t="s">
        <v>6293</v>
      </c>
      <c r="L7" s="43" t="n">
        <v>0</v>
      </c>
      <c r="M7" s="43" t="s">
        <v>6297</v>
      </c>
      <c r="N7" s="43" t="s">
        <v>6294</v>
      </c>
    </row>
    <row r="8" customFormat="false" ht="23.85" hidden="false" customHeight="false" outlineLevel="0" collapsed="false">
      <c r="A8" s="43" t="s">
        <v>6143</v>
      </c>
      <c r="B8" s="43" t="s">
        <v>4674</v>
      </c>
      <c r="C8" s="43" t="s">
        <v>6129</v>
      </c>
      <c r="D8" s="43" t="s">
        <v>6140</v>
      </c>
      <c r="E8" s="45" t="s">
        <v>6251</v>
      </c>
      <c r="F8" s="43" t="s">
        <v>6287</v>
      </c>
      <c r="G8" s="43" t="s">
        <v>6288</v>
      </c>
      <c r="H8" s="43" t="n">
        <v>7</v>
      </c>
      <c r="I8" s="43" t="n">
        <v>7</v>
      </c>
      <c r="J8" s="43" t="n">
        <v>0</v>
      </c>
      <c r="K8" s="43" t="s">
        <v>6293</v>
      </c>
      <c r="L8" s="43" t="n">
        <v>0</v>
      </c>
      <c r="M8" s="43" t="s">
        <v>6298</v>
      </c>
      <c r="N8" s="43" t="s">
        <v>6294</v>
      </c>
    </row>
    <row r="9" customFormat="false" ht="35.05" hidden="false" customHeight="false" outlineLevel="0" collapsed="false">
      <c r="A9" s="43" t="s">
        <v>4274</v>
      </c>
      <c r="B9" s="43" t="s">
        <v>4275</v>
      </c>
      <c r="C9" s="43" t="s">
        <v>6129</v>
      </c>
      <c r="D9" s="43" t="s">
        <v>6140</v>
      </c>
      <c r="E9" s="46" t="s">
        <v>6252</v>
      </c>
      <c r="F9" s="43" t="s">
        <v>6287</v>
      </c>
      <c r="G9" s="43" t="s">
        <v>6288</v>
      </c>
      <c r="H9" s="43" t="n">
        <v>7</v>
      </c>
      <c r="I9" s="43" t="n">
        <v>6</v>
      </c>
      <c r="J9" s="43" t="n">
        <v>1</v>
      </c>
      <c r="K9" s="43" t="s">
        <v>6293</v>
      </c>
      <c r="L9" s="43" t="n">
        <v>0</v>
      </c>
      <c r="M9" s="43"/>
      <c r="N9" s="43" t="s">
        <v>6299</v>
      </c>
    </row>
    <row r="10" customFormat="false" ht="15" hidden="false" customHeight="false" outlineLevel="0" collapsed="false">
      <c r="A10" s="43" t="s">
        <v>4406</v>
      </c>
      <c r="B10" s="43" t="s">
        <v>4407</v>
      </c>
      <c r="C10" s="43" t="s">
        <v>6129</v>
      </c>
      <c r="D10" s="43" t="s">
        <v>6130</v>
      </c>
      <c r="E10" s="45" t="s">
        <v>6251</v>
      </c>
      <c r="F10" s="43" t="s">
        <v>6287</v>
      </c>
      <c r="G10" s="43" t="s">
        <v>6288</v>
      </c>
      <c r="H10" s="43" t="n">
        <v>7</v>
      </c>
      <c r="I10" s="43" t="n">
        <v>7</v>
      </c>
      <c r="J10" s="43" t="n">
        <v>0</v>
      </c>
      <c r="K10" s="43" t="s">
        <v>6293</v>
      </c>
      <c r="L10" s="43" t="n">
        <v>0</v>
      </c>
      <c r="M10" s="43"/>
      <c r="N10" s="43" t="s">
        <v>6294</v>
      </c>
    </row>
    <row r="11" customFormat="false" ht="15" hidden="false" customHeight="false" outlineLevel="0" collapsed="false">
      <c r="A11" s="43" t="s">
        <v>4349</v>
      </c>
      <c r="B11" s="43" t="s">
        <v>4350</v>
      </c>
      <c r="C11" s="43" t="s">
        <v>6129</v>
      </c>
      <c r="D11" s="43" t="s">
        <v>6133</v>
      </c>
      <c r="E11" s="45" t="s">
        <v>6251</v>
      </c>
      <c r="F11" s="43" t="s">
        <v>6287</v>
      </c>
      <c r="G11" s="43" t="s">
        <v>6288</v>
      </c>
      <c r="H11" s="43" t="n">
        <v>7</v>
      </c>
      <c r="I11" s="43" t="n">
        <v>7</v>
      </c>
      <c r="J11" s="43" t="n">
        <v>0</v>
      </c>
      <c r="K11" s="43" t="s">
        <v>6293</v>
      </c>
      <c r="L11" s="43" t="n">
        <v>0</v>
      </c>
      <c r="M11" s="43"/>
      <c r="N11" s="43" t="s">
        <v>6294</v>
      </c>
    </row>
    <row r="12" customFormat="false" ht="15" hidden="false" customHeight="false" outlineLevel="0" collapsed="false">
      <c r="A12" s="43" t="s">
        <v>4374</v>
      </c>
      <c r="B12" s="43" t="s">
        <v>4375</v>
      </c>
      <c r="C12" s="43" t="s">
        <v>6129</v>
      </c>
      <c r="D12" s="43" t="s">
        <v>6133</v>
      </c>
      <c r="E12" s="45" t="s">
        <v>6251</v>
      </c>
      <c r="F12" s="43" t="s">
        <v>6287</v>
      </c>
      <c r="G12" s="43" t="s">
        <v>6288</v>
      </c>
      <c r="H12" s="43" t="n">
        <v>7</v>
      </c>
      <c r="I12" s="43" t="n">
        <v>7</v>
      </c>
      <c r="J12" s="43" t="n">
        <v>0</v>
      </c>
      <c r="K12" s="43" t="s">
        <v>6293</v>
      </c>
      <c r="L12" s="43" t="n">
        <v>0</v>
      </c>
      <c r="M12" s="43"/>
      <c r="N12" s="43" t="s">
        <v>6294</v>
      </c>
    </row>
    <row r="13" customFormat="false" ht="35.05" hidden="false" customHeight="false" outlineLevel="0" collapsed="false">
      <c r="A13" s="43" t="s">
        <v>4296</v>
      </c>
      <c r="B13" s="43" t="s">
        <v>4297</v>
      </c>
      <c r="C13" s="43" t="s">
        <v>6129</v>
      </c>
      <c r="D13" s="43" t="s">
        <v>6130</v>
      </c>
      <c r="E13" s="45" t="s">
        <v>6251</v>
      </c>
      <c r="F13" s="43" t="s">
        <v>6287</v>
      </c>
      <c r="G13" s="43" t="s">
        <v>6300</v>
      </c>
      <c r="H13" s="43" t="n">
        <v>3</v>
      </c>
      <c r="I13" s="43" t="n">
        <v>3</v>
      </c>
      <c r="J13" s="43" t="n">
        <v>0</v>
      </c>
      <c r="K13" s="43" t="s">
        <v>6293</v>
      </c>
      <c r="L13" s="43" t="n">
        <v>0</v>
      </c>
      <c r="M13" s="43"/>
      <c r="N13" s="43" t="s">
        <v>6296</v>
      </c>
    </row>
    <row r="14" customFormat="false" ht="15" hidden="false" customHeight="false" outlineLevel="0" collapsed="false">
      <c r="A14" s="43" t="s">
        <v>4204</v>
      </c>
      <c r="B14" s="43" t="s">
        <v>4205</v>
      </c>
      <c r="C14" s="43" t="s">
        <v>6129</v>
      </c>
      <c r="D14" s="43" t="s">
        <v>6130</v>
      </c>
      <c r="E14" s="45" t="s">
        <v>6251</v>
      </c>
      <c r="F14" s="43" t="s">
        <v>6287</v>
      </c>
      <c r="G14" s="43" t="s">
        <v>6288</v>
      </c>
      <c r="H14" s="43" t="n">
        <v>7</v>
      </c>
      <c r="I14" s="43" t="n">
        <v>7</v>
      </c>
      <c r="J14" s="43" t="n">
        <v>0</v>
      </c>
      <c r="K14" s="43" t="s">
        <v>6293</v>
      </c>
      <c r="L14" s="43" t="n">
        <v>0</v>
      </c>
      <c r="M14" s="43"/>
      <c r="N14" s="43" t="s">
        <v>6294</v>
      </c>
    </row>
    <row r="15" customFormat="false" ht="35.05" hidden="false" customHeight="false" outlineLevel="0" collapsed="false">
      <c r="A15" s="43" t="s">
        <v>4300</v>
      </c>
      <c r="B15" s="43" t="s">
        <v>4301</v>
      </c>
      <c r="C15" s="43" t="s">
        <v>6129</v>
      </c>
      <c r="D15" s="43" t="s">
        <v>6130</v>
      </c>
      <c r="E15" s="46" t="s">
        <v>6252</v>
      </c>
      <c r="F15" s="43" t="s">
        <v>6287</v>
      </c>
      <c r="G15" s="43" t="s">
        <v>6288</v>
      </c>
      <c r="H15" s="43" t="n">
        <v>7</v>
      </c>
      <c r="I15" s="43" t="n">
        <v>6</v>
      </c>
      <c r="J15" s="43" t="n">
        <v>1</v>
      </c>
      <c r="K15" s="43" t="s">
        <v>6293</v>
      </c>
      <c r="L15" s="43" t="n">
        <v>140.6</v>
      </c>
      <c r="M15" s="43"/>
      <c r="N15" s="43" t="s">
        <v>6301</v>
      </c>
    </row>
    <row r="16" customFormat="false" ht="15" hidden="false" customHeight="false" outlineLevel="0" collapsed="false">
      <c r="A16" s="43" t="s">
        <v>4701</v>
      </c>
      <c r="B16" s="43" t="s">
        <v>4702</v>
      </c>
      <c r="C16" s="43" t="s">
        <v>6129</v>
      </c>
      <c r="D16" s="43" t="s">
        <v>6130</v>
      </c>
      <c r="E16" s="45" t="s">
        <v>6251</v>
      </c>
      <c r="F16" s="43" t="s">
        <v>6287</v>
      </c>
      <c r="G16" s="43" t="s">
        <v>6288</v>
      </c>
      <c r="H16" s="43" t="n">
        <v>7</v>
      </c>
      <c r="I16" s="43" t="n">
        <v>7</v>
      </c>
      <c r="J16" s="43" t="n">
        <v>0</v>
      </c>
      <c r="K16" s="43" t="s">
        <v>6293</v>
      </c>
      <c r="L16" s="43" t="n">
        <v>0</v>
      </c>
      <c r="M16" s="43"/>
      <c r="N16" s="43" t="s">
        <v>6294</v>
      </c>
    </row>
    <row r="17" customFormat="false" ht="35.05" hidden="false" customHeight="false" outlineLevel="0" collapsed="false">
      <c r="A17" s="43" t="s">
        <v>4111</v>
      </c>
      <c r="B17" s="43" t="s">
        <v>4112</v>
      </c>
      <c r="C17" s="43" t="s">
        <v>6129</v>
      </c>
      <c r="D17" s="43" t="s">
        <v>6130</v>
      </c>
      <c r="E17" s="44" t="s">
        <v>6253</v>
      </c>
      <c r="F17" s="43" t="s">
        <v>6287</v>
      </c>
      <c r="G17" s="43" t="s">
        <v>6288</v>
      </c>
      <c r="H17" s="43" t="n">
        <v>5</v>
      </c>
      <c r="I17" s="43" t="n">
        <v>0</v>
      </c>
      <c r="J17" s="43" t="n">
        <v>5</v>
      </c>
      <c r="K17" s="43" t="s">
        <v>6289</v>
      </c>
      <c r="L17" s="43" t="n">
        <v>1046.8</v>
      </c>
      <c r="M17" s="43"/>
      <c r="N17" s="43" t="s">
        <v>6302</v>
      </c>
    </row>
    <row r="18" customFormat="false" ht="35.05" hidden="false" customHeight="false" outlineLevel="0" collapsed="false">
      <c r="A18" s="43" t="s">
        <v>239</v>
      </c>
      <c r="B18" s="43" t="s">
        <v>240</v>
      </c>
      <c r="C18" s="43" t="s">
        <v>6129</v>
      </c>
      <c r="D18" s="43" t="s">
        <v>6130</v>
      </c>
      <c r="E18" s="44" t="s">
        <v>6253</v>
      </c>
      <c r="F18" s="43" t="s">
        <v>6287</v>
      </c>
      <c r="G18" s="43" t="s">
        <v>6288</v>
      </c>
      <c r="H18" s="43" t="n">
        <v>6</v>
      </c>
      <c r="I18" s="43" t="n">
        <v>0</v>
      </c>
      <c r="J18" s="43" t="n">
        <v>6</v>
      </c>
      <c r="K18" s="43" t="s">
        <v>6289</v>
      </c>
      <c r="L18" s="43" t="n">
        <v>355.1</v>
      </c>
      <c r="M18" s="43"/>
      <c r="N18" s="43" t="s">
        <v>6303</v>
      </c>
    </row>
    <row r="19" customFormat="false" ht="35.05" hidden="false" customHeight="false" outlineLevel="0" collapsed="false">
      <c r="A19" s="43" t="s">
        <v>3229</v>
      </c>
      <c r="B19" s="43" t="s">
        <v>3230</v>
      </c>
      <c r="C19" s="43" t="s">
        <v>6129</v>
      </c>
      <c r="D19" s="43" t="s">
        <v>6130</v>
      </c>
      <c r="E19" s="45" t="s">
        <v>6251</v>
      </c>
      <c r="F19" s="43" t="s">
        <v>6287</v>
      </c>
      <c r="G19" s="43" t="s">
        <v>6288</v>
      </c>
      <c r="H19" s="43" t="n">
        <v>6</v>
      </c>
      <c r="I19" s="43" t="n">
        <v>6</v>
      </c>
      <c r="J19" s="43" t="n">
        <v>0</v>
      </c>
      <c r="K19" s="43" t="s">
        <v>6293</v>
      </c>
      <c r="L19" s="43" t="n">
        <v>0</v>
      </c>
      <c r="M19" s="43"/>
      <c r="N19" s="43" t="s">
        <v>6304</v>
      </c>
    </row>
    <row r="20" customFormat="false" ht="23.85" hidden="false" customHeight="false" outlineLevel="0" collapsed="false">
      <c r="A20" s="43" t="s">
        <v>6157</v>
      </c>
      <c r="B20" s="43" t="s">
        <v>562</v>
      </c>
      <c r="C20" s="43" t="s">
        <v>6129</v>
      </c>
      <c r="D20" s="43" t="s">
        <v>6140</v>
      </c>
      <c r="E20" s="45" t="s">
        <v>6251</v>
      </c>
      <c r="F20" s="43" t="s">
        <v>6287</v>
      </c>
      <c r="G20" s="43" t="s">
        <v>6288</v>
      </c>
      <c r="H20" s="43" t="n">
        <v>7</v>
      </c>
      <c r="I20" s="43" t="n">
        <v>7</v>
      </c>
      <c r="J20" s="43" t="n">
        <v>0</v>
      </c>
      <c r="K20" s="43" t="s">
        <v>6293</v>
      </c>
      <c r="L20" s="43" t="n">
        <v>0</v>
      </c>
      <c r="M20" s="43" t="s">
        <v>6305</v>
      </c>
      <c r="N20" s="43" t="s">
        <v>6294</v>
      </c>
    </row>
    <row r="21" customFormat="false" ht="35.05" hidden="false" customHeight="false" outlineLevel="0" collapsed="false">
      <c r="A21" s="43" t="s">
        <v>1757</v>
      </c>
      <c r="B21" s="43" t="s">
        <v>1758</v>
      </c>
      <c r="C21" s="43" t="s">
        <v>6129</v>
      </c>
      <c r="D21" s="43" t="s">
        <v>6130</v>
      </c>
      <c r="E21" s="44" t="s">
        <v>6253</v>
      </c>
      <c r="F21" s="43" t="s">
        <v>6287</v>
      </c>
      <c r="G21" s="43" t="s">
        <v>6300</v>
      </c>
      <c r="H21" s="43" t="n">
        <v>4</v>
      </c>
      <c r="I21" s="43" t="n">
        <v>0</v>
      </c>
      <c r="J21" s="43" t="n">
        <v>4</v>
      </c>
      <c r="K21" s="43" t="s">
        <v>6289</v>
      </c>
      <c r="L21" s="43" t="n">
        <v>91.1</v>
      </c>
      <c r="M21" s="43"/>
      <c r="N21" s="43" t="s">
        <v>6306</v>
      </c>
    </row>
    <row r="22" customFormat="false" ht="91" hidden="false" customHeight="false" outlineLevel="0" collapsed="false">
      <c r="A22" s="43" t="s">
        <v>724</v>
      </c>
      <c r="B22" s="43" t="s">
        <v>740</v>
      </c>
      <c r="C22" s="43" t="s">
        <v>6129</v>
      </c>
      <c r="D22" s="43" t="s">
        <v>6130</v>
      </c>
      <c r="E22" s="46" t="s">
        <v>6252</v>
      </c>
      <c r="F22" s="43" t="s">
        <v>6287</v>
      </c>
      <c r="G22" s="43" t="s">
        <v>6307</v>
      </c>
      <c r="H22" s="43" t="n">
        <v>5</v>
      </c>
      <c r="I22" s="43" t="n">
        <v>4</v>
      </c>
      <c r="J22" s="43" t="n">
        <v>1</v>
      </c>
      <c r="K22" s="43" t="s">
        <v>6293</v>
      </c>
      <c r="L22" s="43" t="n">
        <v>218.5</v>
      </c>
      <c r="M22" s="43" t="s">
        <v>6308</v>
      </c>
      <c r="N22" s="43" t="s">
        <v>6309</v>
      </c>
    </row>
    <row r="23" customFormat="false" ht="15" hidden="false" customHeight="false" outlineLevel="0" collapsed="false">
      <c r="A23" s="43" t="s">
        <v>847</v>
      </c>
      <c r="B23" s="43" t="s">
        <v>848</v>
      </c>
      <c r="C23" s="43" t="s">
        <v>6129</v>
      </c>
      <c r="D23" s="43" t="s">
        <v>6130</v>
      </c>
      <c r="E23" s="45" t="s">
        <v>6251</v>
      </c>
      <c r="F23" s="43" t="s">
        <v>6287</v>
      </c>
      <c r="G23" s="43" t="s">
        <v>6288</v>
      </c>
      <c r="H23" s="43" t="n">
        <v>7</v>
      </c>
      <c r="I23" s="43" t="n">
        <v>7</v>
      </c>
      <c r="J23" s="43" t="n">
        <v>0</v>
      </c>
      <c r="K23" s="43" t="s">
        <v>6293</v>
      </c>
      <c r="L23" s="43" t="n">
        <v>0</v>
      </c>
      <c r="M23" s="43"/>
      <c r="N23" s="43" t="s">
        <v>6294</v>
      </c>
    </row>
    <row r="24" customFormat="false" ht="23.85" hidden="false" customHeight="false" outlineLevel="0" collapsed="false">
      <c r="A24" s="43" t="s">
        <v>788</v>
      </c>
      <c r="B24" s="43" t="s">
        <v>789</v>
      </c>
      <c r="C24" s="43" t="s">
        <v>6129</v>
      </c>
      <c r="D24" s="43" t="s">
        <v>6130</v>
      </c>
      <c r="E24" s="44" t="s">
        <v>6253</v>
      </c>
      <c r="F24" s="43" t="s">
        <v>6287</v>
      </c>
      <c r="G24" s="43" t="s">
        <v>6288</v>
      </c>
      <c r="H24" s="43" t="n">
        <v>7</v>
      </c>
      <c r="I24" s="43" t="n">
        <v>0</v>
      </c>
      <c r="J24" s="43" t="n">
        <v>7</v>
      </c>
      <c r="K24" s="43" t="s">
        <v>6289</v>
      </c>
      <c r="L24" s="43" t="n">
        <v>2397.5</v>
      </c>
      <c r="M24" s="43"/>
      <c r="N24" s="43" t="s">
        <v>6310</v>
      </c>
    </row>
    <row r="25" customFormat="false" ht="57.45" hidden="false" customHeight="false" outlineLevel="0" collapsed="false">
      <c r="A25" s="43" t="s">
        <v>1826</v>
      </c>
      <c r="B25" s="43" t="s">
        <v>1827</v>
      </c>
      <c r="C25" s="43" t="s">
        <v>6129</v>
      </c>
      <c r="D25" s="43" t="s">
        <v>6140</v>
      </c>
      <c r="E25" s="46" t="s">
        <v>6252</v>
      </c>
      <c r="F25" s="43" t="s">
        <v>6287</v>
      </c>
      <c r="G25" s="43" t="s">
        <v>6288</v>
      </c>
      <c r="H25" s="43" t="n">
        <v>6</v>
      </c>
      <c r="I25" s="43" t="n">
        <v>5</v>
      </c>
      <c r="J25" s="43" t="n">
        <v>1</v>
      </c>
      <c r="K25" s="43" t="s">
        <v>6293</v>
      </c>
      <c r="L25" s="43" t="n">
        <v>0</v>
      </c>
      <c r="M25" s="43"/>
      <c r="N25" s="43" t="s">
        <v>6311</v>
      </c>
    </row>
    <row r="26" customFormat="false" ht="35.05" hidden="false" customHeight="false" outlineLevel="0" collapsed="false">
      <c r="A26" s="43" t="s">
        <v>1851</v>
      </c>
      <c r="B26" s="43" t="s">
        <v>1852</v>
      </c>
      <c r="C26" s="43" t="s">
        <v>6129</v>
      </c>
      <c r="D26" s="43" t="s">
        <v>6140</v>
      </c>
      <c r="E26" s="46" t="s">
        <v>6252</v>
      </c>
      <c r="F26" s="43" t="s">
        <v>6287</v>
      </c>
      <c r="G26" s="43" t="s">
        <v>6288</v>
      </c>
      <c r="H26" s="43" t="n">
        <v>7</v>
      </c>
      <c r="I26" s="43" t="n">
        <v>6</v>
      </c>
      <c r="J26" s="43" t="n">
        <v>1</v>
      </c>
      <c r="K26" s="43" t="s">
        <v>6293</v>
      </c>
      <c r="L26" s="43" t="n">
        <v>0</v>
      </c>
      <c r="M26" s="43"/>
      <c r="N26" s="43" t="s">
        <v>6312</v>
      </c>
    </row>
    <row r="27" customFormat="false" ht="35.05" hidden="false" customHeight="false" outlineLevel="0" collapsed="false">
      <c r="A27" s="43" t="s">
        <v>1876</v>
      </c>
      <c r="B27" s="43" t="s">
        <v>1877</v>
      </c>
      <c r="C27" s="43" t="s">
        <v>6129</v>
      </c>
      <c r="D27" s="43" t="s">
        <v>6140</v>
      </c>
      <c r="E27" s="46" t="s">
        <v>6252</v>
      </c>
      <c r="F27" s="43" t="s">
        <v>6287</v>
      </c>
      <c r="G27" s="43" t="s">
        <v>6288</v>
      </c>
      <c r="H27" s="43" t="n">
        <v>7</v>
      </c>
      <c r="I27" s="43" t="n">
        <v>6</v>
      </c>
      <c r="J27" s="43" t="n">
        <v>1</v>
      </c>
      <c r="K27" s="43" t="s">
        <v>6293</v>
      </c>
      <c r="L27" s="43" t="n">
        <v>0</v>
      </c>
      <c r="M27" s="43"/>
      <c r="N27" s="43" t="s">
        <v>6299</v>
      </c>
    </row>
    <row r="28" customFormat="false" ht="15" hidden="false" customHeight="false" outlineLevel="0" collapsed="false">
      <c r="A28" s="43" t="s">
        <v>1902</v>
      </c>
      <c r="B28" s="43" t="s">
        <v>1903</v>
      </c>
      <c r="C28" s="43" t="s">
        <v>6129</v>
      </c>
      <c r="D28" s="43" t="s">
        <v>6130</v>
      </c>
      <c r="E28" s="45" t="s">
        <v>6251</v>
      </c>
      <c r="F28" s="43" t="s">
        <v>6287</v>
      </c>
      <c r="G28" s="43" t="s">
        <v>6288</v>
      </c>
      <c r="H28" s="43" t="n">
        <v>7</v>
      </c>
      <c r="I28" s="43" t="n">
        <v>7</v>
      </c>
      <c r="J28" s="43" t="n">
        <v>0</v>
      </c>
      <c r="K28" s="43" t="s">
        <v>6293</v>
      </c>
      <c r="L28" s="43" t="n">
        <v>0</v>
      </c>
      <c r="M28" s="43"/>
      <c r="N28" s="43" t="s">
        <v>6294</v>
      </c>
    </row>
    <row r="29" customFormat="false" ht="15" hidden="false" customHeight="false" outlineLevel="0" collapsed="false">
      <c r="A29" s="43" t="s">
        <v>1929</v>
      </c>
      <c r="B29" s="43" t="s">
        <v>1930</v>
      </c>
      <c r="C29" s="43" t="s">
        <v>6129</v>
      </c>
      <c r="D29" s="43" t="s">
        <v>6130</v>
      </c>
      <c r="E29" s="45" t="s">
        <v>6251</v>
      </c>
      <c r="F29" s="43" t="s">
        <v>6287</v>
      </c>
      <c r="G29" s="43" t="s">
        <v>6288</v>
      </c>
      <c r="H29" s="43" t="n">
        <v>7</v>
      </c>
      <c r="I29" s="43" t="n">
        <v>7</v>
      </c>
      <c r="J29" s="43" t="n">
        <v>0</v>
      </c>
      <c r="K29" s="43" t="s">
        <v>6293</v>
      </c>
      <c r="L29" s="43" t="n">
        <v>0</v>
      </c>
      <c r="M29" s="43"/>
      <c r="N29" s="43" t="s">
        <v>6294</v>
      </c>
    </row>
    <row r="30" customFormat="false" ht="15" hidden="false" customHeight="false" outlineLevel="0" collapsed="false">
      <c r="A30" s="43" t="s">
        <v>1352</v>
      </c>
      <c r="B30" s="43" t="s">
        <v>1353</v>
      </c>
      <c r="C30" s="43" t="s">
        <v>6129</v>
      </c>
      <c r="D30" s="43" t="s">
        <v>6140</v>
      </c>
      <c r="E30" s="45" t="s">
        <v>6251</v>
      </c>
      <c r="F30" s="43" t="s">
        <v>6287</v>
      </c>
      <c r="G30" s="43" t="s">
        <v>6288</v>
      </c>
      <c r="H30" s="43" t="n">
        <v>7</v>
      </c>
      <c r="I30" s="43" t="n">
        <v>7</v>
      </c>
      <c r="J30" s="43" t="n">
        <v>0</v>
      </c>
      <c r="K30" s="43" t="s">
        <v>6293</v>
      </c>
      <c r="L30" s="43" t="n">
        <v>0</v>
      </c>
      <c r="M30" s="43"/>
      <c r="N30" s="43" t="s">
        <v>6294</v>
      </c>
    </row>
    <row r="31" customFormat="false" ht="35.05" hidden="false" customHeight="false" outlineLevel="0" collapsed="false">
      <c r="A31" s="43" t="s">
        <v>1387</v>
      </c>
      <c r="B31" s="43" t="s">
        <v>1388</v>
      </c>
      <c r="C31" s="43" t="s">
        <v>6129</v>
      </c>
      <c r="D31" s="43" t="s">
        <v>6130</v>
      </c>
      <c r="E31" s="45" t="s">
        <v>6251</v>
      </c>
      <c r="F31" s="43" t="s">
        <v>6287</v>
      </c>
      <c r="G31" s="43" t="s">
        <v>6288</v>
      </c>
      <c r="H31" s="43" t="n">
        <v>6</v>
      </c>
      <c r="I31" s="43" t="n">
        <v>6</v>
      </c>
      <c r="J31" s="43" t="n">
        <v>0</v>
      </c>
      <c r="K31" s="43" t="s">
        <v>6293</v>
      </c>
      <c r="L31" s="43" t="n">
        <v>0</v>
      </c>
      <c r="M31" s="43"/>
      <c r="N31" s="43" t="s">
        <v>6304</v>
      </c>
    </row>
    <row r="32" customFormat="false" ht="35.05" hidden="false" customHeight="false" outlineLevel="0" collapsed="false">
      <c r="A32" s="43" t="s">
        <v>1411</v>
      </c>
      <c r="B32" s="43" t="s">
        <v>1412</v>
      </c>
      <c r="C32" s="43" t="s">
        <v>6129</v>
      </c>
      <c r="D32" s="43" t="s">
        <v>6130</v>
      </c>
      <c r="E32" s="46" t="s">
        <v>6252</v>
      </c>
      <c r="F32" s="43" t="s">
        <v>6287</v>
      </c>
      <c r="G32" s="43" t="s">
        <v>6288</v>
      </c>
      <c r="H32" s="43" t="n">
        <v>7</v>
      </c>
      <c r="I32" s="43" t="n">
        <v>6</v>
      </c>
      <c r="J32" s="43" t="n">
        <v>1</v>
      </c>
      <c r="K32" s="43" t="s">
        <v>6293</v>
      </c>
      <c r="L32" s="43" t="n">
        <v>0</v>
      </c>
      <c r="M32" s="43"/>
      <c r="N32" s="43" t="s">
        <v>6299</v>
      </c>
    </row>
    <row r="33" customFormat="false" ht="35.05" hidden="false" customHeight="false" outlineLevel="0" collapsed="false">
      <c r="A33" s="43" t="s">
        <v>1436</v>
      </c>
      <c r="B33" s="43" t="s">
        <v>1437</v>
      </c>
      <c r="C33" s="43" t="s">
        <v>6129</v>
      </c>
      <c r="D33" s="43" t="s">
        <v>6133</v>
      </c>
      <c r="E33" s="45" t="s">
        <v>6251</v>
      </c>
      <c r="F33" s="43" t="s">
        <v>6287</v>
      </c>
      <c r="G33" s="43" t="s">
        <v>6288</v>
      </c>
      <c r="H33" s="43" t="n">
        <v>5</v>
      </c>
      <c r="I33" s="43" t="n">
        <v>5</v>
      </c>
      <c r="J33" s="43" t="n">
        <v>0</v>
      </c>
      <c r="K33" s="43" t="s">
        <v>6293</v>
      </c>
      <c r="L33" s="43" t="n">
        <v>0</v>
      </c>
      <c r="M33" s="43"/>
      <c r="N33" s="43" t="s">
        <v>6313</v>
      </c>
    </row>
    <row r="34" customFormat="false" ht="35.05" hidden="false" customHeight="false" outlineLevel="0" collapsed="false">
      <c r="A34" s="43" t="s">
        <v>1459</v>
      </c>
      <c r="B34" s="43" t="s">
        <v>1460</v>
      </c>
      <c r="C34" s="43" t="s">
        <v>6129</v>
      </c>
      <c r="D34" s="43" t="s">
        <v>6133</v>
      </c>
      <c r="E34" s="44" t="s">
        <v>6253</v>
      </c>
      <c r="F34" s="43" t="s">
        <v>6287</v>
      </c>
      <c r="G34" s="43" t="s">
        <v>6288</v>
      </c>
      <c r="H34" s="43" t="n">
        <v>6</v>
      </c>
      <c r="I34" s="43" t="n">
        <v>0</v>
      </c>
      <c r="J34" s="43" t="n">
        <v>6</v>
      </c>
      <c r="K34" s="43" t="s">
        <v>6289</v>
      </c>
      <c r="L34" s="43" t="n">
        <v>1677.9</v>
      </c>
      <c r="M34" s="43"/>
      <c r="N34" s="43" t="s">
        <v>6303</v>
      </c>
    </row>
    <row r="35" customFormat="false" ht="35.05" hidden="false" customHeight="false" outlineLevel="0" collapsed="false">
      <c r="A35" s="43" t="s">
        <v>1478</v>
      </c>
      <c r="B35" s="43" t="s">
        <v>1479</v>
      </c>
      <c r="C35" s="43" t="s">
        <v>6129</v>
      </c>
      <c r="D35" s="43" t="s">
        <v>6130</v>
      </c>
      <c r="E35" s="46" t="s">
        <v>6252</v>
      </c>
      <c r="F35" s="43" t="s">
        <v>6287</v>
      </c>
      <c r="G35" s="43" t="s">
        <v>6288</v>
      </c>
      <c r="H35" s="43" t="n">
        <v>7</v>
      </c>
      <c r="I35" s="43" t="n">
        <v>6</v>
      </c>
      <c r="J35" s="43" t="n">
        <v>1</v>
      </c>
      <c r="K35" s="43" t="s">
        <v>6293</v>
      </c>
      <c r="L35" s="43" t="n">
        <v>0</v>
      </c>
      <c r="M35" s="43"/>
      <c r="N35" s="43" t="s">
        <v>6299</v>
      </c>
    </row>
    <row r="36" customFormat="false" ht="57.45" hidden="false" customHeight="false" outlineLevel="0" collapsed="false">
      <c r="A36" s="43" t="s">
        <v>1506</v>
      </c>
      <c r="B36" s="43" t="s">
        <v>1507</v>
      </c>
      <c r="C36" s="43" t="s">
        <v>6129</v>
      </c>
      <c r="D36" s="43" t="s">
        <v>6130</v>
      </c>
      <c r="E36" s="46" t="s">
        <v>6252</v>
      </c>
      <c r="F36" s="43" t="s">
        <v>6287</v>
      </c>
      <c r="G36" s="43" t="s">
        <v>6288</v>
      </c>
      <c r="H36" s="43" t="n">
        <v>6</v>
      </c>
      <c r="I36" s="43" t="n">
        <v>5</v>
      </c>
      <c r="J36" s="43" t="n">
        <v>1</v>
      </c>
      <c r="K36" s="43" t="s">
        <v>6293</v>
      </c>
      <c r="L36" s="43" t="n">
        <v>0</v>
      </c>
      <c r="M36" s="43"/>
      <c r="N36" s="43" t="s">
        <v>6311</v>
      </c>
    </row>
    <row r="37" customFormat="false" ht="35.05" hidden="false" customHeight="false" outlineLevel="0" collapsed="false">
      <c r="A37" s="43" t="s">
        <v>1529</v>
      </c>
      <c r="B37" s="43" t="s">
        <v>1530</v>
      </c>
      <c r="C37" s="43" t="s">
        <v>6129</v>
      </c>
      <c r="D37" s="43" t="s">
        <v>6130</v>
      </c>
      <c r="E37" s="45" t="s">
        <v>6251</v>
      </c>
      <c r="F37" s="43" t="s">
        <v>6288</v>
      </c>
      <c r="G37" s="43" t="s">
        <v>6288</v>
      </c>
      <c r="H37" s="43" t="n">
        <v>1</v>
      </c>
      <c r="I37" s="43" t="n">
        <v>1</v>
      </c>
      <c r="J37" s="43" t="n">
        <v>0</v>
      </c>
      <c r="K37" s="43" t="s">
        <v>6293</v>
      </c>
      <c r="L37" s="43" t="n">
        <v>0</v>
      </c>
      <c r="M37" s="43"/>
      <c r="N37" s="43" t="s">
        <v>6314</v>
      </c>
    </row>
    <row r="38" customFormat="false" ht="46.25" hidden="false" customHeight="false" outlineLevel="0" collapsed="false">
      <c r="A38" s="43" t="s">
        <v>121</v>
      </c>
      <c r="B38" s="43" t="s">
        <v>122</v>
      </c>
      <c r="C38" s="43" t="s">
        <v>6129</v>
      </c>
      <c r="D38" s="43" t="s">
        <v>6140</v>
      </c>
      <c r="E38" s="46" t="s">
        <v>6252</v>
      </c>
      <c r="F38" s="43" t="s">
        <v>6287</v>
      </c>
      <c r="G38" s="43" t="s">
        <v>6288</v>
      </c>
      <c r="H38" s="43" t="n">
        <v>6</v>
      </c>
      <c r="I38" s="43" t="n">
        <v>5</v>
      </c>
      <c r="J38" s="43" t="n">
        <v>1</v>
      </c>
      <c r="K38" s="43" t="s">
        <v>6293</v>
      </c>
      <c r="L38" s="43" t="n">
        <v>0</v>
      </c>
      <c r="M38" s="43"/>
      <c r="N38" s="43" t="s">
        <v>6315</v>
      </c>
    </row>
    <row r="39" customFormat="false" ht="35.05" hidden="false" customHeight="false" outlineLevel="0" collapsed="false">
      <c r="A39" s="43" t="s">
        <v>146</v>
      </c>
      <c r="B39" s="43" t="s">
        <v>147</v>
      </c>
      <c r="C39" s="43" t="s">
        <v>6129</v>
      </c>
      <c r="D39" s="43" t="s">
        <v>6130</v>
      </c>
      <c r="E39" s="45" t="s">
        <v>6251</v>
      </c>
      <c r="F39" s="43" t="s">
        <v>6287</v>
      </c>
      <c r="G39" s="43" t="s">
        <v>6288</v>
      </c>
      <c r="H39" s="43" t="n">
        <v>6</v>
      </c>
      <c r="I39" s="43" t="n">
        <v>6</v>
      </c>
      <c r="J39" s="43" t="n">
        <v>0</v>
      </c>
      <c r="K39" s="43" t="s">
        <v>6293</v>
      </c>
      <c r="L39" s="43" t="n">
        <v>0</v>
      </c>
      <c r="M39" s="43"/>
      <c r="N39" s="43" t="s">
        <v>6304</v>
      </c>
    </row>
    <row r="40" customFormat="false" ht="35.05" hidden="false" customHeight="false" outlineLevel="0" collapsed="false">
      <c r="A40" s="43" t="s">
        <v>203</v>
      </c>
      <c r="B40" s="43" t="s">
        <v>204</v>
      </c>
      <c r="C40" s="43" t="s">
        <v>6129</v>
      </c>
      <c r="D40" s="43" t="s">
        <v>6130</v>
      </c>
      <c r="E40" s="45" t="s">
        <v>6251</v>
      </c>
      <c r="F40" s="43" t="s">
        <v>6295</v>
      </c>
      <c r="G40" s="43" t="s">
        <v>6316</v>
      </c>
      <c r="H40" s="43" t="n">
        <v>3</v>
      </c>
      <c r="I40" s="43" t="n">
        <v>3</v>
      </c>
      <c r="J40" s="43" t="n">
        <v>0</v>
      </c>
      <c r="K40" s="43" t="s">
        <v>6293</v>
      </c>
      <c r="L40" s="43" t="n">
        <v>0</v>
      </c>
      <c r="M40" s="43"/>
      <c r="N40" s="43" t="s">
        <v>6296</v>
      </c>
    </row>
    <row r="41" customFormat="false" ht="15" hidden="false" customHeight="false" outlineLevel="0" collapsed="false">
      <c r="A41" s="43" t="s">
        <v>889</v>
      </c>
      <c r="B41" s="43" t="s">
        <v>890</v>
      </c>
      <c r="C41" s="43" t="s">
        <v>6129</v>
      </c>
      <c r="D41" s="43" t="s">
        <v>6133</v>
      </c>
      <c r="E41" s="45" t="s">
        <v>6251</v>
      </c>
      <c r="F41" s="43" t="s">
        <v>6287</v>
      </c>
      <c r="G41" s="43" t="s">
        <v>6288</v>
      </c>
      <c r="H41" s="43" t="n">
        <v>7</v>
      </c>
      <c r="I41" s="43" t="n">
        <v>7</v>
      </c>
      <c r="J41" s="43" t="n">
        <v>0</v>
      </c>
      <c r="K41" s="43" t="s">
        <v>6293</v>
      </c>
      <c r="L41" s="43" t="n">
        <v>0</v>
      </c>
      <c r="M41" s="43"/>
      <c r="N41" s="43" t="s">
        <v>6294</v>
      </c>
    </row>
    <row r="42" customFormat="false" ht="57.45" hidden="false" customHeight="false" outlineLevel="0" collapsed="false">
      <c r="A42" s="43" t="s">
        <v>6254</v>
      </c>
      <c r="B42" s="43" t="s">
        <v>499</v>
      </c>
      <c r="C42" s="43" t="s">
        <v>6129</v>
      </c>
      <c r="D42" s="43" t="s">
        <v>6130</v>
      </c>
      <c r="E42" s="45" t="s">
        <v>6251</v>
      </c>
      <c r="F42" s="43" t="s">
        <v>6287</v>
      </c>
      <c r="G42" s="43" t="s">
        <v>6288</v>
      </c>
      <c r="H42" s="43" t="n">
        <v>7</v>
      </c>
      <c r="I42" s="43" t="n">
        <v>7</v>
      </c>
      <c r="J42" s="43" t="n">
        <v>0</v>
      </c>
      <c r="K42" s="43" t="s">
        <v>6293</v>
      </c>
      <c r="L42" s="43" t="n">
        <v>0</v>
      </c>
      <c r="M42" s="43" t="s">
        <v>6317</v>
      </c>
      <c r="N42" s="43" t="s">
        <v>6294</v>
      </c>
    </row>
    <row r="43" customFormat="false" ht="35.05" hidden="false" customHeight="false" outlineLevel="0" collapsed="false">
      <c r="A43" s="43" t="s">
        <v>6187</v>
      </c>
      <c r="B43" s="43" t="s">
        <v>469</v>
      </c>
      <c r="C43" s="43" t="s">
        <v>6129</v>
      </c>
      <c r="D43" s="43" t="s">
        <v>6140</v>
      </c>
      <c r="E43" s="46" t="s">
        <v>6252</v>
      </c>
      <c r="F43" s="43" t="s">
        <v>6287</v>
      </c>
      <c r="G43" s="43" t="s">
        <v>6288</v>
      </c>
      <c r="H43" s="43" t="n">
        <v>7</v>
      </c>
      <c r="I43" s="43" t="n">
        <v>6</v>
      </c>
      <c r="J43" s="43" t="n">
        <v>1</v>
      </c>
      <c r="K43" s="43" t="s">
        <v>6293</v>
      </c>
      <c r="L43" s="43" t="n">
        <v>0</v>
      </c>
      <c r="M43" s="43" t="s">
        <v>6318</v>
      </c>
      <c r="N43" s="43" t="s">
        <v>6299</v>
      </c>
    </row>
    <row r="44" customFormat="false" ht="15" hidden="false" customHeight="false" outlineLevel="0" collapsed="false">
      <c r="A44" s="43" t="s">
        <v>278</v>
      </c>
      <c r="B44" s="43" t="s">
        <v>279</v>
      </c>
      <c r="C44" s="43" t="s">
        <v>6129</v>
      </c>
      <c r="D44" s="43" t="s">
        <v>6130</v>
      </c>
      <c r="E44" s="45" t="s">
        <v>6251</v>
      </c>
      <c r="F44" s="43" t="s">
        <v>6287</v>
      </c>
      <c r="G44" s="43" t="s">
        <v>6288</v>
      </c>
      <c r="H44" s="43" t="n">
        <v>7</v>
      </c>
      <c r="I44" s="43" t="n">
        <v>7</v>
      </c>
      <c r="J44" s="43" t="n">
        <v>0</v>
      </c>
      <c r="K44" s="43" t="s">
        <v>6293</v>
      </c>
      <c r="L44" s="43" t="n">
        <v>0</v>
      </c>
      <c r="M44" s="43"/>
      <c r="N44" s="43" t="s">
        <v>6294</v>
      </c>
    </row>
    <row r="45" customFormat="false" ht="15" hidden="false" customHeight="false" outlineLevel="0" collapsed="false">
      <c r="A45" s="43" t="s">
        <v>342</v>
      </c>
      <c r="B45" s="43" t="s">
        <v>343</v>
      </c>
      <c r="C45" s="43" t="s">
        <v>6129</v>
      </c>
      <c r="D45" s="43" t="s">
        <v>6130</v>
      </c>
      <c r="E45" s="45" t="s">
        <v>6251</v>
      </c>
      <c r="F45" s="43" t="s">
        <v>6287</v>
      </c>
      <c r="G45" s="43" t="s">
        <v>6288</v>
      </c>
      <c r="H45" s="43" t="n">
        <v>7</v>
      </c>
      <c r="I45" s="43" t="n">
        <v>7</v>
      </c>
      <c r="J45" s="43" t="n">
        <v>0</v>
      </c>
      <c r="K45" s="43" t="s">
        <v>6293</v>
      </c>
      <c r="L45" s="43" t="n">
        <v>0</v>
      </c>
      <c r="M45" s="43"/>
      <c r="N45" s="43" t="s">
        <v>6294</v>
      </c>
    </row>
    <row r="46" customFormat="false" ht="15" hidden="false" customHeight="false" outlineLevel="0" collapsed="false">
      <c r="A46" s="43" t="s">
        <v>374</v>
      </c>
      <c r="B46" s="43" t="s">
        <v>375</v>
      </c>
      <c r="C46" s="43" t="s">
        <v>6129</v>
      </c>
      <c r="D46" s="43" t="s">
        <v>6130</v>
      </c>
      <c r="E46" s="45" t="s">
        <v>6251</v>
      </c>
      <c r="F46" s="43" t="s">
        <v>6287</v>
      </c>
      <c r="G46" s="43" t="s">
        <v>6288</v>
      </c>
      <c r="H46" s="43" t="n">
        <v>7</v>
      </c>
      <c r="I46" s="43" t="n">
        <v>7</v>
      </c>
      <c r="J46" s="43" t="n">
        <v>0</v>
      </c>
      <c r="K46" s="43" t="s">
        <v>6293</v>
      </c>
      <c r="L46" s="43" t="n">
        <v>0</v>
      </c>
      <c r="M46" s="43"/>
      <c r="N46" s="43" t="s">
        <v>6294</v>
      </c>
    </row>
    <row r="47" customFormat="false" ht="15" hidden="false" customHeight="false" outlineLevel="0" collapsed="false">
      <c r="A47" s="43" t="s">
        <v>932</v>
      </c>
      <c r="B47" s="43" t="s">
        <v>933</v>
      </c>
      <c r="C47" s="43" t="s">
        <v>6129</v>
      </c>
      <c r="D47" s="43" t="s">
        <v>6140</v>
      </c>
      <c r="E47" s="45" t="s">
        <v>6251</v>
      </c>
      <c r="F47" s="43" t="s">
        <v>6287</v>
      </c>
      <c r="G47" s="43" t="s">
        <v>6288</v>
      </c>
      <c r="H47" s="43" t="n">
        <v>7</v>
      </c>
      <c r="I47" s="43" t="n">
        <v>7</v>
      </c>
      <c r="J47" s="43" t="n">
        <v>0</v>
      </c>
      <c r="K47" s="43" t="s">
        <v>6293</v>
      </c>
      <c r="L47" s="43" t="n">
        <v>0</v>
      </c>
      <c r="M47" s="43"/>
      <c r="N47" s="43" t="s">
        <v>6294</v>
      </c>
    </row>
    <row r="48" customFormat="false" ht="35.05" hidden="false" customHeight="false" outlineLevel="0" collapsed="false">
      <c r="A48" s="43" t="s">
        <v>969</v>
      </c>
      <c r="B48" s="43" t="s">
        <v>970</v>
      </c>
      <c r="C48" s="43" t="s">
        <v>6129</v>
      </c>
      <c r="D48" s="43" t="s">
        <v>6133</v>
      </c>
      <c r="E48" s="45" t="s">
        <v>6251</v>
      </c>
      <c r="F48" s="43" t="s">
        <v>6288</v>
      </c>
      <c r="G48" s="43" t="s">
        <v>6288</v>
      </c>
      <c r="H48" s="43" t="n">
        <v>1</v>
      </c>
      <c r="I48" s="43" t="n">
        <v>1</v>
      </c>
      <c r="J48" s="43" t="n">
        <v>0</v>
      </c>
      <c r="K48" s="43" t="s">
        <v>6293</v>
      </c>
      <c r="L48" s="43" t="n">
        <v>0</v>
      </c>
      <c r="M48" s="43"/>
      <c r="N48" s="43" t="s">
        <v>6314</v>
      </c>
    </row>
    <row r="49" customFormat="false" ht="15" hidden="false" customHeight="false" outlineLevel="0" collapsed="false">
      <c r="A49" s="43" t="s">
        <v>973</v>
      </c>
      <c r="B49" s="43" t="s">
        <v>974</v>
      </c>
      <c r="C49" s="43" t="s">
        <v>6129</v>
      </c>
      <c r="D49" s="43" t="s">
        <v>6130</v>
      </c>
      <c r="E49" s="45" t="s">
        <v>6251</v>
      </c>
      <c r="F49" s="43" t="s">
        <v>6287</v>
      </c>
      <c r="G49" s="43" t="s">
        <v>6288</v>
      </c>
      <c r="H49" s="43" t="n">
        <v>7</v>
      </c>
      <c r="I49" s="43" t="n">
        <v>7</v>
      </c>
      <c r="J49" s="43" t="n">
        <v>0</v>
      </c>
      <c r="K49" s="43" t="s">
        <v>6293</v>
      </c>
      <c r="L49" s="43" t="n">
        <v>0</v>
      </c>
      <c r="M49" s="43"/>
      <c r="N49" s="43" t="s">
        <v>6294</v>
      </c>
    </row>
    <row r="50" customFormat="false" ht="35.05" hidden="false" customHeight="false" outlineLevel="0" collapsed="false">
      <c r="A50" s="43" t="s">
        <v>1535</v>
      </c>
      <c r="B50" s="43" t="s">
        <v>1536</v>
      </c>
      <c r="C50" s="43" t="s">
        <v>6129</v>
      </c>
      <c r="D50" s="43" t="s">
        <v>6130</v>
      </c>
      <c r="E50" s="45" t="s">
        <v>6251</v>
      </c>
      <c r="F50" s="43" t="s">
        <v>6287</v>
      </c>
      <c r="G50" s="43" t="s">
        <v>6288</v>
      </c>
      <c r="H50" s="43" t="n">
        <v>6</v>
      </c>
      <c r="I50" s="43" t="n">
        <v>6</v>
      </c>
      <c r="J50" s="43" t="n">
        <v>0</v>
      </c>
      <c r="K50" s="43" t="s">
        <v>6293</v>
      </c>
      <c r="L50" s="43" t="n">
        <v>0</v>
      </c>
      <c r="M50" s="43"/>
      <c r="N50" s="43" t="s">
        <v>6304</v>
      </c>
    </row>
    <row r="51" customFormat="false" ht="35.05" hidden="false" customHeight="false" outlineLevel="0" collapsed="false">
      <c r="A51" s="43" t="s">
        <v>1583</v>
      </c>
      <c r="B51" s="43" t="s">
        <v>1584</v>
      </c>
      <c r="C51" s="43" t="s">
        <v>6129</v>
      </c>
      <c r="D51" s="43" t="s">
        <v>6130</v>
      </c>
      <c r="E51" s="45" t="s">
        <v>6251</v>
      </c>
      <c r="F51" s="43" t="s">
        <v>6287</v>
      </c>
      <c r="G51" s="43" t="s">
        <v>6288</v>
      </c>
      <c r="H51" s="43" t="n">
        <v>6</v>
      </c>
      <c r="I51" s="43" t="n">
        <v>6</v>
      </c>
      <c r="J51" s="43" t="n">
        <v>0</v>
      </c>
      <c r="K51" s="43" t="s">
        <v>6293</v>
      </c>
      <c r="L51" s="43" t="n">
        <v>0</v>
      </c>
      <c r="M51" s="43"/>
      <c r="N51" s="43" t="s">
        <v>6304</v>
      </c>
    </row>
    <row r="52" customFormat="false" ht="35.05" hidden="false" customHeight="false" outlineLevel="0" collapsed="false">
      <c r="A52" s="43" t="s">
        <v>1604</v>
      </c>
      <c r="B52" s="43" t="s">
        <v>1605</v>
      </c>
      <c r="C52" s="43" t="s">
        <v>6129</v>
      </c>
      <c r="D52" s="43" t="s">
        <v>6130</v>
      </c>
      <c r="E52" s="45" t="s">
        <v>6251</v>
      </c>
      <c r="F52" s="43" t="s">
        <v>6287</v>
      </c>
      <c r="G52" s="43" t="s">
        <v>6288</v>
      </c>
      <c r="H52" s="43" t="n">
        <v>6</v>
      </c>
      <c r="I52" s="43" t="n">
        <v>6</v>
      </c>
      <c r="J52" s="43" t="n">
        <v>0</v>
      </c>
      <c r="K52" s="43" t="s">
        <v>6293</v>
      </c>
      <c r="L52" s="43" t="n">
        <v>0</v>
      </c>
      <c r="M52" s="43"/>
      <c r="N52" s="43" t="s">
        <v>6304</v>
      </c>
    </row>
    <row r="53" customFormat="false" ht="35.05" hidden="false" customHeight="false" outlineLevel="0" collapsed="false">
      <c r="A53" s="43" t="s">
        <v>1631</v>
      </c>
      <c r="B53" s="43" t="s">
        <v>1632</v>
      </c>
      <c r="C53" s="43" t="s">
        <v>6129</v>
      </c>
      <c r="D53" s="43" t="s">
        <v>6130</v>
      </c>
      <c r="E53" s="44" t="s">
        <v>6253</v>
      </c>
      <c r="F53" s="43" t="s">
        <v>6287</v>
      </c>
      <c r="G53" s="43" t="s">
        <v>6288</v>
      </c>
      <c r="H53" s="43" t="n">
        <v>6</v>
      </c>
      <c r="I53" s="43" t="n">
        <v>0</v>
      </c>
      <c r="J53" s="43" t="n">
        <v>6</v>
      </c>
      <c r="K53" s="43" t="s">
        <v>6289</v>
      </c>
      <c r="L53" s="43" t="n">
        <v>810.6</v>
      </c>
      <c r="M53" s="43"/>
      <c r="N53" s="43" t="s">
        <v>6303</v>
      </c>
    </row>
    <row r="54" customFormat="false" ht="15" hidden="false" customHeight="false" outlineLevel="0" collapsed="false">
      <c r="A54" s="43" t="s">
        <v>1651</v>
      </c>
      <c r="B54" s="43" t="s">
        <v>1652</v>
      </c>
      <c r="C54" s="43" t="s">
        <v>6129</v>
      </c>
      <c r="D54" s="43" t="s">
        <v>6130</v>
      </c>
      <c r="E54" s="45" t="s">
        <v>6251</v>
      </c>
      <c r="F54" s="43" t="s">
        <v>6287</v>
      </c>
      <c r="G54" s="43" t="s">
        <v>6288</v>
      </c>
      <c r="H54" s="43" t="n">
        <v>7</v>
      </c>
      <c r="I54" s="43" t="n">
        <v>7</v>
      </c>
      <c r="J54" s="43" t="n">
        <v>0</v>
      </c>
      <c r="K54" s="43" t="s">
        <v>6293</v>
      </c>
      <c r="L54" s="43" t="n">
        <v>0</v>
      </c>
      <c r="M54" s="43"/>
      <c r="N54" s="43" t="s">
        <v>6294</v>
      </c>
    </row>
    <row r="55" customFormat="false" ht="15" hidden="false" customHeight="false" outlineLevel="0" collapsed="false">
      <c r="A55" s="43" t="s">
        <v>1043</v>
      </c>
      <c r="B55" s="43" t="s">
        <v>1044</v>
      </c>
      <c r="C55" s="43" t="s">
        <v>6129</v>
      </c>
      <c r="D55" s="43" t="s">
        <v>6140</v>
      </c>
      <c r="E55" s="45" t="s">
        <v>6251</v>
      </c>
      <c r="F55" s="43" t="s">
        <v>6287</v>
      </c>
      <c r="G55" s="43" t="s">
        <v>6288</v>
      </c>
      <c r="H55" s="43" t="n">
        <v>7</v>
      </c>
      <c r="I55" s="43" t="n">
        <v>7</v>
      </c>
      <c r="J55" s="43" t="n">
        <v>0</v>
      </c>
      <c r="K55" s="43" t="s">
        <v>6293</v>
      </c>
      <c r="L55" s="43" t="n">
        <v>0</v>
      </c>
      <c r="M55" s="43"/>
      <c r="N55" s="43" t="s">
        <v>6294</v>
      </c>
    </row>
    <row r="56" customFormat="false" ht="15" hidden="false" customHeight="false" outlineLevel="0" collapsed="false">
      <c r="A56" s="43" t="s">
        <v>1078</v>
      </c>
      <c r="B56" s="43" t="s">
        <v>1079</v>
      </c>
      <c r="C56" s="43" t="s">
        <v>6129</v>
      </c>
      <c r="D56" s="43" t="s">
        <v>6140</v>
      </c>
      <c r="E56" s="45" t="s">
        <v>6251</v>
      </c>
      <c r="F56" s="43" t="s">
        <v>6287</v>
      </c>
      <c r="G56" s="43" t="s">
        <v>6288</v>
      </c>
      <c r="H56" s="43" t="n">
        <v>7</v>
      </c>
      <c r="I56" s="43" t="n">
        <v>7</v>
      </c>
      <c r="J56" s="43" t="n">
        <v>0</v>
      </c>
      <c r="K56" s="43" t="s">
        <v>6293</v>
      </c>
      <c r="L56" s="43" t="n">
        <v>0</v>
      </c>
      <c r="M56" s="43"/>
      <c r="N56" s="43" t="s">
        <v>6294</v>
      </c>
    </row>
    <row r="57" customFormat="false" ht="15" hidden="false" customHeight="false" outlineLevel="0" collapsed="false">
      <c r="A57" s="43" t="s">
        <v>1151</v>
      </c>
      <c r="B57" s="43" t="s">
        <v>1152</v>
      </c>
      <c r="C57" s="43" t="s">
        <v>6129</v>
      </c>
      <c r="D57" s="43" t="s">
        <v>6140</v>
      </c>
      <c r="E57" s="45" t="s">
        <v>6251</v>
      </c>
      <c r="F57" s="43" t="s">
        <v>6287</v>
      </c>
      <c r="G57" s="43" t="s">
        <v>6288</v>
      </c>
      <c r="H57" s="43" t="n">
        <v>7</v>
      </c>
      <c r="I57" s="43" t="n">
        <v>7</v>
      </c>
      <c r="J57" s="43" t="n">
        <v>0</v>
      </c>
      <c r="K57" s="43" t="s">
        <v>6293</v>
      </c>
      <c r="L57" s="43" t="n">
        <v>0</v>
      </c>
      <c r="M57" s="43"/>
      <c r="N57" s="43" t="s">
        <v>6294</v>
      </c>
    </row>
    <row r="58" customFormat="false" ht="15" hidden="false" customHeight="false" outlineLevel="0" collapsed="false">
      <c r="A58" s="43" t="s">
        <v>1185</v>
      </c>
      <c r="B58" s="43" t="s">
        <v>1186</v>
      </c>
      <c r="C58" s="43" t="s">
        <v>6129</v>
      </c>
      <c r="D58" s="43" t="s">
        <v>6140</v>
      </c>
      <c r="E58" s="45" t="s">
        <v>6251</v>
      </c>
      <c r="F58" s="43" t="s">
        <v>6287</v>
      </c>
      <c r="G58" s="43" t="s">
        <v>6288</v>
      </c>
      <c r="H58" s="43" t="n">
        <v>7</v>
      </c>
      <c r="I58" s="43" t="n">
        <v>7</v>
      </c>
      <c r="J58" s="43" t="n">
        <v>0</v>
      </c>
      <c r="K58" s="43" t="s">
        <v>6293</v>
      </c>
      <c r="L58" s="43" t="n">
        <v>0</v>
      </c>
      <c r="M58" s="43"/>
      <c r="N58" s="43" t="s">
        <v>6294</v>
      </c>
    </row>
    <row r="59" customFormat="false" ht="15" hidden="false" customHeight="false" outlineLevel="0" collapsed="false">
      <c r="A59" s="43" t="s">
        <v>1219</v>
      </c>
      <c r="B59" s="43" t="s">
        <v>1220</v>
      </c>
      <c r="C59" s="43" t="s">
        <v>6129</v>
      </c>
      <c r="D59" s="43" t="s">
        <v>6140</v>
      </c>
      <c r="E59" s="45" t="s">
        <v>6251</v>
      </c>
      <c r="F59" s="43" t="s">
        <v>6287</v>
      </c>
      <c r="G59" s="43" t="s">
        <v>6288</v>
      </c>
      <c r="H59" s="43" t="n">
        <v>7</v>
      </c>
      <c r="I59" s="43" t="n">
        <v>7</v>
      </c>
      <c r="J59" s="43" t="n">
        <v>0</v>
      </c>
      <c r="K59" s="43" t="s">
        <v>6293</v>
      </c>
      <c r="L59" s="43" t="n">
        <v>0</v>
      </c>
      <c r="M59" s="43"/>
      <c r="N59" s="43" t="s">
        <v>6294</v>
      </c>
    </row>
    <row r="60" customFormat="false" ht="35.05" hidden="false" customHeight="false" outlineLevel="0" collapsed="false">
      <c r="A60" s="43" t="s">
        <v>6200</v>
      </c>
      <c r="B60" s="43" t="s">
        <v>1253</v>
      </c>
      <c r="C60" s="43" t="s">
        <v>6129</v>
      </c>
      <c r="D60" s="43" t="s">
        <v>6130</v>
      </c>
      <c r="E60" s="45" t="s">
        <v>6251</v>
      </c>
      <c r="F60" s="43" t="s">
        <v>6287</v>
      </c>
      <c r="G60" s="43" t="s">
        <v>6288</v>
      </c>
      <c r="H60" s="43" t="n">
        <v>5</v>
      </c>
      <c r="I60" s="43" t="n">
        <v>5</v>
      </c>
      <c r="J60" s="43" t="n">
        <v>0</v>
      </c>
      <c r="K60" s="43" t="s">
        <v>6293</v>
      </c>
      <c r="L60" s="43" t="n">
        <v>0</v>
      </c>
      <c r="M60" s="43" t="s">
        <v>6319</v>
      </c>
      <c r="N60" s="43" t="s">
        <v>6313</v>
      </c>
    </row>
    <row r="61" customFormat="false" ht="35.05" hidden="false" customHeight="false" outlineLevel="0" collapsed="false">
      <c r="A61" s="43" t="s">
        <v>3544</v>
      </c>
      <c r="B61" s="43" t="s">
        <v>3545</v>
      </c>
      <c r="C61" s="43" t="s">
        <v>6129</v>
      </c>
      <c r="D61" s="43" t="s">
        <v>6130</v>
      </c>
      <c r="E61" s="44" t="s">
        <v>6250</v>
      </c>
      <c r="F61" s="43" t="s">
        <v>6287</v>
      </c>
      <c r="G61" s="43" t="s">
        <v>6288</v>
      </c>
      <c r="H61" s="43" t="n">
        <v>6</v>
      </c>
      <c r="I61" s="43" t="n">
        <v>4</v>
      </c>
      <c r="J61" s="43" t="n">
        <v>2</v>
      </c>
      <c r="K61" s="43" t="s">
        <v>6289</v>
      </c>
      <c r="L61" s="43" t="n">
        <v>0</v>
      </c>
      <c r="M61" s="43"/>
      <c r="N61" s="43" t="s">
        <v>6320</v>
      </c>
    </row>
    <row r="62" customFormat="false" ht="35.05" hidden="false" customHeight="false" outlineLevel="0" collapsed="false">
      <c r="A62" s="43" t="s">
        <v>1273</v>
      </c>
      <c r="B62" s="43" t="s">
        <v>1274</v>
      </c>
      <c r="C62" s="43" t="s">
        <v>6129</v>
      </c>
      <c r="D62" s="43" t="s">
        <v>6130</v>
      </c>
      <c r="E62" s="44" t="s">
        <v>6250</v>
      </c>
      <c r="F62" s="43" t="s">
        <v>6295</v>
      </c>
      <c r="G62" s="43" t="s">
        <v>6307</v>
      </c>
      <c r="H62" s="43" t="n">
        <v>3</v>
      </c>
      <c r="I62" s="43" t="n">
        <v>2</v>
      </c>
      <c r="J62" s="43" t="n">
        <v>1</v>
      </c>
      <c r="K62" s="43" t="s">
        <v>6289</v>
      </c>
      <c r="L62" s="43" t="n">
        <v>0</v>
      </c>
      <c r="M62" s="43"/>
      <c r="N62" s="43" t="s">
        <v>6321</v>
      </c>
    </row>
    <row r="63" customFormat="false" ht="23.85" hidden="false" customHeight="false" outlineLevel="0" collapsed="false">
      <c r="A63" s="43" t="s">
        <v>1279</v>
      </c>
      <c r="B63" s="43" t="s">
        <v>1280</v>
      </c>
      <c r="C63" s="43" t="s">
        <v>6129</v>
      </c>
      <c r="D63" s="43" t="s">
        <v>6130</v>
      </c>
      <c r="E63" s="44" t="s">
        <v>6253</v>
      </c>
      <c r="F63" s="43" t="s">
        <v>6287</v>
      </c>
      <c r="G63" s="43" t="s">
        <v>6288</v>
      </c>
      <c r="H63" s="43" t="n">
        <v>7</v>
      </c>
      <c r="I63" s="43" t="n">
        <v>0</v>
      </c>
      <c r="J63" s="43" t="n">
        <v>7</v>
      </c>
      <c r="K63" s="43" t="s">
        <v>6289</v>
      </c>
      <c r="L63" s="43" t="n">
        <v>2893.8</v>
      </c>
      <c r="M63" s="43"/>
      <c r="N63" s="43" t="s">
        <v>6310</v>
      </c>
    </row>
    <row r="64" customFormat="false" ht="15" hidden="false" customHeight="false" outlineLevel="0" collapsed="false">
      <c r="A64" s="43" t="s">
        <v>1319</v>
      </c>
      <c r="B64" s="43" t="s">
        <v>1320</v>
      </c>
      <c r="C64" s="43" t="s">
        <v>6129</v>
      </c>
      <c r="D64" s="43" t="s">
        <v>6130</v>
      </c>
      <c r="E64" s="45" t="s">
        <v>6251</v>
      </c>
      <c r="F64" s="43" t="s">
        <v>6287</v>
      </c>
      <c r="G64" s="43" t="s">
        <v>6288</v>
      </c>
      <c r="H64" s="43" t="n">
        <v>7</v>
      </c>
      <c r="I64" s="43" t="n">
        <v>7</v>
      </c>
      <c r="J64" s="43" t="n">
        <v>0</v>
      </c>
      <c r="K64" s="43" t="s">
        <v>6293</v>
      </c>
      <c r="L64" s="43" t="n">
        <v>0</v>
      </c>
      <c r="M64" s="43"/>
      <c r="N64" s="43" t="s">
        <v>6294</v>
      </c>
    </row>
    <row r="65" customFormat="false" ht="23.85" hidden="false" customHeight="false" outlineLevel="0" collapsed="false">
      <c r="A65" s="43" t="s">
        <v>6206</v>
      </c>
      <c r="B65" s="43" t="s">
        <v>2104</v>
      </c>
      <c r="C65" s="43" t="s">
        <v>6129</v>
      </c>
      <c r="D65" s="43" t="s">
        <v>6130</v>
      </c>
      <c r="E65" s="45" t="s">
        <v>6251</v>
      </c>
      <c r="F65" s="43" t="s">
        <v>6287</v>
      </c>
      <c r="G65" s="43" t="s">
        <v>6288</v>
      </c>
      <c r="H65" s="43" t="n">
        <v>7</v>
      </c>
      <c r="I65" s="43" t="n">
        <v>7</v>
      </c>
      <c r="J65" s="43" t="n">
        <v>0</v>
      </c>
      <c r="K65" s="43" t="s">
        <v>6293</v>
      </c>
      <c r="L65" s="43" t="n">
        <v>0</v>
      </c>
      <c r="M65" s="43" t="s">
        <v>6322</v>
      </c>
      <c r="N65" s="43" t="s">
        <v>6294</v>
      </c>
    </row>
    <row r="66" customFormat="false" ht="35.05" hidden="false" customHeight="false" outlineLevel="0" collapsed="false">
      <c r="A66" s="43" t="s">
        <v>2071</v>
      </c>
      <c r="B66" s="43" t="s">
        <v>2072</v>
      </c>
      <c r="C66" s="43" t="s">
        <v>6129</v>
      </c>
      <c r="D66" s="43" t="s">
        <v>6130</v>
      </c>
      <c r="E66" s="44" t="s">
        <v>6253</v>
      </c>
      <c r="F66" s="43" t="s">
        <v>6287</v>
      </c>
      <c r="G66" s="43" t="s">
        <v>6288</v>
      </c>
      <c r="H66" s="43" t="n">
        <v>5</v>
      </c>
      <c r="I66" s="43" t="n">
        <v>0</v>
      </c>
      <c r="J66" s="43" t="n">
        <v>5</v>
      </c>
      <c r="K66" s="43" t="s">
        <v>6289</v>
      </c>
      <c r="L66" s="43" t="n">
        <v>1233.8</v>
      </c>
      <c r="M66" s="43"/>
      <c r="N66" s="43" t="s">
        <v>6302</v>
      </c>
    </row>
    <row r="67" customFormat="false" ht="46.25" hidden="false" customHeight="false" outlineLevel="0" collapsed="false">
      <c r="A67" s="43" t="s">
        <v>2515</v>
      </c>
      <c r="B67" s="43" t="s">
        <v>2516</v>
      </c>
      <c r="C67" s="43" t="s">
        <v>6129</v>
      </c>
      <c r="D67" s="43" t="s">
        <v>6133</v>
      </c>
      <c r="E67" s="46" t="s">
        <v>6252</v>
      </c>
      <c r="F67" s="43" t="s">
        <v>6287</v>
      </c>
      <c r="G67" s="43" t="s">
        <v>6288</v>
      </c>
      <c r="H67" s="43" t="n">
        <v>6</v>
      </c>
      <c r="I67" s="43" t="n">
        <v>5</v>
      </c>
      <c r="J67" s="43" t="n">
        <v>1</v>
      </c>
      <c r="K67" s="43" t="s">
        <v>6293</v>
      </c>
      <c r="L67" s="43" t="n">
        <v>0</v>
      </c>
      <c r="M67" s="43"/>
      <c r="N67" s="43" t="s">
        <v>6323</v>
      </c>
    </row>
    <row r="68" customFormat="false" ht="35.05" hidden="false" customHeight="false" outlineLevel="0" collapsed="false">
      <c r="A68" s="43" t="s">
        <v>2531</v>
      </c>
      <c r="B68" s="43" t="s">
        <v>2532</v>
      </c>
      <c r="C68" s="43" t="s">
        <v>6129</v>
      </c>
      <c r="D68" s="43" t="s">
        <v>6133</v>
      </c>
      <c r="E68" s="45" t="s">
        <v>6251</v>
      </c>
      <c r="F68" s="43" t="s">
        <v>6287</v>
      </c>
      <c r="G68" s="43" t="s">
        <v>6288</v>
      </c>
      <c r="H68" s="43" t="n">
        <v>6</v>
      </c>
      <c r="I68" s="43" t="n">
        <v>6</v>
      </c>
      <c r="J68" s="43" t="n">
        <v>0</v>
      </c>
      <c r="K68" s="43" t="s">
        <v>6293</v>
      </c>
      <c r="L68" s="43" t="n">
        <v>0</v>
      </c>
      <c r="M68" s="43"/>
      <c r="N68" s="43" t="s">
        <v>6304</v>
      </c>
    </row>
    <row r="69" customFormat="false" ht="35.05" hidden="false" customHeight="false" outlineLevel="0" collapsed="false">
      <c r="A69" s="43" t="s">
        <v>6180</v>
      </c>
      <c r="B69" s="43" t="s">
        <v>2579</v>
      </c>
      <c r="C69" s="43" t="s">
        <v>6129</v>
      </c>
      <c r="D69" s="43" t="s">
        <v>6133</v>
      </c>
      <c r="E69" s="44" t="s">
        <v>6253</v>
      </c>
      <c r="F69" s="43" t="s">
        <v>6288</v>
      </c>
      <c r="G69" s="43" t="s">
        <v>6288</v>
      </c>
      <c r="H69" s="43" t="n">
        <v>1</v>
      </c>
      <c r="I69" s="43" t="n">
        <v>0</v>
      </c>
      <c r="J69" s="43" t="n">
        <v>1</v>
      </c>
      <c r="K69" s="43" t="s">
        <v>6289</v>
      </c>
      <c r="L69" s="43" t="n">
        <v>0</v>
      </c>
      <c r="M69" s="43" t="s">
        <v>6324</v>
      </c>
      <c r="N69" s="43" t="s">
        <v>6325</v>
      </c>
    </row>
    <row r="70" customFormat="false" ht="35.05" hidden="false" customHeight="false" outlineLevel="0" collapsed="false">
      <c r="A70" s="43" t="s">
        <v>3280</v>
      </c>
      <c r="B70" s="43" t="s">
        <v>3281</v>
      </c>
      <c r="C70" s="43" t="s">
        <v>6129</v>
      </c>
      <c r="D70" s="43" t="s">
        <v>6130</v>
      </c>
      <c r="E70" s="46" t="s">
        <v>6255</v>
      </c>
      <c r="F70" s="43" t="s">
        <v>6295</v>
      </c>
      <c r="G70" s="43" t="s">
        <v>6288</v>
      </c>
      <c r="H70" s="43" t="n">
        <v>6</v>
      </c>
      <c r="I70" s="43" t="n">
        <v>2</v>
      </c>
      <c r="J70" s="43" t="n">
        <v>4</v>
      </c>
      <c r="K70" s="43" t="s">
        <v>6293</v>
      </c>
      <c r="L70" s="43" t="n">
        <v>0.5</v>
      </c>
      <c r="M70" s="43"/>
      <c r="N70" s="43" t="s">
        <v>6326</v>
      </c>
    </row>
    <row r="71" customFormat="false" ht="15" hidden="false" customHeight="false" outlineLevel="0" collapsed="false">
      <c r="A71" s="43" t="s">
        <v>3407</v>
      </c>
      <c r="B71" s="43" t="s">
        <v>3408</v>
      </c>
      <c r="C71" s="43" t="s">
        <v>6129</v>
      </c>
      <c r="D71" s="43" t="s">
        <v>6130</v>
      </c>
      <c r="E71" s="45" t="s">
        <v>6251</v>
      </c>
      <c r="F71" s="43" t="s">
        <v>6287</v>
      </c>
      <c r="G71" s="43" t="s">
        <v>6288</v>
      </c>
      <c r="H71" s="43" t="n">
        <v>7</v>
      </c>
      <c r="I71" s="43" t="n">
        <v>7</v>
      </c>
      <c r="J71" s="43" t="n">
        <v>0</v>
      </c>
      <c r="K71" s="43" t="s">
        <v>6293</v>
      </c>
      <c r="L71" s="43" t="n">
        <v>0</v>
      </c>
      <c r="M71" s="43"/>
      <c r="N71" s="43" t="s">
        <v>6294</v>
      </c>
    </row>
    <row r="72" customFormat="false" ht="15" hidden="false" customHeight="false" outlineLevel="0" collapsed="false">
      <c r="A72" s="43" t="s">
        <v>3250</v>
      </c>
      <c r="B72" s="43" t="s">
        <v>3251</v>
      </c>
      <c r="C72" s="43" t="s">
        <v>6129</v>
      </c>
      <c r="D72" s="43" t="s">
        <v>6130</v>
      </c>
      <c r="E72" s="45" t="s">
        <v>6251</v>
      </c>
      <c r="F72" s="43" t="s">
        <v>6287</v>
      </c>
      <c r="G72" s="43" t="s">
        <v>6288</v>
      </c>
      <c r="H72" s="43" t="n">
        <v>7</v>
      </c>
      <c r="I72" s="43" t="n">
        <v>7</v>
      </c>
      <c r="J72" s="43" t="n">
        <v>0</v>
      </c>
      <c r="K72" s="43" t="s">
        <v>6293</v>
      </c>
      <c r="L72" s="43" t="n">
        <v>0</v>
      </c>
      <c r="M72" s="43"/>
      <c r="N72" s="43" t="s">
        <v>6294</v>
      </c>
    </row>
    <row r="73" customFormat="false" ht="35.05" hidden="false" customHeight="false" outlineLevel="0" collapsed="false">
      <c r="A73" s="43" t="s">
        <v>3614</v>
      </c>
      <c r="B73" s="43" t="s">
        <v>3615</v>
      </c>
      <c r="C73" s="43" t="s">
        <v>6129</v>
      </c>
      <c r="D73" s="43" t="s">
        <v>6133</v>
      </c>
      <c r="E73" s="45" t="s">
        <v>6251</v>
      </c>
      <c r="F73" s="43" t="s">
        <v>6287</v>
      </c>
      <c r="G73" s="43" t="s">
        <v>6288</v>
      </c>
      <c r="H73" s="43" t="n">
        <v>6</v>
      </c>
      <c r="I73" s="43" t="n">
        <v>6</v>
      </c>
      <c r="J73" s="43" t="n">
        <v>0</v>
      </c>
      <c r="K73" s="43" t="s">
        <v>6293</v>
      </c>
      <c r="L73" s="43" t="n">
        <v>0</v>
      </c>
      <c r="M73" s="43"/>
      <c r="N73" s="43" t="s">
        <v>6304</v>
      </c>
    </row>
    <row r="74" customFormat="false" ht="15" hidden="false" customHeight="false" outlineLevel="0" collapsed="false">
      <c r="A74" s="43" t="s">
        <v>3898</v>
      </c>
      <c r="B74" s="43" t="s">
        <v>3899</v>
      </c>
      <c r="C74" s="43" t="s">
        <v>6129</v>
      </c>
      <c r="D74" s="43" t="s">
        <v>6133</v>
      </c>
      <c r="E74" s="45" t="s">
        <v>6251</v>
      </c>
      <c r="F74" s="43" t="s">
        <v>6287</v>
      </c>
      <c r="G74" s="43" t="s">
        <v>6288</v>
      </c>
      <c r="H74" s="43" t="n">
        <v>7</v>
      </c>
      <c r="I74" s="43" t="n">
        <v>7</v>
      </c>
      <c r="J74" s="43" t="n">
        <v>0</v>
      </c>
      <c r="K74" s="43" t="s">
        <v>6293</v>
      </c>
      <c r="L74" s="43" t="n">
        <v>0</v>
      </c>
      <c r="M74" s="43"/>
      <c r="N74" s="43" t="s">
        <v>6294</v>
      </c>
    </row>
    <row r="75" customFormat="false" ht="15" hidden="false" customHeight="false" outlineLevel="0" collapsed="false">
      <c r="A75" s="43" t="s">
        <v>3861</v>
      </c>
      <c r="B75" s="43" t="s">
        <v>3862</v>
      </c>
      <c r="C75" s="43" t="s">
        <v>6129</v>
      </c>
      <c r="D75" s="43" t="s">
        <v>6140</v>
      </c>
      <c r="E75" s="45" t="s">
        <v>6251</v>
      </c>
      <c r="F75" s="43" t="s">
        <v>6287</v>
      </c>
      <c r="G75" s="43" t="s">
        <v>6288</v>
      </c>
      <c r="H75" s="43" t="n">
        <v>7</v>
      </c>
      <c r="I75" s="43" t="n">
        <v>7</v>
      </c>
      <c r="J75" s="43" t="n">
        <v>0</v>
      </c>
      <c r="K75" s="43" t="s">
        <v>6293</v>
      </c>
      <c r="L75" s="43" t="n">
        <v>0</v>
      </c>
      <c r="M75" s="43"/>
      <c r="N75" s="43" t="s">
        <v>6294</v>
      </c>
    </row>
    <row r="76" customFormat="false" ht="15" hidden="false" customHeight="false" outlineLevel="0" collapsed="false">
      <c r="A76" s="43" t="s">
        <v>3504</v>
      </c>
      <c r="B76" s="43" t="s">
        <v>3505</v>
      </c>
      <c r="C76" s="43" t="s">
        <v>6129</v>
      </c>
      <c r="D76" s="43" t="s">
        <v>6130</v>
      </c>
      <c r="E76" s="45" t="s">
        <v>6251</v>
      </c>
      <c r="F76" s="43" t="s">
        <v>6287</v>
      </c>
      <c r="G76" s="43" t="s">
        <v>6288</v>
      </c>
      <c r="H76" s="43" t="n">
        <v>7</v>
      </c>
      <c r="I76" s="43" t="n">
        <v>7</v>
      </c>
      <c r="J76" s="43" t="n">
        <v>0</v>
      </c>
      <c r="K76" s="43" t="s">
        <v>6293</v>
      </c>
      <c r="L76" s="43" t="n">
        <v>0</v>
      </c>
      <c r="M76" s="43"/>
      <c r="N76" s="43" t="s">
        <v>6294</v>
      </c>
    </row>
    <row r="77" customFormat="false" ht="35.05" hidden="false" customHeight="false" outlineLevel="0" collapsed="false">
      <c r="A77" s="43" t="s">
        <v>3981</v>
      </c>
      <c r="B77" s="43" t="s">
        <v>3982</v>
      </c>
      <c r="C77" s="43" t="s">
        <v>6129</v>
      </c>
      <c r="D77" s="43" t="s">
        <v>6133</v>
      </c>
      <c r="E77" s="44" t="s">
        <v>6253</v>
      </c>
      <c r="F77" s="43" t="s">
        <v>6287</v>
      </c>
      <c r="G77" s="43" t="s">
        <v>6288</v>
      </c>
      <c r="H77" s="43" t="n">
        <v>6</v>
      </c>
      <c r="I77" s="43" t="n">
        <v>0</v>
      </c>
      <c r="J77" s="43" t="n">
        <v>6</v>
      </c>
      <c r="K77" s="43" t="s">
        <v>6289</v>
      </c>
      <c r="L77" s="43" t="n">
        <v>1177.6</v>
      </c>
      <c r="M77" s="43"/>
      <c r="N77" s="43" t="s">
        <v>6303</v>
      </c>
    </row>
    <row r="78" customFormat="false" ht="35.05" hidden="false" customHeight="false" outlineLevel="0" collapsed="false">
      <c r="A78" s="43" t="s">
        <v>3953</v>
      </c>
      <c r="B78" s="43" t="s">
        <v>3954</v>
      </c>
      <c r="C78" s="43" t="s">
        <v>6129</v>
      </c>
      <c r="D78" s="43" t="s">
        <v>6133</v>
      </c>
      <c r="E78" s="45" t="s">
        <v>6251</v>
      </c>
      <c r="F78" s="43" t="s">
        <v>6295</v>
      </c>
      <c r="G78" s="43" t="s">
        <v>6300</v>
      </c>
      <c r="H78" s="43" t="n">
        <v>2</v>
      </c>
      <c r="I78" s="43" t="n">
        <v>2</v>
      </c>
      <c r="J78" s="43" t="n">
        <v>0</v>
      </c>
      <c r="K78" s="43" t="s">
        <v>6293</v>
      </c>
      <c r="L78" s="43" t="n">
        <v>0</v>
      </c>
      <c r="M78" s="43"/>
      <c r="N78" s="43" t="s">
        <v>6327</v>
      </c>
    </row>
    <row r="79" customFormat="false" ht="35.05" hidden="false" customHeight="false" outlineLevel="0" collapsed="false">
      <c r="A79" s="43" t="s">
        <v>4022</v>
      </c>
      <c r="B79" s="43" t="s">
        <v>4023</v>
      </c>
      <c r="C79" s="43" t="s">
        <v>6129</v>
      </c>
      <c r="D79" s="43" t="s">
        <v>6133</v>
      </c>
      <c r="E79" s="45" t="s">
        <v>6251</v>
      </c>
      <c r="F79" s="43" t="s">
        <v>6287</v>
      </c>
      <c r="G79" s="43" t="s">
        <v>6288</v>
      </c>
      <c r="H79" s="43" t="n">
        <v>5</v>
      </c>
      <c r="I79" s="43" t="n">
        <v>5</v>
      </c>
      <c r="J79" s="43" t="n">
        <v>0</v>
      </c>
      <c r="K79" s="43" t="s">
        <v>6293</v>
      </c>
      <c r="L79" s="43" t="n">
        <v>0</v>
      </c>
      <c r="M79" s="43"/>
      <c r="N79" s="43" t="s">
        <v>6313</v>
      </c>
    </row>
    <row r="80" customFormat="false" ht="15" hidden="false" customHeight="false" outlineLevel="0" collapsed="false">
      <c r="A80" s="43" t="s">
        <v>5006</v>
      </c>
      <c r="B80" s="43" t="s">
        <v>5007</v>
      </c>
      <c r="C80" s="43" t="s">
        <v>6129</v>
      </c>
      <c r="D80" s="43" t="s">
        <v>6133</v>
      </c>
      <c r="E80" s="45" t="s">
        <v>6251</v>
      </c>
      <c r="F80" s="43" t="s">
        <v>6287</v>
      </c>
      <c r="G80" s="43" t="s">
        <v>6288</v>
      </c>
      <c r="H80" s="43" t="n">
        <v>7</v>
      </c>
      <c r="I80" s="43" t="n">
        <v>7</v>
      </c>
      <c r="J80" s="43" t="n">
        <v>0</v>
      </c>
      <c r="K80" s="43" t="s">
        <v>6293</v>
      </c>
      <c r="L80" s="43" t="n">
        <v>0</v>
      </c>
      <c r="M80" s="43"/>
      <c r="N80" s="43" t="s">
        <v>6294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1" t="s">
        <v>6328</v>
      </c>
      <c r="B1" s="21" t="s">
        <v>6117</v>
      </c>
      <c r="C1" s="21" t="s">
        <v>6118</v>
      </c>
      <c r="D1" s="21" t="s">
        <v>6329</v>
      </c>
      <c r="E1" s="21" t="s">
        <v>6330</v>
      </c>
      <c r="F1" s="21" t="s">
        <v>6331</v>
      </c>
    </row>
    <row r="2" customFormat="false" ht="15" hidden="false" customHeight="false" outlineLevel="0" collapsed="false">
      <c r="A2" s="26" t="s">
        <v>6288</v>
      </c>
      <c r="B2" s="26" t="s">
        <v>4739</v>
      </c>
      <c r="C2" s="26" t="s">
        <v>6151</v>
      </c>
      <c r="D2" s="26" t="s">
        <v>73</v>
      </c>
      <c r="E2" s="26" t="n">
        <v>0.04</v>
      </c>
      <c r="F2" s="47" t="s">
        <v>6332</v>
      </c>
    </row>
    <row r="3" customFormat="false" ht="15" hidden="false" customHeight="false" outlineLevel="0" collapsed="false">
      <c r="A3" s="26" t="s">
        <v>6316</v>
      </c>
      <c r="B3" s="26" t="s">
        <v>4058</v>
      </c>
      <c r="C3" s="26" t="s">
        <v>4057</v>
      </c>
      <c r="D3" s="26" t="s">
        <v>73</v>
      </c>
      <c r="E3" s="26" t="n">
        <v>0</v>
      </c>
      <c r="F3" s="47" t="s">
        <v>6332</v>
      </c>
    </row>
    <row r="4" customFormat="false" ht="15" hidden="false" customHeight="false" outlineLevel="0" collapsed="false">
      <c r="A4" s="26" t="s">
        <v>6307</v>
      </c>
      <c r="B4" s="26" t="s">
        <v>4275</v>
      </c>
      <c r="C4" s="26" t="s">
        <v>4274</v>
      </c>
      <c r="D4" s="26" t="s">
        <v>73</v>
      </c>
      <c r="E4" s="26" t="n">
        <v>0</v>
      </c>
      <c r="F4" s="47" t="s">
        <v>6332</v>
      </c>
    </row>
    <row r="5" customFormat="false" ht="15" hidden="false" customHeight="false" outlineLevel="0" collapsed="false">
      <c r="A5" s="26" t="s">
        <v>6288</v>
      </c>
      <c r="B5" s="26" t="s">
        <v>4275</v>
      </c>
      <c r="C5" s="26" t="s">
        <v>4274</v>
      </c>
      <c r="D5" s="26" t="s">
        <v>2765</v>
      </c>
      <c r="E5" s="26" t="n">
        <v>259.31</v>
      </c>
      <c r="F5" s="48" t="s">
        <v>6333</v>
      </c>
    </row>
    <row r="6" customFormat="false" ht="15" hidden="false" customHeight="false" outlineLevel="0" collapsed="false">
      <c r="A6" s="26" t="s">
        <v>6295</v>
      </c>
      <c r="B6" s="26" t="s">
        <v>4301</v>
      </c>
      <c r="C6" s="26" t="s">
        <v>4300</v>
      </c>
      <c r="D6" s="26" t="s">
        <v>4307</v>
      </c>
      <c r="E6" s="26" t="n">
        <v>250.63</v>
      </c>
      <c r="F6" s="48" t="s">
        <v>6333</v>
      </c>
    </row>
    <row r="7" customFormat="false" ht="15" hidden="false" customHeight="false" outlineLevel="0" collapsed="false">
      <c r="A7" s="26" t="s">
        <v>6300</v>
      </c>
      <c r="B7" s="26" t="s">
        <v>740</v>
      </c>
      <c r="C7" s="26" t="s">
        <v>724</v>
      </c>
      <c r="D7" s="26" t="s">
        <v>73</v>
      </c>
      <c r="E7" s="26" t="n">
        <v>218.52</v>
      </c>
      <c r="F7" s="47" t="s">
        <v>6332</v>
      </c>
    </row>
    <row r="8" customFormat="false" ht="15" hidden="false" customHeight="false" outlineLevel="0" collapsed="false">
      <c r="A8" s="26" t="s">
        <v>6307</v>
      </c>
      <c r="B8" s="26" t="s">
        <v>740</v>
      </c>
      <c r="C8" s="26" t="s">
        <v>724</v>
      </c>
      <c r="D8" s="26" t="s">
        <v>454</v>
      </c>
      <c r="E8" s="26" t="n">
        <v>0</v>
      </c>
      <c r="F8" s="48" t="s">
        <v>6333</v>
      </c>
    </row>
    <row r="9" customFormat="false" ht="15" hidden="false" customHeight="false" outlineLevel="0" collapsed="false">
      <c r="A9" s="26" t="s">
        <v>6295</v>
      </c>
      <c r="B9" s="26" t="s">
        <v>1827</v>
      </c>
      <c r="C9" s="26" t="s">
        <v>1826</v>
      </c>
      <c r="D9" s="26" t="s">
        <v>1832</v>
      </c>
      <c r="E9" s="26" t="n">
        <v>91.7</v>
      </c>
      <c r="F9" s="48" t="s">
        <v>6333</v>
      </c>
    </row>
    <row r="10" customFormat="false" ht="15" hidden="false" customHeight="false" outlineLevel="0" collapsed="false">
      <c r="A10" s="26" t="s">
        <v>6316</v>
      </c>
      <c r="B10" s="26" t="s">
        <v>1852</v>
      </c>
      <c r="C10" s="26" t="s">
        <v>1851</v>
      </c>
      <c r="D10" s="26" t="s">
        <v>73</v>
      </c>
      <c r="E10" s="26" t="n">
        <v>0</v>
      </c>
      <c r="F10" s="47" t="s">
        <v>6332</v>
      </c>
    </row>
    <row r="11" customFormat="false" ht="15" hidden="false" customHeight="false" outlineLevel="0" collapsed="false">
      <c r="A11" s="26" t="s">
        <v>6307</v>
      </c>
      <c r="B11" s="26" t="s">
        <v>1852</v>
      </c>
      <c r="C11" s="26" t="s">
        <v>1851</v>
      </c>
      <c r="D11" s="26" t="s">
        <v>1108</v>
      </c>
      <c r="E11" s="26" t="n">
        <v>79.15</v>
      </c>
      <c r="F11" s="48" t="s">
        <v>6333</v>
      </c>
    </row>
    <row r="12" customFormat="false" ht="15" hidden="false" customHeight="false" outlineLevel="0" collapsed="false">
      <c r="A12" s="26" t="s">
        <v>6307</v>
      </c>
      <c r="B12" s="26" t="s">
        <v>1877</v>
      </c>
      <c r="C12" s="26" t="s">
        <v>1876</v>
      </c>
      <c r="D12" s="26" t="s">
        <v>73</v>
      </c>
      <c r="E12" s="26" t="n">
        <v>0</v>
      </c>
      <c r="F12" s="47" t="s">
        <v>6332</v>
      </c>
    </row>
    <row r="13" customFormat="false" ht="15" hidden="false" customHeight="false" outlineLevel="0" collapsed="false">
      <c r="A13" s="26" t="s">
        <v>6288</v>
      </c>
      <c r="B13" s="26" t="s">
        <v>1877</v>
      </c>
      <c r="C13" s="26" t="s">
        <v>1876</v>
      </c>
      <c r="D13" s="26" t="s">
        <v>553</v>
      </c>
      <c r="E13" s="26" t="n">
        <v>157.01</v>
      </c>
      <c r="F13" s="48" t="s">
        <v>6333</v>
      </c>
    </row>
    <row r="14" customFormat="false" ht="15" hidden="false" customHeight="false" outlineLevel="0" collapsed="false">
      <c r="A14" s="26" t="s">
        <v>6307</v>
      </c>
      <c r="B14" s="26" t="s">
        <v>1412</v>
      </c>
      <c r="C14" s="26" t="s">
        <v>1411</v>
      </c>
      <c r="D14" s="26" t="s">
        <v>73</v>
      </c>
      <c r="E14" s="26" t="n">
        <v>0</v>
      </c>
      <c r="F14" s="47" t="s">
        <v>6332</v>
      </c>
    </row>
    <row r="15" customFormat="false" ht="15" hidden="false" customHeight="false" outlineLevel="0" collapsed="false">
      <c r="A15" s="26" t="s">
        <v>6288</v>
      </c>
      <c r="B15" s="26" t="s">
        <v>1412</v>
      </c>
      <c r="C15" s="26" t="s">
        <v>1411</v>
      </c>
      <c r="D15" s="26" t="s">
        <v>492</v>
      </c>
      <c r="E15" s="26" t="n">
        <v>230.84</v>
      </c>
      <c r="F15" s="48" t="s">
        <v>6333</v>
      </c>
    </row>
    <row r="16" customFormat="false" ht="15" hidden="false" customHeight="false" outlineLevel="0" collapsed="false">
      <c r="A16" s="26" t="s">
        <v>6307</v>
      </c>
      <c r="B16" s="26" t="s">
        <v>1479</v>
      </c>
      <c r="C16" s="26" t="s">
        <v>1478</v>
      </c>
      <c r="D16" s="26" t="s">
        <v>73</v>
      </c>
      <c r="E16" s="26" t="n">
        <v>0</v>
      </c>
      <c r="F16" s="47" t="s">
        <v>6332</v>
      </c>
    </row>
    <row r="17" customFormat="false" ht="15" hidden="false" customHeight="false" outlineLevel="0" collapsed="false">
      <c r="A17" s="26" t="s">
        <v>6288</v>
      </c>
      <c r="B17" s="26" t="s">
        <v>1479</v>
      </c>
      <c r="C17" s="26" t="s">
        <v>1478</v>
      </c>
      <c r="D17" s="26" t="s">
        <v>1504</v>
      </c>
      <c r="E17" s="26" t="n">
        <v>1.01</v>
      </c>
      <c r="F17" s="48" t="s">
        <v>6333</v>
      </c>
    </row>
    <row r="18" customFormat="false" ht="15" hidden="false" customHeight="false" outlineLevel="0" collapsed="false">
      <c r="A18" s="26" t="s">
        <v>6295</v>
      </c>
      <c r="B18" s="26" t="s">
        <v>1507</v>
      </c>
      <c r="C18" s="26" t="s">
        <v>1506</v>
      </c>
      <c r="D18" s="26" t="s">
        <v>378</v>
      </c>
      <c r="E18" s="26" t="n">
        <v>89.87</v>
      </c>
      <c r="F18" s="48" t="s">
        <v>6333</v>
      </c>
    </row>
    <row r="19" customFormat="false" ht="15" hidden="false" customHeight="false" outlineLevel="0" collapsed="false">
      <c r="A19" s="26" t="s">
        <v>6295</v>
      </c>
      <c r="B19" s="26" t="s">
        <v>122</v>
      </c>
      <c r="C19" s="26" t="s">
        <v>121</v>
      </c>
      <c r="D19" s="26" t="s">
        <v>73</v>
      </c>
      <c r="E19" s="26" t="n">
        <v>0</v>
      </c>
      <c r="F19" s="47" t="s">
        <v>6332</v>
      </c>
    </row>
    <row r="20" customFormat="false" ht="15" hidden="false" customHeight="false" outlineLevel="0" collapsed="false">
      <c r="A20" s="26" t="s">
        <v>6334</v>
      </c>
      <c r="B20" s="26" t="s">
        <v>122</v>
      </c>
      <c r="C20" s="26" t="s">
        <v>121</v>
      </c>
      <c r="D20" s="26" t="s">
        <v>131</v>
      </c>
      <c r="E20" s="26" t="n">
        <v>175.25</v>
      </c>
      <c r="F20" s="48" t="s">
        <v>6333</v>
      </c>
    </row>
    <row r="21" customFormat="false" ht="15" hidden="false" customHeight="false" outlineLevel="0" collapsed="false">
      <c r="A21" s="26" t="s">
        <v>6307</v>
      </c>
      <c r="B21" s="26" t="s">
        <v>469</v>
      </c>
      <c r="C21" s="26" t="s">
        <v>6187</v>
      </c>
      <c r="D21" s="26" t="s">
        <v>73</v>
      </c>
      <c r="E21" s="26" t="n">
        <v>0</v>
      </c>
      <c r="F21" s="47" t="s">
        <v>6332</v>
      </c>
    </row>
    <row r="22" customFormat="false" ht="15" hidden="false" customHeight="false" outlineLevel="0" collapsed="false">
      <c r="A22" s="26" t="s">
        <v>6288</v>
      </c>
      <c r="B22" s="26" t="s">
        <v>469</v>
      </c>
      <c r="C22" s="26" t="s">
        <v>6187</v>
      </c>
      <c r="D22" s="26" t="s">
        <v>497</v>
      </c>
      <c r="E22" s="26" t="n">
        <v>351.16</v>
      </c>
      <c r="F22" s="48" t="s">
        <v>6333</v>
      </c>
    </row>
    <row r="23" customFormat="false" ht="15" hidden="false" customHeight="false" outlineLevel="0" collapsed="false">
      <c r="A23" s="26" t="s">
        <v>6316</v>
      </c>
      <c r="B23" s="26" t="s">
        <v>3545</v>
      </c>
      <c r="C23" s="26" t="s">
        <v>3544</v>
      </c>
      <c r="D23" s="26" t="s">
        <v>73</v>
      </c>
      <c r="E23" s="26" t="n">
        <v>0</v>
      </c>
      <c r="F23" s="47" t="s">
        <v>6332</v>
      </c>
    </row>
    <row r="24" customFormat="false" ht="15" hidden="false" customHeight="false" outlineLevel="0" collapsed="false">
      <c r="A24" s="26" t="s">
        <v>6307</v>
      </c>
      <c r="B24" s="26" t="s">
        <v>1274</v>
      </c>
      <c r="C24" s="26" t="s">
        <v>1273</v>
      </c>
      <c r="D24" s="26" t="s">
        <v>73</v>
      </c>
      <c r="E24" s="26" t="n">
        <v>0</v>
      </c>
      <c r="F24" s="47" t="s">
        <v>6332</v>
      </c>
    </row>
    <row r="25" customFormat="false" ht="15" hidden="false" customHeight="false" outlineLevel="0" collapsed="false">
      <c r="A25" s="26" t="s">
        <v>6300</v>
      </c>
      <c r="B25" s="26" t="s">
        <v>2516</v>
      </c>
      <c r="C25" s="26" t="s">
        <v>2515</v>
      </c>
      <c r="D25" s="26" t="s">
        <v>73</v>
      </c>
      <c r="E25" s="26" t="n">
        <v>0</v>
      </c>
      <c r="F25" s="47" t="s">
        <v>6332</v>
      </c>
    </row>
    <row r="26" customFormat="false" ht="15" hidden="false" customHeight="false" outlineLevel="0" collapsed="false">
      <c r="A26" s="26" t="s">
        <v>6316</v>
      </c>
      <c r="B26" s="26" t="s">
        <v>2516</v>
      </c>
      <c r="C26" s="26" t="s">
        <v>2515</v>
      </c>
      <c r="D26" s="26" t="s">
        <v>2528</v>
      </c>
      <c r="E26" s="26" t="n">
        <v>2.37</v>
      </c>
      <c r="F26" s="48" t="s">
        <v>6333</v>
      </c>
    </row>
    <row r="27" customFormat="false" ht="15" hidden="false" customHeight="false" outlineLevel="0" collapsed="false">
      <c r="A27" s="26" t="s">
        <v>6316</v>
      </c>
      <c r="B27" s="26" t="s">
        <v>3281</v>
      </c>
      <c r="C27" s="26" t="s">
        <v>3280</v>
      </c>
      <c r="D27" s="26" t="s">
        <v>3288</v>
      </c>
      <c r="E27" s="26" t="n">
        <v>32.43</v>
      </c>
      <c r="F27" s="48" t="s">
        <v>6333</v>
      </c>
    </row>
    <row r="28" customFormat="false" ht="15" hidden="false" customHeight="false" outlineLevel="0" collapsed="false">
      <c r="A28" s="26" t="s">
        <v>6307</v>
      </c>
      <c r="B28" s="26" t="s">
        <v>3281</v>
      </c>
      <c r="C28" s="26" t="s">
        <v>3280</v>
      </c>
      <c r="D28" s="26" t="s">
        <v>73</v>
      </c>
      <c r="E28" s="26" t="n">
        <v>0</v>
      </c>
      <c r="F28" s="47" t="s">
        <v>6332</v>
      </c>
    </row>
    <row r="29" customFormat="false" ht="15" hidden="false" customHeight="false" outlineLevel="0" collapsed="false">
      <c r="A29" s="26" t="s">
        <v>6288</v>
      </c>
      <c r="B29" s="26" t="s">
        <v>3281</v>
      </c>
      <c r="C29" s="26" t="s">
        <v>3280</v>
      </c>
      <c r="D29" s="26" t="s">
        <v>482</v>
      </c>
      <c r="E29" s="26" t="n">
        <v>152.62</v>
      </c>
      <c r="F29" s="48" t="s">
        <v>6333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0" t="s">
        <v>6335</v>
      </c>
      <c r="B1" s="20"/>
      <c r="C1" s="20"/>
      <c r="D1" s="20"/>
      <c r="E1" s="20"/>
      <c r="F1" s="20"/>
    </row>
    <row r="2" customFormat="false" ht="26.85" hidden="false" customHeight="false" outlineLevel="0" collapsed="false">
      <c r="A2" s="21" t="s">
        <v>6118</v>
      </c>
      <c r="B2" s="21" t="s">
        <v>6117</v>
      </c>
      <c r="C2" s="21" t="s">
        <v>6278</v>
      </c>
      <c r="D2" s="21" t="s">
        <v>6336</v>
      </c>
      <c r="E2" s="21" t="s">
        <v>6337</v>
      </c>
      <c r="F2" s="21" t="s">
        <v>6338</v>
      </c>
    </row>
    <row r="3" customFormat="false" ht="15" hidden="false" customHeight="false" outlineLevel="0" collapsed="false">
      <c r="A3" s="26" t="s">
        <v>5147</v>
      </c>
      <c r="B3" s="26" t="s">
        <v>5148</v>
      </c>
      <c r="C3" s="26" t="s">
        <v>70</v>
      </c>
      <c r="D3" s="26" t="s">
        <v>6339</v>
      </c>
      <c r="E3" s="26" t="n">
        <v>7</v>
      </c>
      <c r="F3" s="26" t="s">
        <v>6340</v>
      </c>
    </row>
    <row r="4" customFormat="false" ht="15" hidden="false" customHeight="false" outlineLevel="0" collapsed="false">
      <c r="A4" s="26" t="s">
        <v>4990</v>
      </c>
      <c r="B4" s="26" t="s">
        <v>4991</v>
      </c>
      <c r="C4" s="26" t="s">
        <v>70</v>
      </c>
      <c r="D4" s="26" t="s">
        <v>6341</v>
      </c>
      <c r="E4" s="26" t="n">
        <v>5</v>
      </c>
      <c r="F4" s="26" t="s">
        <v>6342</v>
      </c>
    </row>
    <row r="5" customFormat="false" ht="15" hidden="false" customHeight="false" outlineLevel="0" collapsed="false">
      <c r="A5" s="26" t="s">
        <v>4803</v>
      </c>
      <c r="B5" s="26" t="s">
        <v>4804</v>
      </c>
      <c r="C5" s="26" t="s">
        <v>70</v>
      </c>
      <c r="D5" s="26" t="s">
        <v>6339</v>
      </c>
      <c r="E5" s="26" t="n">
        <v>7</v>
      </c>
      <c r="F5" s="26" t="s">
        <v>6343</v>
      </c>
    </row>
    <row r="6" customFormat="false" ht="15" hidden="false" customHeight="false" outlineLevel="0" collapsed="false">
      <c r="A6" s="26" t="s">
        <v>4459</v>
      </c>
      <c r="B6" s="26" t="s">
        <v>4460</v>
      </c>
      <c r="C6" s="26" t="s">
        <v>70</v>
      </c>
      <c r="D6" s="26" t="s">
        <v>6339</v>
      </c>
      <c r="E6" s="26" t="n">
        <v>7</v>
      </c>
      <c r="F6" s="26" t="s">
        <v>6344</v>
      </c>
    </row>
    <row r="7" customFormat="false" ht="15" hidden="false" customHeight="false" outlineLevel="0" collapsed="false">
      <c r="A7" s="26" t="s">
        <v>4252</v>
      </c>
      <c r="B7" s="26" t="s">
        <v>4253</v>
      </c>
      <c r="C7" s="26" t="s">
        <v>70</v>
      </c>
      <c r="D7" s="26" t="s">
        <v>6339</v>
      </c>
      <c r="E7" s="26" t="n">
        <v>7</v>
      </c>
      <c r="F7" s="26" t="s">
        <v>6345</v>
      </c>
    </row>
    <row r="8" customFormat="false" ht="15" hidden="false" customHeight="false" outlineLevel="0" collapsed="false">
      <c r="A8" s="26" t="s">
        <v>4040</v>
      </c>
      <c r="B8" s="26" t="s">
        <v>4041</v>
      </c>
      <c r="C8" s="26" t="s">
        <v>70</v>
      </c>
      <c r="D8" s="26" t="s">
        <v>6339</v>
      </c>
      <c r="E8" s="26" t="n">
        <v>7</v>
      </c>
      <c r="F8" s="26" t="s">
        <v>6346</v>
      </c>
    </row>
    <row r="9" customFormat="false" ht="15" hidden="false" customHeight="false" outlineLevel="0" collapsed="false">
      <c r="A9" s="26" t="s">
        <v>4160</v>
      </c>
      <c r="B9" s="26" t="s">
        <v>4161</v>
      </c>
      <c r="C9" s="26" t="s">
        <v>70</v>
      </c>
      <c r="D9" s="26" t="s">
        <v>6339</v>
      </c>
      <c r="E9" s="26" t="n">
        <v>7</v>
      </c>
      <c r="F9" s="26" t="s">
        <v>6347</v>
      </c>
    </row>
    <row r="10" customFormat="false" ht="15" hidden="false" customHeight="false" outlineLevel="0" collapsed="false">
      <c r="A10" s="26" t="s">
        <v>4471</v>
      </c>
      <c r="B10" s="26" t="s">
        <v>4472</v>
      </c>
      <c r="C10" s="26" t="s">
        <v>70</v>
      </c>
      <c r="D10" s="26" t="s">
        <v>6339</v>
      </c>
      <c r="E10" s="26" t="n">
        <v>6</v>
      </c>
      <c r="F10" s="26" t="s">
        <v>6348</v>
      </c>
    </row>
    <row r="11" customFormat="false" ht="15" hidden="false" customHeight="false" outlineLevel="0" collapsed="false">
      <c r="A11" s="26" t="s">
        <v>4062</v>
      </c>
      <c r="B11" s="26" t="s">
        <v>4063</v>
      </c>
      <c r="C11" s="26" t="s">
        <v>70</v>
      </c>
      <c r="D11" s="26" t="s">
        <v>6339</v>
      </c>
      <c r="E11" s="26" t="n">
        <v>7</v>
      </c>
      <c r="F11" s="26" t="s">
        <v>6349</v>
      </c>
    </row>
    <row r="12" customFormat="false" ht="15" hidden="false" customHeight="false" outlineLevel="0" collapsed="false">
      <c r="A12" s="26" t="s">
        <v>4238</v>
      </c>
      <c r="B12" s="26" t="s">
        <v>4239</v>
      </c>
      <c r="C12" s="26" t="s">
        <v>70</v>
      </c>
      <c r="D12" s="26" t="s">
        <v>6350</v>
      </c>
      <c r="E12" s="26" t="n">
        <v>1</v>
      </c>
      <c r="F12" s="26" t="s">
        <v>6351</v>
      </c>
    </row>
    <row r="13" customFormat="false" ht="15" hidden="false" customHeight="false" outlineLevel="0" collapsed="false">
      <c r="A13" s="26" t="s">
        <v>4184</v>
      </c>
      <c r="B13" s="26" t="s">
        <v>4185</v>
      </c>
      <c r="C13" s="26" t="s">
        <v>70</v>
      </c>
      <c r="D13" s="26" t="s">
        <v>6339</v>
      </c>
      <c r="E13" s="26" t="n">
        <v>6</v>
      </c>
      <c r="F13" s="26" t="s">
        <v>6352</v>
      </c>
    </row>
    <row r="14" customFormat="false" ht="15" hidden="false" customHeight="false" outlineLevel="0" collapsed="false">
      <c r="A14" s="26" t="s">
        <v>4129</v>
      </c>
      <c r="B14" s="26" t="s">
        <v>4130</v>
      </c>
      <c r="C14" s="26" t="s">
        <v>70</v>
      </c>
      <c r="D14" s="26" t="s">
        <v>6339</v>
      </c>
      <c r="E14" s="26" t="n">
        <v>4</v>
      </c>
      <c r="F14" s="26" t="s">
        <v>6353</v>
      </c>
    </row>
    <row r="15" customFormat="false" ht="15" hidden="false" customHeight="false" outlineLevel="0" collapsed="false">
      <c r="A15" s="26" t="s">
        <v>4132</v>
      </c>
      <c r="B15" s="26" t="s">
        <v>4133</v>
      </c>
      <c r="C15" s="26" t="s">
        <v>70</v>
      </c>
      <c r="D15" s="26" t="s">
        <v>6354</v>
      </c>
      <c r="E15" s="26" t="n">
        <v>6</v>
      </c>
      <c r="F15" s="26" t="s">
        <v>6355</v>
      </c>
    </row>
    <row r="16" customFormat="false" ht="15" hidden="false" customHeight="false" outlineLevel="0" collapsed="false">
      <c r="A16" s="26" t="s">
        <v>4825</v>
      </c>
      <c r="B16" s="26" t="s">
        <v>4826</v>
      </c>
      <c r="C16" s="26" t="s">
        <v>70</v>
      </c>
      <c r="D16" s="26" t="s">
        <v>6339</v>
      </c>
      <c r="E16" s="26" t="n">
        <v>6</v>
      </c>
      <c r="F16" s="26" t="s">
        <v>6356</v>
      </c>
    </row>
    <row r="17" customFormat="false" ht="15" hidden="false" customHeight="false" outlineLevel="0" collapsed="false">
      <c r="A17" s="26" t="s">
        <v>4655</v>
      </c>
      <c r="B17" s="26" t="s">
        <v>4656</v>
      </c>
      <c r="C17" s="26" t="s">
        <v>70</v>
      </c>
      <c r="D17" s="26" t="s">
        <v>6339</v>
      </c>
      <c r="E17" s="26" t="n">
        <v>5</v>
      </c>
      <c r="F17" s="26" t="s">
        <v>6357</v>
      </c>
    </row>
    <row r="18" customFormat="false" ht="15" hidden="false" customHeight="false" outlineLevel="0" collapsed="false">
      <c r="A18" s="26" t="s">
        <v>4241</v>
      </c>
      <c r="B18" s="26" t="s">
        <v>4242</v>
      </c>
      <c r="C18" s="26" t="s">
        <v>70</v>
      </c>
      <c r="D18" s="26" t="s">
        <v>6339</v>
      </c>
      <c r="E18" s="26" t="n">
        <v>6</v>
      </c>
      <c r="F18" s="26" t="s">
        <v>6358</v>
      </c>
    </row>
    <row r="19" customFormat="false" ht="15" hidden="false" customHeight="false" outlineLevel="0" collapsed="false">
      <c r="A19" s="26" t="s">
        <v>4837</v>
      </c>
      <c r="B19" s="26" t="s">
        <v>4838</v>
      </c>
      <c r="C19" s="26" t="s">
        <v>70</v>
      </c>
      <c r="D19" s="26" t="s">
        <v>6339</v>
      </c>
      <c r="E19" s="26" t="n">
        <v>5</v>
      </c>
      <c r="F19" s="26" t="s">
        <v>6359</v>
      </c>
    </row>
    <row r="20" customFormat="false" ht="15" hidden="false" customHeight="false" outlineLevel="0" collapsed="false">
      <c r="A20" s="26" t="s">
        <v>6075</v>
      </c>
      <c r="B20" s="26" t="s">
        <v>6079</v>
      </c>
      <c r="C20" s="26" t="s">
        <v>70</v>
      </c>
      <c r="D20" s="26" t="s">
        <v>6360</v>
      </c>
      <c r="E20" s="26" t="n">
        <v>2</v>
      </c>
      <c r="F20" s="26" t="s">
        <v>6361</v>
      </c>
    </row>
    <row r="21" customFormat="false" ht="15" hidden="false" customHeight="false" outlineLevel="0" collapsed="false">
      <c r="A21" s="26" t="s">
        <v>6069</v>
      </c>
      <c r="B21" s="26" t="s">
        <v>6072</v>
      </c>
      <c r="C21" s="26" t="s">
        <v>70</v>
      </c>
      <c r="D21" s="26" t="s">
        <v>6360</v>
      </c>
      <c r="E21" s="26" t="n">
        <v>2</v>
      </c>
      <c r="F21" s="26" t="s">
        <v>6362</v>
      </c>
    </row>
    <row r="22" customFormat="false" ht="15" hidden="false" customHeight="false" outlineLevel="0" collapsed="false">
      <c r="A22" s="26" t="s">
        <v>6082</v>
      </c>
      <c r="B22" s="26" t="s">
        <v>6086</v>
      </c>
      <c r="C22" s="26" t="s">
        <v>70</v>
      </c>
      <c r="D22" s="26" t="s">
        <v>6360</v>
      </c>
      <c r="E22" s="26" t="n">
        <v>2</v>
      </c>
      <c r="F22" s="26" t="s">
        <v>6363</v>
      </c>
    </row>
    <row r="23" customFormat="false" ht="15" hidden="false" customHeight="false" outlineLevel="0" collapsed="false">
      <c r="A23" s="26" t="s">
        <v>5508</v>
      </c>
      <c r="B23" s="26" t="s">
        <v>5509</v>
      </c>
      <c r="C23" s="26" t="s">
        <v>70</v>
      </c>
      <c r="D23" s="26" t="s">
        <v>6339</v>
      </c>
      <c r="E23" s="26" t="n">
        <v>6</v>
      </c>
      <c r="F23" s="26" t="s">
        <v>6364</v>
      </c>
    </row>
    <row r="24" customFormat="false" ht="15" hidden="false" customHeight="false" outlineLevel="0" collapsed="false">
      <c r="A24" s="26" t="s">
        <v>5384</v>
      </c>
      <c r="B24" s="26" t="s">
        <v>5385</v>
      </c>
      <c r="C24" s="26" t="s">
        <v>70</v>
      </c>
      <c r="D24" s="26" t="s">
        <v>6339</v>
      </c>
      <c r="E24" s="26" t="n">
        <v>7</v>
      </c>
      <c r="F24" s="26" t="s">
        <v>6365</v>
      </c>
    </row>
    <row r="25" customFormat="false" ht="15" hidden="false" customHeight="false" outlineLevel="0" collapsed="false">
      <c r="A25" s="26" t="s">
        <v>5308</v>
      </c>
      <c r="B25" s="26" t="s">
        <v>5309</v>
      </c>
      <c r="C25" s="26" t="s">
        <v>70</v>
      </c>
      <c r="D25" s="26" t="s">
        <v>6339</v>
      </c>
      <c r="E25" s="26" t="n">
        <v>6</v>
      </c>
      <c r="F25" s="26" t="s">
        <v>6366</v>
      </c>
    </row>
    <row r="26" customFormat="false" ht="15" hidden="false" customHeight="false" outlineLevel="0" collapsed="false">
      <c r="A26" s="26" t="s">
        <v>5235</v>
      </c>
      <c r="B26" s="26" t="s">
        <v>5236</v>
      </c>
      <c r="C26" s="26" t="s">
        <v>70</v>
      </c>
      <c r="D26" s="26" t="s">
        <v>6339</v>
      </c>
      <c r="E26" s="26" t="n">
        <v>7</v>
      </c>
      <c r="F26" s="26" t="s">
        <v>6367</v>
      </c>
    </row>
    <row r="27" customFormat="false" ht="15" hidden="false" customHeight="false" outlineLevel="0" collapsed="false">
      <c r="A27" s="26" t="s">
        <v>5492</v>
      </c>
      <c r="B27" s="26" t="s">
        <v>5493</v>
      </c>
      <c r="C27" s="26" t="s">
        <v>70</v>
      </c>
      <c r="D27" s="26" t="s">
        <v>6339</v>
      </c>
      <c r="E27" s="26" t="n">
        <v>6</v>
      </c>
      <c r="F27" s="26" t="s">
        <v>6368</v>
      </c>
    </row>
    <row r="28" customFormat="false" ht="15" hidden="false" customHeight="false" outlineLevel="0" collapsed="false">
      <c r="A28" s="26" t="s">
        <v>5447</v>
      </c>
      <c r="B28" s="26" t="s">
        <v>5448</v>
      </c>
      <c r="C28" s="26" t="s">
        <v>70</v>
      </c>
      <c r="D28" s="26" t="s">
        <v>6339</v>
      </c>
      <c r="E28" s="26" t="n">
        <v>6</v>
      </c>
      <c r="F28" s="26" t="s">
        <v>6369</v>
      </c>
    </row>
    <row r="29" customFormat="false" ht="15" hidden="false" customHeight="false" outlineLevel="0" collapsed="false">
      <c r="A29" s="26" t="s">
        <v>5249</v>
      </c>
      <c r="B29" s="26" t="s">
        <v>5250</v>
      </c>
      <c r="C29" s="26" t="s">
        <v>70</v>
      </c>
      <c r="D29" s="26" t="s">
        <v>6339</v>
      </c>
      <c r="E29" s="26" t="n">
        <v>6</v>
      </c>
      <c r="F29" s="26" t="s">
        <v>6370</v>
      </c>
    </row>
    <row r="30" customFormat="false" ht="15" hidden="false" customHeight="false" outlineLevel="0" collapsed="false">
      <c r="A30" s="26" t="s">
        <v>6103</v>
      </c>
      <c r="B30" s="26" t="s">
        <v>6106</v>
      </c>
      <c r="C30" s="26" t="s">
        <v>70</v>
      </c>
      <c r="D30" s="26" t="s">
        <v>6371</v>
      </c>
      <c r="E30" s="26" t="n">
        <v>2</v>
      </c>
      <c r="F30" s="26" t="s">
        <v>6372</v>
      </c>
    </row>
    <row r="31" customFormat="false" ht="15" hidden="false" customHeight="false" outlineLevel="0" collapsed="false">
      <c r="A31" s="26" t="s">
        <v>5523</v>
      </c>
      <c r="B31" s="26" t="s">
        <v>5524</v>
      </c>
      <c r="C31" s="26" t="s">
        <v>70</v>
      </c>
      <c r="D31" s="26" t="s">
        <v>6339</v>
      </c>
      <c r="E31" s="26" t="n">
        <v>6</v>
      </c>
      <c r="F31" s="26" t="s">
        <v>6373</v>
      </c>
    </row>
    <row r="32" customFormat="false" ht="15" hidden="false" customHeight="false" outlineLevel="0" collapsed="false">
      <c r="A32" s="26" t="s">
        <v>5419</v>
      </c>
      <c r="B32" s="26" t="s">
        <v>5420</v>
      </c>
      <c r="C32" s="26" t="s">
        <v>70</v>
      </c>
      <c r="D32" s="26" t="s">
        <v>6339</v>
      </c>
      <c r="E32" s="26" t="n">
        <v>6</v>
      </c>
      <c r="F32" s="26" t="s">
        <v>6374</v>
      </c>
    </row>
    <row r="33" customFormat="false" ht="15" hidden="false" customHeight="false" outlineLevel="0" collapsed="false">
      <c r="A33" s="26" t="s">
        <v>5355</v>
      </c>
      <c r="B33" s="26" t="s">
        <v>5356</v>
      </c>
      <c r="C33" s="26" t="s">
        <v>70</v>
      </c>
      <c r="D33" s="26" t="s">
        <v>6339</v>
      </c>
      <c r="E33" s="26" t="n">
        <v>6</v>
      </c>
      <c r="F33" s="26" t="s">
        <v>6375</v>
      </c>
    </row>
    <row r="34" customFormat="false" ht="15" hidden="false" customHeight="false" outlineLevel="0" collapsed="false">
      <c r="A34" s="26" t="s">
        <v>6061</v>
      </c>
      <c r="B34" s="26" t="s">
        <v>6065</v>
      </c>
      <c r="C34" s="26" t="s">
        <v>70</v>
      </c>
      <c r="D34" s="26" t="s">
        <v>6360</v>
      </c>
      <c r="E34" s="26" t="n">
        <v>2</v>
      </c>
      <c r="F34" s="26" t="s">
        <v>6376</v>
      </c>
    </row>
    <row r="35" customFormat="false" ht="15" hidden="false" customHeight="false" outlineLevel="0" collapsed="false">
      <c r="A35" s="26" t="s">
        <v>5277</v>
      </c>
      <c r="B35" s="26" t="s">
        <v>5278</v>
      </c>
      <c r="C35" s="26" t="s">
        <v>70</v>
      </c>
      <c r="D35" s="26" t="s">
        <v>6339</v>
      </c>
      <c r="E35" s="26" t="n">
        <v>6</v>
      </c>
      <c r="F35" s="26" t="s">
        <v>6377</v>
      </c>
    </row>
    <row r="36" customFormat="false" ht="15" hidden="false" customHeight="false" outlineLevel="0" collapsed="false">
      <c r="A36" s="26" t="s">
        <v>5403</v>
      </c>
      <c r="B36" s="26" t="s">
        <v>5404</v>
      </c>
      <c r="C36" s="26" t="s">
        <v>70</v>
      </c>
      <c r="D36" s="26" t="s">
        <v>6339</v>
      </c>
      <c r="E36" s="26" t="n">
        <v>6</v>
      </c>
      <c r="F36" s="26" t="s">
        <v>6378</v>
      </c>
    </row>
    <row r="37" customFormat="false" ht="15" hidden="false" customHeight="false" outlineLevel="0" collapsed="false">
      <c r="A37" s="26" t="s">
        <v>5370</v>
      </c>
      <c r="B37" s="26" t="s">
        <v>5371</v>
      </c>
      <c r="C37" s="26" t="s">
        <v>70</v>
      </c>
      <c r="D37" s="26" t="s">
        <v>6339</v>
      </c>
      <c r="E37" s="26" t="n">
        <v>7</v>
      </c>
      <c r="F37" s="26" t="s">
        <v>6379</v>
      </c>
    </row>
    <row r="38" customFormat="false" ht="15" hidden="false" customHeight="false" outlineLevel="0" collapsed="false">
      <c r="A38" s="26" t="s">
        <v>6097</v>
      </c>
      <c r="B38" s="26" t="s">
        <v>6100</v>
      </c>
      <c r="C38" s="26" t="s">
        <v>70</v>
      </c>
      <c r="D38" s="26" t="s">
        <v>6371</v>
      </c>
      <c r="E38" s="26" t="n">
        <v>2</v>
      </c>
      <c r="F38" s="26" t="s">
        <v>6380</v>
      </c>
    </row>
    <row r="39" customFormat="false" ht="15" hidden="false" customHeight="false" outlineLevel="0" collapsed="false">
      <c r="A39" s="26" t="s">
        <v>5463</v>
      </c>
      <c r="B39" s="26" t="s">
        <v>5464</v>
      </c>
      <c r="C39" s="26" t="s">
        <v>70</v>
      </c>
      <c r="D39" s="26" t="s">
        <v>6339</v>
      </c>
      <c r="E39" s="26" t="n">
        <v>6</v>
      </c>
      <c r="F39" s="26" t="s">
        <v>6381</v>
      </c>
    </row>
    <row r="40" customFormat="false" ht="15" hidden="false" customHeight="false" outlineLevel="0" collapsed="false">
      <c r="A40" s="26" t="s">
        <v>5340</v>
      </c>
      <c r="B40" s="26" t="s">
        <v>5341</v>
      </c>
      <c r="C40" s="26" t="s">
        <v>70</v>
      </c>
      <c r="D40" s="26" t="s">
        <v>6339</v>
      </c>
      <c r="E40" s="26" t="n">
        <v>6</v>
      </c>
      <c r="F40" s="26" t="s">
        <v>6382</v>
      </c>
    </row>
    <row r="41" customFormat="false" ht="15" hidden="false" customHeight="false" outlineLevel="0" collapsed="false">
      <c r="A41" s="26" t="s">
        <v>5477</v>
      </c>
      <c r="B41" s="26" t="s">
        <v>5478</v>
      </c>
      <c r="C41" s="26" t="s">
        <v>70</v>
      </c>
      <c r="D41" s="26" t="s">
        <v>6339</v>
      </c>
      <c r="E41" s="26" t="n">
        <v>6</v>
      </c>
      <c r="F41" s="26" t="s">
        <v>6383</v>
      </c>
    </row>
    <row r="42" customFormat="false" ht="15" hidden="false" customHeight="false" outlineLevel="0" collapsed="false">
      <c r="A42" s="26" t="s">
        <v>5295</v>
      </c>
      <c r="B42" s="26" t="s">
        <v>5296</v>
      </c>
      <c r="C42" s="26" t="s">
        <v>70</v>
      </c>
      <c r="D42" s="26" t="s">
        <v>6339</v>
      </c>
      <c r="E42" s="26" t="n">
        <v>7</v>
      </c>
      <c r="F42" s="26" t="s">
        <v>6384</v>
      </c>
    </row>
    <row r="43" customFormat="false" ht="15" hidden="false" customHeight="false" outlineLevel="0" collapsed="false">
      <c r="A43" s="26" t="s">
        <v>5264</v>
      </c>
      <c r="B43" s="26" t="s">
        <v>5265</v>
      </c>
      <c r="C43" s="26" t="s">
        <v>70</v>
      </c>
      <c r="D43" s="26" t="s">
        <v>6339</v>
      </c>
      <c r="E43" s="26" t="n">
        <v>6</v>
      </c>
      <c r="F43" s="26" t="s">
        <v>6385</v>
      </c>
    </row>
    <row r="44" customFormat="false" ht="15" hidden="false" customHeight="false" outlineLevel="0" collapsed="false">
      <c r="A44" s="26" t="s">
        <v>5324</v>
      </c>
      <c r="B44" s="26" t="s">
        <v>5325</v>
      </c>
      <c r="C44" s="26" t="s">
        <v>70</v>
      </c>
      <c r="D44" s="26" t="s">
        <v>6339</v>
      </c>
      <c r="E44" s="26" t="n">
        <v>6</v>
      </c>
      <c r="F44" s="26" t="s">
        <v>6386</v>
      </c>
    </row>
    <row r="45" customFormat="false" ht="15" hidden="false" customHeight="false" outlineLevel="0" collapsed="false">
      <c r="A45" s="26" t="s">
        <v>6110</v>
      </c>
      <c r="B45" s="26" t="s">
        <v>6113</v>
      </c>
      <c r="C45" s="26" t="s">
        <v>70</v>
      </c>
      <c r="D45" s="26" t="s">
        <v>6371</v>
      </c>
      <c r="E45" s="26" t="n">
        <v>2</v>
      </c>
      <c r="F45" s="26" t="s">
        <v>6387</v>
      </c>
    </row>
    <row r="46" customFormat="false" ht="15" hidden="false" customHeight="false" outlineLevel="0" collapsed="false">
      <c r="A46" s="26" t="s">
        <v>5433</v>
      </c>
      <c r="B46" s="26" t="s">
        <v>5434</v>
      </c>
      <c r="C46" s="26" t="s">
        <v>70</v>
      </c>
      <c r="D46" s="26" t="s">
        <v>6339</v>
      </c>
      <c r="E46" s="26" t="n">
        <v>6</v>
      </c>
      <c r="F46" s="26" t="s">
        <v>6388</v>
      </c>
    </row>
    <row r="47" customFormat="false" ht="15" hidden="false" customHeight="false" outlineLevel="0" collapsed="false">
      <c r="A47" s="26" t="s">
        <v>6090</v>
      </c>
      <c r="B47" s="26" t="s">
        <v>6094</v>
      </c>
      <c r="C47" s="26" t="s">
        <v>70</v>
      </c>
      <c r="D47" s="26" t="s">
        <v>6371</v>
      </c>
      <c r="E47" s="26" t="n">
        <v>2</v>
      </c>
      <c r="F47" s="26" t="s">
        <v>6389</v>
      </c>
    </row>
    <row r="48" customFormat="false" ht="15" hidden="false" customHeight="false" outlineLevel="0" collapsed="false">
      <c r="A48" s="26" t="s">
        <v>68</v>
      </c>
      <c r="B48" s="26" t="s">
        <v>69</v>
      </c>
      <c r="C48" s="26" t="s">
        <v>70</v>
      </c>
      <c r="D48" s="26" t="s">
        <v>6339</v>
      </c>
      <c r="E48" s="26" t="n">
        <v>6</v>
      </c>
      <c r="F48" s="26" t="s">
        <v>6390</v>
      </c>
    </row>
    <row r="49" customFormat="false" ht="15" hidden="false" customHeight="false" outlineLevel="0" collapsed="false">
      <c r="A49" s="26" t="s">
        <v>93</v>
      </c>
      <c r="B49" s="26" t="s">
        <v>94</v>
      </c>
      <c r="C49" s="26" t="s">
        <v>70</v>
      </c>
      <c r="D49" s="26" t="s">
        <v>6391</v>
      </c>
      <c r="E49" s="26" t="n">
        <v>1</v>
      </c>
      <c r="F49" s="26" t="s">
        <v>6392</v>
      </c>
    </row>
    <row r="50" customFormat="false" ht="15" hidden="false" customHeight="false" outlineLevel="0" collapsed="false">
      <c r="A50" s="26" t="s">
        <v>97</v>
      </c>
      <c r="B50" s="26" t="s">
        <v>98</v>
      </c>
      <c r="C50" s="26" t="s">
        <v>70</v>
      </c>
      <c r="D50" s="26" t="s">
        <v>6339</v>
      </c>
      <c r="E50" s="26" t="n">
        <v>6</v>
      </c>
      <c r="F50" s="26" t="s">
        <v>6393</v>
      </c>
    </row>
    <row r="51" customFormat="false" ht="15" hidden="false" customHeight="false" outlineLevel="0" collapsed="false">
      <c r="A51" s="26" t="s">
        <v>220</v>
      </c>
      <c r="B51" s="26" t="s">
        <v>221</v>
      </c>
      <c r="C51" s="26" t="s">
        <v>70</v>
      </c>
      <c r="D51" s="26" t="s">
        <v>6339</v>
      </c>
      <c r="E51" s="26" t="n">
        <v>5</v>
      </c>
      <c r="F51" s="26" t="s">
        <v>6394</v>
      </c>
    </row>
    <row r="52" customFormat="false" ht="15" hidden="false" customHeight="false" outlineLevel="0" collapsed="false">
      <c r="A52" s="26" t="s">
        <v>5220</v>
      </c>
      <c r="B52" s="26" t="s">
        <v>5221</v>
      </c>
      <c r="C52" s="26" t="s">
        <v>70</v>
      </c>
      <c r="D52" s="26" t="s">
        <v>6339</v>
      </c>
      <c r="E52" s="26" t="n">
        <v>5</v>
      </c>
      <c r="F52" s="26" t="s">
        <v>6395</v>
      </c>
    </row>
    <row r="53" customFormat="false" ht="15" hidden="false" customHeight="false" outlineLevel="0" collapsed="false">
      <c r="A53" s="26" t="s">
        <v>252</v>
      </c>
      <c r="B53" s="26" t="s">
        <v>253</v>
      </c>
      <c r="C53" s="26" t="s">
        <v>70</v>
      </c>
      <c r="D53" s="26" t="s">
        <v>6339</v>
      </c>
      <c r="E53" s="26" t="n">
        <v>7</v>
      </c>
      <c r="F53" s="26" t="s">
        <v>6396</v>
      </c>
    </row>
    <row r="54" customFormat="false" ht="15" hidden="false" customHeight="false" outlineLevel="0" collapsed="false">
      <c r="A54" s="26" t="s">
        <v>5204</v>
      </c>
      <c r="B54" s="26" t="s">
        <v>5205</v>
      </c>
      <c r="C54" s="26" t="s">
        <v>70</v>
      </c>
      <c r="D54" s="26" t="s">
        <v>6339</v>
      </c>
      <c r="E54" s="26" t="n">
        <v>5</v>
      </c>
      <c r="F54" s="26" t="s">
        <v>6397</v>
      </c>
    </row>
    <row r="55" customFormat="false" ht="15" hidden="false" customHeight="false" outlineLevel="0" collapsed="false">
      <c r="A55" s="26" t="s">
        <v>254</v>
      </c>
      <c r="B55" s="26" t="s">
        <v>255</v>
      </c>
      <c r="C55" s="26" t="s">
        <v>70</v>
      </c>
      <c r="D55" s="26" t="s">
        <v>6339</v>
      </c>
      <c r="E55" s="26" t="n">
        <v>7</v>
      </c>
      <c r="F55" s="26" t="s">
        <v>6398</v>
      </c>
    </row>
    <row r="56" customFormat="false" ht="15" hidden="false" customHeight="false" outlineLevel="0" collapsed="false">
      <c r="A56" s="26" t="s">
        <v>4332</v>
      </c>
      <c r="B56" s="26" t="s">
        <v>4333</v>
      </c>
      <c r="C56" s="26" t="s">
        <v>70</v>
      </c>
      <c r="D56" s="26" t="s">
        <v>6339</v>
      </c>
      <c r="E56" s="26" t="n">
        <v>6</v>
      </c>
      <c r="F56" s="26" t="s">
        <v>6399</v>
      </c>
    </row>
    <row r="57" customFormat="false" ht="15" hidden="false" customHeight="false" outlineLevel="0" collapsed="false">
      <c r="A57" s="26" t="s">
        <v>1687</v>
      </c>
      <c r="B57" s="26" t="s">
        <v>1688</v>
      </c>
      <c r="C57" s="26" t="s">
        <v>70</v>
      </c>
      <c r="D57" s="26" t="s">
        <v>6339</v>
      </c>
      <c r="E57" s="26" t="n">
        <v>7</v>
      </c>
      <c r="F57" s="26" t="s">
        <v>6400</v>
      </c>
    </row>
    <row r="58" customFormat="false" ht="15" hidden="false" customHeight="false" outlineLevel="0" collapsed="false">
      <c r="A58" s="26" t="s">
        <v>595</v>
      </c>
      <c r="B58" s="26" t="s">
        <v>596</v>
      </c>
      <c r="C58" s="26" t="s">
        <v>70</v>
      </c>
      <c r="D58" s="26" t="s">
        <v>6401</v>
      </c>
      <c r="E58" s="26" t="n">
        <v>4</v>
      </c>
      <c r="F58" s="26" t="s">
        <v>6402</v>
      </c>
    </row>
    <row r="59" customFormat="false" ht="15" hidden="false" customHeight="false" outlineLevel="0" collapsed="false">
      <c r="A59" s="26" t="s">
        <v>610</v>
      </c>
      <c r="B59" s="26" t="s">
        <v>611</v>
      </c>
      <c r="C59" s="26" t="s">
        <v>70</v>
      </c>
      <c r="D59" s="26" t="s">
        <v>6339</v>
      </c>
      <c r="E59" s="26" t="n">
        <v>7</v>
      </c>
      <c r="F59" s="26" t="s">
        <v>6403</v>
      </c>
    </row>
    <row r="60" customFormat="false" ht="15" hidden="false" customHeight="false" outlineLevel="0" collapsed="false">
      <c r="A60" s="26" t="s">
        <v>634</v>
      </c>
      <c r="B60" s="26" t="s">
        <v>635</v>
      </c>
      <c r="C60" s="26" t="s">
        <v>70</v>
      </c>
      <c r="D60" s="26" t="s">
        <v>6339</v>
      </c>
      <c r="E60" s="26" t="n">
        <v>7</v>
      </c>
      <c r="F60" s="26" t="s">
        <v>6404</v>
      </c>
    </row>
    <row r="61" customFormat="false" ht="15" hidden="false" customHeight="false" outlineLevel="0" collapsed="false">
      <c r="A61" s="26" t="s">
        <v>1718</v>
      </c>
      <c r="B61" s="26" t="s">
        <v>1719</v>
      </c>
      <c r="C61" s="26" t="s">
        <v>70</v>
      </c>
      <c r="D61" s="26" t="s">
        <v>6339</v>
      </c>
      <c r="E61" s="26" t="n">
        <v>7</v>
      </c>
      <c r="F61" s="26" t="s">
        <v>6405</v>
      </c>
    </row>
    <row r="62" customFormat="false" ht="15" hidden="false" customHeight="false" outlineLevel="0" collapsed="false">
      <c r="A62" s="26" t="s">
        <v>1740</v>
      </c>
      <c r="B62" s="26" t="s">
        <v>1741</v>
      </c>
      <c r="C62" s="26" t="s">
        <v>70</v>
      </c>
      <c r="D62" s="26" t="s">
        <v>6339</v>
      </c>
      <c r="E62" s="26" t="n">
        <v>4</v>
      </c>
      <c r="F62" s="26" t="s">
        <v>6406</v>
      </c>
    </row>
    <row r="63" customFormat="false" ht="15" hidden="false" customHeight="false" outlineLevel="0" collapsed="false">
      <c r="A63" s="26" t="s">
        <v>1769</v>
      </c>
      <c r="B63" s="26" t="s">
        <v>1770</v>
      </c>
      <c r="C63" s="26" t="s">
        <v>70</v>
      </c>
      <c r="D63" s="26" t="s">
        <v>6339</v>
      </c>
      <c r="E63" s="26" t="n">
        <v>7</v>
      </c>
      <c r="F63" s="26" t="s">
        <v>6407</v>
      </c>
    </row>
    <row r="64" customFormat="false" ht="15" hidden="false" customHeight="false" outlineLevel="0" collapsed="false">
      <c r="A64" s="26" t="s">
        <v>1790</v>
      </c>
      <c r="B64" s="26" t="s">
        <v>1791</v>
      </c>
      <c r="C64" s="26" t="s">
        <v>70</v>
      </c>
      <c r="D64" s="26" t="s">
        <v>6339</v>
      </c>
      <c r="E64" s="26" t="n">
        <v>5</v>
      </c>
      <c r="F64" s="26" t="s">
        <v>6408</v>
      </c>
    </row>
    <row r="65" customFormat="false" ht="15" hidden="false" customHeight="false" outlineLevel="0" collapsed="false">
      <c r="A65" s="26" t="s">
        <v>1803</v>
      </c>
      <c r="B65" s="26" t="s">
        <v>1804</v>
      </c>
      <c r="C65" s="26" t="s">
        <v>70</v>
      </c>
      <c r="D65" s="26" t="s">
        <v>6339</v>
      </c>
      <c r="E65" s="26" t="n">
        <v>7</v>
      </c>
      <c r="F65" s="26" t="s">
        <v>6409</v>
      </c>
    </row>
    <row r="66" customFormat="false" ht="15" hidden="false" customHeight="false" outlineLevel="0" collapsed="false">
      <c r="A66" s="26" t="s">
        <v>654</v>
      </c>
      <c r="B66" s="26" t="s">
        <v>655</v>
      </c>
      <c r="C66" s="26" t="s">
        <v>70</v>
      </c>
      <c r="D66" s="26" t="s">
        <v>6339</v>
      </c>
      <c r="E66" s="26" t="n">
        <v>7</v>
      </c>
      <c r="F66" s="26" t="s">
        <v>6410</v>
      </c>
    </row>
    <row r="67" customFormat="false" ht="15" hidden="false" customHeight="false" outlineLevel="0" collapsed="false">
      <c r="A67" s="26" t="s">
        <v>676</v>
      </c>
      <c r="B67" s="26" t="s">
        <v>677</v>
      </c>
      <c r="C67" s="26" t="s">
        <v>70</v>
      </c>
      <c r="D67" s="26" t="s">
        <v>6339</v>
      </c>
      <c r="E67" s="26" t="n">
        <v>6</v>
      </c>
      <c r="F67" s="26" t="s">
        <v>6411</v>
      </c>
    </row>
    <row r="68" customFormat="false" ht="15" hidden="false" customHeight="false" outlineLevel="0" collapsed="false">
      <c r="A68" s="26" t="s">
        <v>692</v>
      </c>
      <c r="B68" s="26" t="s">
        <v>693</v>
      </c>
      <c r="C68" s="26" t="s">
        <v>70</v>
      </c>
      <c r="D68" s="26" t="s">
        <v>6339</v>
      </c>
      <c r="E68" s="26" t="n">
        <v>6</v>
      </c>
      <c r="F68" s="26" t="s">
        <v>6412</v>
      </c>
    </row>
    <row r="69" customFormat="false" ht="15" hidden="false" customHeight="false" outlineLevel="0" collapsed="false">
      <c r="A69" s="26" t="s">
        <v>709</v>
      </c>
      <c r="B69" s="26" t="s">
        <v>710</v>
      </c>
      <c r="C69" s="26" t="s">
        <v>70</v>
      </c>
      <c r="D69" s="26" t="s">
        <v>6339</v>
      </c>
      <c r="E69" s="26" t="n">
        <v>6</v>
      </c>
      <c r="F69" s="26" t="s">
        <v>6413</v>
      </c>
    </row>
    <row r="70" customFormat="false" ht="15" hidden="false" customHeight="false" outlineLevel="0" collapsed="false">
      <c r="A70" s="26" t="s">
        <v>836</v>
      </c>
      <c r="B70" s="26" t="s">
        <v>837</v>
      </c>
      <c r="C70" s="26" t="s">
        <v>70</v>
      </c>
      <c r="D70" s="26" t="s">
        <v>6339</v>
      </c>
      <c r="E70" s="26" t="n">
        <v>7</v>
      </c>
      <c r="F70" s="26" t="s">
        <v>6414</v>
      </c>
    </row>
    <row r="71" customFormat="false" ht="15" hidden="false" customHeight="false" outlineLevel="0" collapsed="false">
      <c r="A71" s="26" t="s">
        <v>762</v>
      </c>
      <c r="B71" s="26" t="s">
        <v>763</v>
      </c>
      <c r="C71" s="26" t="s">
        <v>70</v>
      </c>
      <c r="D71" s="26" t="s">
        <v>6339</v>
      </c>
      <c r="E71" s="26" t="n">
        <v>7</v>
      </c>
      <c r="F71" s="26" t="s">
        <v>6415</v>
      </c>
    </row>
    <row r="72" customFormat="false" ht="15" hidden="false" customHeight="false" outlineLevel="0" collapsed="false">
      <c r="A72" s="26" t="s">
        <v>812</v>
      </c>
      <c r="B72" s="26" t="s">
        <v>813</v>
      </c>
      <c r="C72" s="26" t="s">
        <v>70</v>
      </c>
      <c r="D72" s="26" t="s">
        <v>6339</v>
      </c>
      <c r="E72" s="26" t="n">
        <v>7</v>
      </c>
      <c r="F72" s="26" t="s">
        <v>6416</v>
      </c>
    </row>
    <row r="73" customFormat="false" ht="15" hidden="false" customHeight="false" outlineLevel="0" collapsed="false">
      <c r="A73" s="26" t="s">
        <v>178</v>
      </c>
      <c r="B73" s="26" t="s">
        <v>179</v>
      </c>
      <c r="C73" s="26" t="s">
        <v>70</v>
      </c>
      <c r="D73" s="26" t="s">
        <v>6339</v>
      </c>
      <c r="E73" s="26" t="n">
        <v>5</v>
      </c>
      <c r="F73" s="26" t="s">
        <v>6417</v>
      </c>
    </row>
    <row r="74" customFormat="false" ht="15" hidden="false" customHeight="false" outlineLevel="0" collapsed="false">
      <c r="A74" s="26" t="s">
        <v>907</v>
      </c>
      <c r="B74" s="26" t="s">
        <v>908</v>
      </c>
      <c r="C74" s="26" t="s">
        <v>70</v>
      </c>
      <c r="D74" s="26" t="s">
        <v>6341</v>
      </c>
      <c r="E74" s="26" t="n">
        <v>5</v>
      </c>
      <c r="F74" s="26" t="s">
        <v>6418</v>
      </c>
    </row>
    <row r="75" customFormat="false" ht="15" hidden="false" customHeight="false" outlineLevel="0" collapsed="false">
      <c r="A75" s="26" t="s">
        <v>450</v>
      </c>
      <c r="B75" s="26" t="s">
        <v>451</v>
      </c>
      <c r="C75" s="26" t="s">
        <v>70</v>
      </c>
      <c r="D75" s="26" t="s">
        <v>6339</v>
      </c>
      <c r="E75" s="26" t="n">
        <v>6</v>
      </c>
      <c r="F75" s="26" t="s">
        <v>6419</v>
      </c>
    </row>
    <row r="76" customFormat="false" ht="15" hidden="false" customHeight="false" outlineLevel="0" collapsed="false">
      <c r="A76" s="26" t="s">
        <v>530</v>
      </c>
      <c r="B76" s="26" t="s">
        <v>531</v>
      </c>
      <c r="C76" s="26" t="s">
        <v>70</v>
      </c>
      <c r="D76" s="26" t="s">
        <v>6339</v>
      </c>
      <c r="E76" s="26" t="n">
        <v>6</v>
      </c>
      <c r="F76" s="26" t="s">
        <v>6420</v>
      </c>
    </row>
    <row r="77" customFormat="false" ht="15" hidden="false" customHeight="false" outlineLevel="0" collapsed="false">
      <c r="A77" s="26" t="s">
        <v>314</v>
      </c>
      <c r="B77" s="26" t="s">
        <v>315</v>
      </c>
      <c r="C77" s="26" t="s">
        <v>70</v>
      </c>
      <c r="D77" s="26" t="s">
        <v>6339</v>
      </c>
      <c r="E77" s="26" t="n">
        <v>6</v>
      </c>
      <c r="F77" s="26" t="s">
        <v>6421</v>
      </c>
    </row>
    <row r="78" customFormat="false" ht="15" hidden="false" customHeight="false" outlineLevel="0" collapsed="false">
      <c r="A78" s="26" t="s">
        <v>409</v>
      </c>
      <c r="B78" s="26" t="s">
        <v>410</v>
      </c>
      <c r="C78" s="26" t="s">
        <v>70</v>
      </c>
      <c r="D78" s="26" t="s">
        <v>6339</v>
      </c>
      <c r="E78" s="26" t="n">
        <v>7</v>
      </c>
      <c r="F78" s="26" t="s">
        <v>6422</v>
      </c>
    </row>
    <row r="79" customFormat="false" ht="15" hidden="false" customHeight="false" outlineLevel="0" collapsed="false">
      <c r="A79" s="26" t="s">
        <v>1009</v>
      </c>
      <c r="B79" s="26" t="s">
        <v>1010</v>
      </c>
      <c r="C79" s="26" t="s">
        <v>70</v>
      </c>
      <c r="D79" s="26" t="s">
        <v>6339</v>
      </c>
      <c r="E79" s="26" t="n">
        <v>6</v>
      </c>
      <c r="F79" s="26" t="s">
        <v>6423</v>
      </c>
    </row>
    <row r="80" customFormat="false" ht="15" hidden="false" customHeight="false" outlineLevel="0" collapsed="false">
      <c r="A80" s="26" t="s">
        <v>1563</v>
      </c>
      <c r="B80" s="26" t="s">
        <v>1564</v>
      </c>
      <c r="C80" s="26" t="s">
        <v>70</v>
      </c>
      <c r="D80" s="26" t="s">
        <v>6339</v>
      </c>
      <c r="E80" s="26" t="n">
        <v>6</v>
      </c>
      <c r="F80" s="26" t="s">
        <v>6424</v>
      </c>
    </row>
    <row r="81" customFormat="false" ht="15" hidden="false" customHeight="false" outlineLevel="0" collapsed="false">
      <c r="A81" s="26" t="s">
        <v>1116</v>
      </c>
      <c r="B81" s="26" t="s">
        <v>1117</v>
      </c>
      <c r="C81" s="26" t="s">
        <v>70</v>
      </c>
      <c r="D81" s="26" t="s">
        <v>6339</v>
      </c>
      <c r="E81" s="26" t="n">
        <v>7</v>
      </c>
      <c r="F81" s="26" t="s">
        <v>6425</v>
      </c>
    </row>
    <row r="82" customFormat="false" ht="15" hidden="false" customHeight="false" outlineLevel="0" collapsed="false">
      <c r="A82" s="26" t="s">
        <v>1301</v>
      </c>
      <c r="B82" s="26" t="s">
        <v>1302</v>
      </c>
      <c r="C82" s="26" t="s">
        <v>70</v>
      </c>
      <c r="D82" s="26" t="s">
        <v>6339</v>
      </c>
      <c r="E82" s="26" t="n">
        <v>4</v>
      </c>
      <c r="F82" s="26" t="s">
        <v>6426</v>
      </c>
    </row>
    <row r="83" customFormat="false" ht="15" hidden="false" customHeight="false" outlineLevel="0" collapsed="false">
      <c r="A83" s="26" t="s">
        <v>1955</v>
      </c>
      <c r="B83" s="26" t="s">
        <v>1956</v>
      </c>
      <c r="C83" s="26" t="s">
        <v>70</v>
      </c>
      <c r="D83" s="26" t="s">
        <v>6339</v>
      </c>
      <c r="E83" s="26" t="n">
        <v>7</v>
      </c>
      <c r="F83" s="26" t="s">
        <v>6427</v>
      </c>
    </row>
    <row r="84" customFormat="false" ht="15" hidden="false" customHeight="false" outlineLevel="0" collapsed="false">
      <c r="A84" s="26" t="s">
        <v>1985</v>
      </c>
      <c r="B84" s="26" t="s">
        <v>1986</v>
      </c>
      <c r="C84" s="26" t="s">
        <v>70</v>
      </c>
      <c r="D84" s="26" t="s">
        <v>6339</v>
      </c>
      <c r="E84" s="26" t="n">
        <v>6</v>
      </c>
      <c r="F84" s="26" t="s">
        <v>6428</v>
      </c>
    </row>
    <row r="85" customFormat="false" ht="15" hidden="false" customHeight="false" outlineLevel="0" collapsed="false">
      <c r="A85" s="26" t="s">
        <v>2092</v>
      </c>
      <c r="B85" s="26" t="s">
        <v>2093</v>
      </c>
      <c r="C85" s="26" t="s">
        <v>70</v>
      </c>
      <c r="D85" s="26" t="s">
        <v>6339</v>
      </c>
      <c r="E85" s="26" t="n">
        <v>7</v>
      </c>
      <c r="F85" s="26" t="s">
        <v>6429</v>
      </c>
    </row>
    <row r="86" customFormat="false" ht="15" hidden="false" customHeight="false" outlineLevel="0" collapsed="false">
      <c r="A86" s="26" t="s">
        <v>2044</v>
      </c>
      <c r="B86" s="26" t="s">
        <v>2045</v>
      </c>
      <c r="C86" s="26" t="s">
        <v>70</v>
      </c>
      <c r="D86" s="26" t="s">
        <v>6339</v>
      </c>
      <c r="E86" s="26" t="n">
        <v>7</v>
      </c>
      <c r="F86" s="26" t="s">
        <v>6430</v>
      </c>
    </row>
    <row r="87" customFormat="false" ht="15" hidden="false" customHeight="false" outlineLevel="0" collapsed="false">
      <c r="A87" s="26" t="s">
        <v>2019</v>
      </c>
      <c r="B87" s="26" t="s">
        <v>2020</v>
      </c>
      <c r="C87" s="26" t="s">
        <v>70</v>
      </c>
      <c r="D87" s="26" t="s">
        <v>6339</v>
      </c>
      <c r="E87" s="26" t="n">
        <v>5</v>
      </c>
      <c r="F87" s="26" t="s">
        <v>6431</v>
      </c>
    </row>
    <row r="88" customFormat="false" ht="15" hidden="false" customHeight="false" outlineLevel="0" collapsed="false">
      <c r="A88" s="26" t="s">
        <v>2004</v>
      </c>
      <c r="B88" s="26" t="s">
        <v>2005</v>
      </c>
      <c r="C88" s="26" t="s">
        <v>70</v>
      </c>
      <c r="D88" s="26" t="s">
        <v>6339</v>
      </c>
      <c r="E88" s="26" t="n">
        <v>7</v>
      </c>
      <c r="F88" s="26" t="s">
        <v>6432</v>
      </c>
    </row>
    <row r="89" customFormat="false" ht="15" hidden="false" customHeight="false" outlineLevel="0" collapsed="false">
      <c r="A89" s="26" t="s">
        <v>2131</v>
      </c>
      <c r="B89" s="26" t="s">
        <v>2132</v>
      </c>
      <c r="C89" s="26" t="s">
        <v>70</v>
      </c>
      <c r="D89" s="26" t="s">
        <v>6339</v>
      </c>
      <c r="E89" s="26" t="n">
        <v>6</v>
      </c>
      <c r="F89" s="26" t="s">
        <v>6433</v>
      </c>
    </row>
    <row r="90" customFormat="false" ht="15" hidden="false" customHeight="false" outlineLevel="0" collapsed="false">
      <c r="A90" s="26" t="s">
        <v>2160</v>
      </c>
      <c r="B90" s="26" t="s">
        <v>2161</v>
      </c>
      <c r="C90" s="26" t="s">
        <v>70</v>
      </c>
      <c r="D90" s="26" t="s">
        <v>6339</v>
      </c>
      <c r="E90" s="26" t="n">
        <v>5</v>
      </c>
      <c r="F90" s="26" t="s">
        <v>6434</v>
      </c>
    </row>
    <row r="91" customFormat="false" ht="15" hidden="false" customHeight="false" outlineLevel="0" collapsed="false">
      <c r="A91" s="26" t="s">
        <v>2174</v>
      </c>
      <c r="B91" s="26" t="s">
        <v>2175</v>
      </c>
      <c r="C91" s="26" t="s">
        <v>70</v>
      </c>
      <c r="D91" s="26" t="s">
        <v>6339</v>
      </c>
      <c r="E91" s="26" t="n">
        <v>6</v>
      </c>
      <c r="F91" s="26" t="s">
        <v>6435</v>
      </c>
    </row>
    <row r="92" customFormat="false" ht="15" hidden="false" customHeight="false" outlineLevel="0" collapsed="false">
      <c r="A92" s="26" t="s">
        <v>2202</v>
      </c>
      <c r="B92" s="26" t="s">
        <v>2203</v>
      </c>
      <c r="C92" s="26" t="s">
        <v>70</v>
      </c>
      <c r="D92" s="26" t="s">
        <v>6339</v>
      </c>
      <c r="E92" s="26" t="n">
        <v>7</v>
      </c>
      <c r="F92" s="26" t="s">
        <v>6436</v>
      </c>
    </row>
    <row r="93" customFormat="false" ht="15" hidden="false" customHeight="false" outlineLevel="0" collapsed="false">
      <c r="A93" s="26" t="s">
        <v>2230</v>
      </c>
      <c r="B93" s="26" t="s">
        <v>2231</v>
      </c>
      <c r="C93" s="26" t="s">
        <v>70</v>
      </c>
      <c r="D93" s="26" t="s">
        <v>6339</v>
      </c>
      <c r="E93" s="26" t="n">
        <v>7</v>
      </c>
      <c r="F93" s="26" t="s">
        <v>6437</v>
      </c>
    </row>
    <row r="94" customFormat="false" ht="15" hidden="false" customHeight="false" outlineLevel="0" collapsed="false">
      <c r="A94" s="26" t="s">
        <v>2258</v>
      </c>
      <c r="B94" s="26" t="s">
        <v>2259</v>
      </c>
      <c r="C94" s="26" t="s">
        <v>70</v>
      </c>
      <c r="D94" s="26" t="s">
        <v>6339</v>
      </c>
      <c r="E94" s="26" t="n">
        <v>7</v>
      </c>
      <c r="F94" s="26" t="s">
        <v>6438</v>
      </c>
    </row>
    <row r="95" customFormat="false" ht="15" hidden="false" customHeight="false" outlineLevel="0" collapsed="false">
      <c r="A95" s="26" t="s">
        <v>2288</v>
      </c>
      <c r="B95" s="26" t="s">
        <v>2289</v>
      </c>
      <c r="C95" s="26" t="s">
        <v>70</v>
      </c>
      <c r="D95" s="26" t="s">
        <v>6439</v>
      </c>
      <c r="E95" s="26" t="n">
        <v>5</v>
      </c>
      <c r="F95" s="26" t="s">
        <v>6440</v>
      </c>
    </row>
    <row r="96" customFormat="false" ht="15" hidden="false" customHeight="false" outlineLevel="0" collapsed="false">
      <c r="A96" s="26" t="s">
        <v>2302</v>
      </c>
      <c r="B96" s="26" t="s">
        <v>2303</v>
      </c>
      <c r="C96" s="26" t="s">
        <v>70</v>
      </c>
      <c r="D96" s="26" t="s">
        <v>6339</v>
      </c>
      <c r="E96" s="26" t="n">
        <v>7</v>
      </c>
      <c r="F96" s="26" t="s">
        <v>6441</v>
      </c>
    </row>
    <row r="97" customFormat="false" ht="15" hidden="false" customHeight="false" outlineLevel="0" collapsed="false">
      <c r="A97" s="26" t="s">
        <v>2487</v>
      </c>
      <c r="B97" s="26" t="s">
        <v>2488</v>
      </c>
      <c r="C97" s="26" t="s">
        <v>70</v>
      </c>
      <c r="D97" s="26" t="s">
        <v>6442</v>
      </c>
      <c r="E97" s="26" t="n">
        <v>1</v>
      </c>
      <c r="F97" s="26" t="s">
        <v>6443</v>
      </c>
    </row>
    <row r="98" customFormat="false" ht="15" hidden="false" customHeight="false" outlineLevel="0" collapsed="false">
      <c r="A98" s="26" t="s">
        <v>2580</v>
      </c>
      <c r="B98" s="26" t="s">
        <v>2581</v>
      </c>
      <c r="C98" s="26" t="s">
        <v>70</v>
      </c>
      <c r="D98" s="26" t="s">
        <v>6401</v>
      </c>
      <c r="E98" s="26" t="n">
        <v>2</v>
      </c>
      <c r="F98" s="26" t="s">
        <v>6444</v>
      </c>
    </row>
    <row r="99" customFormat="false" ht="15" hidden="false" customHeight="false" outlineLevel="0" collapsed="false">
      <c r="A99" s="26" t="s">
        <v>2361</v>
      </c>
      <c r="B99" s="26" t="s">
        <v>2362</v>
      </c>
      <c r="C99" s="26" t="s">
        <v>70</v>
      </c>
      <c r="D99" s="26" t="s">
        <v>6445</v>
      </c>
      <c r="E99" s="26" t="n">
        <v>6</v>
      </c>
      <c r="F99" s="26" t="s">
        <v>6446</v>
      </c>
    </row>
    <row r="100" customFormat="false" ht="15" hidden="false" customHeight="false" outlineLevel="0" collapsed="false">
      <c r="A100" s="26" t="s">
        <v>2450</v>
      </c>
      <c r="B100" s="26" t="s">
        <v>2451</v>
      </c>
      <c r="C100" s="26" t="s">
        <v>70</v>
      </c>
      <c r="D100" s="26" t="s">
        <v>6339</v>
      </c>
      <c r="E100" s="26" t="n">
        <v>7</v>
      </c>
      <c r="F100" s="26" t="s">
        <v>6447</v>
      </c>
    </row>
    <row r="101" customFormat="false" ht="15" hidden="false" customHeight="false" outlineLevel="0" collapsed="false">
      <c r="A101" s="26" t="s">
        <v>2414</v>
      </c>
      <c r="B101" s="26" t="s">
        <v>2415</v>
      </c>
      <c r="C101" s="26" t="s">
        <v>70</v>
      </c>
      <c r="D101" s="26" t="s">
        <v>6339</v>
      </c>
      <c r="E101" s="26" t="n">
        <v>7</v>
      </c>
      <c r="F101" s="26" t="s">
        <v>6448</v>
      </c>
    </row>
    <row r="102" customFormat="false" ht="15" hidden="false" customHeight="false" outlineLevel="0" collapsed="false">
      <c r="A102" s="26" t="s">
        <v>2393</v>
      </c>
      <c r="B102" s="26" t="s">
        <v>2394</v>
      </c>
      <c r="C102" s="26" t="s">
        <v>70</v>
      </c>
      <c r="D102" s="26" t="s">
        <v>6354</v>
      </c>
      <c r="E102" s="26" t="n">
        <v>6</v>
      </c>
      <c r="F102" s="26" t="s">
        <v>6449</v>
      </c>
    </row>
    <row r="103" customFormat="false" ht="15" hidden="false" customHeight="false" outlineLevel="0" collapsed="false">
      <c r="A103" s="26" t="s">
        <v>2495</v>
      </c>
      <c r="B103" s="26" t="s">
        <v>2496</v>
      </c>
      <c r="C103" s="26" t="s">
        <v>70</v>
      </c>
      <c r="D103" s="26" t="s">
        <v>6339</v>
      </c>
      <c r="E103" s="26" t="n">
        <v>6</v>
      </c>
      <c r="F103" s="26" t="s">
        <v>6450</v>
      </c>
    </row>
    <row r="104" customFormat="false" ht="15" hidden="false" customHeight="false" outlineLevel="0" collapsed="false">
      <c r="A104" s="26" t="s">
        <v>2401</v>
      </c>
      <c r="B104" s="26" t="s">
        <v>2402</v>
      </c>
      <c r="C104" s="26" t="s">
        <v>70</v>
      </c>
      <c r="D104" s="26" t="s">
        <v>6339</v>
      </c>
      <c r="E104" s="26" t="n">
        <v>4</v>
      </c>
      <c r="F104" s="26" t="s">
        <v>6451</v>
      </c>
    </row>
    <row r="105" customFormat="false" ht="15" hidden="false" customHeight="false" outlineLevel="0" collapsed="false">
      <c r="A105" s="26" t="s">
        <v>2330</v>
      </c>
      <c r="B105" s="26" t="s">
        <v>2331</v>
      </c>
      <c r="C105" s="26" t="s">
        <v>70</v>
      </c>
      <c r="D105" s="26" t="s">
        <v>6339</v>
      </c>
      <c r="E105" s="26" t="n">
        <v>7</v>
      </c>
      <c r="F105" s="26" t="s">
        <v>6452</v>
      </c>
    </row>
    <row r="106" customFormat="false" ht="15" hidden="false" customHeight="false" outlineLevel="0" collapsed="false">
      <c r="A106" s="26" t="s">
        <v>2554</v>
      </c>
      <c r="B106" s="26" t="s">
        <v>2555</v>
      </c>
      <c r="C106" s="26" t="s">
        <v>70</v>
      </c>
      <c r="D106" s="26" t="s">
        <v>6339</v>
      </c>
      <c r="E106" s="26" t="n">
        <v>7</v>
      </c>
      <c r="F106" s="26" t="s">
        <v>6453</v>
      </c>
    </row>
    <row r="107" customFormat="false" ht="15" hidden="false" customHeight="false" outlineLevel="0" collapsed="false">
      <c r="A107" s="26" t="s">
        <v>2583</v>
      </c>
      <c r="B107" s="26" t="s">
        <v>2584</v>
      </c>
      <c r="C107" s="26" t="s">
        <v>70</v>
      </c>
      <c r="D107" s="26" t="s">
        <v>6339</v>
      </c>
      <c r="E107" s="26" t="n">
        <v>7</v>
      </c>
      <c r="F107" s="26" t="s">
        <v>6454</v>
      </c>
    </row>
    <row r="108" customFormat="false" ht="15" hidden="false" customHeight="false" outlineLevel="0" collapsed="false">
      <c r="A108" s="26" t="s">
        <v>2636</v>
      </c>
      <c r="B108" s="26" t="s">
        <v>2637</v>
      </c>
      <c r="C108" s="26" t="s">
        <v>70</v>
      </c>
      <c r="D108" s="26" t="s">
        <v>6339</v>
      </c>
      <c r="E108" s="26" t="n">
        <v>7</v>
      </c>
      <c r="F108" s="26" t="s">
        <v>6455</v>
      </c>
    </row>
    <row r="109" customFormat="false" ht="15" hidden="false" customHeight="false" outlineLevel="0" collapsed="false">
      <c r="A109" s="26" t="s">
        <v>2608</v>
      </c>
      <c r="B109" s="26" t="s">
        <v>2609</v>
      </c>
      <c r="C109" s="26" t="s">
        <v>70</v>
      </c>
      <c r="D109" s="26" t="s">
        <v>6339</v>
      </c>
      <c r="E109" s="26" t="n">
        <v>7</v>
      </c>
      <c r="F109" s="26" t="s">
        <v>6456</v>
      </c>
    </row>
    <row r="110" customFormat="false" ht="15" hidden="false" customHeight="false" outlineLevel="0" collapsed="false">
      <c r="A110" s="26" t="s">
        <v>2834</v>
      </c>
      <c r="B110" s="26" t="s">
        <v>2835</v>
      </c>
      <c r="C110" s="26" t="s">
        <v>70</v>
      </c>
      <c r="D110" s="26" t="s">
        <v>6339</v>
      </c>
      <c r="E110" s="26" t="n">
        <v>5</v>
      </c>
      <c r="F110" s="26" t="s">
        <v>6457</v>
      </c>
    </row>
    <row r="111" customFormat="false" ht="15" hidden="false" customHeight="false" outlineLevel="0" collapsed="false">
      <c r="A111" s="26" t="s">
        <v>2945</v>
      </c>
      <c r="B111" s="26" t="s">
        <v>2946</v>
      </c>
      <c r="C111" s="26" t="s">
        <v>70</v>
      </c>
      <c r="D111" s="26" t="s">
        <v>6339</v>
      </c>
      <c r="E111" s="26" t="n">
        <v>5</v>
      </c>
      <c r="F111" s="26" t="s">
        <v>6458</v>
      </c>
    </row>
    <row r="112" customFormat="false" ht="15" hidden="false" customHeight="false" outlineLevel="0" collapsed="false">
      <c r="A112" s="26" t="s">
        <v>2805</v>
      </c>
      <c r="B112" s="26" t="s">
        <v>2806</v>
      </c>
      <c r="C112" s="26" t="s">
        <v>70</v>
      </c>
      <c r="D112" s="26" t="s">
        <v>6339</v>
      </c>
      <c r="E112" s="26" t="n">
        <v>7</v>
      </c>
      <c r="F112" s="26" t="s">
        <v>6459</v>
      </c>
    </row>
    <row r="113" customFormat="false" ht="15" hidden="false" customHeight="false" outlineLevel="0" collapsed="false">
      <c r="A113" s="26" t="s">
        <v>2924</v>
      </c>
      <c r="B113" s="26" t="s">
        <v>2925</v>
      </c>
      <c r="C113" s="26" t="s">
        <v>70</v>
      </c>
      <c r="D113" s="26" t="s">
        <v>6445</v>
      </c>
      <c r="E113" s="26" t="n">
        <v>6</v>
      </c>
      <c r="F113" s="26" t="s">
        <v>6460</v>
      </c>
    </row>
    <row r="114" customFormat="false" ht="15" hidden="false" customHeight="false" outlineLevel="0" collapsed="false">
      <c r="A114" s="26" t="s">
        <v>2884</v>
      </c>
      <c r="B114" s="26" t="s">
        <v>2885</v>
      </c>
      <c r="C114" s="26" t="s">
        <v>70</v>
      </c>
      <c r="D114" s="26" t="s">
        <v>6339</v>
      </c>
      <c r="E114" s="26" t="n">
        <v>7</v>
      </c>
      <c r="F114" s="26" t="s">
        <v>6461</v>
      </c>
    </row>
    <row r="115" customFormat="false" ht="15" hidden="false" customHeight="false" outlineLevel="0" collapsed="false">
      <c r="A115" s="26" t="s">
        <v>2852</v>
      </c>
      <c r="B115" s="26" t="s">
        <v>2853</v>
      </c>
      <c r="C115" s="26" t="s">
        <v>70</v>
      </c>
      <c r="D115" s="26" t="s">
        <v>6339</v>
      </c>
      <c r="E115" s="26" t="n">
        <v>7</v>
      </c>
      <c r="F115" s="26" t="s">
        <v>6462</v>
      </c>
    </row>
    <row r="116" customFormat="false" ht="15" hidden="false" customHeight="false" outlineLevel="0" collapsed="false">
      <c r="A116" s="26" t="s">
        <v>5167</v>
      </c>
      <c r="B116" s="26" t="s">
        <v>5168</v>
      </c>
      <c r="C116" s="26" t="s">
        <v>70</v>
      </c>
      <c r="D116" s="26" t="s">
        <v>6339</v>
      </c>
      <c r="E116" s="26" t="n">
        <v>7</v>
      </c>
      <c r="F116" s="26" t="s">
        <v>6463</v>
      </c>
    </row>
    <row r="117" customFormat="false" ht="15" hidden="false" customHeight="false" outlineLevel="0" collapsed="false">
      <c r="A117" s="26" t="s">
        <v>2780</v>
      </c>
      <c r="B117" s="26" t="s">
        <v>2781</v>
      </c>
      <c r="C117" s="26" t="s">
        <v>70</v>
      </c>
      <c r="D117" s="26" t="s">
        <v>6339</v>
      </c>
      <c r="E117" s="26" t="n">
        <v>7</v>
      </c>
      <c r="F117" s="26" t="s">
        <v>6464</v>
      </c>
    </row>
    <row r="118" customFormat="false" ht="15" hidden="false" customHeight="false" outlineLevel="0" collapsed="false">
      <c r="A118" s="26" t="s">
        <v>2661</v>
      </c>
      <c r="B118" s="26" t="s">
        <v>2662</v>
      </c>
      <c r="C118" s="26" t="s">
        <v>70</v>
      </c>
      <c r="D118" s="26" t="s">
        <v>6339</v>
      </c>
      <c r="E118" s="26" t="n">
        <v>7</v>
      </c>
      <c r="F118" s="26" t="s">
        <v>6465</v>
      </c>
    </row>
    <row r="119" customFormat="false" ht="15" hidden="false" customHeight="false" outlineLevel="0" collapsed="false">
      <c r="A119" s="26" t="s">
        <v>2724</v>
      </c>
      <c r="B119" s="26" t="s">
        <v>2725</v>
      </c>
      <c r="C119" s="26" t="s">
        <v>70</v>
      </c>
      <c r="D119" s="26" t="s">
        <v>6339</v>
      </c>
      <c r="E119" s="26" t="n">
        <v>5</v>
      </c>
      <c r="F119" s="26" t="s">
        <v>6466</v>
      </c>
    </row>
    <row r="120" customFormat="false" ht="15" hidden="false" customHeight="false" outlineLevel="0" collapsed="false">
      <c r="A120" s="26" t="s">
        <v>2746</v>
      </c>
      <c r="B120" s="26" t="s">
        <v>2747</v>
      </c>
      <c r="C120" s="26" t="s">
        <v>70</v>
      </c>
      <c r="D120" s="26" t="s">
        <v>6339</v>
      </c>
      <c r="E120" s="26" t="n">
        <v>7</v>
      </c>
      <c r="F120" s="26" t="s">
        <v>6467</v>
      </c>
    </row>
    <row r="121" customFormat="false" ht="15" hidden="false" customHeight="false" outlineLevel="0" collapsed="false">
      <c r="A121" s="26" t="s">
        <v>2693</v>
      </c>
      <c r="B121" s="26" t="s">
        <v>2694</v>
      </c>
      <c r="C121" s="26" t="s">
        <v>70</v>
      </c>
      <c r="D121" s="26" t="s">
        <v>6339</v>
      </c>
      <c r="E121" s="26" t="n">
        <v>7</v>
      </c>
      <c r="F121" s="26" t="s">
        <v>6468</v>
      </c>
    </row>
    <row r="122" customFormat="false" ht="15" hidden="false" customHeight="false" outlineLevel="0" collapsed="false">
      <c r="A122" s="26" t="s">
        <v>3047</v>
      </c>
      <c r="B122" s="26" t="s">
        <v>3048</v>
      </c>
      <c r="C122" s="26" t="s">
        <v>70</v>
      </c>
      <c r="D122" s="26" t="s">
        <v>6339</v>
      </c>
      <c r="E122" s="26" t="n">
        <v>7</v>
      </c>
      <c r="F122" s="26" t="s">
        <v>6469</v>
      </c>
    </row>
    <row r="123" customFormat="false" ht="15" hidden="false" customHeight="false" outlineLevel="0" collapsed="false">
      <c r="A123" s="26" t="s">
        <v>3056</v>
      </c>
      <c r="B123" s="26" t="s">
        <v>3057</v>
      </c>
      <c r="C123" s="26" t="s">
        <v>70</v>
      </c>
      <c r="D123" s="26" t="s">
        <v>6339</v>
      </c>
      <c r="E123" s="26" t="n">
        <v>7</v>
      </c>
      <c r="F123" s="26" t="s">
        <v>6470</v>
      </c>
    </row>
    <row r="124" customFormat="false" ht="15" hidden="false" customHeight="false" outlineLevel="0" collapsed="false">
      <c r="A124" s="26" t="s">
        <v>3017</v>
      </c>
      <c r="B124" s="26" t="s">
        <v>3018</v>
      </c>
      <c r="C124" s="26" t="s">
        <v>70</v>
      </c>
      <c r="D124" s="26" t="s">
        <v>6339</v>
      </c>
      <c r="E124" s="26" t="n">
        <v>7</v>
      </c>
      <c r="F124" s="26" t="s">
        <v>6471</v>
      </c>
    </row>
    <row r="125" customFormat="false" ht="15" hidden="false" customHeight="false" outlineLevel="0" collapsed="false">
      <c r="A125" s="26" t="s">
        <v>2997</v>
      </c>
      <c r="B125" s="26" t="s">
        <v>2998</v>
      </c>
      <c r="C125" s="26" t="s">
        <v>70</v>
      </c>
      <c r="D125" s="26" t="s">
        <v>6339</v>
      </c>
      <c r="E125" s="26" t="n">
        <v>7</v>
      </c>
      <c r="F125" s="26" t="s">
        <v>6472</v>
      </c>
    </row>
    <row r="126" customFormat="false" ht="15" hidden="false" customHeight="false" outlineLevel="0" collapsed="false">
      <c r="A126" s="26" t="s">
        <v>2966</v>
      </c>
      <c r="B126" s="26" t="s">
        <v>2967</v>
      </c>
      <c r="C126" s="26" t="s">
        <v>70</v>
      </c>
      <c r="D126" s="26" t="s">
        <v>6339</v>
      </c>
      <c r="E126" s="26" t="n">
        <v>7</v>
      </c>
      <c r="F126" s="26" t="s">
        <v>6473</v>
      </c>
    </row>
    <row r="127" customFormat="false" ht="15" hidden="false" customHeight="false" outlineLevel="0" collapsed="false">
      <c r="A127" s="26" t="s">
        <v>3086</v>
      </c>
      <c r="B127" s="26" t="s">
        <v>3087</v>
      </c>
      <c r="C127" s="26" t="s">
        <v>70</v>
      </c>
      <c r="D127" s="26" t="s">
        <v>6339</v>
      </c>
      <c r="E127" s="26" t="n">
        <v>7</v>
      </c>
      <c r="F127" s="26" t="s">
        <v>6474</v>
      </c>
    </row>
    <row r="128" customFormat="false" ht="15" hidden="false" customHeight="false" outlineLevel="0" collapsed="false">
      <c r="A128" s="26" t="s">
        <v>3164</v>
      </c>
      <c r="B128" s="26" t="s">
        <v>3165</v>
      </c>
      <c r="C128" s="26" t="s">
        <v>70</v>
      </c>
      <c r="D128" s="26" t="s">
        <v>6339</v>
      </c>
      <c r="E128" s="26" t="n">
        <v>7</v>
      </c>
      <c r="F128" s="26" t="s">
        <v>6475</v>
      </c>
    </row>
    <row r="129" customFormat="false" ht="15" hidden="false" customHeight="false" outlineLevel="0" collapsed="false">
      <c r="A129" s="26" t="s">
        <v>3108</v>
      </c>
      <c r="B129" s="26" t="s">
        <v>3109</v>
      </c>
      <c r="C129" s="26" t="s">
        <v>70</v>
      </c>
      <c r="D129" s="26" t="s">
        <v>6339</v>
      </c>
      <c r="E129" s="26" t="n">
        <v>7</v>
      </c>
      <c r="F129" s="26" t="s">
        <v>6476</v>
      </c>
    </row>
    <row r="130" customFormat="false" ht="15" hidden="false" customHeight="false" outlineLevel="0" collapsed="false">
      <c r="A130" s="26" t="s">
        <v>3138</v>
      </c>
      <c r="B130" s="26" t="s">
        <v>3139</v>
      </c>
      <c r="C130" s="26" t="s">
        <v>70</v>
      </c>
      <c r="D130" s="26" t="s">
        <v>6339</v>
      </c>
      <c r="E130" s="26" t="n">
        <v>7</v>
      </c>
      <c r="F130" s="26" t="s">
        <v>6477</v>
      </c>
    </row>
    <row r="131" customFormat="false" ht="15" hidden="false" customHeight="false" outlineLevel="0" collapsed="false">
      <c r="A131" s="26" t="s">
        <v>3190</v>
      </c>
      <c r="B131" s="26" t="s">
        <v>3191</v>
      </c>
      <c r="C131" s="26" t="s">
        <v>70</v>
      </c>
      <c r="D131" s="26" t="s">
        <v>6339</v>
      </c>
      <c r="E131" s="26" t="n">
        <v>7</v>
      </c>
      <c r="F131" s="26" t="s">
        <v>6478</v>
      </c>
    </row>
    <row r="132" customFormat="false" ht="15" hidden="false" customHeight="false" outlineLevel="0" collapsed="false">
      <c r="A132" s="26" t="s">
        <v>3563</v>
      </c>
      <c r="B132" s="26" t="s">
        <v>3564</v>
      </c>
      <c r="C132" s="26" t="s">
        <v>70</v>
      </c>
      <c r="D132" s="26" t="s">
        <v>6339</v>
      </c>
      <c r="E132" s="26" t="n">
        <v>7</v>
      </c>
      <c r="F132" s="26" t="s">
        <v>6479</v>
      </c>
    </row>
    <row r="133" customFormat="false" ht="15" hidden="false" customHeight="false" outlineLevel="0" collapsed="false">
      <c r="A133" s="26" t="s">
        <v>3472</v>
      </c>
      <c r="B133" s="26" t="s">
        <v>3473</v>
      </c>
      <c r="C133" s="26" t="s">
        <v>70</v>
      </c>
      <c r="D133" s="26" t="s">
        <v>6339</v>
      </c>
      <c r="E133" s="26" t="n">
        <v>7</v>
      </c>
      <c r="F133" s="26" t="s">
        <v>6480</v>
      </c>
    </row>
    <row r="134" customFormat="false" ht="15" hidden="false" customHeight="false" outlineLevel="0" collapsed="false">
      <c r="A134" s="26" t="s">
        <v>3365</v>
      </c>
      <c r="B134" s="26" t="s">
        <v>3366</v>
      </c>
      <c r="C134" s="26" t="s">
        <v>70</v>
      </c>
      <c r="D134" s="26" t="s">
        <v>6339</v>
      </c>
      <c r="E134" s="26" t="n">
        <v>6</v>
      </c>
      <c r="F134" s="26" t="s">
        <v>6481</v>
      </c>
    </row>
    <row r="135" customFormat="false" ht="15" hidden="false" customHeight="false" outlineLevel="0" collapsed="false">
      <c r="A135" s="26" t="s">
        <v>3464</v>
      </c>
      <c r="B135" s="26" t="s">
        <v>3465</v>
      </c>
      <c r="C135" s="26" t="s">
        <v>70</v>
      </c>
      <c r="D135" s="26" t="s">
        <v>6339</v>
      </c>
      <c r="E135" s="26" t="n">
        <v>6</v>
      </c>
      <c r="F135" s="26" t="s">
        <v>6482</v>
      </c>
    </row>
    <row r="136" customFormat="false" ht="15" hidden="false" customHeight="false" outlineLevel="0" collapsed="false">
      <c r="A136" s="26" t="s">
        <v>3382</v>
      </c>
      <c r="B136" s="26" t="s">
        <v>3383</v>
      </c>
      <c r="C136" s="26" t="s">
        <v>70</v>
      </c>
      <c r="D136" s="26" t="s">
        <v>6339</v>
      </c>
      <c r="E136" s="26" t="n">
        <v>7</v>
      </c>
      <c r="F136" s="26" t="s">
        <v>6483</v>
      </c>
    </row>
    <row r="137" customFormat="false" ht="15" hidden="false" customHeight="false" outlineLevel="0" collapsed="false">
      <c r="A137" s="26" t="s">
        <v>3437</v>
      </c>
      <c r="B137" s="26" t="s">
        <v>3438</v>
      </c>
      <c r="C137" s="26" t="s">
        <v>70</v>
      </c>
      <c r="D137" s="26" t="s">
        <v>6339</v>
      </c>
      <c r="E137" s="26" t="n">
        <v>6</v>
      </c>
      <c r="F137" s="26" t="s">
        <v>6484</v>
      </c>
    </row>
    <row r="138" customFormat="false" ht="15" hidden="false" customHeight="false" outlineLevel="0" collapsed="false">
      <c r="A138" s="26" t="s">
        <v>3678</v>
      </c>
      <c r="B138" s="26" t="s">
        <v>3679</v>
      </c>
      <c r="C138" s="26" t="s">
        <v>70</v>
      </c>
      <c r="D138" s="26" t="s">
        <v>6339</v>
      </c>
      <c r="E138" s="26" t="n">
        <v>6</v>
      </c>
      <c r="F138" s="26" t="s">
        <v>6485</v>
      </c>
    </row>
    <row r="139" customFormat="false" ht="15" hidden="false" customHeight="false" outlineLevel="0" collapsed="false">
      <c r="A139" s="26" t="s">
        <v>5195</v>
      </c>
      <c r="B139" s="26" t="s">
        <v>5196</v>
      </c>
      <c r="C139" s="26" t="s">
        <v>70</v>
      </c>
      <c r="D139" s="26" t="s">
        <v>6339</v>
      </c>
      <c r="E139" s="26" t="n">
        <v>7</v>
      </c>
      <c r="F139" s="26" t="s">
        <v>6486</v>
      </c>
    </row>
    <row r="140" customFormat="false" ht="15" hidden="false" customHeight="false" outlineLevel="0" collapsed="false">
      <c r="A140" s="26" t="s">
        <v>3323</v>
      </c>
      <c r="B140" s="26" t="s">
        <v>3324</v>
      </c>
      <c r="C140" s="26" t="s">
        <v>70</v>
      </c>
      <c r="D140" s="26" t="s">
        <v>6339</v>
      </c>
      <c r="E140" s="26" t="n">
        <v>7</v>
      </c>
      <c r="F140" s="26" t="s">
        <v>6487</v>
      </c>
    </row>
    <row r="141" customFormat="false" ht="15" hidden="false" customHeight="false" outlineLevel="0" collapsed="false">
      <c r="A141" s="26" t="s">
        <v>3350</v>
      </c>
      <c r="B141" s="26" t="s">
        <v>3351</v>
      </c>
      <c r="C141" s="26" t="s">
        <v>70</v>
      </c>
      <c r="D141" s="26" t="s">
        <v>6339</v>
      </c>
      <c r="E141" s="26" t="n">
        <v>7</v>
      </c>
      <c r="F141" s="26" t="s">
        <v>6488</v>
      </c>
    </row>
    <row r="142" customFormat="false" ht="15" hidden="false" customHeight="false" outlineLevel="0" collapsed="false">
      <c r="A142" s="26" t="s">
        <v>3294</v>
      </c>
      <c r="B142" s="26" t="s">
        <v>3295</v>
      </c>
      <c r="C142" s="26" t="s">
        <v>70</v>
      </c>
      <c r="D142" s="26" t="s">
        <v>6339</v>
      </c>
      <c r="E142" s="26" t="n">
        <v>7</v>
      </c>
      <c r="F142" s="26" t="s">
        <v>6489</v>
      </c>
    </row>
    <row r="143" customFormat="false" ht="15" hidden="false" customHeight="false" outlineLevel="0" collapsed="false">
      <c r="A143" s="26" t="s">
        <v>3583</v>
      </c>
      <c r="B143" s="26" t="s">
        <v>3584</v>
      </c>
      <c r="C143" s="26" t="s">
        <v>70</v>
      </c>
      <c r="D143" s="26" t="s">
        <v>6339</v>
      </c>
      <c r="E143" s="26" t="n">
        <v>7</v>
      </c>
      <c r="F143" s="26" t="s">
        <v>6490</v>
      </c>
    </row>
    <row r="144" customFormat="false" ht="15" hidden="false" customHeight="false" outlineLevel="0" collapsed="false">
      <c r="A144" s="26" t="s">
        <v>3698</v>
      </c>
      <c r="B144" s="26" t="s">
        <v>3699</v>
      </c>
      <c r="C144" s="26" t="s">
        <v>70</v>
      </c>
      <c r="D144" s="26" t="s">
        <v>6339</v>
      </c>
      <c r="E144" s="26" t="n">
        <v>6</v>
      </c>
      <c r="F144" s="26" t="s">
        <v>6491</v>
      </c>
    </row>
    <row r="145" customFormat="false" ht="15" hidden="false" customHeight="false" outlineLevel="0" collapsed="false">
      <c r="A145" s="26" t="s">
        <v>3640</v>
      </c>
      <c r="B145" s="26" t="s">
        <v>3641</v>
      </c>
      <c r="C145" s="26" t="s">
        <v>70</v>
      </c>
      <c r="D145" s="26" t="s">
        <v>6339</v>
      </c>
      <c r="E145" s="26" t="n">
        <v>7</v>
      </c>
      <c r="F145" s="26" t="s">
        <v>6492</v>
      </c>
    </row>
    <row r="146" customFormat="false" ht="15" hidden="false" customHeight="false" outlineLevel="0" collapsed="false">
      <c r="A146" s="26" t="s">
        <v>3768</v>
      </c>
      <c r="B146" s="26" t="s">
        <v>3769</v>
      </c>
      <c r="C146" s="26" t="s">
        <v>70</v>
      </c>
      <c r="D146" s="26" t="s">
        <v>6493</v>
      </c>
      <c r="E146" s="26" t="n">
        <v>2</v>
      </c>
      <c r="F146" s="26" t="s">
        <v>6494</v>
      </c>
    </row>
    <row r="147" customFormat="false" ht="15" hidden="false" customHeight="false" outlineLevel="0" collapsed="false">
      <c r="A147" s="26" t="s">
        <v>3829</v>
      </c>
      <c r="B147" s="26" t="s">
        <v>3830</v>
      </c>
      <c r="C147" s="26" t="s">
        <v>70</v>
      </c>
      <c r="D147" s="26" t="s">
        <v>6339</v>
      </c>
      <c r="E147" s="26" t="n">
        <v>7</v>
      </c>
      <c r="F147" s="26" t="s">
        <v>6495</v>
      </c>
    </row>
    <row r="148" customFormat="false" ht="15" hidden="false" customHeight="false" outlineLevel="0" collapsed="false">
      <c r="A148" s="26" t="s">
        <v>3776</v>
      </c>
      <c r="B148" s="26" t="s">
        <v>3777</v>
      </c>
      <c r="C148" s="26" t="s">
        <v>70</v>
      </c>
      <c r="D148" s="26" t="s">
        <v>6339</v>
      </c>
      <c r="E148" s="26" t="n">
        <v>6</v>
      </c>
      <c r="F148" s="26" t="s">
        <v>6496</v>
      </c>
    </row>
    <row r="149" customFormat="false" ht="15" hidden="false" customHeight="false" outlineLevel="0" collapsed="false">
      <c r="A149" s="26" t="s">
        <v>3799</v>
      </c>
      <c r="B149" s="26" t="s">
        <v>3800</v>
      </c>
      <c r="C149" s="26" t="s">
        <v>70</v>
      </c>
      <c r="D149" s="26" t="s">
        <v>6339</v>
      </c>
      <c r="E149" s="26" t="n">
        <v>7</v>
      </c>
      <c r="F149" s="26" t="s">
        <v>6497</v>
      </c>
    </row>
    <row r="150" customFormat="false" ht="15" hidden="false" customHeight="false" outlineLevel="0" collapsed="false">
      <c r="A150" s="26" t="s">
        <v>3740</v>
      </c>
      <c r="B150" s="26" t="s">
        <v>3741</v>
      </c>
      <c r="C150" s="26" t="s">
        <v>70</v>
      </c>
      <c r="D150" s="26" t="s">
        <v>6339</v>
      </c>
      <c r="E150" s="26" t="n">
        <v>7</v>
      </c>
      <c r="F150" s="26" t="s">
        <v>6498</v>
      </c>
    </row>
    <row r="151" customFormat="false" ht="15" hidden="false" customHeight="false" outlineLevel="0" collapsed="false">
      <c r="A151" s="26" t="s">
        <v>3719</v>
      </c>
      <c r="B151" s="26" t="s">
        <v>3720</v>
      </c>
      <c r="C151" s="26" t="s">
        <v>70</v>
      </c>
      <c r="D151" s="26" t="s">
        <v>6339</v>
      </c>
      <c r="E151" s="26" t="n">
        <v>7</v>
      </c>
      <c r="F151" s="26" t="s">
        <v>6499</v>
      </c>
    </row>
    <row r="152" customFormat="false" ht="15" hidden="false" customHeight="false" outlineLevel="0" collapsed="false">
      <c r="A152" s="26" t="s">
        <v>3997</v>
      </c>
      <c r="B152" s="26" t="s">
        <v>3998</v>
      </c>
      <c r="C152" s="26" t="s">
        <v>70</v>
      </c>
      <c r="D152" s="26" t="s">
        <v>6339</v>
      </c>
      <c r="E152" s="26" t="n">
        <v>7</v>
      </c>
      <c r="F152" s="26" t="s">
        <v>6500</v>
      </c>
    </row>
    <row r="153" customFormat="false" ht="15" hidden="false" customHeight="false" outlineLevel="0" collapsed="false">
      <c r="A153" s="26" t="s">
        <v>3927</v>
      </c>
      <c r="B153" s="26" t="s">
        <v>3928</v>
      </c>
      <c r="C153" s="26" t="s">
        <v>70</v>
      </c>
      <c r="D153" s="26" t="s">
        <v>6339</v>
      </c>
      <c r="E153" s="26" t="n">
        <v>7</v>
      </c>
      <c r="F153" s="26" t="s">
        <v>6501</v>
      </c>
    </row>
    <row r="154" customFormat="false" ht="15" hidden="false" customHeight="false" outlineLevel="0" collapsed="false">
      <c r="A154" s="26" t="s">
        <v>3958</v>
      </c>
      <c r="B154" s="26" t="s">
        <v>3959</v>
      </c>
      <c r="C154" s="26" t="s">
        <v>70</v>
      </c>
      <c r="D154" s="26" t="s">
        <v>6339</v>
      </c>
      <c r="E154" s="26" t="n">
        <v>7</v>
      </c>
      <c r="F154" s="26" t="s">
        <v>6502</v>
      </c>
    </row>
    <row r="155" customFormat="false" ht="15" hidden="false" customHeight="false" outlineLevel="0" collapsed="false">
      <c r="A155" s="26" t="s">
        <v>4531</v>
      </c>
      <c r="B155" s="26" t="s">
        <v>4532</v>
      </c>
      <c r="C155" s="26" t="s">
        <v>70</v>
      </c>
      <c r="D155" s="26" t="s">
        <v>6339</v>
      </c>
      <c r="E155" s="26" t="n">
        <v>7</v>
      </c>
      <c r="F155" s="26" t="s">
        <v>6503</v>
      </c>
    </row>
    <row r="156" customFormat="false" ht="15" hidden="false" customHeight="false" outlineLevel="0" collapsed="false">
      <c r="A156" s="26" t="s">
        <v>4517</v>
      </c>
      <c r="B156" s="26" t="s">
        <v>4518</v>
      </c>
      <c r="C156" s="26" t="s">
        <v>70</v>
      </c>
      <c r="D156" s="26" t="s">
        <v>6339</v>
      </c>
      <c r="E156" s="26" t="n">
        <v>7</v>
      </c>
      <c r="F156" s="26" t="s">
        <v>6504</v>
      </c>
    </row>
    <row r="157" customFormat="false" ht="15" hidden="false" customHeight="false" outlineLevel="0" collapsed="false">
      <c r="A157" s="26" t="s">
        <v>4542</v>
      </c>
      <c r="B157" s="26" t="s">
        <v>4543</v>
      </c>
      <c r="C157" s="26" t="s">
        <v>70</v>
      </c>
      <c r="D157" s="26" t="s">
        <v>6339</v>
      </c>
      <c r="E157" s="26" t="n">
        <v>7</v>
      </c>
      <c r="F157" s="26" t="s">
        <v>6505</v>
      </c>
    </row>
    <row r="158" customFormat="false" ht="15" hidden="false" customHeight="false" outlineLevel="0" collapsed="false">
      <c r="A158" s="26" t="s">
        <v>4552</v>
      </c>
      <c r="B158" s="26" t="s">
        <v>4553</v>
      </c>
      <c r="C158" s="26" t="s">
        <v>70</v>
      </c>
      <c r="D158" s="26" t="s">
        <v>6339</v>
      </c>
      <c r="E158" s="26" t="n">
        <v>4</v>
      </c>
      <c r="F158" s="26" t="s">
        <v>6506</v>
      </c>
    </row>
    <row r="159" customFormat="false" ht="15" hidden="false" customHeight="false" outlineLevel="0" collapsed="false">
      <c r="A159" s="26" t="s">
        <v>4491</v>
      </c>
      <c r="B159" s="26" t="s">
        <v>4492</v>
      </c>
      <c r="C159" s="26" t="s">
        <v>70</v>
      </c>
      <c r="D159" s="26" t="s">
        <v>6339</v>
      </c>
      <c r="E159" s="26" t="n">
        <v>7</v>
      </c>
      <c r="F159" s="26" t="s">
        <v>6507</v>
      </c>
    </row>
    <row r="160" customFormat="false" ht="15" hidden="false" customHeight="false" outlineLevel="0" collapsed="false">
      <c r="A160" s="26" t="s">
        <v>4856</v>
      </c>
      <c r="B160" s="26" t="s">
        <v>4857</v>
      </c>
      <c r="C160" s="26" t="s">
        <v>70</v>
      </c>
      <c r="D160" s="26" t="s">
        <v>6339</v>
      </c>
      <c r="E160" s="26" t="n">
        <v>7</v>
      </c>
      <c r="F160" s="26" t="s">
        <v>6508</v>
      </c>
    </row>
    <row r="161" customFormat="false" ht="15" hidden="false" customHeight="false" outlineLevel="0" collapsed="false">
      <c r="A161" s="26" t="s">
        <v>4590</v>
      </c>
      <c r="B161" s="26" t="s">
        <v>4591</v>
      </c>
      <c r="C161" s="26" t="s">
        <v>70</v>
      </c>
      <c r="D161" s="26" t="s">
        <v>6339</v>
      </c>
      <c r="E161" s="26" t="n">
        <v>7</v>
      </c>
      <c r="F161" s="26" t="s">
        <v>6509</v>
      </c>
    </row>
    <row r="162" customFormat="false" ht="15" hidden="false" customHeight="false" outlineLevel="0" collapsed="false">
      <c r="A162" s="26" t="s">
        <v>4751</v>
      </c>
      <c r="B162" s="26" t="s">
        <v>4752</v>
      </c>
      <c r="C162" s="26" t="s">
        <v>70</v>
      </c>
      <c r="D162" s="26" t="s">
        <v>6339</v>
      </c>
      <c r="E162" s="26" t="n">
        <v>7</v>
      </c>
      <c r="F162" s="26" t="s">
        <v>6510</v>
      </c>
    </row>
    <row r="163" customFormat="false" ht="15" hidden="false" customHeight="false" outlineLevel="0" collapsed="false">
      <c r="A163" s="26" t="s">
        <v>4780</v>
      </c>
      <c r="B163" s="26" t="s">
        <v>4781</v>
      </c>
      <c r="C163" s="26" t="s">
        <v>70</v>
      </c>
      <c r="D163" s="26" t="s">
        <v>6339</v>
      </c>
      <c r="E163" s="26" t="n">
        <v>6</v>
      </c>
      <c r="F163" s="26" t="s">
        <v>6511</v>
      </c>
    </row>
    <row r="164" customFormat="false" ht="15" hidden="false" customHeight="false" outlineLevel="0" collapsed="false">
      <c r="A164" s="26" t="s">
        <v>4574</v>
      </c>
      <c r="B164" s="26" t="s">
        <v>4575</v>
      </c>
      <c r="C164" s="26" t="s">
        <v>70</v>
      </c>
      <c r="D164" s="26" t="s">
        <v>6339</v>
      </c>
      <c r="E164" s="26" t="n">
        <v>5</v>
      </c>
      <c r="F164" s="26" t="s">
        <v>6512</v>
      </c>
    </row>
    <row r="165" customFormat="false" ht="15" hidden="false" customHeight="false" outlineLevel="0" collapsed="false">
      <c r="A165" s="26" t="s">
        <v>4558</v>
      </c>
      <c r="B165" s="26" t="s">
        <v>4559</v>
      </c>
      <c r="C165" s="26" t="s">
        <v>70</v>
      </c>
      <c r="D165" s="26" t="s">
        <v>6401</v>
      </c>
      <c r="E165" s="26" t="n">
        <v>4</v>
      </c>
      <c r="F165" s="26" t="s">
        <v>6513</v>
      </c>
    </row>
    <row r="166" customFormat="false" ht="15" hidden="false" customHeight="false" outlineLevel="0" collapsed="false">
      <c r="A166" s="26" t="s">
        <v>5126</v>
      </c>
      <c r="B166" s="26" t="s">
        <v>5127</v>
      </c>
      <c r="C166" s="26" t="s">
        <v>70</v>
      </c>
      <c r="D166" s="26" t="s">
        <v>6339</v>
      </c>
      <c r="E166" s="26" t="n">
        <v>5</v>
      </c>
      <c r="F166" s="26" t="s">
        <v>6514</v>
      </c>
    </row>
    <row r="167" customFormat="false" ht="15" hidden="false" customHeight="false" outlineLevel="0" collapsed="false">
      <c r="A167" s="26" t="s">
        <v>5108</v>
      </c>
      <c r="B167" s="26" t="s">
        <v>5109</v>
      </c>
      <c r="C167" s="26" t="s">
        <v>70</v>
      </c>
      <c r="D167" s="26" t="s">
        <v>6515</v>
      </c>
      <c r="E167" s="26" t="n">
        <v>4</v>
      </c>
      <c r="F167" s="26" t="s">
        <v>6516</v>
      </c>
    </row>
    <row r="168" customFormat="false" ht="15" hidden="false" customHeight="false" outlineLevel="0" collapsed="false">
      <c r="A168" s="26" t="s">
        <v>5079</v>
      </c>
      <c r="B168" s="26" t="s">
        <v>5080</v>
      </c>
      <c r="C168" s="26" t="s">
        <v>70</v>
      </c>
      <c r="D168" s="26" t="s">
        <v>6339</v>
      </c>
      <c r="E168" s="26" t="n">
        <v>6</v>
      </c>
      <c r="F168" s="26" t="s">
        <v>6517</v>
      </c>
    </row>
    <row r="169" customFormat="false" ht="15" hidden="false" customHeight="false" outlineLevel="0" collapsed="false">
      <c r="A169" s="26" t="s">
        <v>5042</v>
      </c>
      <c r="B169" s="26" t="s">
        <v>5043</v>
      </c>
      <c r="C169" s="26" t="s">
        <v>70</v>
      </c>
      <c r="D169" s="26" t="s">
        <v>6339</v>
      </c>
      <c r="E169" s="26" t="n">
        <v>7</v>
      </c>
      <c r="F169" s="26" t="s">
        <v>6518</v>
      </c>
    </row>
    <row r="170" customFormat="false" ht="15" hidden="false" customHeight="false" outlineLevel="0" collapsed="false">
      <c r="A170" s="26" t="s">
        <v>5071</v>
      </c>
      <c r="B170" s="26" t="s">
        <v>5072</v>
      </c>
      <c r="C170" s="26" t="s">
        <v>70</v>
      </c>
      <c r="D170" s="26" t="s">
        <v>6339</v>
      </c>
      <c r="E170" s="26" t="n">
        <v>4</v>
      </c>
      <c r="F170" s="26" t="s">
        <v>6519</v>
      </c>
    </row>
    <row r="171" customFormat="false" ht="15" hidden="false" customHeight="false" outlineLevel="0" collapsed="false">
      <c r="A171" s="26" t="s">
        <v>4915</v>
      </c>
      <c r="B171" s="26" t="s">
        <v>4916</v>
      </c>
      <c r="C171" s="26" t="s">
        <v>70</v>
      </c>
      <c r="D171" s="26" t="s">
        <v>6339</v>
      </c>
      <c r="E171" s="26" t="n">
        <v>7</v>
      </c>
      <c r="F171" s="26" t="s">
        <v>6520</v>
      </c>
    </row>
    <row r="172" customFormat="false" ht="15" hidden="false" customHeight="false" outlineLevel="0" collapsed="false">
      <c r="A172" s="26" t="s">
        <v>4943</v>
      </c>
      <c r="B172" s="26" t="s">
        <v>4944</v>
      </c>
      <c r="C172" s="26" t="s">
        <v>70</v>
      </c>
      <c r="D172" s="26" t="s">
        <v>6339</v>
      </c>
      <c r="E172" s="26" t="n">
        <v>7</v>
      </c>
      <c r="F172" s="26" t="s">
        <v>6521</v>
      </c>
    </row>
    <row r="173" customFormat="false" ht="15" hidden="false" customHeight="false" outlineLevel="0" collapsed="false">
      <c r="A173" s="26" t="s">
        <v>4977</v>
      </c>
      <c r="B173" s="26" t="s">
        <v>4978</v>
      </c>
      <c r="C173" s="26" t="s">
        <v>70</v>
      </c>
      <c r="D173" s="26" t="s">
        <v>6401</v>
      </c>
      <c r="E173" s="26" t="n">
        <v>4</v>
      </c>
      <c r="F173" s="26" t="s">
        <v>6522</v>
      </c>
    </row>
    <row r="174" customFormat="false" ht="15" hidden="false" customHeight="false" outlineLevel="0" collapsed="false">
      <c r="A174" s="26" t="s">
        <v>4626</v>
      </c>
      <c r="B174" s="26" t="s">
        <v>4627</v>
      </c>
      <c r="C174" s="26" t="s">
        <v>70</v>
      </c>
      <c r="D174" s="26" t="s">
        <v>6339</v>
      </c>
      <c r="E174" s="26" t="n">
        <v>7</v>
      </c>
      <c r="F174" s="26" t="s">
        <v>6523</v>
      </c>
    </row>
    <row r="175" customFormat="false" ht="15" hidden="false" customHeight="false" outlineLevel="0" collapsed="false">
      <c r="A175" s="26" t="s">
        <v>5622</v>
      </c>
      <c r="B175" s="26" t="s">
        <v>5623</v>
      </c>
      <c r="C175" s="26" t="s">
        <v>70</v>
      </c>
      <c r="D175" s="26" t="s">
        <v>6354</v>
      </c>
      <c r="E175" s="26" t="n">
        <v>6</v>
      </c>
      <c r="F175" s="26" t="s">
        <v>6524</v>
      </c>
    </row>
    <row r="176" customFormat="false" ht="15" hidden="false" customHeight="false" outlineLevel="0" collapsed="false">
      <c r="A176" s="26" t="s">
        <v>5785</v>
      </c>
      <c r="B176" s="26" t="s">
        <v>5786</v>
      </c>
      <c r="C176" s="26" t="s">
        <v>70</v>
      </c>
      <c r="D176" s="26" t="s">
        <v>6354</v>
      </c>
      <c r="E176" s="26" t="n">
        <v>6</v>
      </c>
      <c r="F176" s="26" t="s">
        <v>6525</v>
      </c>
    </row>
    <row r="177" customFormat="false" ht="15" hidden="false" customHeight="false" outlineLevel="0" collapsed="false">
      <c r="A177" s="26" t="s">
        <v>5949</v>
      </c>
      <c r="B177" s="26" t="s">
        <v>5950</v>
      </c>
      <c r="C177" s="26" t="s">
        <v>70</v>
      </c>
      <c r="D177" s="26" t="s">
        <v>6354</v>
      </c>
      <c r="E177" s="26" t="n">
        <v>6</v>
      </c>
      <c r="F177" s="26" t="s">
        <v>6526</v>
      </c>
    </row>
    <row r="178" customFormat="false" ht="15" hidden="false" customHeight="false" outlineLevel="0" collapsed="false">
      <c r="A178" s="26" t="s">
        <v>5902</v>
      </c>
      <c r="B178" s="26" t="s">
        <v>5903</v>
      </c>
      <c r="C178" s="26" t="s">
        <v>70</v>
      </c>
      <c r="D178" s="26" t="s">
        <v>6354</v>
      </c>
      <c r="E178" s="26" t="n">
        <v>6</v>
      </c>
      <c r="F178" s="26" t="s">
        <v>6527</v>
      </c>
    </row>
    <row r="179" customFormat="false" ht="15" hidden="false" customHeight="false" outlineLevel="0" collapsed="false">
      <c r="A179" s="26" t="s">
        <v>5639</v>
      </c>
      <c r="B179" s="26" t="s">
        <v>5640</v>
      </c>
      <c r="C179" s="26" t="s">
        <v>70</v>
      </c>
      <c r="D179" s="26" t="s">
        <v>6354</v>
      </c>
      <c r="E179" s="26" t="n">
        <v>6</v>
      </c>
      <c r="F179" s="26" t="s">
        <v>6528</v>
      </c>
    </row>
    <row r="180" customFormat="false" ht="15" hidden="false" customHeight="false" outlineLevel="0" collapsed="false">
      <c r="A180" s="26" t="s">
        <v>5816</v>
      </c>
      <c r="B180" s="26" t="s">
        <v>5817</v>
      </c>
      <c r="C180" s="26" t="s">
        <v>70</v>
      </c>
      <c r="D180" s="26" t="s">
        <v>6354</v>
      </c>
      <c r="E180" s="26" t="n">
        <v>6</v>
      </c>
      <c r="F180" s="26" t="s">
        <v>6529</v>
      </c>
    </row>
    <row r="181" customFormat="false" ht="15" hidden="false" customHeight="false" outlineLevel="0" collapsed="false">
      <c r="A181" s="26" t="s">
        <v>5846</v>
      </c>
      <c r="B181" s="26" t="s">
        <v>5847</v>
      </c>
      <c r="C181" s="26" t="s">
        <v>70</v>
      </c>
      <c r="D181" s="26" t="s">
        <v>6339</v>
      </c>
      <c r="E181" s="26" t="n">
        <v>7</v>
      </c>
      <c r="F181" s="26" t="s">
        <v>6530</v>
      </c>
    </row>
    <row r="182" customFormat="false" ht="15" hidden="false" customHeight="false" outlineLevel="0" collapsed="false">
      <c r="A182" s="26" t="s">
        <v>5539</v>
      </c>
      <c r="B182" s="26" t="s">
        <v>5540</v>
      </c>
      <c r="C182" s="26" t="s">
        <v>70</v>
      </c>
      <c r="D182" s="26" t="s">
        <v>6339</v>
      </c>
      <c r="E182" s="26" t="n">
        <v>7</v>
      </c>
      <c r="F182" s="26" t="s">
        <v>6531</v>
      </c>
    </row>
    <row r="183" customFormat="false" ht="15" hidden="false" customHeight="false" outlineLevel="0" collapsed="false">
      <c r="A183" s="26" t="s">
        <v>6006</v>
      </c>
      <c r="B183" s="26" t="s">
        <v>6007</v>
      </c>
      <c r="C183" s="26" t="s">
        <v>70</v>
      </c>
      <c r="D183" s="26" t="s">
        <v>6339</v>
      </c>
      <c r="E183" s="26" t="n">
        <v>7</v>
      </c>
      <c r="F183" s="26" t="s">
        <v>6532</v>
      </c>
    </row>
    <row r="184" customFormat="false" ht="15" hidden="false" customHeight="false" outlineLevel="0" collapsed="false">
      <c r="A184" s="26" t="s">
        <v>5980</v>
      </c>
      <c r="B184" s="26" t="s">
        <v>5981</v>
      </c>
      <c r="C184" s="26" t="s">
        <v>70</v>
      </c>
      <c r="D184" s="26" t="s">
        <v>6339</v>
      </c>
      <c r="E184" s="26" t="n">
        <v>6</v>
      </c>
      <c r="F184" s="26" t="s">
        <v>6533</v>
      </c>
    </row>
    <row r="185" customFormat="false" ht="15" hidden="false" customHeight="false" outlineLevel="0" collapsed="false">
      <c r="A185" s="26" t="s">
        <v>5879</v>
      </c>
      <c r="B185" s="26" t="s">
        <v>5880</v>
      </c>
      <c r="C185" s="26" t="s">
        <v>70</v>
      </c>
      <c r="D185" s="26" t="s">
        <v>6339</v>
      </c>
      <c r="E185" s="26" t="n">
        <v>6</v>
      </c>
      <c r="F185" s="26" t="s">
        <v>6534</v>
      </c>
    </row>
    <row r="186" customFormat="false" ht="15" hidden="false" customHeight="false" outlineLevel="0" collapsed="false">
      <c r="A186" s="26" t="s">
        <v>5690</v>
      </c>
      <c r="B186" s="26" t="s">
        <v>5691</v>
      </c>
      <c r="C186" s="26" t="s">
        <v>70</v>
      </c>
      <c r="D186" s="26" t="s">
        <v>6339</v>
      </c>
      <c r="E186" s="26" t="n">
        <v>6</v>
      </c>
      <c r="F186" s="26" t="s">
        <v>6535</v>
      </c>
    </row>
    <row r="187" customFormat="false" ht="15" hidden="false" customHeight="false" outlineLevel="0" collapsed="false">
      <c r="A187" s="26" t="s">
        <v>5762</v>
      </c>
      <c r="B187" s="26" t="s">
        <v>5763</v>
      </c>
      <c r="C187" s="26" t="s">
        <v>70</v>
      </c>
      <c r="D187" s="26" t="s">
        <v>6339</v>
      </c>
      <c r="E187" s="26" t="n">
        <v>6</v>
      </c>
      <c r="F187" s="26" t="s">
        <v>6536</v>
      </c>
    </row>
    <row r="188" customFormat="false" ht="15" hidden="false" customHeight="false" outlineLevel="0" collapsed="false">
      <c r="A188" s="26" t="s">
        <v>5574</v>
      </c>
      <c r="B188" s="26" t="s">
        <v>5575</v>
      </c>
      <c r="C188" s="26" t="s">
        <v>70</v>
      </c>
      <c r="D188" s="26" t="s">
        <v>6339</v>
      </c>
      <c r="E188" s="26" t="n">
        <v>6</v>
      </c>
      <c r="F188" s="26" t="s">
        <v>6537</v>
      </c>
    </row>
    <row r="189" customFormat="false" ht="15" hidden="false" customHeight="false" outlineLevel="0" collapsed="false">
      <c r="A189" s="26" t="s">
        <v>5715</v>
      </c>
      <c r="B189" s="26" t="s">
        <v>5716</v>
      </c>
      <c r="C189" s="26" t="s">
        <v>70</v>
      </c>
      <c r="D189" s="26" t="s">
        <v>6339</v>
      </c>
      <c r="E189" s="26" t="n">
        <v>6</v>
      </c>
      <c r="F189" s="26" t="s">
        <v>6538</v>
      </c>
    </row>
    <row r="190" customFormat="false" ht="15" hidden="false" customHeight="false" outlineLevel="0" collapsed="false">
      <c r="A190" s="26" t="s">
        <v>5666</v>
      </c>
      <c r="B190" s="26" t="s">
        <v>5667</v>
      </c>
      <c r="C190" s="26" t="s">
        <v>70</v>
      </c>
      <c r="D190" s="26" t="s">
        <v>6339</v>
      </c>
      <c r="E190" s="26" t="n">
        <v>6</v>
      </c>
      <c r="F190" s="26" t="s">
        <v>6539</v>
      </c>
    </row>
    <row r="191" customFormat="false" ht="15" hidden="false" customHeight="false" outlineLevel="0" collapsed="false">
      <c r="A191" s="26" t="s">
        <v>5598</v>
      </c>
      <c r="B191" s="26" t="s">
        <v>5599</v>
      </c>
      <c r="C191" s="26" t="s">
        <v>70</v>
      </c>
      <c r="D191" s="26" t="s">
        <v>6339</v>
      </c>
      <c r="E191" s="26" t="n">
        <v>6</v>
      </c>
      <c r="F191" s="26" t="s">
        <v>6540</v>
      </c>
    </row>
    <row r="192" customFormat="false" ht="15" hidden="false" customHeight="false" outlineLevel="0" collapsed="false">
      <c r="A192" s="26" t="s">
        <v>5741</v>
      </c>
      <c r="B192" s="26" t="s">
        <v>5742</v>
      </c>
      <c r="C192" s="26" t="s">
        <v>70</v>
      </c>
      <c r="D192" s="26" t="s">
        <v>6339</v>
      </c>
      <c r="E192" s="26" t="n">
        <v>6</v>
      </c>
      <c r="F192" s="26" t="s">
        <v>6541</v>
      </c>
    </row>
    <row r="193" customFormat="false" ht="15" hidden="false" customHeight="false" outlineLevel="0" collapsed="false">
      <c r="A193" s="26" t="s">
        <v>6038</v>
      </c>
      <c r="B193" s="26" t="s">
        <v>6039</v>
      </c>
      <c r="C193" s="26" t="s">
        <v>70</v>
      </c>
      <c r="D193" s="26" t="s">
        <v>6339</v>
      </c>
      <c r="E193" s="26" t="n">
        <v>6</v>
      </c>
      <c r="F193" s="26" t="s">
        <v>6542</v>
      </c>
    </row>
    <row r="194" customFormat="false" ht="15" hidden="false" customHeight="false" outlineLevel="0" collapsed="false">
      <c r="A194" s="26" t="s">
        <v>5929</v>
      </c>
      <c r="B194" s="26" t="s">
        <v>5930</v>
      </c>
      <c r="C194" s="26" t="s">
        <v>70</v>
      </c>
      <c r="D194" s="26" t="s">
        <v>6339</v>
      </c>
      <c r="E194" s="26" t="n">
        <v>6</v>
      </c>
      <c r="F194" s="26" t="s">
        <v>6543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20" t="s">
        <v>6544</v>
      </c>
      <c r="B1" s="20"/>
      <c r="C1" s="20"/>
      <c r="D1" s="20"/>
    </row>
    <row r="2" customFormat="false" ht="15" hidden="false" customHeight="false" outlineLevel="0" collapsed="false">
      <c r="A2" s="21" t="s">
        <v>6118</v>
      </c>
      <c r="B2" s="21" t="s">
        <v>6117</v>
      </c>
      <c r="C2" s="21" t="s">
        <v>2</v>
      </c>
      <c r="D2" s="21" t="s">
        <v>6270</v>
      </c>
    </row>
    <row r="3" customFormat="false" ht="15" hidden="false" customHeight="false" outlineLevel="0" collapsed="false">
      <c r="A3" s="26" t="s">
        <v>6139</v>
      </c>
      <c r="B3" s="26" t="s">
        <v>6138</v>
      </c>
      <c r="C3" s="26" t="s">
        <v>6129</v>
      </c>
      <c r="D3" s="26" t="s">
        <v>6140</v>
      </c>
    </row>
    <row r="4" customFormat="false" ht="15" hidden="false" customHeight="false" outlineLevel="0" collapsed="false">
      <c r="A4" s="26" t="s">
        <v>6145</v>
      </c>
      <c r="B4" s="26" t="s">
        <v>6144</v>
      </c>
      <c r="C4" s="26" t="s">
        <v>6129</v>
      </c>
      <c r="D4" s="26" t="s">
        <v>6140</v>
      </c>
    </row>
    <row r="5" customFormat="false" ht="15" hidden="false" customHeight="false" outlineLevel="0" collapsed="false">
      <c r="A5" s="26" t="s">
        <v>6161</v>
      </c>
      <c r="B5" s="26" t="s">
        <v>6160</v>
      </c>
      <c r="C5" s="26" t="s">
        <v>6129</v>
      </c>
      <c r="D5" s="26" t="s">
        <v>6130</v>
      </c>
    </row>
    <row r="6" customFormat="false" ht="15" hidden="false" customHeight="false" outlineLevel="0" collapsed="false">
      <c r="A6" s="26" t="s">
        <v>6163</v>
      </c>
      <c r="B6" s="26" t="s">
        <v>725</v>
      </c>
      <c r="C6" s="26" t="s">
        <v>6129</v>
      </c>
      <c r="D6" s="26" t="s">
        <v>6130</v>
      </c>
    </row>
    <row r="7" customFormat="false" ht="15" hidden="false" customHeight="false" outlineLevel="0" collapsed="false">
      <c r="A7" s="26" t="s">
        <v>6167</v>
      </c>
      <c r="B7" s="26" t="s">
        <v>6166</v>
      </c>
      <c r="C7" s="26" t="s">
        <v>6129</v>
      </c>
      <c r="D7" s="26" t="s">
        <v>6140</v>
      </c>
    </row>
    <row r="8" customFormat="false" ht="15" hidden="false" customHeight="false" outlineLevel="0" collapsed="false">
      <c r="A8" s="26" t="s">
        <v>6172</v>
      </c>
      <c r="B8" s="26" t="s">
        <v>6171</v>
      </c>
      <c r="C8" s="26" t="s">
        <v>6129</v>
      </c>
      <c r="D8" s="26" t="s">
        <v>6130</v>
      </c>
    </row>
    <row r="9" customFormat="false" ht="15" hidden="false" customHeight="false" outlineLevel="0" collapsed="false">
      <c r="A9" s="26" t="s">
        <v>6185</v>
      </c>
      <c r="B9" s="26" t="s">
        <v>6184</v>
      </c>
      <c r="C9" s="26" t="s">
        <v>6129</v>
      </c>
      <c r="D9" s="26" t="s">
        <v>6130</v>
      </c>
    </row>
    <row r="10" customFormat="false" ht="15" hidden="false" customHeight="false" outlineLevel="0" collapsed="false">
      <c r="A10" s="26" t="s">
        <v>6190</v>
      </c>
      <c r="B10" s="26" t="s">
        <v>6189</v>
      </c>
      <c r="C10" s="26" t="s">
        <v>6129</v>
      </c>
      <c r="D10" s="26" t="s">
        <v>6140</v>
      </c>
    </row>
    <row r="11" customFormat="false" ht="15" hidden="false" customHeight="false" outlineLevel="0" collapsed="false">
      <c r="A11" s="26" t="s">
        <v>6196</v>
      </c>
      <c r="B11" s="26" t="s">
        <v>6195</v>
      </c>
      <c r="C11" s="26" t="s">
        <v>6129</v>
      </c>
      <c r="D11" s="26" t="s">
        <v>6133</v>
      </c>
    </row>
    <row r="12" customFormat="false" ht="15" hidden="false" customHeight="false" outlineLevel="0" collapsed="false">
      <c r="A12" s="26" t="s">
        <v>6204</v>
      </c>
      <c r="B12" s="26" t="s">
        <v>6203</v>
      </c>
      <c r="C12" s="26" t="s">
        <v>6129</v>
      </c>
      <c r="D12" s="26" t="s">
        <v>6140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6" t="s">
        <v>6545</v>
      </c>
      <c r="C2" s="16"/>
      <c r="D2" s="16"/>
      <c r="E2" s="16"/>
      <c r="F2" s="16"/>
    </row>
    <row r="3" customFormat="false" ht="15" hidden="false" customHeight="false" outlineLevel="0" collapsed="false">
      <c r="B3" s="49" t="s">
        <v>6546</v>
      </c>
    </row>
    <row r="5" customFormat="false" ht="15" hidden="false" customHeight="false" outlineLevel="0" collapsed="false">
      <c r="B5" s="50" t="s">
        <v>6547</v>
      </c>
      <c r="E5" s="51" t="n">
        <v>89</v>
      </c>
    </row>
    <row r="6" customFormat="false" ht="15" hidden="false" customHeight="false" outlineLevel="0" collapsed="false">
      <c r="B6" s="50" t="s">
        <v>6548</v>
      </c>
      <c r="E6" s="51" t="n">
        <v>79</v>
      </c>
    </row>
    <row r="7" customFormat="false" ht="15" hidden="false" customHeight="false" outlineLevel="0" collapsed="false">
      <c r="B7" s="50" t="s">
        <v>6549</v>
      </c>
      <c r="E7" s="51" t="n">
        <v>10</v>
      </c>
    </row>
    <row r="8" customFormat="false" ht="15" hidden="false" customHeight="false" outlineLevel="0" collapsed="false">
      <c r="B8" s="50" t="s">
        <v>6550</v>
      </c>
      <c r="E8" s="51" t="n">
        <v>192</v>
      </c>
    </row>
    <row r="9" customFormat="false" ht="15" hidden="false" customHeight="false" outlineLevel="0" collapsed="false">
      <c r="B9" s="50" t="s">
        <v>6551</v>
      </c>
      <c r="E9" s="51" t="s">
        <v>6339</v>
      </c>
    </row>
    <row r="10" customFormat="false" ht="15" hidden="false" customHeight="false" outlineLevel="0" collapsed="false">
      <c r="B10" s="50" t="s">
        <v>6552</v>
      </c>
      <c r="E10" s="51" t="s">
        <v>6553</v>
      </c>
    </row>
    <row r="11" customFormat="false" ht="15" hidden="false" customHeight="false" outlineLevel="0" collapsed="false">
      <c r="B11" s="50" t="s">
        <v>6554</v>
      </c>
      <c r="E11" s="51" t="n">
        <v>7</v>
      </c>
    </row>
    <row r="12" customFormat="false" ht="15" hidden="false" customHeight="false" outlineLevel="0" collapsed="false">
      <c r="B12" s="50" t="s">
        <v>6555</v>
      </c>
      <c r="E12" s="51" t="n">
        <v>2</v>
      </c>
    </row>
    <row r="13" customFormat="false" ht="15" hidden="false" customHeight="false" outlineLevel="0" collapsed="false">
      <c r="B13" s="50" t="s">
        <v>6556</v>
      </c>
      <c r="E13" s="51" t="n">
        <v>3</v>
      </c>
    </row>
    <row r="15" customFormat="false" ht="15" hidden="false" customHeight="false" outlineLevel="0" collapsed="false">
      <c r="B15" s="17" t="s">
        <v>6557</v>
      </c>
    </row>
    <row r="16" customFormat="false" ht="15" hidden="false" customHeight="false" outlineLevel="0" collapsed="false">
      <c r="B16" s="21" t="s">
        <v>6265</v>
      </c>
      <c r="C16" s="21" t="s">
        <v>6558</v>
      </c>
      <c r="D16" s="21" t="s">
        <v>6267</v>
      </c>
    </row>
    <row r="17" customFormat="false" ht="15" hidden="false" customHeight="false" outlineLevel="0" collapsed="false">
      <c r="B17" s="39" t="s">
        <v>6251</v>
      </c>
      <c r="C17" s="39" t="n">
        <v>52</v>
      </c>
      <c r="D17" s="40" t="n">
        <v>0.658</v>
      </c>
    </row>
    <row r="18" customFormat="false" ht="15" hidden="false" customHeight="false" outlineLevel="0" collapsed="false">
      <c r="B18" s="39" t="s">
        <v>6252</v>
      </c>
      <c r="C18" s="39" t="n">
        <v>12</v>
      </c>
      <c r="D18" s="40" t="n">
        <v>0.152</v>
      </c>
    </row>
    <row r="19" customFormat="false" ht="15" hidden="false" customHeight="false" outlineLevel="0" collapsed="false">
      <c r="B19" s="39" t="s">
        <v>6255</v>
      </c>
      <c r="C19" s="39" t="n">
        <v>1</v>
      </c>
      <c r="D19" s="40" t="n">
        <v>0.013</v>
      </c>
    </row>
    <row r="20" customFormat="false" ht="15" hidden="false" customHeight="false" outlineLevel="0" collapsed="false">
      <c r="B20" s="39" t="s">
        <v>6250</v>
      </c>
      <c r="C20" s="39" t="n">
        <v>4</v>
      </c>
      <c r="D20" s="40" t="n">
        <v>0.051</v>
      </c>
    </row>
    <row r="21" customFormat="false" ht="15" hidden="false" customHeight="false" outlineLevel="0" collapsed="false">
      <c r="B21" s="39" t="s">
        <v>6253</v>
      </c>
      <c r="C21" s="39" t="n">
        <v>10</v>
      </c>
      <c r="D21" s="40" t="n">
        <v>0.127</v>
      </c>
    </row>
    <row r="22" customFormat="false" ht="15" hidden="false" customHeight="false" outlineLevel="0" collapsed="false">
      <c r="B22" s="39" t="s">
        <v>6268</v>
      </c>
      <c r="C22" s="39" t="n">
        <v>0</v>
      </c>
      <c r="D22" s="40" t="n">
        <v>0</v>
      </c>
    </row>
    <row r="24" customFormat="false" ht="15" hidden="false" customHeight="false" outlineLevel="0" collapsed="false">
      <c r="B24" s="17" t="s">
        <v>6559</v>
      </c>
    </row>
    <row r="25" customFormat="false" ht="15" hidden="false" customHeight="false" outlineLevel="0" collapsed="false">
      <c r="B25" s="21" t="s">
        <v>6560</v>
      </c>
      <c r="C25" s="21" t="s">
        <v>6558</v>
      </c>
    </row>
    <row r="26" customFormat="false" ht="15" hidden="false" customHeight="false" outlineLevel="0" collapsed="false">
      <c r="B26" s="39" t="s">
        <v>70</v>
      </c>
      <c r="C26" s="39" t="n">
        <v>192</v>
      </c>
    </row>
    <row r="28" customFormat="false" ht="15" hidden="false" customHeight="false" outlineLevel="0" collapsed="false">
      <c r="B28" s="38" t="s">
        <v>6561</v>
      </c>
      <c r="C28" s="38"/>
      <c r="D28" s="38"/>
      <c r="E28" s="38"/>
      <c r="F28" s="38"/>
    </row>
    <row r="29" customFormat="false" ht="39.55" hidden="false" customHeight="false" outlineLevel="0" collapsed="false">
      <c r="B29" s="21" t="s">
        <v>6117</v>
      </c>
      <c r="C29" s="21" t="s">
        <v>6118</v>
      </c>
      <c r="D29" s="21" t="s">
        <v>6265</v>
      </c>
      <c r="E29" s="21" t="s">
        <v>6283</v>
      </c>
      <c r="F29" s="21" t="s">
        <v>6562</v>
      </c>
      <c r="G29" s="21" t="s">
        <v>6280</v>
      </c>
    </row>
    <row r="30" customFormat="false" ht="15" hidden="false" customHeight="false" outlineLevel="0" collapsed="false">
      <c r="B30" s="26" t="s">
        <v>4739</v>
      </c>
      <c r="C30" s="26" t="s">
        <v>6151</v>
      </c>
      <c r="D30" s="26" t="s">
        <v>6250</v>
      </c>
      <c r="E30" s="26" t="s">
        <v>6289</v>
      </c>
      <c r="F30" s="26" t="n">
        <v>0</v>
      </c>
      <c r="G30" s="26" t="s">
        <v>6288</v>
      </c>
    </row>
    <row r="31" customFormat="false" ht="15" hidden="false" customHeight="false" outlineLevel="0" collapsed="false">
      <c r="B31" s="26" t="s">
        <v>4058</v>
      </c>
      <c r="C31" s="26" t="s">
        <v>4057</v>
      </c>
      <c r="D31" s="26" t="s">
        <v>6250</v>
      </c>
      <c r="E31" s="26" t="s">
        <v>6289</v>
      </c>
      <c r="F31" s="26" t="n">
        <v>0</v>
      </c>
      <c r="G31" s="26" t="s">
        <v>6288</v>
      </c>
    </row>
    <row r="32" customFormat="false" ht="15" hidden="false" customHeight="false" outlineLevel="0" collapsed="false">
      <c r="B32" s="26" t="s">
        <v>3545</v>
      </c>
      <c r="C32" s="26" t="s">
        <v>3544</v>
      </c>
      <c r="D32" s="26" t="s">
        <v>6250</v>
      </c>
      <c r="E32" s="26" t="s">
        <v>6289</v>
      </c>
      <c r="F32" s="26" t="n">
        <v>0</v>
      </c>
      <c r="G32" s="26" t="s">
        <v>6288</v>
      </c>
    </row>
    <row r="33" customFormat="false" ht="15" hidden="false" customHeight="false" outlineLevel="0" collapsed="false">
      <c r="B33" s="26" t="s">
        <v>1274</v>
      </c>
      <c r="C33" s="26" t="s">
        <v>1273</v>
      </c>
      <c r="D33" s="26" t="s">
        <v>6250</v>
      </c>
      <c r="E33" s="26" t="s">
        <v>6289</v>
      </c>
      <c r="F33" s="26" t="n">
        <v>0</v>
      </c>
      <c r="G33" s="26" t="s">
        <v>6307</v>
      </c>
    </row>
    <row r="34" customFormat="false" ht="15" hidden="false" customHeight="false" outlineLevel="0" collapsed="false">
      <c r="B34" s="26" t="s">
        <v>1280</v>
      </c>
      <c r="C34" s="26" t="s">
        <v>1279</v>
      </c>
      <c r="D34" s="26" t="s">
        <v>6253</v>
      </c>
      <c r="E34" s="26" t="s">
        <v>6289</v>
      </c>
      <c r="F34" s="26" t="n">
        <v>2893.8</v>
      </c>
      <c r="G34" s="26" t="s">
        <v>6288</v>
      </c>
    </row>
    <row r="35" customFormat="false" ht="15" hidden="false" customHeight="false" outlineLevel="0" collapsed="false">
      <c r="B35" s="26" t="s">
        <v>789</v>
      </c>
      <c r="C35" s="26" t="s">
        <v>788</v>
      </c>
      <c r="D35" s="26" t="s">
        <v>6253</v>
      </c>
      <c r="E35" s="26" t="s">
        <v>6289</v>
      </c>
      <c r="F35" s="26" t="n">
        <v>2397.5</v>
      </c>
      <c r="G35" s="26" t="s">
        <v>6288</v>
      </c>
    </row>
    <row r="36" customFormat="false" ht="15" hidden="false" customHeight="false" outlineLevel="0" collapsed="false">
      <c r="B36" s="26" t="s">
        <v>1460</v>
      </c>
      <c r="C36" s="26" t="s">
        <v>1459</v>
      </c>
      <c r="D36" s="26" t="s">
        <v>6253</v>
      </c>
      <c r="E36" s="26" t="s">
        <v>6289</v>
      </c>
      <c r="F36" s="26" t="n">
        <v>1677.9</v>
      </c>
      <c r="G36" s="26" t="s">
        <v>6288</v>
      </c>
    </row>
    <row r="37" customFormat="false" ht="15" hidden="false" customHeight="false" outlineLevel="0" collapsed="false">
      <c r="B37" s="26" t="s">
        <v>2072</v>
      </c>
      <c r="C37" s="26" t="s">
        <v>2071</v>
      </c>
      <c r="D37" s="26" t="s">
        <v>6253</v>
      </c>
      <c r="E37" s="26" t="s">
        <v>6289</v>
      </c>
      <c r="F37" s="26" t="n">
        <v>1233.8</v>
      </c>
      <c r="G37" s="26" t="s">
        <v>6288</v>
      </c>
    </row>
    <row r="38" customFormat="false" ht="15" hidden="false" customHeight="false" outlineLevel="0" collapsed="false">
      <c r="B38" s="26" t="s">
        <v>3982</v>
      </c>
      <c r="C38" s="26" t="s">
        <v>3981</v>
      </c>
      <c r="D38" s="26" t="s">
        <v>6253</v>
      </c>
      <c r="E38" s="26" t="s">
        <v>6289</v>
      </c>
      <c r="F38" s="26" t="n">
        <v>1177.6</v>
      </c>
      <c r="G38" s="26" t="s">
        <v>6288</v>
      </c>
    </row>
    <row r="39" customFormat="false" ht="15" hidden="false" customHeight="false" outlineLevel="0" collapsed="false">
      <c r="B39" s="26" t="s">
        <v>4112</v>
      </c>
      <c r="C39" s="26" t="s">
        <v>4111</v>
      </c>
      <c r="D39" s="26" t="s">
        <v>6253</v>
      </c>
      <c r="E39" s="26" t="s">
        <v>6289</v>
      </c>
      <c r="F39" s="26" t="n">
        <v>1046.8</v>
      </c>
      <c r="G39" s="26" t="s">
        <v>6288</v>
      </c>
    </row>
    <row r="40" customFormat="false" ht="15" hidden="false" customHeight="false" outlineLevel="0" collapsed="false">
      <c r="B40" s="26" t="s">
        <v>1632</v>
      </c>
      <c r="C40" s="26" t="s">
        <v>1631</v>
      </c>
      <c r="D40" s="26" t="s">
        <v>6253</v>
      </c>
      <c r="E40" s="26" t="s">
        <v>6289</v>
      </c>
      <c r="F40" s="26" t="n">
        <v>810.6</v>
      </c>
      <c r="G40" s="26" t="s">
        <v>6288</v>
      </c>
    </row>
    <row r="41" customFormat="false" ht="15" hidden="false" customHeight="false" outlineLevel="0" collapsed="false">
      <c r="B41" s="26" t="s">
        <v>240</v>
      </c>
      <c r="C41" s="26" t="s">
        <v>239</v>
      </c>
      <c r="D41" s="26" t="s">
        <v>6253</v>
      </c>
      <c r="E41" s="26" t="s">
        <v>6289</v>
      </c>
      <c r="F41" s="26" t="n">
        <v>355.1</v>
      </c>
      <c r="G41" s="26" t="s">
        <v>6288</v>
      </c>
    </row>
    <row r="42" customFormat="false" ht="15" hidden="false" customHeight="false" outlineLevel="0" collapsed="false">
      <c r="B42" s="26" t="s">
        <v>1758</v>
      </c>
      <c r="C42" s="26" t="s">
        <v>1757</v>
      </c>
      <c r="D42" s="26" t="s">
        <v>6253</v>
      </c>
      <c r="E42" s="26" t="s">
        <v>6289</v>
      </c>
      <c r="F42" s="26" t="n">
        <v>91.1</v>
      </c>
      <c r="G42" s="26" t="s">
        <v>6300</v>
      </c>
    </row>
    <row r="43" customFormat="false" ht="15" hidden="false" customHeight="false" outlineLevel="0" collapsed="false">
      <c r="B43" s="26" t="s">
        <v>2579</v>
      </c>
      <c r="C43" s="26" t="s">
        <v>6180</v>
      </c>
      <c r="D43" s="26" t="s">
        <v>6253</v>
      </c>
      <c r="E43" s="26" t="s">
        <v>6289</v>
      </c>
      <c r="F43" s="26" t="n">
        <v>0</v>
      </c>
      <c r="G43" s="26" t="s">
        <v>6288</v>
      </c>
    </row>
    <row r="44" customFormat="false" ht="15" hidden="false" customHeight="false" outlineLevel="0" collapsed="false">
      <c r="B44" s="26" t="s">
        <v>3281</v>
      </c>
      <c r="C44" s="26" t="s">
        <v>3280</v>
      </c>
      <c r="D44" s="26" t="s">
        <v>6255</v>
      </c>
      <c r="E44" s="26" t="s">
        <v>6293</v>
      </c>
      <c r="F44" s="26" t="n">
        <v>0.5</v>
      </c>
      <c r="G44" s="26" t="s">
        <v>6288</v>
      </c>
    </row>
    <row r="47" customFormat="false" ht="15" hidden="false" customHeight="false" outlineLevel="0" collapsed="false">
      <c r="B47" s="17" t="s">
        <v>6563</v>
      </c>
    </row>
    <row r="48" customFormat="false" ht="15" hidden="false" customHeight="true" outlineLevel="0" collapsed="false">
      <c r="B48" s="52" t="s">
        <v>6564</v>
      </c>
      <c r="C48" s="52"/>
      <c r="D48" s="52"/>
      <c r="E48" s="52"/>
      <c r="F48" s="52"/>
    </row>
    <row r="49" customFormat="false" ht="15" hidden="false" customHeight="true" outlineLevel="0" collapsed="false">
      <c r="B49" s="52" t="s">
        <v>6565</v>
      </c>
      <c r="C49" s="52"/>
      <c r="D49" s="52"/>
      <c r="E49" s="52"/>
      <c r="F49" s="52"/>
    </row>
    <row r="50" customFormat="false" ht="15" hidden="false" customHeight="true" outlineLevel="0" collapsed="false">
      <c r="B50" s="52" t="s">
        <v>6566</v>
      </c>
      <c r="C50" s="52"/>
      <c r="D50" s="52"/>
      <c r="E50" s="52"/>
      <c r="F50" s="52"/>
    </row>
    <row r="51" customFormat="false" ht="15" hidden="false" customHeight="true" outlineLevel="0" collapsed="false">
      <c r="B51" s="52" t="s">
        <v>6567</v>
      </c>
      <c r="C51" s="52"/>
      <c r="D51" s="52"/>
      <c r="E51" s="52"/>
      <c r="F51" s="52"/>
    </row>
    <row r="52" customFormat="false" ht="15" hidden="false" customHeight="true" outlineLevel="0" collapsed="false">
      <c r="B52" s="52" t="s">
        <v>6568</v>
      </c>
      <c r="C52" s="52"/>
      <c r="D52" s="52"/>
      <c r="E52" s="52"/>
      <c r="F52" s="52"/>
    </row>
    <row r="53" customFormat="false" ht="15" hidden="false" customHeight="true" outlineLevel="0" collapsed="false">
      <c r="B53" s="52" t="s">
        <v>6569</v>
      </c>
      <c r="C53" s="52"/>
      <c r="D53" s="52"/>
      <c r="E53" s="52"/>
      <c r="F53" s="52"/>
    </row>
    <row r="54" customFormat="false" ht="15" hidden="false" customHeight="true" outlineLevel="0" collapsed="false">
      <c r="B54" s="52" t="s">
        <v>6570</v>
      </c>
      <c r="C54" s="52"/>
      <c r="D54" s="52"/>
      <c r="E54" s="52"/>
      <c r="F54" s="52"/>
    </row>
  </sheetData>
  <mergeCells count="9">
    <mergeCell ref="B2:F2"/>
    <mergeCell ref="B28:F28"/>
    <mergeCell ref="B48:F48"/>
    <mergeCell ref="B49:F49"/>
    <mergeCell ref="B50:F50"/>
    <mergeCell ref="B51:F51"/>
    <mergeCell ref="B52:F52"/>
    <mergeCell ref="B53:F53"/>
    <mergeCell ref="B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2026-09-16T18:44:02Z</dcterms:created>
  <dc:creator>Rota</dc:creator>
  <dc:description/>
  <dc:language>en-US</dc:language>
  <cp:lastModifiedBy>Fabio Cristiano</cp:lastModifiedBy>
  <dcterms:modified xsi:type="dcterms:W3CDTF">2026-09-16T19:28:06Z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